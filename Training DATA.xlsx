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c64fc6cac0c2a9/OneDrive/Magnetite Mars/machine learning/ML/ML/"/>
    </mc:Choice>
  </mc:AlternateContent>
  <xr:revisionPtr revIDLastSave="5074" documentId="8_{7FC099B1-0E7E-420E-8BEE-108F2883B4A7}" xr6:coauthVersionLast="47" xr6:coauthVersionMax="47" xr10:uidLastSave="{10D813D9-1993-4B51-9A92-CDB2815BD03B}"/>
  <bookViews>
    <workbookView xWindow="-23136" yWindow="-96" windowWidth="23232" windowHeight="12432" xr2:uid="{E0866A0C-8652-42B7-97CD-B71C7FF0CAE3}"/>
  </bookViews>
  <sheets>
    <sheet name="Sheet1" sheetId="1" r:id="rId1"/>
  </sheets>
  <definedNames>
    <definedName name="_xlnm._FilterDatabase" localSheetId="0" hidden="1">Sheet1!$B$1:$B$5679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598" i="1" l="1"/>
  <c r="P5597" i="1"/>
  <c r="P5594" i="1"/>
  <c r="P5593" i="1"/>
  <c r="P5588" i="1"/>
  <c r="M5627" i="1"/>
  <c r="M5622" i="1"/>
  <c r="M5621" i="1"/>
  <c r="M5618" i="1"/>
  <c r="M5617" i="1"/>
  <c r="M5616" i="1"/>
  <c r="M5615" i="1"/>
  <c r="M5612" i="1"/>
  <c r="M5611" i="1"/>
  <c r="M5610" i="1"/>
  <c r="M5608" i="1"/>
  <c r="M5607" i="1"/>
  <c r="M5603" i="1"/>
  <c r="M5601" i="1"/>
  <c r="M5600" i="1"/>
  <c r="M5599" i="1"/>
  <c r="M5586" i="1"/>
  <c r="M5585" i="1"/>
  <c r="M5584" i="1"/>
  <c r="M5583" i="1"/>
  <c r="M5582" i="1"/>
  <c r="M5581" i="1"/>
  <c r="J5647" i="1"/>
  <c r="J5644" i="1"/>
  <c r="J5643" i="1"/>
  <c r="J5642" i="1"/>
  <c r="J5641" i="1"/>
  <c r="J5640" i="1"/>
  <c r="J5638" i="1"/>
  <c r="J5637" i="1"/>
  <c r="J5636" i="1"/>
  <c r="J5634" i="1"/>
  <c r="J5630" i="1"/>
  <c r="J5629" i="1"/>
  <c r="J5627" i="1"/>
  <c r="J5624" i="1"/>
  <c r="J5620" i="1"/>
  <c r="J5619" i="1"/>
  <c r="J5618" i="1"/>
  <c r="J5616" i="1"/>
  <c r="J5615" i="1"/>
  <c r="J5614" i="1"/>
  <c r="J5613" i="1"/>
  <c r="J5612" i="1"/>
  <c r="J5611" i="1"/>
  <c r="J5610" i="1"/>
  <c r="J5608" i="1"/>
  <c r="J5607" i="1"/>
  <c r="J5606" i="1"/>
  <c r="J5603" i="1"/>
  <c r="J5602" i="1"/>
  <c r="J5601" i="1"/>
  <c r="J5600" i="1"/>
  <c r="J5595" i="1"/>
  <c r="J5593" i="1"/>
  <c r="J5591" i="1"/>
  <c r="J5586" i="1"/>
  <c r="J5584" i="1"/>
  <c r="J5582" i="1"/>
  <c r="J5578" i="1"/>
  <c r="J5576" i="1"/>
  <c r="J5574" i="1"/>
  <c r="J5572" i="1"/>
  <c r="P162" i="1" l="1"/>
  <c r="O1523" i="1"/>
  <c r="G3639" i="1"/>
  <c r="G3638" i="1"/>
  <c r="H3650" i="1"/>
  <c r="H3649" i="1"/>
  <c r="H3648" i="1"/>
  <c r="H3647" i="1"/>
  <c r="H3646" i="1"/>
  <c r="O5027" i="1" l="1"/>
  <c r="J4744" i="1"/>
  <c r="J4737" i="1"/>
  <c r="J4736" i="1"/>
  <c r="J4735" i="1"/>
  <c r="J4734" i="1"/>
  <c r="J4732" i="1"/>
  <c r="J4731" i="1"/>
  <c r="J4727" i="1"/>
  <c r="M4608" i="1" l="1"/>
  <c r="M4573" i="1"/>
  <c r="K4607" i="1"/>
  <c r="K4606" i="1"/>
  <c r="K4602" i="1"/>
  <c r="K4600" i="1"/>
  <c r="K4587" i="1"/>
  <c r="K4581" i="1"/>
  <c r="K4572" i="1"/>
  <c r="K4571" i="1"/>
  <c r="K4570" i="1"/>
  <c r="K4569" i="1"/>
  <c r="K4566" i="1"/>
  <c r="J4597" i="1"/>
  <c r="J4593" i="1"/>
  <c r="J4590" i="1"/>
  <c r="J4579" i="1"/>
  <c r="J4574" i="1"/>
  <c r="H4606" i="1"/>
  <c r="H4603" i="1"/>
  <c r="H4589" i="1"/>
  <c r="H4588" i="1"/>
  <c r="H4585" i="1"/>
  <c r="H4582" i="1"/>
  <c r="H4572" i="1"/>
  <c r="H4571" i="1"/>
  <c r="J4246" i="1"/>
  <c r="J4245" i="1"/>
  <c r="J4244" i="1"/>
  <c r="J4242" i="1"/>
  <c r="J4240" i="1"/>
  <c r="J4239" i="1"/>
  <c r="J4238" i="1"/>
  <c r="J4234" i="1"/>
  <c r="J4232" i="1"/>
  <c r="H4270" i="1"/>
  <c r="H4264" i="1"/>
  <c r="H4251" i="1"/>
  <c r="H4242" i="1"/>
  <c r="H4239" i="1"/>
  <c r="P4145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30" i="1"/>
  <c r="P4147" i="1"/>
  <c r="P4154" i="1"/>
  <c r="P4155" i="1"/>
  <c r="P4153" i="1"/>
  <c r="P4151" i="1"/>
  <c r="P4152" i="1"/>
  <c r="P4150" i="1"/>
  <c r="P4158" i="1"/>
  <c r="P4159" i="1"/>
  <c r="P4160" i="1"/>
  <c r="P4167" i="1"/>
  <c r="P4168" i="1"/>
  <c r="P4169" i="1"/>
  <c r="P4170" i="1"/>
  <c r="P4166" i="1"/>
  <c r="P4177" i="1"/>
  <c r="P4178" i="1"/>
  <c r="P4179" i="1"/>
  <c r="P4176" i="1"/>
  <c r="P4190" i="1"/>
  <c r="P4189" i="1"/>
  <c r="P4188" i="1"/>
  <c r="P4187" i="1"/>
  <c r="P4186" i="1"/>
  <c r="P4185" i="1"/>
  <c r="P4184" i="1"/>
  <c r="P4183" i="1"/>
  <c r="P4196" i="1"/>
  <c r="P4195" i="1"/>
  <c r="P4194" i="1"/>
  <c r="P4193" i="1"/>
  <c r="P4200" i="1"/>
  <c r="P4202" i="1"/>
  <c r="P4205" i="1"/>
  <c r="P4206" i="1"/>
  <c r="P4207" i="1"/>
  <c r="J4152" i="1"/>
  <c r="J4121" i="1"/>
  <c r="J4108" i="1"/>
  <c r="J4107" i="1"/>
  <c r="J4106" i="1"/>
  <c r="J4102" i="1"/>
  <c r="J4101" i="1"/>
  <c r="J4099" i="1"/>
  <c r="J4097" i="1"/>
  <c r="J4096" i="1"/>
  <c r="J4090" i="1"/>
  <c r="J4088" i="1"/>
  <c r="J4087" i="1"/>
  <c r="J4086" i="1"/>
  <c r="J4085" i="1"/>
  <c r="J4083" i="1"/>
  <c r="J4081" i="1"/>
  <c r="J4078" i="1"/>
  <c r="J4077" i="1"/>
  <c r="J4075" i="1"/>
  <c r="P3711" i="1"/>
  <c r="P3705" i="1"/>
  <c r="P3682" i="1"/>
  <c r="H3590" i="1"/>
  <c r="H3588" i="1"/>
  <c r="H3587" i="1"/>
  <c r="H3586" i="1"/>
  <c r="H3585" i="1"/>
  <c r="G3668" i="1"/>
  <c r="G3667" i="1"/>
  <c r="G3666" i="1"/>
  <c r="G3665" i="1"/>
  <c r="G3664" i="1"/>
  <c r="G3663" i="1"/>
  <c r="G3662" i="1"/>
  <c r="G3658" i="1"/>
  <c r="G3657" i="1"/>
  <c r="G3656" i="1"/>
  <c r="G3655" i="1"/>
  <c r="G3654" i="1"/>
  <c r="G3652" i="1"/>
  <c r="G3650" i="1"/>
  <c r="G3649" i="1"/>
  <c r="G3648" i="1"/>
  <c r="G3647" i="1"/>
  <c r="G3646" i="1"/>
  <c r="G3645" i="1"/>
  <c r="G3644" i="1"/>
  <c r="G3641" i="1"/>
  <c r="G3640" i="1"/>
  <c r="G3635" i="1"/>
  <c r="G3634" i="1"/>
  <c r="G3633" i="1"/>
  <c r="G3632" i="1"/>
  <c r="G3627" i="1"/>
  <c r="G3626" i="1"/>
  <c r="G3619" i="1"/>
  <c r="G3613" i="1"/>
  <c r="G3611" i="1"/>
  <c r="G3610" i="1"/>
  <c r="G3607" i="1"/>
  <c r="G3605" i="1"/>
  <c r="G3604" i="1"/>
  <c r="G3602" i="1"/>
  <c r="G3601" i="1"/>
  <c r="G3598" i="1"/>
  <c r="G3595" i="1"/>
  <c r="G3594" i="1"/>
  <c r="G3593" i="1"/>
  <c r="G3590" i="1"/>
  <c r="G3589" i="1"/>
  <c r="G3588" i="1"/>
  <c r="G3586" i="1"/>
  <c r="G3585" i="1"/>
  <c r="F3664" i="1"/>
  <c r="F3663" i="1"/>
  <c r="F3662" i="1"/>
  <c r="F3661" i="1"/>
  <c r="F3658" i="1"/>
  <c r="F3657" i="1"/>
  <c r="F3655" i="1"/>
  <c r="F3650" i="1"/>
  <c r="F3648" i="1"/>
  <c r="F3645" i="1"/>
  <c r="F3644" i="1"/>
  <c r="F3641" i="1"/>
  <c r="F3639" i="1"/>
  <c r="F3638" i="1"/>
  <c r="F3613" i="1"/>
  <c r="F3611" i="1"/>
  <c r="F3610" i="1"/>
  <c r="P3583" i="1"/>
  <c r="P3579" i="1"/>
  <c r="P3576" i="1"/>
  <c r="P3575" i="1"/>
  <c r="P3574" i="1"/>
  <c r="P3573" i="1"/>
  <c r="P3572" i="1"/>
  <c r="P3571" i="1"/>
  <c r="P3570" i="1"/>
  <c r="P3569" i="1"/>
  <c r="P3568" i="1"/>
  <c r="P3567" i="1"/>
  <c r="P3566" i="1"/>
  <c r="P3564" i="1"/>
  <c r="P3563" i="1"/>
  <c r="P3562" i="1"/>
  <c r="P3560" i="1"/>
  <c r="P3558" i="1"/>
  <c r="P3557" i="1"/>
  <c r="P3556" i="1"/>
  <c r="P3555" i="1"/>
  <c r="P3554" i="1"/>
  <c r="P3553" i="1"/>
  <c r="P3551" i="1"/>
  <c r="P3550" i="1"/>
  <c r="P3544" i="1"/>
  <c r="P3541" i="1"/>
  <c r="P3540" i="1"/>
  <c r="P3539" i="1"/>
  <c r="P3538" i="1"/>
  <c r="P3536" i="1"/>
  <c r="P3535" i="1"/>
  <c r="P3534" i="1"/>
  <c r="P3533" i="1"/>
  <c r="P3532" i="1"/>
  <c r="P3531" i="1"/>
  <c r="P3530" i="1"/>
  <c r="P3529" i="1"/>
  <c r="P3528" i="1"/>
  <c r="P3526" i="1"/>
  <c r="P3525" i="1"/>
  <c r="P3524" i="1"/>
  <c r="P3523" i="1"/>
  <c r="P3522" i="1"/>
  <c r="P3520" i="1"/>
  <c r="P3519" i="1"/>
  <c r="P3518" i="1"/>
  <c r="P3517" i="1"/>
  <c r="P3513" i="1"/>
  <c r="P3512" i="1"/>
  <c r="P3510" i="1"/>
  <c r="P3509" i="1"/>
  <c r="P3505" i="1"/>
  <c r="P3504" i="1"/>
  <c r="P3503" i="1"/>
  <c r="P3502" i="1"/>
  <c r="P3500" i="1"/>
  <c r="P3499" i="1"/>
  <c r="P3495" i="1"/>
  <c r="P3488" i="1"/>
  <c r="P3472" i="1"/>
  <c r="P3467" i="1"/>
  <c r="P3464" i="1"/>
  <c r="P3463" i="1"/>
  <c r="P3462" i="1"/>
  <c r="P3451" i="1"/>
  <c r="P3445" i="1"/>
  <c r="P3443" i="1"/>
  <c r="P3442" i="1"/>
  <c r="P3440" i="1"/>
  <c r="P3439" i="1"/>
  <c r="P3438" i="1"/>
  <c r="P3437" i="1"/>
  <c r="P3435" i="1"/>
  <c r="P3434" i="1"/>
  <c r="P3433" i="1"/>
  <c r="P3432" i="1"/>
  <c r="P3431" i="1"/>
  <c r="P3430" i="1"/>
  <c r="P3429" i="1"/>
  <c r="P3428" i="1"/>
  <c r="P3426" i="1"/>
  <c r="P3424" i="1"/>
  <c r="P3423" i="1"/>
  <c r="P3422" i="1"/>
  <c r="P3421" i="1"/>
  <c r="P3419" i="1"/>
  <c r="P3418" i="1"/>
  <c r="P3417" i="1"/>
  <c r="P3415" i="1"/>
  <c r="P3414" i="1"/>
  <c r="P3413" i="1"/>
  <c r="P3412" i="1"/>
  <c r="P3411" i="1"/>
  <c r="J3580" i="1"/>
  <c r="J3579" i="1"/>
  <c r="J3574" i="1"/>
  <c r="J3567" i="1"/>
  <c r="J3566" i="1"/>
  <c r="J3565" i="1"/>
  <c r="J3564" i="1"/>
  <c r="J3546" i="1"/>
  <c r="J3544" i="1"/>
  <c r="J3531" i="1"/>
  <c r="J3530" i="1"/>
  <c r="J3476" i="1"/>
  <c r="J3473" i="1"/>
  <c r="J3471" i="1"/>
  <c r="J3469" i="1"/>
  <c r="J3459" i="1"/>
  <c r="J3456" i="1"/>
  <c r="J3454" i="1"/>
  <c r="J3448" i="1"/>
  <c r="J3447" i="1"/>
  <c r="J3445" i="1"/>
  <c r="J3444" i="1"/>
  <c r="J3420" i="1"/>
  <c r="O3325" i="1"/>
  <c r="L3405" i="1"/>
  <c r="K3325" i="1"/>
  <c r="J3373" i="1"/>
  <c r="J3340" i="1"/>
  <c r="J3325" i="1"/>
  <c r="J3324" i="1"/>
  <c r="J3322" i="1"/>
  <c r="J3306" i="1"/>
  <c r="J3305" i="1"/>
  <c r="J3303" i="1"/>
  <c r="J3302" i="1"/>
  <c r="J3301" i="1"/>
  <c r="J3300" i="1"/>
  <c r="J3299" i="1"/>
  <c r="I3323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3" i="1"/>
  <c r="P3282" i="1"/>
  <c r="P3281" i="1"/>
  <c r="P3280" i="1"/>
  <c r="P3279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5" i="1"/>
  <c r="P3254" i="1"/>
  <c r="P3253" i="1"/>
  <c r="P3252" i="1"/>
  <c r="P3251" i="1"/>
  <c r="P3250" i="1"/>
  <c r="P3249" i="1"/>
  <c r="P3248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1" i="1"/>
  <c r="P3220" i="1"/>
  <c r="P3219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3" i="1"/>
  <c r="P3200" i="1"/>
  <c r="P3198" i="1"/>
  <c r="P3197" i="1"/>
  <c r="P3196" i="1"/>
  <c r="P3195" i="1"/>
  <c r="P3194" i="1"/>
  <c r="P3193" i="1"/>
  <c r="P3192" i="1"/>
  <c r="P3191" i="1"/>
  <c r="P3190" i="1"/>
  <c r="P3189" i="1"/>
  <c r="P3188" i="1"/>
  <c r="P3186" i="1"/>
  <c r="P3185" i="1"/>
  <c r="P3184" i="1"/>
  <c r="P3183" i="1"/>
  <c r="P3182" i="1"/>
  <c r="P3181" i="1"/>
  <c r="P3180" i="1"/>
  <c r="P3179" i="1"/>
  <c r="P3175" i="1"/>
  <c r="P3174" i="1"/>
  <c r="P3173" i="1"/>
  <c r="P3172" i="1"/>
  <c r="P3171" i="1"/>
  <c r="P3168" i="1"/>
  <c r="P3167" i="1"/>
  <c r="P3166" i="1"/>
  <c r="P3165" i="1"/>
  <c r="P3164" i="1"/>
  <c r="P3163" i="1"/>
  <c r="P3162" i="1"/>
  <c r="P3160" i="1"/>
  <c r="P3159" i="1"/>
  <c r="P3158" i="1"/>
  <c r="P3157" i="1"/>
  <c r="P3155" i="1"/>
  <c r="N3295" i="1"/>
  <c r="N3294" i="1"/>
  <c r="N3293" i="1"/>
  <c r="N3291" i="1"/>
  <c r="N3289" i="1"/>
  <c r="N3286" i="1"/>
  <c r="N3284" i="1"/>
  <c r="N3279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5" i="1"/>
  <c r="N3254" i="1"/>
  <c r="N3250" i="1"/>
  <c r="N3249" i="1"/>
  <c r="N3248" i="1"/>
  <c r="N3247" i="1"/>
  <c r="N3246" i="1"/>
  <c r="N3240" i="1"/>
  <c r="N3239" i="1"/>
  <c r="N3236" i="1"/>
  <c r="N3235" i="1"/>
  <c r="N3234" i="1"/>
  <c r="N3233" i="1"/>
  <c r="N3232" i="1"/>
  <c r="N3231" i="1"/>
  <c r="N3230" i="1"/>
  <c r="N3229" i="1"/>
  <c r="N3227" i="1"/>
  <c r="N3225" i="1"/>
  <c r="N3224" i="1"/>
  <c r="N3223" i="1"/>
  <c r="N3222" i="1"/>
  <c r="N3218" i="1"/>
  <c r="N3216" i="1"/>
  <c r="N3212" i="1"/>
  <c r="N3209" i="1"/>
  <c r="N3207" i="1"/>
  <c r="N3206" i="1"/>
  <c r="N3201" i="1"/>
  <c r="N3200" i="1"/>
  <c r="N3199" i="1"/>
  <c r="N3198" i="1"/>
  <c r="N3197" i="1"/>
  <c r="N3196" i="1"/>
  <c r="N3194" i="1"/>
  <c r="N3193" i="1"/>
  <c r="N3192" i="1"/>
  <c r="N3191" i="1"/>
  <c r="N3184" i="1"/>
  <c r="N3182" i="1"/>
  <c r="N3181" i="1"/>
  <c r="N3180" i="1"/>
  <c r="N3179" i="1"/>
  <c r="N3170" i="1"/>
  <c r="N3167" i="1"/>
  <c r="N3164" i="1"/>
  <c r="N3163" i="1"/>
  <c r="N3162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H3196" i="1"/>
  <c r="H3195" i="1"/>
  <c r="H3193" i="1"/>
  <c r="H3190" i="1"/>
  <c r="H3187" i="1"/>
  <c r="H3186" i="1"/>
  <c r="H3173" i="1"/>
  <c r="H3170" i="1"/>
  <c r="H3169" i="1"/>
  <c r="H3167" i="1"/>
  <c r="H3166" i="1"/>
  <c r="H3165" i="1"/>
  <c r="H3164" i="1"/>
  <c r="H3162" i="1"/>
  <c r="H3161" i="1"/>
  <c r="H3160" i="1"/>
  <c r="H3159" i="1"/>
  <c r="H3158" i="1"/>
  <c r="H3157" i="1"/>
  <c r="H3156" i="1"/>
  <c r="H3155" i="1"/>
  <c r="H3154" i="1"/>
  <c r="P3153" i="1"/>
  <c r="P3152" i="1"/>
  <c r="P3148" i="1"/>
  <c r="P3141" i="1"/>
  <c r="P3140" i="1"/>
  <c r="P3139" i="1"/>
  <c r="P3138" i="1"/>
  <c r="P3137" i="1"/>
  <c r="P3135" i="1"/>
  <c r="P3134" i="1"/>
  <c r="P3120" i="1"/>
  <c r="P3119" i="1"/>
  <c r="P3112" i="1"/>
  <c r="P3111" i="1"/>
  <c r="P3110" i="1"/>
  <c r="P3109" i="1"/>
  <c r="P3106" i="1"/>
  <c r="P3098" i="1"/>
  <c r="P3094" i="1"/>
  <c r="P3093" i="1"/>
  <c r="P3092" i="1"/>
  <c r="P3090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2" i="1"/>
  <c r="P3044" i="1"/>
  <c r="P3043" i="1"/>
  <c r="P3042" i="1"/>
  <c r="P3041" i="1"/>
  <c r="P3040" i="1"/>
  <c r="P3039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1" i="1"/>
  <c r="P3020" i="1"/>
  <c r="P3019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56" i="1"/>
  <c r="P2953" i="1"/>
  <c r="P2951" i="1"/>
  <c r="P2948" i="1"/>
  <c r="P2947" i="1"/>
  <c r="P2945" i="1"/>
  <c r="P2939" i="1"/>
  <c r="P2934" i="1"/>
  <c r="P2933" i="1"/>
  <c r="P2927" i="1"/>
  <c r="P2926" i="1"/>
  <c r="O3153" i="1"/>
  <c r="N3151" i="1"/>
  <c r="N3148" i="1"/>
  <c r="N3141" i="1"/>
  <c r="N3140" i="1"/>
  <c r="N3139" i="1"/>
  <c r="N3138" i="1"/>
  <c r="N3137" i="1"/>
  <c r="N3136" i="1"/>
  <c r="N3135" i="1"/>
  <c r="N3128" i="1"/>
  <c r="N3125" i="1"/>
  <c r="N3120" i="1"/>
  <c r="N3119" i="1"/>
  <c r="N3118" i="1"/>
  <c r="N3074" i="1"/>
  <c r="L3023" i="1"/>
  <c r="L3022" i="1"/>
  <c r="L3020" i="1"/>
  <c r="L3019" i="1"/>
  <c r="L3018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58" i="1"/>
  <c r="J3044" i="1"/>
  <c r="J3043" i="1"/>
  <c r="J3041" i="1"/>
  <c r="J3040" i="1"/>
  <c r="J3039" i="1"/>
  <c r="J3038" i="1"/>
  <c r="J3037" i="1"/>
  <c r="J3035" i="1"/>
  <c r="J3034" i="1"/>
  <c r="J3033" i="1"/>
  <c r="J3032" i="1"/>
  <c r="J3031" i="1"/>
  <c r="J3030" i="1"/>
  <c r="J3029" i="1"/>
  <c r="J3028" i="1"/>
  <c r="J3027" i="1"/>
  <c r="J3026" i="1"/>
  <c r="J3025" i="1"/>
  <c r="J2992" i="1"/>
  <c r="J2991" i="1"/>
  <c r="J2988" i="1"/>
  <c r="J2983" i="1"/>
  <c r="J2982" i="1"/>
  <c r="J2979" i="1"/>
  <c r="J2974" i="1"/>
  <c r="J2973" i="1"/>
  <c r="J2968" i="1"/>
  <c r="J2966" i="1"/>
  <c r="J2964" i="1"/>
  <c r="J2954" i="1"/>
  <c r="J2949" i="1"/>
  <c r="J2938" i="1"/>
  <c r="J2937" i="1"/>
  <c r="J2936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I2802" i="1"/>
  <c r="H3072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2888" i="1"/>
  <c r="H2880" i="1"/>
  <c r="H2879" i="1"/>
  <c r="H2878" i="1"/>
  <c r="H2877" i="1"/>
  <c r="H2873" i="1"/>
  <c r="H2872" i="1"/>
  <c r="G3153" i="1"/>
  <c r="F3125" i="1"/>
  <c r="F3048" i="1"/>
  <c r="F3047" i="1"/>
  <c r="F3045" i="1"/>
  <c r="F2811" i="1"/>
  <c r="J2725" i="1"/>
  <c r="J2724" i="1"/>
  <c r="J2723" i="1"/>
  <c r="J2722" i="1"/>
  <c r="J2721" i="1"/>
  <c r="J2720" i="1"/>
  <c r="J2719" i="1"/>
  <c r="J2718" i="1"/>
  <c r="J2717" i="1"/>
  <c r="J2715" i="1"/>
  <c r="J2714" i="1"/>
  <c r="J2713" i="1"/>
  <c r="J2712" i="1"/>
  <c r="J2711" i="1"/>
  <c r="J2709" i="1"/>
  <c r="J2708" i="1"/>
  <c r="J2707" i="1"/>
  <c r="J2706" i="1"/>
  <c r="J2705" i="1"/>
  <c r="J2704" i="1"/>
  <c r="J2702" i="1"/>
  <c r="J2701" i="1"/>
  <c r="J2700" i="1"/>
  <c r="J2699" i="1"/>
  <c r="J2698" i="1"/>
  <c r="J2697" i="1"/>
  <c r="J2695" i="1"/>
  <c r="J2694" i="1"/>
  <c r="J2693" i="1"/>
  <c r="J2692" i="1"/>
  <c r="J2691" i="1"/>
  <c r="J2690" i="1"/>
  <c r="J2689" i="1"/>
  <c r="J2688" i="1"/>
  <c r="J2684" i="1"/>
  <c r="J2683" i="1"/>
  <c r="J2682" i="1"/>
  <c r="O2681" i="1"/>
  <c r="J2681" i="1"/>
  <c r="J2680" i="1"/>
  <c r="J2679" i="1"/>
  <c r="J2678" i="1"/>
  <c r="J2676" i="1"/>
  <c r="J2675" i="1"/>
  <c r="J2674" i="1"/>
  <c r="J2673" i="1"/>
  <c r="J2672" i="1"/>
  <c r="J2671" i="1"/>
  <c r="J2670" i="1"/>
  <c r="J2669" i="1"/>
  <c r="J2668" i="1"/>
  <c r="J2666" i="1"/>
  <c r="J2665" i="1"/>
  <c r="J2663" i="1"/>
  <c r="J2661" i="1"/>
  <c r="J2660" i="1"/>
  <c r="J2659" i="1"/>
  <c r="J2658" i="1"/>
  <c r="J2657" i="1"/>
  <c r="J2656" i="1"/>
  <c r="J2655" i="1"/>
  <c r="J2652" i="1"/>
  <c r="J2651" i="1"/>
  <c r="J2650" i="1"/>
  <c r="J2649" i="1"/>
  <c r="J2648" i="1"/>
  <c r="J2646" i="1"/>
  <c r="J2645" i="1"/>
  <c r="J2644" i="1"/>
  <c r="J2643" i="1"/>
  <c r="J2642" i="1"/>
  <c r="J2641" i="1"/>
  <c r="J2640" i="1"/>
  <c r="J2639" i="1"/>
  <c r="J2638" i="1"/>
  <c r="J2629" i="1"/>
  <c r="I2628" i="1"/>
  <c r="H2628" i="1"/>
  <c r="J2627" i="1"/>
  <c r="I2627" i="1"/>
  <c r="H2627" i="1"/>
  <c r="J2626" i="1"/>
  <c r="I2626" i="1"/>
  <c r="H2626" i="1"/>
  <c r="G2626" i="1"/>
  <c r="O2625" i="1"/>
  <c r="J2625" i="1"/>
  <c r="H2625" i="1"/>
  <c r="G2625" i="1"/>
  <c r="J2624" i="1"/>
  <c r="O2623" i="1"/>
  <c r="J2623" i="1"/>
  <c r="O2622" i="1"/>
  <c r="J2622" i="1"/>
  <c r="J2621" i="1"/>
  <c r="J2620" i="1"/>
  <c r="J2619" i="1"/>
  <c r="J2617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8" i="1"/>
  <c r="J2587" i="1"/>
  <c r="J2586" i="1"/>
  <c r="J2585" i="1"/>
  <c r="J2584" i="1"/>
  <c r="J2583" i="1"/>
  <c r="J2582" i="1"/>
  <c r="J2578" i="1"/>
  <c r="P2495" i="1"/>
  <c r="O2357" i="1"/>
  <c r="O2358" i="1"/>
  <c r="O2356" i="1"/>
  <c r="N2423" i="1"/>
  <c r="J2574" i="1"/>
  <c r="J2573" i="1"/>
  <c r="J2569" i="1"/>
  <c r="J2568" i="1"/>
  <c r="J2567" i="1"/>
  <c r="J2565" i="1"/>
  <c r="J2564" i="1"/>
  <c r="J2563" i="1"/>
  <c r="J2562" i="1"/>
  <c r="J2561" i="1"/>
  <c r="J2560" i="1"/>
  <c r="J2489" i="1"/>
  <c r="J2487" i="1"/>
  <c r="J2486" i="1"/>
  <c r="J2485" i="1"/>
  <c r="J2484" i="1"/>
  <c r="J2477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29" i="1"/>
  <c r="J2428" i="1"/>
  <c r="J2427" i="1"/>
  <c r="J2426" i="1"/>
  <c r="J2425" i="1"/>
  <c r="J2424" i="1"/>
  <c r="J2423" i="1"/>
  <c r="J2413" i="1"/>
  <c r="J2412" i="1"/>
  <c r="J2411" i="1"/>
  <c r="J2405" i="1"/>
  <c r="J2404" i="1"/>
  <c r="J2403" i="1"/>
  <c r="J2402" i="1"/>
  <c r="J2400" i="1"/>
  <c r="J2392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P2023" i="1"/>
  <c r="P2021" i="1"/>
  <c r="P2018" i="1"/>
  <c r="P2017" i="1"/>
  <c r="P2015" i="1"/>
  <c r="P2013" i="1"/>
  <c r="P2012" i="1"/>
  <c r="P2010" i="1"/>
  <c r="P2008" i="1"/>
  <c r="P2007" i="1"/>
  <c r="P2005" i="1"/>
  <c r="P2003" i="1"/>
  <c r="O2101" i="1"/>
  <c r="O2060" i="1"/>
  <c r="O2059" i="1"/>
  <c r="O2058" i="1"/>
  <c r="O2057" i="1"/>
  <c r="O1972" i="1"/>
  <c r="O1970" i="1"/>
  <c r="O1969" i="1"/>
  <c r="O1968" i="1"/>
  <c r="O1959" i="1"/>
  <c r="O1956" i="1"/>
  <c r="O1955" i="1"/>
  <c r="O1954" i="1"/>
  <c r="O1952" i="1"/>
  <c r="O1951" i="1"/>
  <c r="O1950" i="1"/>
  <c r="O1949" i="1"/>
  <c r="O1946" i="1"/>
  <c r="O1945" i="1"/>
  <c r="O1866" i="1"/>
  <c r="O1865" i="1"/>
  <c r="O1863" i="1"/>
  <c r="O1862" i="1"/>
  <c r="O1861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30" i="1"/>
  <c r="O1828" i="1"/>
  <c r="O1827" i="1"/>
  <c r="O1824" i="1"/>
  <c r="O1823" i="1"/>
  <c r="O1822" i="1"/>
  <c r="O1818" i="1"/>
  <c r="O1817" i="1"/>
  <c r="O1816" i="1"/>
  <c r="O1809" i="1"/>
  <c r="O1802" i="1"/>
  <c r="O1801" i="1"/>
  <c r="O1800" i="1"/>
  <c r="O1799" i="1"/>
  <c r="O1798" i="1"/>
  <c r="O1797" i="1"/>
  <c r="O1796" i="1"/>
  <c r="O1795" i="1"/>
  <c r="O1792" i="1"/>
  <c r="O1791" i="1"/>
  <c r="O1790" i="1"/>
  <c r="O1781" i="1"/>
  <c r="O1780" i="1"/>
  <c r="O1779" i="1"/>
  <c r="O1778" i="1"/>
  <c r="O1777" i="1"/>
  <c r="O1776" i="1"/>
  <c r="O1775" i="1"/>
  <c r="O1774" i="1"/>
  <c r="O1773" i="1"/>
  <c r="O1772" i="1"/>
  <c r="O1755" i="1"/>
  <c r="O1754" i="1"/>
  <c r="N1855" i="1"/>
  <c r="N1854" i="1"/>
  <c r="N1853" i="1"/>
  <c r="N1852" i="1"/>
  <c r="N1837" i="1"/>
  <c r="N1836" i="1"/>
  <c r="N1835" i="1"/>
  <c r="N1834" i="1"/>
  <c r="N1785" i="1"/>
  <c r="N1784" i="1"/>
  <c r="K1855" i="1"/>
  <c r="K1854" i="1"/>
  <c r="K1853" i="1"/>
  <c r="K1824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4" i="1"/>
  <c r="J2243" i="1"/>
  <c r="J2242" i="1"/>
  <c r="J2241" i="1"/>
  <c r="J2240" i="1"/>
  <c r="J2226" i="1"/>
  <c r="J2225" i="1"/>
  <c r="J2224" i="1"/>
  <c r="J2223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62" i="1"/>
  <c r="J2161" i="1"/>
  <c r="J2160" i="1"/>
  <c r="J2159" i="1"/>
  <c r="J2158" i="1"/>
  <c r="J2157" i="1"/>
  <c r="J2156" i="1"/>
  <c r="J2155" i="1"/>
  <c r="J2154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8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4" i="1"/>
  <c r="J2033" i="1"/>
  <c r="J2032" i="1"/>
  <c r="J2031" i="1"/>
  <c r="J2029" i="1"/>
  <c r="J2028" i="1"/>
  <c r="J2027" i="1"/>
  <c r="J2026" i="1"/>
  <c r="J2025" i="1"/>
  <c r="J2024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7" i="1"/>
  <c r="J2006" i="1"/>
  <c r="J2005" i="1"/>
  <c r="J2004" i="1"/>
  <c r="J2003" i="1"/>
  <c r="J2000" i="1"/>
  <c r="J1999" i="1"/>
  <c r="J1997" i="1"/>
  <c r="J1996" i="1"/>
  <c r="J1995" i="1"/>
  <c r="J1991" i="1"/>
  <c r="J1986" i="1"/>
  <c r="J1985" i="1"/>
  <c r="J1984" i="1"/>
  <c r="J1981" i="1"/>
  <c r="J1980" i="1"/>
  <c r="J1979" i="1"/>
  <c r="J1977" i="1"/>
  <c r="J1973" i="1"/>
  <c r="J1972" i="1"/>
  <c r="J1971" i="1"/>
  <c r="J1970" i="1"/>
  <c r="J1969" i="1"/>
  <c r="J1968" i="1"/>
  <c r="J1967" i="1"/>
  <c r="J1966" i="1"/>
  <c r="J1965" i="1"/>
  <c r="J1964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3" i="1"/>
  <c r="J1922" i="1"/>
  <c r="J1918" i="1"/>
  <c r="J1917" i="1"/>
  <c r="J1916" i="1"/>
  <c r="J1915" i="1"/>
  <c r="J1914" i="1"/>
  <c r="J1913" i="1"/>
  <c r="J1912" i="1"/>
  <c r="J1908" i="1"/>
  <c r="J1894" i="1"/>
  <c r="J1893" i="1"/>
  <c r="J1891" i="1"/>
  <c r="J1890" i="1"/>
  <c r="J1889" i="1"/>
  <c r="J1888" i="1"/>
  <c r="J1887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H2060" i="1"/>
  <c r="H2059" i="1"/>
  <c r="H2058" i="1"/>
  <c r="H2057" i="1"/>
  <c r="H1973" i="1"/>
  <c r="H1972" i="1"/>
  <c r="H1971" i="1"/>
  <c r="H1970" i="1"/>
  <c r="H1969" i="1"/>
  <c r="H1968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0" i="1"/>
  <c r="H1849" i="1"/>
  <c r="H1848" i="1"/>
  <c r="H1847" i="1"/>
  <c r="H1828" i="1"/>
  <c r="H1827" i="1"/>
  <c r="H1823" i="1"/>
  <c r="H1802" i="1"/>
  <c r="H1801" i="1"/>
  <c r="H1800" i="1"/>
  <c r="H1799" i="1"/>
  <c r="H1798" i="1"/>
  <c r="H1797" i="1"/>
  <c r="H1796" i="1"/>
  <c r="H1795" i="1"/>
  <c r="H1790" i="1"/>
  <c r="H1781" i="1"/>
  <c r="H1780" i="1"/>
  <c r="H1779" i="1"/>
  <c r="H1778" i="1"/>
  <c r="H1777" i="1"/>
  <c r="H1776" i="1"/>
  <c r="H1775" i="1"/>
  <c r="H1774" i="1"/>
  <c r="H1755" i="1"/>
  <c r="G1968" i="1"/>
  <c r="G1954" i="1"/>
  <c r="G1953" i="1"/>
  <c r="G1952" i="1"/>
  <c r="G1951" i="1"/>
  <c r="G1950" i="1"/>
  <c r="G1949" i="1"/>
  <c r="G1948" i="1"/>
  <c r="G1947" i="1"/>
  <c r="G1946" i="1"/>
  <c r="G1945" i="1"/>
  <c r="G1859" i="1"/>
  <c r="G1858" i="1"/>
  <c r="G1857" i="1"/>
  <c r="G1856" i="1"/>
  <c r="G1854" i="1"/>
  <c r="G1853" i="1"/>
  <c r="G1852" i="1"/>
  <c r="G1851" i="1"/>
  <c r="G1805" i="1"/>
  <c r="G1790" i="1"/>
  <c r="G1781" i="1"/>
  <c r="G1780" i="1"/>
  <c r="G1779" i="1"/>
  <c r="G1777" i="1"/>
  <c r="G1776" i="1"/>
  <c r="G1775" i="1"/>
  <c r="G1774" i="1"/>
  <c r="F1855" i="1"/>
  <c r="F1854" i="1"/>
  <c r="F1853" i="1"/>
  <c r="F1852" i="1"/>
  <c r="F1826" i="1"/>
  <c r="F1825" i="1"/>
  <c r="F1824" i="1"/>
  <c r="F1823" i="1"/>
  <c r="F1822" i="1"/>
  <c r="F1818" i="1"/>
  <c r="P1626" i="1" l="1"/>
  <c r="M1626" i="1"/>
  <c r="L1626" i="1"/>
  <c r="J1637" i="1"/>
  <c r="J1636" i="1"/>
  <c r="J1635" i="1"/>
  <c r="I1627" i="1"/>
  <c r="I1626" i="1"/>
  <c r="H1633" i="1"/>
  <c r="H1632" i="1"/>
  <c r="H1631" i="1"/>
  <c r="H1630" i="1"/>
  <c r="H1628" i="1"/>
  <c r="H1627" i="1"/>
  <c r="H1626" i="1"/>
  <c r="H1621" i="1"/>
  <c r="J1593" i="1"/>
  <c r="J1592" i="1"/>
  <c r="J1552" i="1"/>
  <c r="J1540" i="1"/>
  <c r="J1535" i="1"/>
  <c r="J1534" i="1"/>
  <c r="J1533" i="1"/>
  <c r="J1531" i="1"/>
  <c r="J1523" i="1"/>
  <c r="J1517" i="1"/>
  <c r="J1516" i="1"/>
  <c r="J1515" i="1"/>
  <c r="J1430" i="1"/>
  <c r="J1425" i="1"/>
  <c r="J1424" i="1"/>
  <c r="J1411" i="1"/>
  <c r="J1397" i="1"/>
  <c r="J1396" i="1"/>
  <c r="J1388" i="1"/>
  <c r="J1386" i="1"/>
  <c r="J1382" i="1"/>
  <c r="J1377" i="1"/>
  <c r="J1373" i="1"/>
  <c r="J1358" i="1"/>
  <c r="J1356" i="1"/>
  <c r="J1355" i="1"/>
  <c r="J1353" i="1"/>
  <c r="J1343" i="1"/>
  <c r="J1341" i="1"/>
  <c r="J1333" i="1"/>
  <c r="J1340" i="1"/>
  <c r="P1121" i="1"/>
  <c r="P1119" i="1"/>
  <c r="P1113" i="1"/>
  <c r="M1208" i="1"/>
  <c r="M1207" i="1"/>
  <c r="M1206" i="1"/>
  <c r="M1205" i="1"/>
  <c r="M1199" i="1"/>
  <c r="M1194" i="1"/>
  <c r="M1190" i="1"/>
  <c r="M1184" i="1"/>
  <c r="M1177" i="1"/>
  <c r="M1176" i="1"/>
  <c r="M1171" i="1"/>
  <c r="M1151" i="1"/>
  <c r="M1175" i="1"/>
  <c r="M1170" i="1"/>
  <c r="L1190" i="1"/>
  <c r="L1169" i="1"/>
  <c r="J1225" i="1"/>
  <c r="J1223" i="1"/>
  <c r="J1222" i="1"/>
  <c r="J1220" i="1"/>
  <c r="J1216" i="1"/>
  <c r="J1200" i="1"/>
  <c r="J1199" i="1"/>
  <c r="J1186" i="1"/>
  <c r="J1174" i="1"/>
  <c r="J1173" i="1"/>
  <c r="J1169" i="1"/>
  <c r="J1168" i="1"/>
  <c r="J1165" i="1"/>
  <c r="J1164" i="1"/>
  <c r="J1161" i="1"/>
  <c r="J1160" i="1"/>
  <c r="J1120" i="1"/>
  <c r="J1157" i="1"/>
  <c r="J1155" i="1"/>
  <c r="J1136" i="1"/>
  <c r="J1133" i="1"/>
  <c r="J1131" i="1"/>
  <c r="J1128" i="1"/>
  <c r="J1124" i="1"/>
  <c r="J1123" i="1"/>
  <c r="J1122" i="1"/>
  <c r="P1111" i="1"/>
  <c r="P1109" i="1"/>
  <c r="P1108" i="1"/>
  <c r="P1107" i="1"/>
  <c r="P1106" i="1"/>
  <c r="P1099" i="1"/>
  <c r="P1098" i="1"/>
  <c r="P1097" i="1"/>
  <c r="P1096" i="1"/>
  <c r="P1092" i="1"/>
  <c r="P1093" i="1"/>
  <c r="P1091" i="1"/>
  <c r="P1090" i="1"/>
  <c r="P1089" i="1"/>
  <c r="P1081" i="1"/>
  <c r="P1077" i="1"/>
  <c r="P1076" i="1"/>
  <c r="P1071" i="1"/>
  <c r="P1069" i="1"/>
  <c r="P1067" i="1"/>
  <c r="P1065" i="1"/>
  <c r="P1059" i="1"/>
  <c r="P1055" i="1"/>
  <c r="P1052" i="1"/>
  <c r="P1051" i="1"/>
  <c r="P1048" i="1"/>
  <c r="P1047" i="1"/>
  <c r="P1038" i="1"/>
  <c r="P1030" i="1"/>
  <c r="N1092" i="1"/>
  <c r="N1090" i="1"/>
  <c r="N1077" i="1"/>
  <c r="N1075" i="1"/>
  <c r="N1071" i="1"/>
  <c r="N1070" i="1"/>
  <c r="N1068" i="1"/>
  <c r="N1067" i="1"/>
  <c r="L1058" i="1"/>
  <c r="N1055" i="1"/>
  <c r="N1051" i="1"/>
  <c r="N1046" i="1"/>
  <c r="N1045" i="1"/>
  <c r="N1040" i="1"/>
  <c r="N1038" i="1"/>
  <c r="N1031" i="1"/>
  <c r="L1091" i="1"/>
  <c r="L1080" i="1"/>
  <c r="J1104" i="1"/>
  <c r="J1100" i="1"/>
  <c r="J1098" i="1"/>
  <c r="J1097" i="1"/>
  <c r="J1096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5" i="1"/>
  <c r="J1074" i="1"/>
  <c r="J1073" i="1"/>
  <c r="J1072" i="1"/>
  <c r="J1071" i="1"/>
  <c r="J1070" i="1"/>
  <c r="J1069" i="1"/>
  <c r="J1068" i="1"/>
  <c r="J1066" i="1"/>
  <c r="J1064" i="1"/>
  <c r="J1063" i="1"/>
  <c r="J1061" i="1"/>
  <c r="J1060" i="1"/>
  <c r="J1059" i="1"/>
  <c r="J1058" i="1"/>
  <c r="J1057" i="1"/>
  <c r="J1056" i="1"/>
  <c r="J1055" i="1"/>
  <c r="J1054" i="1"/>
  <c r="J1052" i="1"/>
  <c r="J1049" i="1"/>
  <c r="J1048" i="1"/>
  <c r="J1046" i="1"/>
  <c r="J1045" i="1"/>
  <c r="J1044" i="1"/>
  <c r="J1043" i="1"/>
  <c r="J1042" i="1"/>
  <c r="J1041" i="1"/>
  <c r="J1040" i="1"/>
  <c r="J1039" i="1"/>
  <c r="J1037" i="1"/>
  <c r="J1036" i="1"/>
  <c r="J1033" i="1"/>
  <c r="J1032" i="1"/>
  <c r="J1031" i="1"/>
  <c r="J1030" i="1"/>
  <c r="H1096" i="1"/>
  <c r="H1091" i="1"/>
  <c r="J1020" i="1"/>
  <c r="J1019" i="1"/>
  <c r="J1016" i="1"/>
  <c r="J1015" i="1"/>
  <c r="J1014" i="1"/>
  <c r="J1013" i="1"/>
  <c r="J1009" i="1"/>
  <c r="J1008" i="1"/>
  <c r="J1007" i="1"/>
  <c r="J1006" i="1"/>
  <c r="J1004" i="1"/>
  <c r="J1002" i="1"/>
  <c r="O998" i="1"/>
  <c r="J1000" i="1"/>
  <c r="J999" i="1"/>
  <c r="J997" i="1"/>
  <c r="J996" i="1"/>
  <c r="J995" i="1"/>
  <c r="J993" i="1"/>
  <c r="J992" i="1"/>
  <c r="J989" i="1"/>
  <c r="J987" i="1"/>
  <c r="J986" i="1"/>
  <c r="J984" i="1"/>
  <c r="J982" i="1"/>
  <c r="J981" i="1"/>
  <c r="J980" i="1"/>
  <c r="J979" i="1"/>
  <c r="J978" i="1"/>
  <c r="J976" i="1"/>
  <c r="J975" i="1"/>
  <c r="J974" i="1"/>
  <c r="J973" i="1"/>
  <c r="J971" i="1"/>
  <c r="J969" i="1"/>
  <c r="J968" i="1"/>
  <c r="J964" i="1"/>
  <c r="J961" i="1"/>
  <c r="J959" i="1"/>
  <c r="J958" i="1"/>
  <c r="J956" i="1"/>
  <c r="J955" i="1"/>
  <c r="J951" i="1"/>
  <c r="J950" i="1"/>
  <c r="J947" i="1"/>
  <c r="J946" i="1"/>
  <c r="J943" i="1"/>
  <c r="J942" i="1"/>
  <c r="J941" i="1"/>
  <c r="J938" i="1"/>
  <c r="J936" i="1"/>
  <c r="J934" i="1"/>
  <c r="J933" i="1"/>
  <c r="J931" i="1"/>
  <c r="J930" i="1"/>
  <c r="J924" i="1"/>
  <c r="J922" i="1"/>
  <c r="J921" i="1"/>
  <c r="J920" i="1"/>
  <c r="J917" i="1"/>
  <c r="J915" i="1"/>
  <c r="J914" i="1"/>
  <c r="J913" i="1"/>
  <c r="J911" i="1"/>
  <c r="J910" i="1"/>
  <c r="J909" i="1"/>
  <c r="J908" i="1"/>
  <c r="J906" i="1"/>
  <c r="J905" i="1"/>
  <c r="J900" i="1"/>
  <c r="J898" i="1"/>
  <c r="J897" i="1"/>
  <c r="J896" i="1"/>
  <c r="J895" i="1"/>
  <c r="J894" i="1"/>
  <c r="J890" i="1"/>
  <c r="J889" i="1"/>
  <c r="J887" i="1"/>
  <c r="J886" i="1"/>
  <c r="J885" i="1"/>
  <c r="J884" i="1"/>
  <c r="J882" i="1"/>
  <c r="J881" i="1"/>
  <c r="J878" i="1"/>
  <c r="J876" i="1"/>
  <c r="J874" i="1"/>
  <c r="J873" i="1"/>
  <c r="J872" i="1"/>
  <c r="J868" i="1"/>
  <c r="J867" i="1"/>
  <c r="J866" i="1"/>
  <c r="J865" i="1"/>
  <c r="J864" i="1"/>
  <c r="J863" i="1"/>
  <c r="J862" i="1"/>
  <c r="J860" i="1"/>
  <c r="J859" i="1"/>
  <c r="J858" i="1"/>
  <c r="J857" i="1"/>
  <c r="J853" i="1"/>
  <c r="J852" i="1"/>
  <c r="J851" i="1"/>
  <c r="J850" i="1"/>
  <c r="J849" i="1"/>
  <c r="J848" i="1"/>
  <c r="J845" i="1"/>
  <c r="J841" i="1"/>
  <c r="J840" i="1"/>
  <c r="J839" i="1"/>
  <c r="J837" i="1"/>
  <c r="J836" i="1"/>
  <c r="J835" i="1"/>
  <c r="J834" i="1"/>
  <c r="J831" i="1"/>
  <c r="J830" i="1"/>
  <c r="P738" i="1"/>
  <c r="P737" i="1"/>
  <c r="P730" i="1"/>
  <c r="P729" i="1"/>
  <c r="P726" i="1"/>
  <c r="P723" i="1"/>
  <c r="P720" i="1"/>
  <c r="P719" i="1"/>
  <c r="P716" i="1"/>
  <c r="P714" i="1"/>
  <c r="P707" i="1"/>
  <c r="P703" i="1"/>
  <c r="P702" i="1"/>
  <c r="P699" i="1"/>
  <c r="P695" i="1"/>
  <c r="P691" i="1"/>
  <c r="P688" i="1"/>
  <c r="P687" i="1"/>
  <c r="P683" i="1"/>
  <c r="P680" i="1"/>
  <c r="P679" i="1"/>
  <c r="P677" i="1"/>
  <c r="P670" i="1"/>
  <c r="P668" i="1"/>
  <c r="P667" i="1"/>
  <c r="P665" i="1"/>
  <c r="P663" i="1"/>
  <c r="P662" i="1"/>
  <c r="P661" i="1"/>
  <c r="P660" i="1"/>
  <c r="P659" i="1"/>
  <c r="P658" i="1"/>
  <c r="P656" i="1"/>
  <c r="P646" i="1"/>
  <c r="P630" i="1"/>
  <c r="P628" i="1"/>
  <c r="P622" i="1"/>
  <c r="P620" i="1"/>
  <c r="P617" i="1"/>
  <c r="P614" i="1"/>
  <c r="P613" i="1"/>
  <c r="P607" i="1"/>
  <c r="P605" i="1"/>
  <c r="P602" i="1"/>
  <c r="P601" i="1"/>
  <c r="P599" i="1"/>
  <c r="P598" i="1"/>
  <c r="P597" i="1"/>
  <c r="P588" i="1"/>
  <c r="P587" i="1"/>
  <c r="P585" i="1"/>
  <c r="P579" i="1"/>
  <c r="P578" i="1"/>
  <c r="P576" i="1"/>
  <c r="P573" i="1"/>
  <c r="P566" i="1"/>
  <c r="P565" i="1"/>
  <c r="P562" i="1"/>
  <c r="P554" i="1"/>
  <c r="P558" i="1"/>
  <c r="P557" i="1"/>
  <c r="P556" i="1"/>
  <c r="P555" i="1"/>
  <c r="P550" i="1"/>
  <c r="P549" i="1"/>
  <c r="P547" i="1"/>
  <c r="P546" i="1"/>
  <c r="P545" i="1"/>
  <c r="P544" i="1"/>
  <c r="P543" i="1"/>
  <c r="P542" i="1"/>
  <c r="P541" i="1"/>
  <c r="P536" i="1"/>
  <c r="P534" i="1"/>
  <c r="P532" i="1"/>
  <c r="P530" i="1"/>
  <c r="P527" i="1"/>
  <c r="P526" i="1"/>
  <c r="P525" i="1"/>
  <c r="L525" i="1"/>
  <c r="J525" i="1"/>
  <c r="P524" i="1"/>
  <c r="L524" i="1"/>
  <c r="J524" i="1"/>
  <c r="P523" i="1"/>
  <c r="L523" i="1"/>
  <c r="J523" i="1"/>
  <c r="P522" i="1"/>
  <c r="L522" i="1"/>
  <c r="J522" i="1"/>
  <c r="P521" i="1"/>
  <c r="L521" i="1"/>
  <c r="J521" i="1"/>
  <c r="P520" i="1"/>
  <c r="L520" i="1"/>
  <c r="J520" i="1"/>
  <c r="P519" i="1"/>
  <c r="L519" i="1"/>
  <c r="J519" i="1"/>
  <c r="P518" i="1"/>
  <c r="L518" i="1"/>
  <c r="J518" i="1"/>
  <c r="P517" i="1"/>
  <c r="L517" i="1"/>
  <c r="J517" i="1"/>
  <c r="P516" i="1"/>
  <c r="L516" i="1"/>
  <c r="J516" i="1"/>
  <c r="P515" i="1"/>
  <c r="L515" i="1"/>
  <c r="J515" i="1"/>
  <c r="P514" i="1"/>
  <c r="J514" i="1"/>
  <c r="L514" i="1"/>
  <c r="P513" i="1"/>
  <c r="J513" i="1"/>
  <c r="P512" i="1"/>
  <c r="J512" i="1"/>
  <c r="P511" i="1"/>
  <c r="J511" i="1"/>
  <c r="P510" i="1"/>
  <c r="J510" i="1"/>
  <c r="P509" i="1"/>
  <c r="J509" i="1"/>
  <c r="P508" i="1"/>
  <c r="J508" i="1"/>
  <c r="P507" i="1"/>
  <c r="J507" i="1"/>
  <c r="P506" i="1"/>
  <c r="O506" i="1"/>
  <c r="N506" i="1"/>
  <c r="J506" i="1"/>
  <c r="P505" i="1"/>
  <c r="J505" i="1"/>
  <c r="P504" i="1"/>
  <c r="J504" i="1"/>
  <c r="P503" i="1"/>
  <c r="J503" i="1"/>
  <c r="P502" i="1"/>
  <c r="J502" i="1"/>
  <c r="P501" i="1"/>
  <c r="O501" i="1"/>
  <c r="J501" i="1"/>
  <c r="P500" i="1"/>
  <c r="O500" i="1"/>
  <c r="J500" i="1"/>
  <c r="P499" i="1"/>
  <c r="J499" i="1"/>
  <c r="P498" i="1"/>
  <c r="J498" i="1"/>
  <c r="P497" i="1"/>
  <c r="O497" i="1"/>
  <c r="N497" i="1"/>
  <c r="J497" i="1"/>
  <c r="H497" i="1"/>
  <c r="P496" i="1"/>
  <c r="O496" i="1"/>
  <c r="N496" i="1"/>
  <c r="J496" i="1"/>
  <c r="H496" i="1"/>
  <c r="P495" i="1"/>
  <c r="J495" i="1"/>
  <c r="P494" i="1"/>
  <c r="O494" i="1"/>
  <c r="J494" i="1"/>
  <c r="P493" i="1"/>
  <c r="O493" i="1"/>
  <c r="J493" i="1"/>
  <c r="P492" i="1"/>
  <c r="O492" i="1"/>
  <c r="N492" i="1"/>
  <c r="L492" i="1"/>
  <c r="J492" i="1"/>
  <c r="H492" i="1"/>
  <c r="P491" i="1"/>
  <c r="O491" i="1"/>
  <c r="J491" i="1"/>
  <c r="H491" i="1"/>
  <c r="P490" i="1"/>
  <c r="O490" i="1"/>
  <c r="N490" i="1"/>
  <c r="L490" i="1"/>
  <c r="J490" i="1"/>
  <c r="P489" i="1"/>
  <c r="O489" i="1"/>
  <c r="N489" i="1"/>
  <c r="L489" i="1"/>
  <c r="J489" i="1"/>
  <c r="P488" i="1"/>
  <c r="J488" i="1"/>
  <c r="P487" i="1"/>
  <c r="J487" i="1"/>
  <c r="P486" i="1"/>
  <c r="J486" i="1"/>
  <c r="P485" i="1"/>
  <c r="J485" i="1"/>
  <c r="P484" i="1"/>
  <c r="J484" i="1"/>
  <c r="H484" i="1"/>
  <c r="P483" i="1"/>
  <c r="O483" i="1"/>
  <c r="J483" i="1"/>
  <c r="H483" i="1"/>
  <c r="P482" i="1"/>
  <c r="O482" i="1"/>
  <c r="J482" i="1"/>
  <c r="H482" i="1"/>
  <c r="P481" i="1"/>
  <c r="J481" i="1"/>
  <c r="H481" i="1"/>
  <c r="P480" i="1"/>
  <c r="O480" i="1"/>
  <c r="J480" i="1"/>
  <c r="H480" i="1"/>
  <c r="P479" i="1"/>
  <c r="O479" i="1"/>
  <c r="K479" i="1"/>
  <c r="J479" i="1"/>
  <c r="H479" i="1"/>
  <c r="P478" i="1"/>
  <c r="O478" i="1"/>
  <c r="J478" i="1"/>
  <c r="H478" i="1"/>
  <c r="P477" i="1"/>
  <c r="J477" i="1"/>
  <c r="H477" i="1"/>
  <c r="P476" i="1"/>
  <c r="O476" i="1"/>
  <c r="N476" i="1"/>
  <c r="M476" i="1"/>
  <c r="L476" i="1"/>
  <c r="K476" i="1"/>
  <c r="J476" i="1"/>
  <c r="I476" i="1"/>
  <c r="H476" i="1"/>
  <c r="P475" i="1"/>
  <c r="O475" i="1"/>
  <c r="N475" i="1"/>
  <c r="M475" i="1"/>
  <c r="L475" i="1"/>
  <c r="J475" i="1"/>
  <c r="I475" i="1"/>
  <c r="H475" i="1"/>
  <c r="P474" i="1"/>
  <c r="O474" i="1"/>
  <c r="M474" i="1"/>
  <c r="L474" i="1"/>
  <c r="I474" i="1"/>
  <c r="H474" i="1"/>
  <c r="O473" i="1"/>
  <c r="N473" i="1"/>
  <c r="M473" i="1"/>
  <c r="I473" i="1"/>
  <c r="H473" i="1"/>
  <c r="M472" i="1"/>
  <c r="H472" i="1"/>
  <c r="P473" i="1"/>
  <c r="J473" i="1"/>
  <c r="P472" i="1"/>
  <c r="J472" i="1"/>
  <c r="P471" i="1"/>
  <c r="J471" i="1"/>
  <c r="P470" i="1"/>
  <c r="J470" i="1"/>
  <c r="P469" i="1"/>
  <c r="J469" i="1"/>
  <c r="P468" i="1"/>
  <c r="J468" i="1"/>
  <c r="P467" i="1"/>
  <c r="J467" i="1"/>
  <c r="P466" i="1"/>
  <c r="J466" i="1"/>
  <c r="P465" i="1"/>
  <c r="P464" i="1"/>
  <c r="P463" i="1"/>
  <c r="P462" i="1"/>
  <c r="P461" i="1"/>
  <c r="P460" i="1"/>
  <c r="O460" i="1"/>
  <c r="J460" i="1"/>
  <c r="P459" i="1"/>
  <c r="P458" i="1"/>
  <c r="O458" i="1"/>
  <c r="J458" i="1"/>
  <c r="P457" i="1"/>
  <c r="P456" i="1"/>
  <c r="O456" i="1"/>
  <c r="P455" i="1"/>
  <c r="P454" i="1"/>
  <c r="O454" i="1"/>
  <c r="J454" i="1"/>
  <c r="P453" i="1"/>
  <c r="J453" i="1"/>
  <c r="P452" i="1"/>
  <c r="J452" i="1"/>
  <c r="P451" i="1"/>
  <c r="J451" i="1"/>
  <c r="P450" i="1"/>
  <c r="J450" i="1"/>
  <c r="P449" i="1"/>
  <c r="J449" i="1"/>
  <c r="P448" i="1"/>
  <c r="J448" i="1"/>
  <c r="P447" i="1"/>
  <c r="J447" i="1"/>
  <c r="P446" i="1"/>
  <c r="J446" i="1"/>
  <c r="P445" i="1"/>
  <c r="J445" i="1"/>
  <c r="P444" i="1"/>
  <c r="J444" i="1"/>
  <c r="P443" i="1"/>
  <c r="J443" i="1"/>
  <c r="P442" i="1"/>
  <c r="J442" i="1"/>
  <c r="P441" i="1"/>
  <c r="J441" i="1"/>
  <c r="P440" i="1"/>
  <c r="J440" i="1"/>
  <c r="P439" i="1"/>
  <c r="P438" i="1"/>
  <c r="O438" i="1"/>
  <c r="J438" i="1"/>
  <c r="H438" i="1"/>
  <c r="P437" i="1"/>
  <c r="J437" i="1"/>
  <c r="P436" i="1"/>
  <c r="J436" i="1"/>
  <c r="P435" i="1"/>
  <c r="J435" i="1"/>
  <c r="P434" i="1"/>
  <c r="J434" i="1"/>
  <c r="P433" i="1"/>
  <c r="J433" i="1"/>
  <c r="P432" i="1"/>
  <c r="J432" i="1"/>
  <c r="P353" i="1"/>
  <c r="P350" i="1"/>
  <c r="P347" i="1"/>
  <c r="P346" i="1"/>
  <c r="P345" i="1"/>
  <c r="P344" i="1"/>
  <c r="P343" i="1"/>
  <c r="P342" i="1"/>
  <c r="P337" i="1"/>
  <c r="P334" i="1"/>
  <c r="P331" i="1"/>
  <c r="O331" i="1"/>
  <c r="P330" i="1"/>
  <c r="P329" i="1"/>
  <c r="P325" i="1"/>
  <c r="P324" i="1"/>
  <c r="P317" i="1"/>
  <c r="P313" i="1"/>
  <c r="I308" i="1"/>
  <c r="H308" i="1"/>
  <c r="P307" i="1"/>
  <c r="H307" i="1"/>
  <c r="P306" i="1"/>
  <c r="I306" i="1"/>
  <c r="P304" i="1"/>
  <c r="P303" i="1"/>
  <c r="O303" i="1"/>
  <c r="I303" i="1"/>
  <c r="P302" i="1"/>
  <c r="M301" i="1"/>
  <c r="J300" i="1"/>
  <c r="J294" i="1"/>
  <c r="M292" i="1"/>
  <c r="J289" i="1"/>
  <c r="J292" i="1"/>
  <c r="O289" i="1"/>
  <c r="P288" i="1"/>
  <c r="J287" i="1"/>
  <c r="J286" i="1"/>
  <c r="J285" i="1"/>
  <c r="J275" i="1"/>
  <c r="J273" i="1"/>
  <c r="J272" i="1"/>
  <c r="J270" i="1"/>
  <c r="J269" i="1"/>
  <c r="J261" i="1"/>
  <c r="J259" i="1"/>
  <c r="J258" i="1"/>
  <c r="J255" i="1"/>
  <c r="J254" i="1"/>
  <c r="J253" i="1"/>
  <c r="J252" i="1"/>
  <c r="J251" i="1"/>
  <c r="J249" i="1"/>
  <c r="J247" i="1"/>
  <c r="J246" i="1"/>
  <c r="P245" i="1"/>
  <c r="J245" i="1"/>
  <c r="J243" i="1"/>
  <c r="P242" i="1"/>
  <c r="I242" i="1"/>
  <c r="P241" i="1"/>
  <c r="J241" i="1"/>
  <c r="J240" i="1"/>
  <c r="J239" i="1"/>
  <c r="J238" i="1"/>
  <c r="J237" i="1"/>
  <c r="P236" i="1"/>
  <c r="J236" i="1"/>
  <c r="J233" i="1"/>
  <c r="P232" i="1"/>
  <c r="J232" i="1"/>
  <c r="J231" i="1"/>
  <c r="J230" i="1"/>
  <c r="J229" i="1"/>
  <c r="J227" i="1"/>
  <c r="J226" i="1"/>
  <c r="P224" i="1"/>
  <c r="J224" i="1"/>
  <c r="P223" i="1"/>
  <c r="J223" i="1"/>
  <c r="P222" i="1"/>
  <c r="J222" i="1"/>
  <c r="J221" i="1"/>
  <c r="J220" i="1"/>
  <c r="P219" i="1"/>
  <c r="J219" i="1"/>
  <c r="J218" i="1"/>
  <c r="J217" i="1"/>
  <c r="P216" i="1"/>
  <c r="J216" i="1"/>
  <c r="P215" i="1"/>
  <c r="J215" i="1"/>
  <c r="O213" i="1"/>
  <c r="J211" i="1"/>
  <c r="J210" i="1"/>
  <c r="J209" i="1"/>
  <c r="J208" i="1"/>
  <c r="J207" i="1"/>
  <c r="J206" i="1"/>
  <c r="J205" i="1"/>
  <c r="J204" i="1"/>
  <c r="J203" i="1"/>
  <c r="J202" i="1"/>
  <c r="J200" i="1"/>
  <c r="J199" i="1"/>
  <c r="J197" i="1"/>
  <c r="J196" i="1"/>
  <c r="J195" i="1"/>
  <c r="J194" i="1"/>
  <c r="J193" i="1"/>
  <c r="J192" i="1"/>
  <c r="J191" i="1"/>
  <c r="J190" i="1"/>
  <c r="J189" i="1"/>
  <c r="J188" i="1"/>
  <c r="J185" i="1"/>
  <c r="J184" i="1"/>
  <c r="J183" i="1"/>
  <c r="J182" i="1"/>
  <c r="J181" i="1"/>
  <c r="J180" i="1"/>
  <c r="J179" i="1"/>
  <c r="J178" i="1"/>
  <c r="J177" i="1"/>
  <c r="P176" i="1"/>
  <c r="J176" i="1"/>
  <c r="H176" i="1"/>
  <c r="J175" i="1"/>
  <c r="P174" i="1"/>
  <c r="J174" i="1"/>
  <c r="P173" i="1"/>
  <c r="O173" i="1"/>
  <c r="M173" i="1"/>
  <c r="P172" i="1"/>
  <c r="O172" i="1"/>
  <c r="J172" i="1"/>
  <c r="H172" i="1"/>
  <c r="P171" i="1"/>
  <c r="H171" i="1"/>
  <c r="P170" i="1"/>
  <c r="O170" i="1"/>
  <c r="J170" i="1"/>
  <c r="H170" i="1"/>
  <c r="P169" i="1"/>
  <c r="J169" i="1"/>
  <c r="P168" i="1"/>
  <c r="J168" i="1"/>
  <c r="H168" i="1"/>
  <c r="P166" i="1"/>
  <c r="P167" i="1"/>
  <c r="P165" i="1"/>
  <c r="J165" i="1"/>
  <c r="J163" i="1"/>
  <c r="P161" i="1"/>
  <c r="P159" i="1"/>
  <c r="J159" i="1"/>
  <c r="P158" i="1"/>
  <c r="J158" i="1"/>
  <c r="J157" i="1"/>
  <c r="P156" i="1"/>
  <c r="J156" i="1"/>
  <c r="J155" i="1"/>
  <c r="J154" i="1"/>
  <c r="P153" i="1"/>
  <c r="J153" i="1"/>
  <c r="P151" i="1"/>
  <c r="J151" i="1"/>
  <c r="P149" i="1"/>
  <c r="P148" i="1"/>
  <c r="J148" i="1"/>
  <c r="P147" i="1"/>
  <c r="J147" i="1"/>
  <c r="P146" i="1"/>
  <c r="J146" i="1"/>
  <c r="P145" i="1"/>
  <c r="J145" i="1"/>
  <c r="J144" i="1"/>
  <c r="J143" i="1"/>
  <c r="J141" i="1"/>
  <c r="P140" i="1"/>
  <c r="J140" i="1"/>
  <c r="J139" i="1"/>
  <c r="P137" i="1"/>
  <c r="J137" i="1"/>
  <c r="P136" i="1"/>
  <c r="J136" i="1"/>
  <c r="P135" i="1"/>
  <c r="P134" i="1"/>
  <c r="J134" i="1"/>
  <c r="P133" i="1"/>
  <c r="P132" i="1"/>
  <c r="O132" i="1"/>
  <c r="J132" i="1"/>
  <c r="P131" i="1"/>
  <c r="J131" i="1"/>
  <c r="J130" i="1"/>
  <c r="P129" i="1"/>
  <c r="J129" i="1"/>
  <c r="P128" i="1"/>
  <c r="J128" i="1"/>
  <c r="P127" i="1"/>
  <c r="J127" i="1"/>
  <c r="P126" i="1"/>
  <c r="J126" i="1"/>
  <c r="P125" i="1"/>
  <c r="J125" i="1"/>
  <c r="P124" i="1"/>
  <c r="J124" i="1"/>
  <c r="P123" i="1"/>
  <c r="J123" i="1"/>
  <c r="J122" i="1"/>
  <c r="J121" i="1"/>
  <c r="J120" i="1"/>
  <c r="P119" i="1"/>
  <c r="O118" i="1"/>
  <c r="I118" i="1"/>
  <c r="J117" i="1"/>
  <c r="P116" i="1"/>
  <c r="J116" i="1"/>
  <c r="P115" i="1"/>
  <c r="J115" i="1"/>
  <c r="J114" i="1"/>
  <c r="O113" i="1"/>
  <c r="J113" i="1"/>
  <c r="P112" i="1"/>
  <c r="O112" i="1"/>
  <c r="J112" i="1"/>
  <c r="P111" i="1"/>
  <c r="O111" i="1"/>
  <c r="J111" i="1"/>
  <c r="O110" i="1"/>
  <c r="J110" i="1"/>
  <c r="P109" i="1"/>
  <c r="J109" i="1"/>
  <c r="J108" i="1"/>
  <c r="O107" i="1"/>
  <c r="J107" i="1"/>
  <c r="P105" i="1"/>
  <c r="P106" i="1"/>
  <c r="J106" i="1"/>
  <c r="J105" i="1"/>
  <c r="P104" i="1"/>
  <c r="J104" i="1"/>
  <c r="P103" i="1"/>
  <c r="J103" i="1"/>
  <c r="H103" i="1"/>
  <c r="P102" i="1"/>
  <c r="J102" i="1"/>
  <c r="H102" i="1"/>
  <c r="P101" i="1"/>
  <c r="O101" i="1"/>
  <c r="J101" i="1"/>
  <c r="H101" i="1"/>
  <c r="P100" i="1"/>
  <c r="J100" i="1"/>
  <c r="H100" i="1"/>
  <c r="P99" i="1"/>
  <c r="J99" i="1"/>
  <c r="H99" i="1"/>
  <c r="P98" i="1"/>
  <c r="J98" i="1"/>
  <c r="H98" i="1"/>
  <c r="P97" i="1"/>
  <c r="M97" i="1"/>
  <c r="J97" i="1"/>
  <c r="P96" i="1"/>
  <c r="O96" i="1"/>
  <c r="P90" i="1"/>
  <c r="J90" i="1"/>
  <c r="H90" i="1"/>
  <c r="J89" i="1"/>
  <c r="P88" i="1"/>
  <c r="O88" i="1"/>
  <c r="J88" i="1"/>
  <c r="H88" i="1"/>
  <c r="P87" i="1"/>
  <c r="O87" i="1"/>
  <c r="M87" i="1"/>
  <c r="J87" i="1"/>
  <c r="P86" i="1"/>
  <c r="J86" i="1"/>
  <c r="O85" i="1"/>
  <c r="L85" i="1"/>
</calcChain>
</file>

<file path=xl/sharedStrings.xml><?xml version="1.0" encoding="utf-8"?>
<sst xmlns="http://schemas.openxmlformats.org/spreadsheetml/2006/main" count="28406" uniqueCount="5902">
  <si>
    <t>Location</t>
    <phoneticPr fontId="2" type="noConversion"/>
  </si>
  <si>
    <t>Sample</t>
    <phoneticPr fontId="2" type="noConversion"/>
  </si>
  <si>
    <t>type</t>
    <phoneticPr fontId="2" type="noConversion"/>
  </si>
  <si>
    <t>subtype</t>
    <phoneticPr fontId="2" type="noConversion"/>
  </si>
  <si>
    <t>reference</t>
    <phoneticPr fontId="2" type="noConversion"/>
  </si>
  <si>
    <t>Mg</t>
    <phoneticPr fontId="2" type="noConversion"/>
  </si>
  <si>
    <t>Al</t>
    <phoneticPr fontId="2" type="noConversion"/>
  </si>
  <si>
    <t>Ti</t>
    <phoneticPr fontId="2" type="noConversion"/>
  </si>
  <si>
    <t>V</t>
    <phoneticPr fontId="2" type="noConversion"/>
  </si>
  <si>
    <t>Cr</t>
    <phoneticPr fontId="2" type="noConversion"/>
  </si>
  <si>
    <t>Mn</t>
    <phoneticPr fontId="2" type="noConversion"/>
  </si>
  <si>
    <t>Co</t>
    <phoneticPr fontId="2" type="noConversion"/>
  </si>
  <si>
    <t>Ni</t>
    <phoneticPr fontId="2" type="noConversion"/>
  </si>
  <si>
    <t>Zn</t>
    <phoneticPr fontId="2" type="noConversion"/>
  </si>
  <si>
    <t>Ga</t>
    <phoneticPr fontId="2" type="noConversion"/>
  </si>
  <si>
    <t>Sn</t>
    <phoneticPr fontId="2" type="noConversion"/>
  </si>
  <si>
    <t>El Laco</t>
    <phoneticPr fontId="2" type="noConversion"/>
  </si>
  <si>
    <t>ELC10</t>
    <phoneticPr fontId="2" type="noConversion"/>
  </si>
  <si>
    <t>H</t>
    <phoneticPr fontId="2" type="noConversion"/>
  </si>
  <si>
    <t>IOA</t>
    <phoneticPr fontId="2" type="noConversion"/>
  </si>
  <si>
    <t>Dare 2015 MD</t>
    <phoneticPr fontId="2" type="noConversion"/>
  </si>
  <si>
    <t>ELC5</t>
    <phoneticPr fontId="2" type="noConversion"/>
  </si>
  <si>
    <t>ELC3</t>
    <phoneticPr fontId="2" type="noConversion"/>
  </si>
  <si>
    <t>ELC7</t>
    <phoneticPr fontId="2" type="noConversion"/>
  </si>
  <si>
    <t>ELC6</t>
    <phoneticPr fontId="2" type="noConversion"/>
  </si>
  <si>
    <t>FX117_9</t>
    <phoneticPr fontId="2" type="noConversion"/>
  </si>
  <si>
    <t>FX117_11</t>
    <phoneticPr fontId="2" type="noConversion"/>
  </si>
  <si>
    <t>LC5</t>
    <phoneticPr fontId="2" type="noConversion"/>
  </si>
  <si>
    <t>LC11</t>
    <phoneticPr fontId="2" type="noConversion"/>
  </si>
  <si>
    <t>LC87</t>
    <phoneticPr fontId="2" type="noConversion"/>
  </si>
  <si>
    <t>LC14</t>
    <phoneticPr fontId="2" type="noConversion"/>
  </si>
  <si>
    <t>LC9</t>
    <phoneticPr fontId="2" type="noConversion"/>
  </si>
  <si>
    <t>LC13</t>
    <phoneticPr fontId="2" type="noConversion"/>
  </si>
  <si>
    <t>ELC1B-vein</t>
    <phoneticPr fontId="2" type="noConversion"/>
  </si>
  <si>
    <t>ELC1B-diss</t>
    <phoneticPr fontId="2" type="noConversion"/>
  </si>
  <si>
    <t>ELC1C-vein</t>
    <phoneticPr fontId="2" type="noConversion"/>
  </si>
  <si>
    <t>ELC1C-diss</t>
    <phoneticPr fontId="2" type="noConversion"/>
  </si>
  <si>
    <t>LCB-4</t>
    <phoneticPr fontId="2" type="noConversion"/>
  </si>
  <si>
    <t>I</t>
    <phoneticPr fontId="2" type="noConversion"/>
  </si>
  <si>
    <t>LCB-9</t>
    <phoneticPr fontId="2" type="noConversion"/>
  </si>
  <si>
    <t>Lascar</t>
    <phoneticPr fontId="2" type="noConversion"/>
  </si>
  <si>
    <t>11LSC-1</t>
    <phoneticPr fontId="2" type="noConversion"/>
  </si>
  <si>
    <t>Tengtie</t>
    <phoneticPr fontId="2" type="noConversion"/>
  </si>
  <si>
    <t>TT33-02</t>
    <phoneticPr fontId="2" type="noConversion"/>
  </si>
  <si>
    <t>Skarn</t>
    <phoneticPr fontId="2" type="noConversion"/>
  </si>
  <si>
    <t>Zhao 2015 OGR</t>
    <phoneticPr fontId="2" type="noConversion"/>
  </si>
  <si>
    <t>TT33-03</t>
    <phoneticPr fontId="2" type="noConversion"/>
  </si>
  <si>
    <t>TT33-04</t>
    <phoneticPr fontId="2" type="noConversion"/>
  </si>
  <si>
    <t>TT33-05</t>
    <phoneticPr fontId="2" type="noConversion"/>
  </si>
  <si>
    <t>TT33-06</t>
    <phoneticPr fontId="2" type="noConversion"/>
  </si>
  <si>
    <t>TT25-08</t>
    <phoneticPr fontId="2" type="noConversion"/>
  </si>
  <si>
    <t>TT25-09</t>
    <phoneticPr fontId="2" type="noConversion"/>
  </si>
  <si>
    <t>TT25-10</t>
    <phoneticPr fontId="2" type="noConversion"/>
  </si>
  <si>
    <t>TT25-11</t>
    <phoneticPr fontId="2" type="noConversion"/>
  </si>
  <si>
    <t>TT25-12</t>
    <phoneticPr fontId="2" type="noConversion"/>
  </si>
  <si>
    <t>TT03-01</t>
    <phoneticPr fontId="2" type="noConversion"/>
  </si>
  <si>
    <t>TT03-08</t>
    <phoneticPr fontId="2" type="noConversion"/>
  </si>
  <si>
    <t>TT03-09</t>
    <phoneticPr fontId="2" type="noConversion"/>
  </si>
  <si>
    <t>TT09-01</t>
    <phoneticPr fontId="2" type="noConversion"/>
  </si>
  <si>
    <t>TT09-02</t>
    <phoneticPr fontId="2" type="noConversion"/>
  </si>
  <si>
    <t>TT12-03</t>
    <phoneticPr fontId="2" type="noConversion"/>
  </si>
  <si>
    <t>TT15-01</t>
    <phoneticPr fontId="2" type="noConversion"/>
  </si>
  <si>
    <t>TT15-05</t>
    <phoneticPr fontId="2" type="noConversion"/>
  </si>
  <si>
    <t>Tentgtie</t>
    <phoneticPr fontId="2" type="noConversion"/>
  </si>
  <si>
    <t>TT16-01</t>
    <phoneticPr fontId="2" type="noConversion"/>
  </si>
  <si>
    <t>TT16-04</t>
    <phoneticPr fontId="2" type="noConversion"/>
  </si>
  <si>
    <t>TT18-03</t>
    <phoneticPr fontId="2" type="noConversion"/>
  </si>
  <si>
    <t>TT10-01</t>
    <phoneticPr fontId="2" type="noConversion"/>
  </si>
  <si>
    <t>TT10-02</t>
    <phoneticPr fontId="2" type="noConversion"/>
  </si>
  <si>
    <t>TT04-01</t>
    <phoneticPr fontId="2" type="noConversion"/>
  </si>
  <si>
    <t>TT04-02</t>
    <phoneticPr fontId="2" type="noConversion"/>
  </si>
  <si>
    <t>TT04-03</t>
    <phoneticPr fontId="2" type="noConversion"/>
  </si>
  <si>
    <t>TT04-06</t>
    <phoneticPr fontId="2" type="noConversion"/>
  </si>
  <si>
    <t>TT04-07</t>
    <phoneticPr fontId="2" type="noConversion"/>
  </si>
  <si>
    <t>TT04-08</t>
    <phoneticPr fontId="2" type="noConversion"/>
  </si>
  <si>
    <t>TT24-01</t>
    <phoneticPr fontId="2" type="noConversion"/>
  </si>
  <si>
    <t>TT24-02</t>
    <phoneticPr fontId="2" type="noConversion"/>
  </si>
  <si>
    <t>TT24-03</t>
    <phoneticPr fontId="2" type="noConversion"/>
  </si>
  <si>
    <t>TT24-04</t>
    <phoneticPr fontId="2" type="noConversion"/>
  </si>
  <si>
    <t>Thanewasna</t>
    <phoneticPr fontId="2" type="noConversion"/>
  </si>
  <si>
    <t>TWC-3/2-1</t>
    <phoneticPr fontId="2" type="noConversion"/>
  </si>
  <si>
    <t>IOCG</t>
    <phoneticPr fontId="2" type="noConversion"/>
  </si>
  <si>
    <t>Dora 2020 OGR</t>
    <phoneticPr fontId="2" type="noConversion"/>
  </si>
  <si>
    <t>TWC-3/2-2</t>
    <phoneticPr fontId="2" type="noConversion"/>
  </si>
  <si>
    <t>TWC-3/2-3</t>
    <phoneticPr fontId="2" type="noConversion"/>
  </si>
  <si>
    <t>TWC-3/2-4</t>
    <phoneticPr fontId="2" type="noConversion"/>
  </si>
  <si>
    <t>TWC-3/2-5</t>
    <phoneticPr fontId="2" type="noConversion"/>
  </si>
  <si>
    <t>TWC-3/2-6</t>
    <phoneticPr fontId="2" type="noConversion"/>
  </si>
  <si>
    <t>TWC-3/2-7</t>
    <phoneticPr fontId="2" type="noConversion"/>
  </si>
  <si>
    <t>TWC-3/2-8</t>
    <phoneticPr fontId="2" type="noConversion"/>
  </si>
  <si>
    <t>TWC-3/2-9</t>
    <phoneticPr fontId="2" type="noConversion"/>
  </si>
  <si>
    <t>TWC-3/2-10</t>
    <phoneticPr fontId="2" type="noConversion"/>
  </si>
  <si>
    <t>TWC-3/2-11</t>
    <phoneticPr fontId="2" type="noConversion"/>
  </si>
  <si>
    <t>TWC-3/2-12</t>
    <phoneticPr fontId="2" type="noConversion"/>
  </si>
  <si>
    <t>TWC-3/2-13</t>
    <phoneticPr fontId="2" type="noConversion"/>
  </si>
  <si>
    <t>TWC-3/2-14</t>
    <phoneticPr fontId="2" type="noConversion"/>
  </si>
  <si>
    <t>TWC-3/2-15</t>
    <phoneticPr fontId="2" type="noConversion"/>
  </si>
  <si>
    <t>TWC-3/2-16</t>
    <phoneticPr fontId="2" type="noConversion"/>
  </si>
  <si>
    <t>TWC-3/2-17</t>
    <phoneticPr fontId="2" type="noConversion"/>
  </si>
  <si>
    <t>TWC-3/2-18</t>
    <phoneticPr fontId="2" type="noConversion"/>
  </si>
  <si>
    <t>TWC-3/2-19</t>
    <phoneticPr fontId="2" type="noConversion"/>
  </si>
  <si>
    <t>TWC-3/2-20</t>
    <phoneticPr fontId="2" type="noConversion"/>
  </si>
  <si>
    <t>TWC-3/2-21</t>
    <phoneticPr fontId="2" type="noConversion"/>
  </si>
  <si>
    <t>Middleback Range</t>
    <phoneticPr fontId="2" type="noConversion"/>
  </si>
  <si>
    <t>MB2Mg-1</t>
    <phoneticPr fontId="2" type="noConversion"/>
  </si>
  <si>
    <t>S</t>
    <phoneticPr fontId="2" type="noConversion"/>
  </si>
  <si>
    <t>BIF</t>
    <phoneticPr fontId="2" type="noConversion"/>
  </si>
  <si>
    <t>Dmitrijeva 2018 MG</t>
    <phoneticPr fontId="2" type="noConversion"/>
  </si>
  <si>
    <t>MB2Mg-11</t>
    <phoneticPr fontId="2" type="noConversion"/>
  </si>
  <si>
    <t>MB2Mg-12</t>
    <phoneticPr fontId="2" type="noConversion"/>
  </si>
  <si>
    <t>MB2Mg-13</t>
    <phoneticPr fontId="2" type="noConversion"/>
  </si>
  <si>
    <t>MB2Mg-15</t>
    <phoneticPr fontId="2" type="noConversion"/>
  </si>
  <si>
    <t>MB2Mg-3</t>
    <phoneticPr fontId="2" type="noConversion"/>
  </si>
  <si>
    <t>MB2Mg-4</t>
    <phoneticPr fontId="2" type="noConversion"/>
  </si>
  <si>
    <t>MB2Mg-5</t>
    <phoneticPr fontId="2" type="noConversion"/>
  </si>
  <si>
    <t>MB2Mg-6</t>
    <phoneticPr fontId="2" type="noConversion"/>
  </si>
  <si>
    <t>MB2Mg-8</t>
    <phoneticPr fontId="2" type="noConversion"/>
  </si>
  <si>
    <t>MB2Mg-9</t>
    <phoneticPr fontId="2" type="noConversion"/>
  </si>
  <si>
    <t>MB33Mg-1</t>
    <phoneticPr fontId="2" type="noConversion"/>
  </si>
  <si>
    <t>MB33Mg-10</t>
    <phoneticPr fontId="2" type="noConversion"/>
  </si>
  <si>
    <t>MB33Mg-11</t>
    <phoneticPr fontId="2" type="noConversion"/>
  </si>
  <si>
    <t>MB33Mg-12</t>
    <phoneticPr fontId="2" type="noConversion"/>
  </si>
  <si>
    <t>MB33Mg-13</t>
    <phoneticPr fontId="2" type="noConversion"/>
  </si>
  <si>
    <t>MB33Mg-14</t>
    <phoneticPr fontId="2" type="noConversion"/>
  </si>
  <si>
    <t>MB33Mg-15</t>
    <phoneticPr fontId="2" type="noConversion"/>
  </si>
  <si>
    <t>MB33Mg-16</t>
    <phoneticPr fontId="2" type="noConversion"/>
  </si>
  <si>
    <t>MB33Mg-19</t>
    <phoneticPr fontId="2" type="noConversion"/>
  </si>
  <si>
    <t>MB33Mg-2</t>
    <phoneticPr fontId="2" type="noConversion"/>
  </si>
  <si>
    <t>MB33Mg-20</t>
    <phoneticPr fontId="2" type="noConversion"/>
  </si>
  <si>
    <t>MB33Mg-3</t>
    <phoneticPr fontId="2" type="noConversion"/>
  </si>
  <si>
    <t>MB33Mg-5</t>
    <phoneticPr fontId="2" type="noConversion"/>
  </si>
  <si>
    <t>MB33Mg-6</t>
    <phoneticPr fontId="2" type="noConversion"/>
  </si>
  <si>
    <t>MB33Mg-7</t>
    <phoneticPr fontId="2" type="noConversion"/>
  </si>
  <si>
    <t>MB33Mg-8</t>
    <phoneticPr fontId="2" type="noConversion"/>
  </si>
  <si>
    <t>MB33Mg-9</t>
    <phoneticPr fontId="2" type="noConversion"/>
  </si>
  <si>
    <t>MB35aMt-1</t>
    <phoneticPr fontId="2" type="noConversion"/>
  </si>
  <si>
    <t>MB35aMt-10</t>
    <phoneticPr fontId="2" type="noConversion"/>
  </si>
  <si>
    <t>MB35aMt-11</t>
    <phoneticPr fontId="2" type="noConversion"/>
  </si>
  <si>
    <t>MB35aMt-13</t>
    <phoneticPr fontId="2" type="noConversion"/>
  </si>
  <si>
    <t>MB35aMt-14</t>
    <phoneticPr fontId="2" type="noConversion"/>
  </si>
  <si>
    <t>MB35aMt-15</t>
    <phoneticPr fontId="2" type="noConversion"/>
  </si>
  <si>
    <t>MB35aMt-16</t>
    <phoneticPr fontId="2" type="noConversion"/>
  </si>
  <si>
    <t>MB35aMt-17</t>
    <phoneticPr fontId="2" type="noConversion"/>
  </si>
  <si>
    <t>MB35aMt-18</t>
    <phoneticPr fontId="2" type="noConversion"/>
  </si>
  <si>
    <t>MB35aMt-19</t>
    <phoneticPr fontId="2" type="noConversion"/>
  </si>
  <si>
    <t>MB35aMt-2</t>
    <phoneticPr fontId="2" type="noConversion"/>
  </si>
  <si>
    <t>MB35aMt-20</t>
    <phoneticPr fontId="2" type="noConversion"/>
  </si>
  <si>
    <t>MB35aMt-21</t>
    <phoneticPr fontId="2" type="noConversion"/>
  </si>
  <si>
    <t>MB35aMt-22</t>
    <phoneticPr fontId="2" type="noConversion"/>
  </si>
  <si>
    <t>MB35aMt-23</t>
    <phoneticPr fontId="2" type="noConversion"/>
  </si>
  <si>
    <t>MB35aMt-24</t>
    <phoneticPr fontId="2" type="noConversion"/>
  </si>
  <si>
    <t>MB35aMt-26</t>
    <phoneticPr fontId="2" type="noConversion"/>
  </si>
  <si>
    <t>MB35aMt-28</t>
    <phoneticPr fontId="2" type="noConversion"/>
  </si>
  <si>
    <t>MB35aMt-3</t>
    <phoneticPr fontId="2" type="noConversion"/>
  </si>
  <si>
    <t>MB35aMt-30</t>
    <phoneticPr fontId="2" type="noConversion"/>
  </si>
  <si>
    <t>MB35aMt-31</t>
    <phoneticPr fontId="2" type="noConversion"/>
  </si>
  <si>
    <t>MB35aMt-32</t>
    <phoneticPr fontId="2" type="noConversion"/>
  </si>
  <si>
    <t>MB35aMt-33</t>
    <phoneticPr fontId="2" type="noConversion"/>
  </si>
  <si>
    <t>MB35aMt-34</t>
    <phoneticPr fontId="2" type="noConversion"/>
  </si>
  <si>
    <t>MB35aMt-35</t>
    <phoneticPr fontId="2" type="noConversion"/>
  </si>
  <si>
    <t>MB35aMt-36</t>
    <phoneticPr fontId="2" type="noConversion"/>
  </si>
  <si>
    <t>MB35aMt-38</t>
    <phoneticPr fontId="2" type="noConversion"/>
  </si>
  <si>
    <t>MB35aMt-39</t>
    <phoneticPr fontId="2" type="noConversion"/>
  </si>
  <si>
    <t>MB35aMt-4</t>
    <phoneticPr fontId="2" type="noConversion"/>
  </si>
  <si>
    <t>MB35aMt-40</t>
    <phoneticPr fontId="2" type="noConversion"/>
  </si>
  <si>
    <t>MB35aMt-6</t>
    <phoneticPr fontId="2" type="noConversion"/>
  </si>
  <si>
    <t>MB35aMt-7</t>
    <phoneticPr fontId="2" type="noConversion"/>
  </si>
  <si>
    <t>MB35aMt-8</t>
    <phoneticPr fontId="2" type="noConversion"/>
  </si>
  <si>
    <t>MB35aMt-9</t>
    <phoneticPr fontId="2" type="noConversion"/>
  </si>
  <si>
    <t>MB35bMt-1</t>
    <phoneticPr fontId="2" type="noConversion"/>
  </si>
  <si>
    <t>MB35bMt-12</t>
    <phoneticPr fontId="2" type="noConversion"/>
  </si>
  <si>
    <t>MB35bMt-13</t>
    <phoneticPr fontId="2" type="noConversion"/>
  </si>
  <si>
    <t>MB35bMt-14</t>
    <phoneticPr fontId="2" type="noConversion"/>
  </si>
  <si>
    <t>MB35bMt-15</t>
    <phoneticPr fontId="2" type="noConversion"/>
  </si>
  <si>
    <t>MB35bMt-20</t>
    <phoneticPr fontId="2" type="noConversion"/>
  </si>
  <si>
    <t>MB35bMt-21</t>
    <phoneticPr fontId="2" type="noConversion"/>
  </si>
  <si>
    <t>MB35bMt-22</t>
    <phoneticPr fontId="2" type="noConversion"/>
  </si>
  <si>
    <t>MB35bMt-23</t>
    <phoneticPr fontId="2" type="noConversion"/>
  </si>
  <si>
    <t>MB35bMt-24</t>
    <phoneticPr fontId="2" type="noConversion"/>
  </si>
  <si>
    <t>MB35bMt-25</t>
    <phoneticPr fontId="2" type="noConversion"/>
  </si>
  <si>
    <t>MB35bMt-26</t>
    <phoneticPr fontId="2" type="noConversion"/>
  </si>
  <si>
    <t>MB35bMt-27</t>
    <phoneticPr fontId="2" type="noConversion"/>
  </si>
  <si>
    <t>MB35bMt-28</t>
    <phoneticPr fontId="2" type="noConversion"/>
  </si>
  <si>
    <t>MB35bMt-29</t>
    <phoneticPr fontId="2" type="noConversion"/>
  </si>
  <si>
    <t>MB35bMt-3</t>
    <phoneticPr fontId="2" type="noConversion"/>
  </si>
  <si>
    <t>MB35bMt-30</t>
    <phoneticPr fontId="2" type="noConversion"/>
  </si>
  <si>
    <t>MB35bMt-31</t>
    <phoneticPr fontId="2" type="noConversion"/>
  </si>
  <si>
    <t>MB35bMt-32</t>
    <phoneticPr fontId="2" type="noConversion"/>
  </si>
  <si>
    <t>MB35bMt-33</t>
    <phoneticPr fontId="2" type="noConversion"/>
  </si>
  <si>
    <t>MB35bMt-34</t>
    <phoneticPr fontId="2" type="noConversion"/>
  </si>
  <si>
    <t>MB35bMt-35</t>
    <phoneticPr fontId="2" type="noConversion"/>
  </si>
  <si>
    <t>MB35bMt-36</t>
    <phoneticPr fontId="2" type="noConversion"/>
  </si>
  <si>
    <t>MB35bMt-37</t>
    <phoneticPr fontId="2" type="noConversion"/>
  </si>
  <si>
    <t>MB35bMt-38</t>
    <phoneticPr fontId="2" type="noConversion"/>
  </si>
  <si>
    <t>MB35bMt-39</t>
    <phoneticPr fontId="2" type="noConversion"/>
  </si>
  <si>
    <t>MB35bMt-4</t>
    <phoneticPr fontId="2" type="noConversion"/>
  </si>
  <si>
    <t>MB35bMt-40</t>
    <phoneticPr fontId="2" type="noConversion"/>
  </si>
  <si>
    <t>MB35bMt-7</t>
    <phoneticPr fontId="2" type="noConversion"/>
  </si>
  <si>
    <t>MB35bMt-8</t>
    <phoneticPr fontId="2" type="noConversion"/>
  </si>
  <si>
    <t>MB36bMt-1</t>
    <phoneticPr fontId="2" type="noConversion"/>
  </si>
  <si>
    <t>MB36bMt-13</t>
    <phoneticPr fontId="2" type="noConversion"/>
  </si>
  <si>
    <t>MB36bMt-15</t>
    <phoneticPr fontId="2" type="noConversion"/>
  </si>
  <si>
    <t>MB36bMt-17</t>
    <phoneticPr fontId="2" type="noConversion"/>
  </si>
  <si>
    <t>MB36bMt-19</t>
    <phoneticPr fontId="2" type="noConversion"/>
  </si>
  <si>
    <t>MB36bMt-20</t>
    <phoneticPr fontId="2" type="noConversion"/>
  </si>
  <si>
    <t>MB36bMt-3</t>
    <phoneticPr fontId="2" type="noConversion"/>
  </si>
  <si>
    <t>MB36bMt-6</t>
    <phoneticPr fontId="2" type="noConversion"/>
  </si>
  <si>
    <t>MB36bMt-9</t>
    <phoneticPr fontId="2" type="noConversion"/>
  </si>
  <si>
    <t>MB80aMt-1</t>
    <phoneticPr fontId="2" type="noConversion"/>
  </si>
  <si>
    <t>MB80aMt-11</t>
    <phoneticPr fontId="2" type="noConversion"/>
  </si>
  <si>
    <t>MB80aMt-13</t>
    <phoneticPr fontId="2" type="noConversion"/>
  </si>
  <si>
    <t>MB80aMt-14</t>
    <phoneticPr fontId="2" type="noConversion"/>
  </si>
  <si>
    <t>MB80aMt-17</t>
    <phoneticPr fontId="2" type="noConversion"/>
  </si>
  <si>
    <t>MB80aMt-18</t>
    <phoneticPr fontId="2" type="noConversion"/>
  </si>
  <si>
    <t>MB80aMt-19</t>
    <phoneticPr fontId="2" type="noConversion"/>
  </si>
  <si>
    <t>MB80aMt-2</t>
    <phoneticPr fontId="2" type="noConversion"/>
  </si>
  <si>
    <t>MB80aMt-20</t>
    <phoneticPr fontId="2" type="noConversion"/>
  </si>
  <si>
    <t>MB80aMt-21</t>
    <phoneticPr fontId="2" type="noConversion"/>
  </si>
  <si>
    <t>MB80aMt-23</t>
    <phoneticPr fontId="2" type="noConversion"/>
  </si>
  <si>
    <t>MB80aMt-24</t>
    <phoneticPr fontId="2" type="noConversion"/>
  </si>
  <si>
    <t>MB80aMt-25</t>
    <phoneticPr fontId="2" type="noConversion"/>
  </si>
  <si>
    <t>MB80aMt-26</t>
    <phoneticPr fontId="2" type="noConversion"/>
  </si>
  <si>
    <t>MB80aMt-27</t>
    <phoneticPr fontId="2" type="noConversion"/>
  </si>
  <si>
    <t>MB80aMt-28</t>
    <phoneticPr fontId="2" type="noConversion"/>
  </si>
  <si>
    <t>MB80aMt-29</t>
    <phoneticPr fontId="2" type="noConversion"/>
  </si>
  <si>
    <t>MB80aMt-3</t>
    <phoneticPr fontId="2" type="noConversion"/>
  </si>
  <si>
    <t>MB80aMt-30</t>
    <phoneticPr fontId="2" type="noConversion"/>
  </si>
  <si>
    <t>MB80aMt-31</t>
    <phoneticPr fontId="2" type="noConversion"/>
  </si>
  <si>
    <t>MB80aMt-32</t>
    <phoneticPr fontId="2" type="noConversion"/>
  </si>
  <si>
    <t>MB80aMt-33</t>
    <phoneticPr fontId="2" type="noConversion"/>
  </si>
  <si>
    <t>MB80aMt-34</t>
    <phoneticPr fontId="2" type="noConversion"/>
  </si>
  <si>
    <t>MB80aMt-35</t>
    <phoneticPr fontId="2" type="noConversion"/>
  </si>
  <si>
    <t>MB80aMt-36</t>
    <phoneticPr fontId="2" type="noConversion"/>
  </si>
  <si>
    <t>MB80aMt-37</t>
    <phoneticPr fontId="2" type="noConversion"/>
  </si>
  <si>
    <t>MB80aMt-38</t>
    <phoneticPr fontId="2" type="noConversion"/>
  </si>
  <si>
    <t>MB80aMt-39</t>
    <phoneticPr fontId="2" type="noConversion"/>
  </si>
  <si>
    <t>MB80aMt-4</t>
    <phoneticPr fontId="2" type="noConversion"/>
  </si>
  <si>
    <t>MB80aMt-40</t>
    <phoneticPr fontId="2" type="noConversion"/>
  </si>
  <si>
    <t>MB80aMt-5</t>
    <phoneticPr fontId="2" type="noConversion"/>
  </si>
  <si>
    <t>MB80aMt-6</t>
  </si>
  <si>
    <t>MB80aMt-7</t>
    <phoneticPr fontId="2" type="noConversion"/>
  </si>
  <si>
    <t>MB80aMt-8</t>
    <phoneticPr fontId="2" type="noConversion"/>
  </si>
  <si>
    <t>MB80aMt-9</t>
    <phoneticPr fontId="2" type="noConversion"/>
  </si>
  <si>
    <t>MB92aMt-1</t>
    <phoneticPr fontId="2" type="noConversion"/>
  </si>
  <si>
    <t>MB92aMt-10</t>
    <phoneticPr fontId="2" type="noConversion"/>
  </si>
  <si>
    <t>MB92aMt-11</t>
    <phoneticPr fontId="2" type="noConversion"/>
  </si>
  <si>
    <t>MB92aMt-12</t>
    <phoneticPr fontId="2" type="noConversion"/>
  </si>
  <si>
    <t>MB92aMt-13</t>
    <phoneticPr fontId="2" type="noConversion"/>
  </si>
  <si>
    <t>MB92aMt-14</t>
    <phoneticPr fontId="2" type="noConversion"/>
  </si>
  <si>
    <t>MB92aMt-15</t>
    <phoneticPr fontId="2" type="noConversion"/>
  </si>
  <si>
    <t>MB92aMt-16</t>
    <phoneticPr fontId="2" type="noConversion"/>
  </si>
  <si>
    <t>MB92aMt-17</t>
    <phoneticPr fontId="2" type="noConversion"/>
  </si>
  <si>
    <t>MB92aMt-18</t>
    <phoneticPr fontId="2" type="noConversion"/>
  </si>
  <si>
    <t>MB92aMt-19</t>
    <phoneticPr fontId="2" type="noConversion"/>
  </si>
  <si>
    <t>MB92aMt-2</t>
    <phoneticPr fontId="2" type="noConversion"/>
  </si>
  <si>
    <t>MB92aMt-20</t>
    <phoneticPr fontId="2" type="noConversion"/>
  </si>
  <si>
    <t>MB92aMt-21</t>
    <phoneticPr fontId="2" type="noConversion"/>
  </si>
  <si>
    <t>MB92aMt-25</t>
    <phoneticPr fontId="2" type="noConversion"/>
  </si>
  <si>
    <t>MB92aMt-26</t>
    <phoneticPr fontId="2" type="noConversion"/>
  </si>
  <si>
    <t>MB92aMt-27</t>
    <phoneticPr fontId="2" type="noConversion"/>
  </si>
  <si>
    <t>MB92aMt-28</t>
    <phoneticPr fontId="2" type="noConversion"/>
  </si>
  <si>
    <t>MB92aMt-3</t>
    <phoneticPr fontId="2" type="noConversion"/>
  </si>
  <si>
    <t>MB92aMt-30</t>
    <phoneticPr fontId="2" type="noConversion"/>
  </si>
  <si>
    <t>MB92aMt-31</t>
    <phoneticPr fontId="2" type="noConversion"/>
  </si>
  <si>
    <t>MB92aMt-33</t>
    <phoneticPr fontId="2" type="noConversion"/>
  </si>
  <si>
    <t>MB92aMt-34</t>
    <phoneticPr fontId="2" type="noConversion"/>
  </si>
  <si>
    <t>MB92aMt-35</t>
    <phoneticPr fontId="2" type="noConversion"/>
  </si>
  <si>
    <t>MB92aMt-36</t>
    <phoneticPr fontId="2" type="noConversion"/>
  </si>
  <si>
    <t>MB92aMt-37</t>
    <phoneticPr fontId="2" type="noConversion"/>
  </si>
  <si>
    <t>MB92aMt-38</t>
  </si>
  <si>
    <t>MB92aMt-39</t>
  </si>
  <si>
    <t>MB92aMt-4</t>
  </si>
  <si>
    <t>MB92aMt-40</t>
  </si>
  <si>
    <t>MB92aMt-5</t>
  </si>
  <si>
    <t>MB92aMt-6</t>
  </si>
  <si>
    <t>MB92aMt-7</t>
  </si>
  <si>
    <t>MB92aMt-8</t>
  </si>
  <si>
    <t>MB92aMt-9</t>
  </si>
  <si>
    <t>MB93Mt-1</t>
  </si>
  <si>
    <t>MB93Mt-10</t>
  </si>
  <si>
    <t>MB93Mt-11</t>
  </si>
  <si>
    <t>Dmitrijeva 2018 MG</t>
  </si>
  <si>
    <t>MB93Mt-12</t>
  </si>
  <si>
    <t>MB93Mt-13</t>
  </si>
  <si>
    <t>MB93Mt-14</t>
  </si>
  <si>
    <t>MB93Mt-15</t>
  </si>
  <si>
    <t>MB93Mt-16</t>
  </si>
  <si>
    <t>MB93Mt-17</t>
  </si>
  <si>
    <t>MB93Mt-18</t>
  </si>
  <si>
    <t>MB93Mt-19</t>
  </si>
  <si>
    <t>MB93Mt-2</t>
  </si>
  <si>
    <t>MB93Mt-20</t>
  </si>
  <si>
    <t>MB93Mt-22</t>
  </si>
  <si>
    <t>MB93Mt-23</t>
  </si>
  <si>
    <t>MB93Mt-24</t>
  </si>
  <si>
    <t>MB93Mt-26</t>
  </si>
  <si>
    <t>MB93Mt-27</t>
  </si>
  <si>
    <t>MB93Mt-29</t>
  </si>
  <si>
    <t>MB93Mt-3</t>
  </si>
  <si>
    <t>MB93Mt-30</t>
  </si>
  <si>
    <t>MB93Mt-31</t>
  </si>
  <si>
    <t>MB93Mt-32</t>
  </si>
  <si>
    <t>MB93Mt-33</t>
  </si>
  <si>
    <t>MB93Mt-34</t>
  </si>
  <si>
    <t>MB93Mt-35</t>
  </si>
  <si>
    <t>MB93Mt-36</t>
  </si>
  <si>
    <t>MB93Mt-38</t>
  </si>
  <si>
    <t>MB93Mt-39</t>
  </si>
  <si>
    <t>MB93Mt-4</t>
  </si>
  <si>
    <t>MB93Mt-40</t>
  </si>
  <si>
    <t>MB93Mt-5</t>
  </si>
  <si>
    <t>MB93Mt-6</t>
  </si>
  <si>
    <t>MB93Mt-8</t>
  </si>
  <si>
    <t>MB93Mt-9</t>
  </si>
  <si>
    <t>MB18Mt-3</t>
  </si>
  <si>
    <t>MB18Mt-4</t>
  </si>
  <si>
    <t>MB18Mt-5</t>
  </si>
  <si>
    <t>MB26Mt-1</t>
  </si>
  <si>
    <t>MB26Mt-10</t>
  </si>
  <si>
    <t>MB26Mt-2</t>
  </si>
  <si>
    <t>MB26Mt-7</t>
  </si>
  <si>
    <t>MB34aMt-15</t>
  </si>
  <si>
    <t>MB34aMt-16</t>
  </si>
  <si>
    <t>MB34aMt-17</t>
  </si>
  <si>
    <t>MB34aMt-18</t>
  </si>
  <si>
    <t>MB34aMt-2</t>
  </si>
  <si>
    <t>MB34aMt-22</t>
  </si>
  <si>
    <t>MB34aMt-3</t>
  </si>
  <si>
    <t>MB34aMt-4</t>
  </si>
  <si>
    <t>MB34aMt-5</t>
  </si>
  <si>
    <t>MB34aMt-6</t>
  </si>
  <si>
    <t>MB34aMt-7</t>
  </si>
  <si>
    <t>MB34aMt-8</t>
  </si>
  <si>
    <t>MB34aMt-9</t>
  </si>
  <si>
    <t>MB34b-Mt-1</t>
  </si>
  <si>
    <t>MB34b-Mt-2</t>
  </si>
  <si>
    <t>MB34b-Mt-3</t>
  </si>
  <si>
    <t>MB34b-Mt-5</t>
  </si>
  <si>
    <t>MB34b-Mt-6</t>
  </si>
  <si>
    <t>MB34b-Mt-7</t>
  </si>
  <si>
    <t>MB34b-Mt-9</t>
  </si>
  <si>
    <t>MB35aMt-1</t>
  </si>
  <si>
    <t>MB35aMt-10</t>
  </si>
  <si>
    <t>MB35aMt-11</t>
  </si>
  <si>
    <t>MB35aMt-12</t>
  </si>
  <si>
    <t>MB35aMt-2</t>
  </si>
  <si>
    <t>MB35aMt-3</t>
  </si>
  <si>
    <t>MB35aMt-4</t>
  </si>
  <si>
    <t>MB35aMt-5</t>
  </si>
  <si>
    <t>MB35aMt-6</t>
  </si>
  <si>
    <t>MB35aMt-7</t>
  </si>
  <si>
    <t>MB35aMt-8</t>
  </si>
  <si>
    <t>MB35aMt-9</t>
  </si>
  <si>
    <t>MB35aMtVein-1</t>
  </si>
  <si>
    <t>MB35aMtVein-2</t>
  </si>
  <si>
    <t>MB35aMtVein-4</t>
  </si>
  <si>
    <t>MB35aMtVein-5</t>
  </si>
  <si>
    <t>MB35aMtVein-6</t>
  </si>
  <si>
    <t>MB36bMt-1</t>
  </si>
  <si>
    <t>MB36bMt-10</t>
  </si>
  <si>
    <t>MB36bMt-11</t>
  </si>
  <si>
    <t>MB36bMt-12</t>
  </si>
  <si>
    <t>MB36bMt-13</t>
  </si>
  <si>
    <t>MB36bMt-17</t>
  </si>
  <si>
    <t>MB36bMt-18</t>
  </si>
  <si>
    <t>MB36bMt-19</t>
  </si>
  <si>
    <t>MB36bMt-20</t>
  </si>
  <si>
    <t>MB36bMt-21</t>
  </si>
  <si>
    <t>MB36bMt-22</t>
  </si>
  <si>
    <t>MB36bMt-24</t>
  </si>
  <si>
    <t>MB36bMt-3</t>
  </si>
  <si>
    <t>MB36bMt-4</t>
  </si>
  <si>
    <t>MB36bMt-5</t>
  </si>
  <si>
    <t>MB36bMt-6</t>
  </si>
  <si>
    <t>MB36bMt-7</t>
  </si>
  <si>
    <t>MB36bMt-8</t>
  </si>
  <si>
    <t>MB36bMt-9</t>
  </si>
  <si>
    <t>MB40bMt-1</t>
  </si>
  <si>
    <t>MB40bMt-2</t>
  </si>
  <si>
    <t>MB40bMt-3</t>
  </si>
  <si>
    <t>MB40bMt-4</t>
  </si>
  <si>
    <t>MB40bMt-5</t>
  </si>
  <si>
    <t>MB40bMt-6</t>
  </si>
  <si>
    <t>MB40bMt-7</t>
  </si>
  <si>
    <t>MB40bMt-8</t>
  </si>
  <si>
    <t>MB40bMt-9</t>
  </si>
  <si>
    <t>MB5Mt-1</t>
  </si>
  <si>
    <t>MB5Mt-10</t>
  </si>
  <si>
    <t>MB5Mt-11</t>
  </si>
  <si>
    <t>MB5Mt-12</t>
  </si>
  <si>
    <t>MB5Mt-2</t>
  </si>
  <si>
    <t>MB5Mt-3</t>
  </si>
  <si>
    <t>MB5Mt-4</t>
  </si>
  <si>
    <t>MB5Mt-5</t>
  </si>
  <si>
    <t>MB5Mt-6</t>
  </si>
  <si>
    <t>MB5Mt-7</t>
  </si>
  <si>
    <t>MB5Mt-8</t>
  </si>
  <si>
    <t>MB5Mt-9</t>
  </si>
  <si>
    <t>Labrador Trough</t>
    <phoneticPr fontId="2" type="noConversion"/>
  </si>
  <si>
    <t>W-061-01</t>
  </si>
  <si>
    <t>GIF</t>
    <phoneticPr fontId="2" type="noConversion"/>
  </si>
  <si>
    <t>Chung 2015 OGR</t>
    <phoneticPr fontId="2" type="noConversion"/>
  </si>
  <si>
    <t>W-061-02</t>
  </si>
  <si>
    <t>W-061-03</t>
  </si>
  <si>
    <t>Chung 2015 OGR</t>
  </si>
  <si>
    <t>W-061-04</t>
  </si>
  <si>
    <t>W-061-06</t>
  </si>
  <si>
    <t>W-061-07</t>
  </si>
  <si>
    <t>W-061-09</t>
  </si>
  <si>
    <t>W-061-10</t>
  </si>
  <si>
    <t>W-061-11</t>
  </si>
  <si>
    <t>W-061-13</t>
  </si>
  <si>
    <t>W-063-02</t>
  </si>
  <si>
    <t>W-063-03</t>
  </si>
  <si>
    <t>W-063-07</t>
  </si>
  <si>
    <t>W-063-09</t>
  </si>
  <si>
    <t>W-063-10</t>
  </si>
  <si>
    <t>W-063-11</t>
  </si>
  <si>
    <t>W-063-12</t>
  </si>
  <si>
    <t>RL-74-1</t>
  </si>
  <si>
    <t>RL-74-2</t>
  </si>
  <si>
    <t>RL-74-3</t>
  </si>
  <si>
    <t>RL-74-4</t>
  </si>
  <si>
    <t>RL-74-6</t>
  </si>
  <si>
    <t>RL-74-7</t>
  </si>
  <si>
    <t>RL-74-8</t>
  </si>
  <si>
    <t>RL-74-9</t>
  </si>
  <si>
    <t>RL-74-10</t>
  </si>
  <si>
    <t>RL-74-11</t>
  </si>
  <si>
    <t>RL-74-12</t>
  </si>
  <si>
    <t>HY-115-1</t>
  </si>
  <si>
    <t>HY-115-2</t>
  </si>
  <si>
    <t>HY-115-3</t>
  </si>
  <si>
    <t>HY-115-4</t>
  </si>
  <si>
    <t>HY-115-5</t>
  </si>
  <si>
    <t>HY-115-6</t>
  </si>
  <si>
    <t>HY-115-7</t>
  </si>
  <si>
    <t>HY-115-8</t>
  </si>
  <si>
    <t>HY-115-9</t>
  </si>
  <si>
    <t>HY-115-11</t>
  </si>
  <si>
    <t>HY-115-12</t>
  </si>
  <si>
    <t>HY-115-13</t>
  </si>
  <si>
    <t>HY-115-14</t>
  </si>
  <si>
    <t>Gongchangling</t>
    <phoneticPr fontId="2" type="noConversion"/>
  </si>
  <si>
    <t>10GCL-3-01</t>
  </si>
  <si>
    <t>Sun 2017 GJ</t>
    <phoneticPr fontId="2" type="noConversion"/>
  </si>
  <si>
    <t>10GCL-3-02</t>
  </si>
  <si>
    <t>10GCL-3-03</t>
  </si>
  <si>
    <t>Sun 2017 GJ</t>
  </si>
  <si>
    <t>10GCL-3-04</t>
  </si>
  <si>
    <t>10GCL-3-05</t>
  </si>
  <si>
    <t>10GCL-3-06</t>
  </si>
  <si>
    <t>10GCL-3-07</t>
  </si>
  <si>
    <t>10GCL-3-08</t>
  </si>
  <si>
    <t>10GCL-3-09</t>
  </si>
  <si>
    <t>10GCL-3-10</t>
  </si>
  <si>
    <t>10GCL-3-11</t>
  </si>
  <si>
    <t>10GCL-3-12</t>
  </si>
  <si>
    <t>10GCL-14-01</t>
  </si>
  <si>
    <t>10GCL-14-02</t>
  </si>
  <si>
    <t>10GCL-14-03</t>
  </si>
  <si>
    <t>10GCL-14-04</t>
  </si>
  <si>
    <t>10GCL-14-05</t>
  </si>
  <si>
    <t>10GCL-14-06</t>
  </si>
  <si>
    <t>10GCL-14-07</t>
  </si>
  <si>
    <t>10GCL-14-08</t>
  </si>
  <si>
    <t>10GCL-14-09</t>
  </si>
  <si>
    <t>10GCL-14-10</t>
  </si>
  <si>
    <t>10GCL-14-11</t>
  </si>
  <si>
    <t>10GCL-14-12</t>
  </si>
  <si>
    <t>Weld Range</t>
    <phoneticPr fontId="2" type="noConversion"/>
  </si>
  <si>
    <t>BN-W9-101-1</t>
    <phoneticPr fontId="2" type="noConversion"/>
  </si>
  <si>
    <t>Duuring 2018 OGR</t>
    <phoneticPr fontId="2" type="noConversion"/>
  </si>
  <si>
    <t>BN-W9-101-2</t>
    <phoneticPr fontId="2" type="noConversion"/>
  </si>
  <si>
    <t>BN-W9-101-3</t>
    <phoneticPr fontId="2" type="noConversion"/>
  </si>
  <si>
    <t>Duuring 2018 OGR</t>
  </si>
  <si>
    <t>BN-W9-101-4</t>
  </si>
  <si>
    <t>BN-W9-101-5</t>
  </si>
  <si>
    <t>BN-W9-101-6</t>
  </si>
  <si>
    <t>BN-W9-101-7</t>
  </si>
  <si>
    <t>BN-W9-101-8</t>
  </si>
  <si>
    <t>BN-W9-101-9</t>
  </si>
  <si>
    <t>BN-W9-101-10</t>
  </si>
  <si>
    <t>BN-W9-101-11</t>
  </si>
  <si>
    <t>BN-W9-101-12</t>
  </si>
  <si>
    <t>BN-W9-101-13</t>
  </si>
  <si>
    <t>BN-W9-101-14</t>
  </si>
  <si>
    <t>BN-W9-101-15</t>
  </si>
  <si>
    <t>BN-W9-101-16</t>
  </si>
  <si>
    <t>BN-W9-101-17</t>
  </si>
  <si>
    <t>BN-W9-101-18</t>
  </si>
  <si>
    <t>BN-W9-104-1</t>
    <phoneticPr fontId="2" type="noConversion"/>
  </si>
  <si>
    <t>BN-W9-104-2</t>
    <phoneticPr fontId="2" type="noConversion"/>
  </si>
  <si>
    <t>BN-W9-104-3</t>
    <phoneticPr fontId="2" type="noConversion"/>
  </si>
  <si>
    <t>BN-W9-104-4</t>
  </si>
  <si>
    <t>BN-W9-104-5</t>
  </si>
  <si>
    <t>BN-W9-104-6</t>
  </si>
  <si>
    <t>BN-W9-104-7</t>
  </si>
  <si>
    <t>BN-W9-104-8</t>
  </si>
  <si>
    <t>BN-W9-104-9</t>
  </si>
  <si>
    <t>BN-W9-104-10</t>
  </si>
  <si>
    <t>BN-W9-104-11</t>
  </si>
  <si>
    <t>BN-W9-104-12</t>
  </si>
  <si>
    <t>BN-W9-104-13</t>
  </si>
  <si>
    <t>BN-W9-104-14</t>
  </si>
  <si>
    <t>BN-W9-104-15</t>
  </si>
  <si>
    <t>BN-W9-104-16</t>
  </si>
  <si>
    <t>BN-W9-104-17</t>
  </si>
  <si>
    <t>BN-W8-35-1</t>
    <phoneticPr fontId="2" type="noConversion"/>
  </si>
  <si>
    <t>BN-W8-35-2</t>
    <phoneticPr fontId="2" type="noConversion"/>
  </si>
  <si>
    <t>BN-W8-35-3</t>
    <phoneticPr fontId="2" type="noConversion"/>
  </si>
  <si>
    <t>BN-W8-35-4</t>
  </si>
  <si>
    <t>BN-W8-35-5</t>
  </si>
  <si>
    <t>BN-W10-13-1</t>
    <phoneticPr fontId="2" type="noConversion"/>
  </si>
  <si>
    <t>BN-W10-13-2</t>
    <phoneticPr fontId="2" type="noConversion"/>
  </si>
  <si>
    <t>BN-W10-13-3</t>
  </si>
  <si>
    <t>BN-W10-13-4</t>
  </si>
  <si>
    <t>BN-W10-13-5</t>
  </si>
  <si>
    <t>BN-W10-14-1</t>
    <phoneticPr fontId="2" type="noConversion"/>
  </si>
  <si>
    <t>BN-W10-14-2</t>
    <phoneticPr fontId="2" type="noConversion"/>
  </si>
  <si>
    <t>BN-W10-14-3</t>
    <phoneticPr fontId="2" type="noConversion"/>
  </si>
  <si>
    <t>BN-W10-14-4</t>
  </si>
  <si>
    <t>BN-W10-14-5</t>
  </si>
  <si>
    <t>BN-W10-14-6</t>
  </si>
  <si>
    <t>BN-W10-14-7</t>
  </si>
  <si>
    <t>BN-W10-14-8</t>
  </si>
  <si>
    <t>BN-W10-26-1</t>
    <phoneticPr fontId="2" type="noConversion"/>
  </si>
  <si>
    <t>BN-W10-26-2</t>
    <phoneticPr fontId="2" type="noConversion"/>
  </si>
  <si>
    <t>BN-W10-26-3</t>
    <phoneticPr fontId="2" type="noConversion"/>
  </si>
  <si>
    <t>BN-W10-26-4</t>
  </si>
  <si>
    <t>BN-W10-26-5</t>
  </si>
  <si>
    <t>BN-W10-26-6</t>
  </si>
  <si>
    <t>MD-W14-20-2</t>
    <phoneticPr fontId="2" type="noConversion"/>
  </si>
  <si>
    <t>MD-W14-20-3</t>
    <phoneticPr fontId="2" type="noConversion"/>
  </si>
  <si>
    <t>MD-W14-39-1</t>
    <phoneticPr fontId="2" type="noConversion"/>
  </si>
  <si>
    <t>MD-W14-39-2</t>
    <phoneticPr fontId="2" type="noConversion"/>
  </si>
  <si>
    <t>MD-W14-39-3</t>
    <phoneticPr fontId="2" type="noConversion"/>
  </si>
  <si>
    <t>MD-W14-39-4</t>
    <phoneticPr fontId="2" type="noConversion"/>
  </si>
  <si>
    <t>MD-W14-39-5</t>
  </si>
  <si>
    <t>MD-W14-39-6</t>
  </si>
  <si>
    <t>MD-W14-39-7</t>
  </si>
  <si>
    <t>MD-W14-39-8</t>
  </si>
  <si>
    <t>MD-W14-39-9</t>
  </si>
  <si>
    <t>MD-W14-39-10</t>
  </si>
  <si>
    <t>MD-W14-39-11</t>
  </si>
  <si>
    <t>MD-W14-39-12</t>
  </si>
  <si>
    <t>MD-W14-39-13</t>
  </si>
  <si>
    <t>MD-W14-39-14</t>
  </si>
  <si>
    <t>MD-W14-39-15</t>
  </si>
  <si>
    <t>MD-W14-39-16</t>
  </si>
  <si>
    <t>MD-W14-39-17</t>
  </si>
  <si>
    <t>MD-W15-75-1</t>
    <phoneticPr fontId="2" type="noConversion"/>
  </si>
  <si>
    <t>MD-W15-75-2</t>
    <phoneticPr fontId="2" type="noConversion"/>
  </si>
  <si>
    <t>MD-W15-75-3</t>
  </si>
  <si>
    <t>MD-W15-75-4</t>
  </si>
  <si>
    <t>MD-W15-21-1</t>
    <phoneticPr fontId="2" type="noConversion"/>
  </si>
  <si>
    <t>MD-W15-21-2</t>
    <phoneticPr fontId="2" type="noConversion"/>
  </si>
  <si>
    <t>MD-W15-21-3</t>
  </si>
  <si>
    <t>MD-W15-21-4</t>
  </si>
  <si>
    <t>MD-W15-21-5</t>
  </si>
  <si>
    <t>MD-W15-21-6</t>
  </si>
  <si>
    <t>MD-W15-21-7</t>
  </si>
  <si>
    <t>MD-W15-21-8</t>
  </si>
  <si>
    <t>MD-W15-21-9</t>
  </si>
  <si>
    <t>MD-W15-21-10</t>
  </si>
  <si>
    <t>MD-W15-21-11</t>
  </si>
  <si>
    <t>MD-W15-21-12</t>
  </si>
  <si>
    <t>Casino deposit</t>
    <phoneticPr fontId="2" type="noConversion"/>
  </si>
  <si>
    <t>18-MPB-004-1</t>
    <phoneticPr fontId="2" type="noConversion"/>
  </si>
  <si>
    <t>Porphyry</t>
    <phoneticPr fontId="2" type="noConversion"/>
  </si>
  <si>
    <t>McCurdy 2022 GEEA</t>
    <phoneticPr fontId="2" type="noConversion"/>
  </si>
  <si>
    <t>18-MPB-004-2</t>
    <phoneticPr fontId="2" type="noConversion"/>
  </si>
  <si>
    <t>18-MPB-004-3</t>
  </si>
  <si>
    <t>McCurdy 2022 GEEA</t>
  </si>
  <si>
    <t>18-MPB-004-4</t>
  </si>
  <si>
    <t>18-MPB-004-5</t>
  </si>
  <si>
    <t>18-MPB-004-6</t>
  </si>
  <si>
    <t>18-MPB-004-7</t>
  </si>
  <si>
    <t>18-MPB-004-8</t>
  </si>
  <si>
    <t>18-MPB-004-9</t>
  </si>
  <si>
    <t>18-MPB-004-10</t>
  </si>
  <si>
    <t>18-MPB-004-11</t>
  </si>
  <si>
    <t>18-MPB-004-12</t>
  </si>
  <si>
    <t>18-MPB-004-13</t>
  </si>
  <si>
    <t>18-MPB-004-14</t>
  </si>
  <si>
    <t>18-MPB-004-15</t>
  </si>
  <si>
    <t>18-MPB-004-16</t>
  </si>
  <si>
    <t>18-MPB-004-17</t>
  </si>
  <si>
    <t>18-MPB-004-18</t>
  </si>
  <si>
    <t>18-MPB-004-19</t>
  </si>
  <si>
    <t>18-MPB-004-20</t>
  </si>
  <si>
    <t>18-MPB-004-21</t>
  </si>
  <si>
    <t>18-MPB-004-22</t>
  </si>
  <si>
    <t>18-MPB-004-23</t>
  </si>
  <si>
    <t>18-MPB-004-24</t>
  </si>
  <si>
    <t>18-MPB-004-25</t>
  </si>
  <si>
    <t>18-MPB-004-26</t>
  </si>
  <si>
    <t>18-MPB-004-27</t>
  </si>
  <si>
    <t>18-MPB-004-28</t>
  </si>
  <si>
    <t>18-MPB-004-29</t>
  </si>
  <si>
    <t>18-MPB-004-30</t>
  </si>
  <si>
    <t>18-MPB-004-31</t>
  </si>
  <si>
    <t>18-MPB-004-32</t>
  </si>
  <si>
    <t>18-MPB-004-33</t>
  </si>
  <si>
    <t>18-MPB-004-34</t>
  </si>
  <si>
    <t>18-MPB-004-35</t>
  </si>
  <si>
    <t>18-MPB-004-36</t>
  </si>
  <si>
    <t>18-MPB-004-37</t>
  </si>
  <si>
    <t>18-MPB-004-38</t>
  </si>
  <si>
    <t>18-MPB-004-39</t>
  </si>
  <si>
    <t>18-MPB-004-40</t>
  </si>
  <si>
    <t>18-MPB-004-41</t>
  </si>
  <si>
    <t>18-MPB-004-42</t>
  </si>
  <si>
    <t>18-MPB-004-43</t>
  </si>
  <si>
    <t>18-MPB-004-44</t>
  </si>
  <si>
    <t>18-MPB-004-45</t>
  </si>
  <si>
    <t>18-MPB-004-46</t>
  </si>
  <si>
    <t>18-MPB-004-47</t>
  </si>
  <si>
    <t>18-MPB-004-48</t>
  </si>
  <si>
    <t>18-MPB-004-49</t>
  </si>
  <si>
    <t>18-MPB-004-50</t>
  </si>
  <si>
    <t>18-MPB-004-51</t>
  </si>
  <si>
    <t>18-MPB-004-52</t>
  </si>
  <si>
    <t>18-MPB-004-53</t>
  </si>
  <si>
    <t>18-MPB-004-54</t>
  </si>
  <si>
    <t>18-MPB-004-55</t>
  </si>
  <si>
    <t>18-MPB-004-56</t>
  </si>
  <si>
    <t>18-MPB-004-57</t>
  </si>
  <si>
    <t>18-MPB-004-58</t>
  </si>
  <si>
    <t>18-MPB-004-59</t>
  </si>
  <si>
    <t>18-MPB-004-60</t>
  </si>
  <si>
    <t>18-MPB-004-61</t>
  </si>
  <si>
    <t>18-MPB-004-62</t>
  </si>
  <si>
    <t>18-MPB-004-63</t>
  </si>
  <si>
    <t>18-MPB-004-64</t>
  </si>
  <si>
    <t>18-MPB-004-65</t>
  </si>
  <si>
    <t>18-MPB-004-66</t>
  </si>
  <si>
    <t>18-MPB-004-67</t>
  </si>
  <si>
    <t>18-MPB-004-68</t>
  </si>
  <si>
    <t>18-MPB-004-69</t>
  </si>
  <si>
    <t>18-MPB-004-70</t>
  </si>
  <si>
    <t>18-MPB-004-71</t>
  </si>
  <si>
    <t>18-MPB-004-72</t>
  </si>
  <si>
    <t>18-MPB-004-73</t>
  </si>
  <si>
    <t>18-MPB-004-74</t>
  </si>
  <si>
    <t>18-MPB-004-75</t>
  </si>
  <si>
    <t>18-MPB-004-76</t>
  </si>
  <si>
    <t>18-MPB-004-77</t>
  </si>
  <si>
    <t>18-MPB-004-78</t>
  </si>
  <si>
    <t>18-MPB-004-79</t>
  </si>
  <si>
    <t>18-MPB-004-80</t>
  </si>
  <si>
    <t>18-MPB-004-81</t>
  </si>
  <si>
    <t>18-MPB-004-82</t>
  </si>
  <si>
    <t>18-MPB-004-83</t>
  </si>
  <si>
    <t>18-MPB-004-84</t>
  </si>
  <si>
    <t>18-MPB-004-85</t>
  </si>
  <si>
    <t>18-MPB-004-86</t>
  </si>
  <si>
    <t>18-MPB-004-87</t>
  </si>
  <si>
    <t>18-MPB-004-88</t>
  </si>
  <si>
    <t>18-MPB-004-89</t>
  </si>
  <si>
    <t>18-MPB-004-90</t>
  </si>
  <si>
    <t>18-MPB-004-91</t>
  </si>
  <si>
    <t>18-MPB-004-92</t>
  </si>
  <si>
    <t>18-MPB-004-93</t>
  </si>
  <si>
    <t>18-MPB-004-94</t>
  </si>
  <si>
    <t>18-MPB-004-95</t>
  </si>
  <si>
    <t>18-MPB-004-96</t>
  </si>
  <si>
    <t>18-MPB-004-97</t>
  </si>
  <si>
    <t>18-MPB-004-98</t>
  </si>
  <si>
    <t>18-MPB-004-99</t>
  </si>
  <si>
    <t>18-MPB-004-100</t>
  </si>
  <si>
    <t>18-MPB-004-101</t>
  </si>
  <si>
    <t>18-MPB-004-102</t>
  </si>
  <si>
    <t>18-MPB-004-103</t>
  </si>
  <si>
    <t>18-MPB-004-104</t>
  </si>
  <si>
    <t>18-MPB-004-105</t>
  </si>
  <si>
    <t>18-MPB-004-106</t>
  </si>
  <si>
    <t>18-MPB-004-107</t>
  </si>
  <si>
    <t>18-MPB-004-108</t>
  </si>
  <si>
    <t>18-MPB-004-109</t>
  </si>
  <si>
    <t>18-MPB-004-110</t>
  </si>
  <si>
    <t>18-MPB-004-111</t>
  </si>
  <si>
    <t>18-MPB-004-112</t>
  </si>
  <si>
    <t>18-MPB-004-113</t>
  </si>
  <si>
    <t>18-MPB-004-114</t>
  </si>
  <si>
    <t>18-MPB-004-115</t>
  </si>
  <si>
    <t>18-MPB-004-116</t>
  </si>
  <si>
    <t>18-MPB-004-117</t>
  </si>
  <si>
    <t>18-MPB-004-118</t>
  </si>
  <si>
    <t>18-MPB-004-119</t>
  </si>
  <si>
    <t>18-MPB-004-120</t>
  </si>
  <si>
    <t>18-MPB-004-121</t>
  </si>
  <si>
    <t>18-MPB-004-122</t>
  </si>
  <si>
    <t>18-MPB-004-123</t>
  </si>
  <si>
    <t>18-MPB-004-124</t>
  </si>
  <si>
    <t>18-MPB-004-125</t>
  </si>
  <si>
    <t>18-MPB-004-126</t>
  </si>
  <si>
    <t>18-MPB-004-127</t>
  </si>
  <si>
    <t>18-MPB-004-128</t>
  </si>
  <si>
    <t>18-MPB-004-129</t>
  </si>
  <si>
    <t>18-MPB-004-130</t>
  </si>
  <si>
    <t>18-MPB-004-131</t>
  </si>
  <si>
    <t>18-MPB-004-132</t>
  </si>
  <si>
    <t>18-MPB-004-133</t>
  </si>
  <si>
    <t>18-MPB-004-134</t>
  </si>
  <si>
    <t>18-MPB-004-135</t>
  </si>
  <si>
    <t>18-MPB-004-136</t>
  </si>
  <si>
    <t>18-MPB-004-137</t>
  </si>
  <si>
    <t>18-MPB-004-138</t>
  </si>
  <si>
    <t>18-MPB-004-139</t>
  </si>
  <si>
    <t>18-MPB-004-140</t>
  </si>
  <si>
    <t>18-MPB-004-141</t>
  </si>
  <si>
    <t>18-MPB-004-142</t>
  </si>
  <si>
    <t>18-MPB-004-143</t>
  </si>
  <si>
    <t>18-MPB-004-144</t>
  </si>
  <si>
    <t>18-MPB-004-145</t>
  </si>
  <si>
    <t>18-MPB-004-146</t>
  </si>
  <si>
    <t>18-MPB-004-147</t>
  </si>
  <si>
    <t>18-MPB-004-148</t>
  </si>
  <si>
    <t>18-MPB-004-149</t>
  </si>
  <si>
    <t>18-MPB-004-150</t>
  </si>
  <si>
    <t>18-MPB-004-151</t>
  </si>
  <si>
    <t>18-MPB-004-152</t>
  </si>
  <si>
    <t>18-MPB-004-153</t>
  </si>
  <si>
    <t>18-MPB-004-154</t>
  </si>
  <si>
    <t>18-MPB-004-155</t>
  </si>
  <si>
    <t>18-MPB-004-156</t>
  </si>
  <si>
    <t>18-MPB-004-157</t>
  </si>
  <si>
    <t>18-MPB-004-158</t>
  </si>
  <si>
    <t>18-MPB-004-159</t>
  </si>
  <si>
    <t>18-MPB-004-160</t>
  </si>
  <si>
    <t>18-MPB-004-161</t>
  </si>
  <si>
    <t>18-MPB-004-162</t>
  </si>
  <si>
    <t>18-MPB-004-163</t>
  </si>
  <si>
    <t>18-MPB-004-164</t>
  </si>
  <si>
    <t>18-MPB-004-165</t>
  </si>
  <si>
    <t>18-MPB-004-166</t>
  </si>
  <si>
    <t>18-MPB-004-167</t>
  </si>
  <si>
    <t>18-MPB-004-168</t>
  </si>
  <si>
    <t>18-MPB-004-169</t>
  </si>
  <si>
    <t>18-MPB-004-170</t>
  </si>
  <si>
    <t>18-MPB-004-171</t>
  </si>
  <si>
    <t>18-MPB-004-172</t>
  </si>
  <si>
    <t>18-MPB-004-173</t>
  </si>
  <si>
    <t>18-MPB-004-174</t>
  </si>
  <si>
    <t>18-MPB-004-175</t>
  </si>
  <si>
    <t>18-MPB-004-176</t>
  </si>
  <si>
    <t>18-MPB-004-177</t>
  </si>
  <si>
    <t>18-MPB-004-178</t>
  </si>
  <si>
    <t>18-MPB-004-179</t>
  </si>
  <si>
    <t>18-MPB-004-180</t>
  </si>
  <si>
    <t>18-MPB-004-181</t>
  </si>
  <si>
    <t>18-MPB-004-182</t>
  </si>
  <si>
    <t>18-MPB-004-183</t>
  </si>
  <si>
    <t>18-MPB-004-184</t>
  </si>
  <si>
    <t>18-MPB-004-185</t>
  </si>
  <si>
    <t>18-MPB-004-186</t>
  </si>
  <si>
    <t>18-MPB-004-187</t>
  </si>
  <si>
    <t>18-MPB-004-188</t>
  </si>
  <si>
    <t>18-MPB-004-189</t>
  </si>
  <si>
    <t>18-MPB-004-190</t>
  </si>
  <si>
    <t>18-MPB-004-191</t>
  </si>
  <si>
    <t>18-MPB-004-192</t>
  </si>
  <si>
    <t>18-MPB-004-193</t>
  </si>
  <si>
    <t>18-MPB-004-194</t>
  </si>
  <si>
    <t>18-MPB-004-195</t>
  </si>
  <si>
    <t>18-MPB-004-196</t>
  </si>
  <si>
    <t>18-MPB-004-197</t>
  </si>
  <si>
    <t>18-MPB-004-198</t>
  </si>
  <si>
    <t>18-MPB-004-199</t>
  </si>
  <si>
    <t>18-MPB-004-200</t>
  </si>
  <si>
    <t>18-MPB-004-201</t>
  </si>
  <si>
    <t>18-MPB-004-202</t>
  </si>
  <si>
    <t>18-MPB-004-203</t>
  </si>
  <si>
    <t>18-MPB-004-204</t>
  </si>
  <si>
    <t>18-MPB-004-205</t>
  </si>
  <si>
    <t>18-MPB-004-206</t>
  </si>
  <si>
    <t>18-MPB-004-207</t>
  </si>
  <si>
    <t>18-MPB-004-208</t>
  </si>
  <si>
    <t>18-MPB-004-209</t>
  </si>
  <si>
    <t>18-MPB-004-210</t>
  </si>
  <si>
    <t>18-MPB-004-211</t>
  </si>
  <si>
    <t>18-MPB-004-212</t>
  </si>
  <si>
    <t>18-MPB-004-213</t>
  </si>
  <si>
    <t>18-MYB-001-1</t>
    <phoneticPr fontId="2" type="noConversion"/>
  </si>
  <si>
    <t>18-MYB-001-2</t>
    <phoneticPr fontId="2" type="noConversion"/>
  </si>
  <si>
    <t>18-MYB-001-3</t>
  </si>
  <si>
    <t>18-MYB-001-4</t>
  </si>
  <si>
    <t>18-MYB-001-5</t>
  </si>
  <si>
    <t>18-MYB-001-6</t>
  </si>
  <si>
    <t>18-MYB-001-7</t>
  </si>
  <si>
    <t>18-MYB-001-8</t>
  </si>
  <si>
    <t>18-MYB-001-9</t>
  </si>
  <si>
    <t>18-MYB-001-10</t>
  </si>
  <si>
    <t>18-MYB-001-11</t>
  </si>
  <si>
    <t>18-MYB-001-12</t>
  </si>
  <si>
    <t>18-MYB-001-13</t>
  </si>
  <si>
    <t>18-MYB-001-14</t>
  </si>
  <si>
    <t>18-MYB-001-15</t>
  </si>
  <si>
    <t>18-MYB-001-16</t>
  </si>
  <si>
    <t>18-MYB-001-17</t>
  </si>
  <si>
    <t>18-MYB-001-18</t>
  </si>
  <si>
    <t>18-MYB-001-19</t>
  </si>
  <si>
    <t>18-MYB-001-20</t>
  </si>
  <si>
    <t>18-MYB-001-21</t>
  </si>
  <si>
    <t>18-MYB-001-22</t>
  </si>
  <si>
    <t>18-MYB-001-23</t>
  </si>
  <si>
    <t>18-MYB-001-24</t>
  </si>
  <si>
    <t>18-MYB-001-25</t>
  </si>
  <si>
    <t>18-MYB-001-26</t>
  </si>
  <si>
    <t>18-MYB-001-27</t>
  </si>
  <si>
    <t>18-MYB-001-28</t>
  </si>
  <si>
    <t>18-MYB-001-29</t>
  </si>
  <si>
    <t>18-MYB-001-30</t>
  </si>
  <si>
    <t>18-MYB-001-31</t>
  </si>
  <si>
    <t>18-MYB-001-32</t>
  </si>
  <si>
    <t>18-MYB-001-33</t>
  </si>
  <si>
    <t>18-MYB-001-34</t>
  </si>
  <si>
    <t>18-MYB-001-35</t>
  </si>
  <si>
    <t>18-MYB-001-36</t>
  </si>
  <si>
    <t>18-MYB-001-37</t>
  </si>
  <si>
    <t>18-MYB-001-38</t>
  </si>
  <si>
    <t>18-MYB-001-39</t>
  </si>
  <si>
    <t>18-MYB-001-40</t>
  </si>
  <si>
    <t>18-MYB-001-41</t>
  </si>
  <si>
    <t>18-MYB-001-42</t>
  </si>
  <si>
    <t>18-MYB-001-43</t>
  </si>
  <si>
    <t>18-MYB-001-44</t>
  </si>
  <si>
    <t>18-MYB-001-45</t>
  </si>
  <si>
    <t>18-MYB-001-46</t>
  </si>
  <si>
    <t>18-MYB-001-47</t>
  </si>
  <si>
    <t>18-MYB-001-48</t>
  </si>
  <si>
    <t>18-MYB-001-49</t>
  </si>
  <si>
    <t>18-MYB-001-50</t>
  </si>
  <si>
    <t>18-MYB-001-51</t>
  </si>
  <si>
    <t>18-MYB-001-52</t>
  </si>
  <si>
    <t>18-MYB-001-53</t>
  </si>
  <si>
    <t>18-MYB-001-54</t>
  </si>
  <si>
    <t>18-MYB-001-55</t>
  </si>
  <si>
    <t>18-MYB-001-56</t>
  </si>
  <si>
    <t>18-MYB-001-57</t>
  </si>
  <si>
    <t>18-MYB-001-58</t>
  </si>
  <si>
    <t>18-MYB-001-59</t>
  </si>
  <si>
    <t>18-MYB-001-60</t>
  </si>
  <si>
    <t>18-MYB-001-61</t>
  </si>
  <si>
    <t>18-MYB-001-62</t>
  </si>
  <si>
    <t>18-MYB-001-63</t>
  </si>
  <si>
    <t>18-MYB-001-64</t>
  </si>
  <si>
    <t>18-MYB-001-65</t>
  </si>
  <si>
    <t>18-MYB-001-66</t>
  </si>
  <si>
    <t>18-MYB-001-67</t>
  </si>
  <si>
    <t>18-MYB-001-68</t>
  </si>
  <si>
    <t>18-MYB-001-69</t>
  </si>
  <si>
    <t>18-MYB-001-70</t>
  </si>
  <si>
    <t>18-MYB-001-71</t>
  </si>
  <si>
    <t>18-MYB-001-72</t>
  </si>
  <si>
    <t>18-MYB-001-73</t>
  </si>
  <si>
    <t>18-MYB-001-74</t>
  </si>
  <si>
    <t>18-MYB-001-75</t>
  </si>
  <si>
    <t>18-MYB-001-76</t>
  </si>
  <si>
    <t>18-MYB-001-77</t>
  </si>
  <si>
    <t>18-MYB-001-78</t>
  </si>
  <si>
    <t>18-MYB-001-79</t>
  </si>
  <si>
    <t>18-MYB-001-80</t>
  </si>
  <si>
    <t>18-MYB-001-81</t>
  </si>
  <si>
    <t>18-MYB-001-82</t>
  </si>
  <si>
    <t>18-MYB-001-83</t>
  </si>
  <si>
    <t>18-MYB-001-84</t>
  </si>
  <si>
    <t>18-MYB-001-85</t>
  </si>
  <si>
    <t>18-MYB-001-86</t>
  </si>
  <si>
    <t>18-MYB-001-87</t>
  </si>
  <si>
    <t>18-MYB-001-88</t>
  </si>
  <si>
    <t>18-MYB-001-89</t>
  </si>
  <si>
    <t>18-MYB-001-90</t>
  </si>
  <si>
    <t>18-MYB-001-91</t>
  </si>
  <si>
    <t>18-MYB-002-1</t>
    <phoneticPr fontId="2" type="noConversion"/>
  </si>
  <si>
    <t>18-MYB-002-2</t>
    <phoneticPr fontId="2" type="noConversion"/>
  </si>
  <si>
    <t>18-MYB-002-3</t>
    <phoneticPr fontId="2" type="noConversion"/>
  </si>
  <si>
    <t>18-MYB-002-4</t>
  </si>
  <si>
    <t>18-MYB-002-5</t>
  </si>
  <si>
    <t>18-MYB-002-6</t>
  </si>
  <si>
    <t>18-MYB-002-7</t>
  </si>
  <si>
    <t>18-MYB-002-8</t>
  </si>
  <si>
    <t>18-MYB-002-9</t>
  </si>
  <si>
    <t>18-MYB-002-10</t>
  </si>
  <si>
    <t>18-MYB-002-11</t>
  </si>
  <si>
    <t>18-MYB-002-12</t>
  </si>
  <si>
    <t>18-MYB-002-13</t>
  </si>
  <si>
    <t>18-MYB-002-14</t>
  </si>
  <si>
    <t>18-MYB-002-15</t>
  </si>
  <si>
    <t>18-MYB-002-16</t>
  </si>
  <si>
    <t>18-MYB-002-17</t>
  </si>
  <si>
    <t>18-MYB-002-18</t>
  </si>
  <si>
    <t>18-MYB-002-19</t>
  </si>
  <si>
    <t>18-MYB-002-20</t>
  </si>
  <si>
    <t>18-MYB-002-21</t>
  </si>
  <si>
    <t>18-MYB-002-22</t>
  </si>
  <si>
    <t>18-MYB-002-23</t>
  </si>
  <si>
    <t>18-MYB-002-24</t>
  </si>
  <si>
    <t>18-MYB-002-25</t>
  </si>
  <si>
    <t>18-MYB-002-26</t>
  </si>
  <si>
    <t>18-MYB-002-27</t>
  </si>
  <si>
    <t>18-MYB-002-28</t>
  </si>
  <si>
    <t>18-MYB-002-29</t>
  </si>
  <si>
    <t>18-MYB-002-30</t>
  </si>
  <si>
    <t>18-MYB-002-31</t>
  </si>
  <si>
    <t>18-MYB-002-32</t>
  </si>
  <si>
    <t>18-MYB-002-33</t>
  </si>
  <si>
    <t>18-MYB-002-34</t>
  </si>
  <si>
    <t>18-MYB-002-35</t>
  </si>
  <si>
    <t>18-MYB-002-36</t>
  </si>
  <si>
    <t>18-MYB-002-37</t>
  </si>
  <si>
    <t>18-MYB-002-38</t>
  </si>
  <si>
    <t>18-MYB-002-39</t>
  </si>
  <si>
    <t>18-MYB-002-40</t>
  </si>
  <si>
    <t>18-MYB-002-41</t>
  </si>
  <si>
    <t>18-MYB-002-42</t>
  </si>
  <si>
    <t>18-MYB-002-43</t>
  </si>
  <si>
    <t>18-MYB-002-44</t>
  </si>
  <si>
    <t>18-MYB-002-45</t>
  </si>
  <si>
    <t>18-MYB-002-46</t>
  </si>
  <si>
    <t>18-MYB-002-47</t>
  </si>
  <si>
    <t>18-MYB-002-48</t>
  </si>
  <si>
    <t>18-MYB-002-49</t>
  </si>
  <si>
    <t>18-MYB-002-50</t>
  </si>
  <si>
    <t>18-MYB-002-51</t>
  </si>
  <si>
    <t>18-MYB-002-52</t>
  </si>
  <si>
    <t>18-MYB-002-53</t>
  </si>
  <si>
    <t>18-MYB-002-54</t>
  </si>
  <si>
    <t>18-MYB-002-55</t>
  </si>
  <si>
    <t>18-MYB-002-56</t>
  </si>
  <si>
    <t>18-MYB-002-57</t>
  </si>
  <si>
    <t>18-MYB-002-58</t>
  </si>
  <si>
    <t>18-MYB-002-59</t>
  </si>
  <si>
    <t>18-MYB-002-60</t>
  </si>
  <si>
    <t>18-MYB-002-61</t>
  </si>
  <si>
    <t>18-MYB-002-62</t>
  </si>
  <si>
    <t>18-MYB-002-63</t>
  </si>
  <si>
    <t>18-MYB-002-64</t>
  </si>
  <si>
    <t>18-MYB-002-65</t>
  </si>
  <si>
    <t>18-MYB-002-66</t>
  </si>
  <si>
    <t>18-MYB-002-67</t>
  </si>
  <si>
    <t>18-MYB-002-68</t>
  </si>
  <si>
    <t>18-MYB-002-69</t>
  </si>
  <si>
    <t>18-MYB-002-70</t>
  </si>
  <si>
    <t>18-MYB-002-71</t>
  </si>
  <si>
    <t>18-MYB-002-72</t>
  </si>
  <si>
    <t>18-MYB-002-73</t>
  </si>
  <si>
    <t>18-MYB-002-74</t>
  </si>
  <si>
    <t>18-MYB-002-75</t>
  </si>
  <si>
    <t>18-MYB-002-76</t>
  </si>
  <si>
    <t>18-MYB-002-77</t>
  </si>
  <si>
    <t>18-MYB-002-78</t>
  </si>
  <si>
    <t>18-MYB-002-79</t>
  </si>
  <si>
    <t>18-MYB-002-80</t>
  </si>
  <si>
    <t>18-MYB-002-81</t>
  </si>
  <si>
    <t>18-MYB-002-82</t>
  </si>
  <si>
    <t>18-MYB-002-83</t>
  </si>
  <si>
    <t>18-MYB-002-84</t>
  </si>
  <si>
    <t>18-MYB-002-85</t>
  </si>
  <si>
    <t>18-MYB-002-86</t>
  </si>
  <si>
    <t>18-MYB-002-87</t>
  </si>
  <si>
    <t>18-MYB-002-88</t>
  </si>
  <si>
    <t>18-MYB-002-89</t>
  </si>
  <si>
    <t>18-MYB-002-90</t>
  </si>
  <si>
    <t>18-MYB-002-91</t>
  </si>
  <si>
    <t>18-MYB-002-92</t>
  </si>
  <si>
    <t>18-MYB-002-93</t>
  </si>
  <si>
    <t>18-MYB-002-94</t>
  </si>
  <si>
    <t>18-MYB-002-95</t>
  </si>
  <si>
    <t>18-MYB-002-96</t>
  </si>
  <si>
    <t>18-MYB-002-97</t>
  </si>
  <si>
    <t>18-MYB-002-98</t>
  </si>
  <si>
    <t>18-MYB-002-99</t>
  </si>
  <si>
    <t>18-MYB-002-100</t>
  </si>
  <si>
    <t>18-MYB-002-101</t>
  </si>
  <si>
    <t>18-MYB-002-102</t>
  </si>
  <si>
    <t>18-MYB-002-103</t>
  </si>
  <si>
    <t>18-MYB-002-104</t>
  </si>
  <si>
    <t>18-MYB-002-105</t>
  </si>
  <si>
    <t>18-MYB-002-106</t>
  </si>
  <si>
    <t>18-MYB-002-107</t>
  </si>
  <si>
    <t>18-MYB-002-108</t>
  </si>
  <si>
    <t>18-MYB-002-109</t>
  </si>
  <si>
    <t>18-MYB-002-110</t>
  </si>
  <si>
    <t>18-MYB-002-111</t>
  </si>
  <si>
    <t>18-MYB-002-112</t>
  </si>
  <si>
    <t>18-MYB-002-113</t>
  </si>
  <si>
    <t>18-MYB-002-114</t>
  </si>
  <si>
    <t>18-MYB-002-115</t>
  </si>
  <si>
    <t>18-MYB-002-116</t>
  </si>
  <si>
    <t>18-MYB-002-117</t>
  </si>
  <si>
    <t>18-MYB-002-118</t>
  </si>
  <si>
    <t>18-MYB-002-119</t>
  </si>
  <si>
    <t>18-MYB-002-120</t>
  </si>
  <si>
    <t>18-MYB-002-121</t>
  </si>
  <si>
    <t>18-MYB-002-122</t>
  </si>
  <si>
    <t>18-MYB-002-123</t>
  </si>
  <si>
    <t>18-MYB-002-124</t>
  </si>
  <si>
    <t>18-MYB-002-125</t>
  </si>
  <si>
    <t>18-MYB-002-126</t>
  </si>
  <si>
    <t>18-MYB-002-127</t>
  </si>
  <si>
    <t>18-MYB-002-128</t>
  </si>
  <si>
    <t>18-MYB-002-129</t>
  </si>
  <si>
    <t>18-MYB-002-130</t>
  </si>
  <si>
    <t>18-MYB-002-131</t>
  </si>
  <si>
    <t>18-MYB-002-132</t>
  </si>
  <si>
    <t>18-MYB-002-133</t>
  </si>
  <si>
    <t>18-MYB-002-134</t>
  </si>
  <si>
    <t>18-MYB-002-135</t>
  </si>
  <si>
    <t>18-MYB-002-136</t>
  </si>
  <si>
    <t>18-MYB-002-137</t>
  </si>
  <si>
    <t>18-MYB-002-138</t>
  </si>
  <si>
    <t>18-MYB-002-139</t>
  </si>
  <si>
    <t>18-MYB-002-140</t>
  </si>
  <si>
    <t>18-MYB-002-141</t>
  </si>
  <si>
    <t>18-MYB-002-142</t>
  </si>
  <si>
    <t>18-MYB-002-143</t>
  </si>
  <si>
    <t>18-MYB-002-144</t>
  </si>
  <si>
    <t>18-MYB-002-145</t>
  </si>
  <si>
    <t>18-MYB-002-146</t>
  </si>
  <si>
    <t>18-MYB-002-147</t>
  </si>
  <si>
    <t>18-MYB-002-148</t>
  </si>
  <si>
    <t>18-MYB-002-149</t>
  </si>
  <si>
    <t>18-MYB-002-150</t>
  </si>
  <si>
    <t>18-MYB-002-151</t>
  </si>
  <si>
    <t>18-MYB-002-152</t>
  </si>
  <si>
    <t>18-MYB-002-153</t>
  </si>
  <si>
    <t>18-MYB-002-154</t>
  </si>
  <si>
    <t>18-MYB-002-155</t>
  </si>
  <si>
    <t>18-MYB-002-156</t>
  </si>
  <si>
    <t>18-MYB-002-157</t>
  </si>
  <si>
    <t>18-MYB-002-158</t>
  </si>
  <si>
    <t>18-MYB-002-159</t>
  </si>
  <si>
    <t>18-MYB-002-160</t>
  </si>
  <si>
    <t>18-MYB-002-161</t>
  </si>
  <si>
    <t>18-MYB-002-162</t>
  </si>
  <si>
    <t>18-MYB-002-163</t>
  </si>
  <si>
    <t>18-MYB-002-164</t>
  </si>
  <si>
    <t>18-MYB-002-165</t>
  </si>
  <si>
    <t>18-MYB-002-166</t>
  </si>
  <si>
    <t>18-MYB-002-167</t>
  </si>
  <si>
    <t>18-MYB-002-168</t>
  </si>
  <si>
    <t>18-MYB-002-169</t>
  </si>
  <si>
    <t>18-MYB-002-170</t>
  </si>
  <si>
    <t>18-MYB-002-171</t>
  </si>
  <si>
    <t>18-MYB-002-172</t>
  </si>
  <si>
    <t>18-MYB-002-173</t>
  </si>
  <si>
    <t>18-MYB-002-174</t>
  </si>
  <si>
    <t>18-MYB-002-175</t>
  </si>
  <si>
    <t>18-MYB-002-176</t>
  </si>
  <si>
    <t>18-MYB-002-177</t>
  </si>
  <si>
    <t>18-MYB-002-178</t>
  </si>
  <si>
    <t>18-MYB-002-179</t>
  </si>
  <si>
    <t>18-MYB-002-180</t>
  </si>
  <si>
    <t>18-MYB-002-181</t>
  </si>
  <si>
    <t>18-MYB-002-182</t>
  </si>
  <si>
    <t>18-MYB-002-183</t>
  </si>
  <si>
    <t>18-MYB-002-184</t>
  </si>
  <si>
    <t>18-MYB-002-185</t>
  </si>
  <si>
    <t>18-MYB-002-186</t>
  </si>
  <si>
    <t>18-MYB-002-187</t>
  </si>
  <si>
    <t>18-MYB-002-188</t>
  </si>
  <si>
    <t>18-MYB-002-189</t>
  </si>
  <si>
    <t>18-MYB-002-190</t>
  </si>
  <si>
    <t>18-MYB-002-191</t>
  </si>
  <si>
    <t>18-MYB-002-192</t>
  </si>
  <si>
    <t>18-MYB-002-193</t>
  </si>
  <si>
    <t>18-MYB-002-194</t>
  </si>
  <si>
    <t>18-MYB-002-195</t>
  </si>
  <si>
    <t>18-MYB-002-196</t>
  </si>
  <si>
    <t>18-MYB-002-197</t>
  </si>
  <si>
    <t>18-MYB-002-198</t>
  </si>
  <si>
    <t>18-MYB-002-199</t>
  </si>
  <si>
    <t>Mbarga prospect</t>
    <phoneticPr fontId="2" type="noConversion"/>
  </si>
  <si>
    <t>MB01-01</t>
  </si>
  <si>
    <t>Ngiamte 2024 JGE</t>
    <phoneticPr fontId="2" type="noConversion"/>
  </si>
  <si>
    <t xml:space="preserve">MB01-02 </t>
  </si>
  <si>
    <t xml:space="preserve">MB01-03 </t>
  </si>
  <si>
    <t>Ngiamte 2024 JGE</t>
  </si>
  <si>
    <t>MB01-04</t>
  </si>
  <si>
    <t xml:space="preserve">MB01-05 </t>
  </si>
  <si>
    <t xml:space="preserve">MB01-06 </t>
  </si>
  <si>
    <t>MB01-07</t>
  </si>
  <si>
    <t>MB01-08</t>
  </si>
  <si>
    <t>MB01-09</t>
  </si>
  <si>
    <t>MB01-10</t>
  </si>
  <si>
    <t xml:space="preserve">MB01-11 </t>
  </si>
  <si>
    <t xml:space="preserve">MB01-12 </t>
  </si>
  <si>
    <t>MB01-13</t>
  </si>
  <si>
    <t>MB01-14</t>
  </si>
  <si>
    <t>MB01-15</t>
  </si>
  <si>
    <t xml:space="preserve">MB01-16 </t>
  </si>
  <si>
    <t>MB01-17</t>
  </si>
  <si>
    <t>MB02-01</t>
  </si>
  <si>
    <t>MB02-02</t>
  </si>
  <si>
    <t>MB02-03</t>
  </si>
  <si>
    <t>MB02-04</t>
  </si>
  <si>
    <t>MB02-05</t>
  </si>
  <si>
    <t xml:space="preserve">MB02-06 </t>
  </si>
  <si>
    <t xml:space="preserve">MB02-07 </t>
  </si>
  <si>
    <t xml:space="preserve">MB02-09 </t>
  </si>
  <si>
    <t xml:space="preserve">MB02-10 </t>
  </si>
  <si>
    <t xml:space="preserve">MB02-11 </t>
  </si>
  <si>
    <t xml:space="preserve">MB02-13 </t>
  </si>
  <si>
    <t xml:space="preserve">MB02-14 </t>
  </si>
  <si>
    <t xml:space="preserve">MB02-15 </t>
  </si>
  <si>
    <t xml:space="preserve">MB02-16 </t>
  </si>
  <si>
    <t xml:space="preserve">MB03-01 </t>
  </si>
  <si>
    <t xml:space="preserve">MB03-02 </t>
  </si>
  <si>
    <t xml:space="preserve">MB03-03 </t>
  </si>
  <si>
    <t xml:space="preserve">MB03-04 </t>
  </si>
  <si>
    <t xml:space="preserve">MB03-05 </t>
  </si>
  <si>
    <t xml:space="preserve">MB03-06 </t>
  </si>
  <si>
    <t xml:space="preserve">MB03-07 </t>
  </si>
  <si>
    <t xml:space="preserve">MB03-08 </t>
  </si>
  <si>
    <t xml:space="preserve">MB03-10 </t>
  </si>
  <si>
    <t xml:space="preserve">MB03-11 </t>
  </si>
  <si>
    <t xml:space="preserve">MB03-12 </t>
  </si>
  <si>
    <t xml:space="preserve">MB03-13 </t>
  </si>
  <si>
    <t xml:space="preserve">MB03-14 </t>
  </si>
  <si>
    <t xml:space="preserve">MB03-15 </t>
  </si>
  <si>
    <t>MB03-16</t>
  </si>
  <si>
    <t>MB03-17</t>
  </si>
  <si>
    <t>MB03-18</t>
  </si>
  <si>
    <t>MB03-19</t>
  </si>
  <si>
    <t>MB03-20</t>
  </si>
  <si>
    <t>MB03-21</t>
  </si>
  <si>
    <t>MB03-22</t>
  </si>
  <si>
    <t>MB03-23</t>
  </si>
  <si>
    <t>MB03-24</t>
  </si>
  <si>
    <t>MB03-25</t>
  </si>
  <si>
    <t>MB03-26</t>
  </si>
  <si>
    <t>MB03-27</t>
  </si>
  <si>
    <t>MB03-28</t>
  </si>
  <si>
    <t>MB03-29</t>
  </si>
  <si>
    <t>MB03-30</t>
  </si>
  <si>
    <t>MB03-31</t>
  </si>
  <si>
    <t>MB03-32</t>
  </si>
  <si>
    <t>MB03-33</t>
  </si>
  <si>
    <t>MB03-34</t>
  </si>
  <si>
    <t>MB04-03</t>
  </si>
  <si>
    <t>MB04-04</t>
  </si>
  <si>
    <t>MB04-05</t>
  </si>
  <si>
    <t>MB04-06</t>
  </si>
  <si>
    <t>MB04-07</t>
  </si>
  <si>
    <t>MB04-08</t>
  </si>
  <si>
    <t>MB04-10</t>
  </si>
  <si>
    <t>MB04-11</t>
  </si>
  <si>
    <t>MB04-13</t>
  </si>
  <si>
    <t xml:space="preserve">MB04-14 </t>
  </si>
  <si>
    <t>MB04-15</t>
  </si>
  <si>
    <t>MB04-16</t>
  </si>
  <si>
    <t>MB04-17</t>
  </si>
  <si>
    <t>MB04-18</t>
  </si>
  <si>
    <t>MB04-19</t>
  </si>
  <si>
    <t>MB04-20</t>
  </si>
  <si>
    <t>MB04-21</t>
  </si>
  <si>
    <t>MB04-22</t>
  </si>
  <si>
    <t>MB04-23</t>
  </si>
  <si>
    <t>MB04-24</t>
  </si>
  <si>
    <t>Tianhu</t>
    <phoneticPr fontId="2" type="noConversion"/>
  </si>
  <si>
    <t>THG1-01</t>
  </si>
  <si>
    <t>Huang 2015 OGR</t>
    <phoneticPr fontId="2" type="noConversion"/>
  </si>
  <si>
    <t>THG1-02</t>
  </si>
  <si>
    <t>THG1-03</t>
  </si>
  <si>
    <t>Huang 2015 OGR</t>
  </si>
  <si>
    <t>THG1-04</t>
  </si>
  <si>
    <t>THG1-08</t>
  </si>
  <si>
    <t>THG1-09</t>
  </si>
  <si>
    <t>THG1-10</t>
  </si>
  <si>
    <t>THG1-12</t>
  </si>
  <si>
    <t>THG1-14</t>
  </si>
  <si>
    <t>THG2-01</t>
  </si>
  <si>
    <t>THG2- -02</t>
  </si>
  <si>
    <t>THG2-03</t>
  </si>
  <si>
    <t>THG2-04</t>
  </si>
  <si>
    <t>THG2-05</t>
  </si>
  <si>
    <t>THG2-06</t>
  </si>
  <si>
    <t>THG2- -08</t>
  </si>
  <si>
    <t>THG2-09</t>
  </si>
  <si>
    <t>THG2-10</t>
  </si>
  <si>
    <t>THG2-11</t>
  </si>
  <si>
    <t>THG2-12</t>
  </si>
  <si>
    <t>THG2-13</t>
  </si>
  <si>
    <t>THG2-14</t>
  </si>
  <si>
    <t>THG2-16</t>
  </si>
  <si>
    <t>THG2-17</t>
  </si>
  <si>
    <t>THG2-18</t>
  </si>
  <si>
    <t>THG2-20</t>
  </si>
  <si>
    <t>THG4- -02</t>
  </si>
  <si>
    <t>THG4-03</t>
  </si>
  <si>
    <t>THG4-04</t>
  </si>
  <si>
    <t>THG4-05</t>
  </si>
  <si>
    <t>THG4-06</t>
  </si>
  <si>
    <t>THG4-07</t>
  </si>
  <si>
    <t>THG4-11</t>
  </si>
  <si>
    <t>THG4-12</t>
  </si>
  <si>
    <t>THG4-13</t>
  </si>
  <si>
    <t>THG4-14</t>
  </si>
  <si>
    <t>THG4-16</t>
  </si>
  <si>
    <t>THG4-17</t>
  </si>
  <si>
    <t>THG4-19</t>
  </si>
  <si>
    <t>THG4-21</t>
  </si>
  <si>
    <t>THG5-02</t>
  </si>
  <si>
    <t>THG5-03</t>
  </si>
  <si>
    <t>THG5-04</t>
  </si>
  <si>
    <t>THG5-07</t>
  </si>
  <si>
    <t>THG5-08</t>
  </si>
  <si>
    <t>THG5-09</t>
  </si>
  <si>
    <t>THG5-10</t>
  </si>
  <si>
    <t>THG5-11</t>
  </si>
  <si>
    <t>THG5-12</t>
  </si>
  <si>
    <t>THG5-13</t>
  </si>
  <si>
    <t>THG5-14</t>
  </si>
  <si>
    <t>THG5-15</t>
  </si>
  <si>
    <t>THG5-16</t>
  </si>
  <si>
    <t>THG5-17</t>
  </si>
  <si>
    <t>THG5-18</t>
  </si>
  <si>
    <t>THG5-19</t>
  </si>
  <si>
    <t>THG5-20</t>
  </si>
  <si>
    <t>THG6-01</t>
  </si>
  <si>
    <t>THG6-02</t>
  </si>
  <si>
    <t>THG6- -03</t>
  </si>
  <si>
    <t>THG6-04</t>
  </si>
  <si>
    <t>THG6- -05</t>
  </si>
  <si>
    <t>THG6- -06</t>
  </si>
  <si>
    <t>THG6-07</t>
  </si>
  <si>
    <t>THG6- -08</t>
  </si>
  <si>
    <t>THG6 -09</t>
  </si>
  <si>
    <t>THG6-10</t>
  </si>
  <si>
    <t>THG6-11</t>
  </si>
  <si>
    <t>THG6-13</t>
  </si>
  <si>
    <t>THG6-14</t>
  </si>
  <si>
    <t>THG6-15</t>
  </si>
  <si>
    <t>THG6-16</t>
  </si>
  <si>
    <t>THG6-17</t>
  </si>
  <si>
    <t>THG6-18</t>
  </si>
  <si>
    <t>THG6-19</t>
  </si>
  <si>
    <t>THG6-21</t>
  </si>
  <si>
    <t>THG7-01</t>
  </si>
  <si>
    <t>THG7-03</t>
  </si>
  <si>
    <t>THG7-04</t>
  </si>
  <si>
    <t>THG7-06</t>
  </si>
  <si>
    <t>THG7-10</t>
  </si>
  <si>
    <t>THG7-11</t>
  </si>
  <si>
    <t>THG7-12</t>
  </si>
  <si>
    <t>THG7-13</t>
  </si>
  <si>
    <t>THG7-14</t>
  </si>
  <si>
    <t>THG8-03</t>
  </si>
  <si>
    <t>THG8-04</t>
  </si>
  <si>
    <t>THG8-05</t>
  </si>
  <si>
    <t>THG8-07</t>
  </si>
  <si>
    <t>THG9-01</t>
  </si>
  <si>
    <t>THG9-03</t>
  </si>
  <si>
    <t>THG9- -04</t>
  </si>
  <si>
    <t>THG9 -06</t>
  </si>
  <si>
    <t>THG9-07</t>
  </si>
  <si>
    <t>THG9-09</t>
  </si>
  <si>
    <t>THG9-10</t>
  </si>
  <si>
    <t>THG10-02</t>
  </si>
  <si>
    <t>THG10-03</t>
  </si>
  <si>
    <t>THG10-04</t>
  </si>
  <si>
    <t>THG10- -05</t>
  </si>
  <si>
    <t>THG10- -06</t>
  </si>
  <si>
    <t>THG10-07</t>
  </si>
  <si>
    <t>THG10- -08</t>
  </si>
  <si>
    <t>THG10-10</t>
  </si>
  <si>
    <t>THG10-11</t>
  </si>
  <si>
    <t>THG10-12</t>
  </si>
  <si>
    <t>THG10-13</t>
  </si>
  <si>
    <t>THG10-14</t>
  </si>
  <si>
    <t>THG10-15</t>
  </si>
  <si>
    <t>THG10-16</t>
  </si>
  <si>
    <t>THG10-17</t>
  </si>
  <si>
    <t>THG10-18</t>
  </si>
  <si>
    <t>THG10-19</t>
  </si>
  <si>
    <t>Khetri copper belt</t>
    <phoneticPr fontId="2" type="noConversion"/>
  </si>
  <si>
    <t>AL-1-2</t>
  </si>
  <si>
    <t>Chen 2015 OGR</t>
    <phoneticPr fontId="2" type="noConversion"/>
  </si>
  <si>
    <t>AL-1-3</t>
  </si>
  <si>
    <t>AL-1-4</t>
  </si>
  <si>
    <t>Chen 2015 OGR</t>
  </si>
  <si>
    <t>AL-1-5</t>
  </si>
  <si>
    <t>AL-1-6</t>
  </si>
  <si>
    <t>AL-1-7</t>
  </si>
  <si>
    <t>AL-1-8</t>
  </si>
  <si>
    <t>AL-1-11</t>
  </si>
  <si>
    <t>AL-1-12</t>
  </si>
  <si>
    <t>AL-1-13</t>
  </si>
  <si>
    <t>AL-1-14</t>
  </si>
  <si>
    <t>AL-1-15</t>
  </si>
  <si>
    <t>AL-1-16</t>
  </si>
  <si>
    <t>AL-1-17</t>
  </si>
  <si>
    <t>AL-1-18</t>
  </si>
  <si>
    <t>AL-2-2</t>
  </si>
  <si>
    <t>AL-2-3</t>
  </si>
  <si>
    <t>AL-2-4</t>
  </si>
  <si>
    <t>AL-2-6</t>
  </si>
  <si>
    <t>AL-2-8</t>
  </si>
  <si>
    <t>AL-2-9</t>
  </si>
  <si>
    <t>AL-2-10</t>
  </si>
  <si>
    <t>AL-2-12</t>
  </si>
  <si>
    <t>AL-2-13</t>
  </si>
  <si>
    <t>AL-2-14</t>
  </si>
  <si>
    <t>AL-2-16</t>
  </si>
  <si>
    <t>AL-2-17</t>
  </si>
  <si>
    <t>AL-2-18</t>
  </si>
  <si>
    <t>AL-2-19</t>
  </si>
  <si>
    <t>AL-2-7</t>
  </si>
  <si>
    <t>AL-2-1</t>
  </si>
  <si>
    <t>AL-2-5</t>
  </si>
  <si>
    <t>AL-2-11</t>
  </si>
  <si>
    <t>AL-2-15</t>
  </si>
  <si>
    <t>AL-2-20</t>
  </si>
  <si>
    <t>AL-03-1</t>
  </si>
  <si>
    <t>AL-03-2</t>
  </si>
  <si>
    <t>AL-03-3</t>
  </si>
  <si>
    <t>AL-03-5</t>
  </si>
  <si>
    <t>AL-03-6</t>
  </si>
  <si>
    <t>AL-03-7</t>
  </si>
  <si>
    <t>AL-03-8</t>
  </si>
  <si>
    <t>AL-03-9</t>
  </si>
  <si>
    <t>AL-03-10</t>
  </si>
  <si>
    <t>AL-03-11</t>
  </si>
  <si>
    <t>AL-03-14</t>
  </si>
  <si>
    <t>AL-03-15</t>
  </si>
  <si>
    <t>AL-03-16</t>
  </si>
  <si>
    <t>AL-03-17</t>
  </si>
  <si>
    <t>AL-03-18</t>
  </si>
  <si>
    <t>AL-03-19</t>
  </si>
  <si>
    <t>AL-03-20</t>
  </si>
  <si>
    <t>AL-06-1</t>
  </si>
  <si>
    <t>AL-06-2</t>
  </si>
  <si>
    <t>AL-06-3</t>
  </si>
  <si>
    <t>AL-06-4</t>
  </si>
  <si>
    <t>AL-06-5</t>
  </si>
  <si>
    <t>AL-06-6</t>
  </si>
  <si>
    <t>AL-06-7</t>
  </si>
  <si>
    <t>AL-06-8</t>
  </si>
  <si>
    <t>AL-06-9</t>
  </si>
  <si>
    <t>AL-06-10</t>
  </si>
  <si>
    <t>AL-06-11</t>
  </si>
  <si>
    <t>AL-06-12</t>
  </si>
  <si>
    <t>AL-06-13</t>
  </si>
  <si>
    <t>AL-06-14</t>
  </si>
  <si>
    <t>AL-06-15</t>
  </si>
  <si>
    <t>AL-06-16</t>
  </si>
  <si>
    <t>AL-06-17</t>
  </si>
  <si>
    <t>AL-06-18</t>
  </si>
  <si>
    <t>AL-06-19</t>
  </si>
  <si>
    <t>AL-06-20</t>
  </si>
  <si>
    <t>In-89-1</t>
  </si>
  <si>
    <t>In-89-2</t>
  </si>
  <si>
    <t>In-89-3</t>
  </si>
  <si>
    <t>In-89-4</t>
  </si>
  <si>
    <t>In-89-5</t>
  </si>
  <si>
    <t>In-89-6</t>
  </si>
  <si>
    <t>In-89-7</t>
  </si>
  <si>
    <t>In-89-8</t>
  </si>
  <si>
    <t>In-89-9</t>
  </si>
  <si>
    <t>In-89-10</t>
  </si>
  <si>
    <t>In-90-11</t>
    <phoneticPr fontId="4" type="noConversion"/>
  </si>
  <si>
    <t>In-90-12</t>
  </si>
  <si>
    <t>In-90-13</t>
  </si>
  <si>
    <t>In-90-14</t>
  </si>
  <si>
    <t>In-90-15</t>
  </si>
  <si>
    <t>In-90-16</t>
  </si>
  <si>
    <t>In-90-17</t>
  </si>
  <si>
    <t>In-90-18</t>
  </si>
  <si>
    <t>In-90-19</t>
  </si>
  <si>
    <t>In-90-20</t>
  </si>
  <si>
    <t>MF-03-1</t>
  </si>
  <si>
    <t>MF-03-2</t>
  </si>
  <si>
    <t>MF-03-3</t>
  </si>
  <si>
    <t>MF-03-6</t>
  </si>
  <si>
    <t>MF-1-1</t>
  </si>
  <si>
    <t>MF-1-2</t>
  </si>
  <si>
    <t>MF-1-3</t>
  </si>
  <si>
    <t>MF-1-5</t>
  </si>
  <si>
    <t>MF-1-7</t>
  </si>
  <si>
    <t>MF-1-10</t>
  </si>
  <si>
    <t>MF-1-11</t>
  </si>
  <si>
    <t>Azenhas deposit</t>
    <phoneticPr fontId="2" type="noConversion"/>
  </si>
  <si>
    <t>AZ8.1_z1-1</t>
    <phoneticPr fontId="2" type="noConversion"/>
  </si>
  <si>
    <t>Maia 2022 JGE</t>
    <phoneticPr fontId="2" type="noConversion"/>
  </si>
  <si>
    <t>AZ8.1_z1-2</t>
    <phoneticPr fontId="2" type="noConversion"/>
  </si>
  <si>
    <t>AZ8.1_z1-3</t>
  </si>
  <si>
    <t>Maia 2022 JGE</t>
  </si>
  <si>
    <t>AZ8.1_z1-4</t>
  </si>
  <si>
    <t>AZ8.1_z1-5</t>
  </si>
  <si>
    <t>AZ8.1_z1-6</t>
  </si>
  <si>
    <t>AZ8.1_z1-7</t>
  </si>
  <si>
    <t>AZ8.1_z1-8</t>
  </si>
  <si>
    <t>AZ8.1_z1-9</t>
  </si>
  <si>
    <t>AZ8.1_z1-10</t>
  </si>
  <si>
    <t>AZ8.1_z1-11</t>
  </si>
  <si>
    <t>AZ4.3-1</t>
    <phoneticPr fontId="2" type="noConversion"/>
  </si>
  <si>
    <t>AZ4.3-2</t>
    <phoneticPr fontId="2" type="noConversion"/>
  </si>
  <si>
    <t>AZ4.3-3</t>
  </si>
  <si>
    <t>AZ4.3-4</t>
  </si>
  <si>
    <t>AZ4.3-5</t>
  </si>
  <si>
    <t>AZ4.3-6</t>
  </si>
  <si>
    <t>AZ4.3-7</t>
  </si>
  <si>
    <t>AZ4.3-8</t>
  </si>
  <si>
    <t>AZ4.3-9</t>
  </si>
  <si>
    <t>AZ4.3-10</t>
  </si>
  <si>
    <t>AZ4.3-11</t>
  </si>
  <si>
    <t>AZ4.3-12</t>
  </si>
  <si>
    <t>AZ4.3-13</t>
  </si>
  <si>
    <t>AZ4.3-14</t>
  </si>
  <si>
    <t>AZ4.3-15</t>
  </si>
  <si>
    <t>AZ4.3-16</t>
  </si>
  <si>
    <t>AZ4.3-17</t>
  </si>
  <si>
    <t>AZ4.3-18</t>
  </si>
  <si>
    <t>AZ7.4-1</t>
    <phoneticPr fontId="2" type="noConversion"/>
  </si>
  <si>
    <t>AZ7.4-2</t>
    <phoneticPr fontId="2" type="noConversion"/>
  </si>
  <si>
    <t>AZ7.4-3</t>
  </si>
  <si>
    <t>AZ7.4-4</t>
  </si>
  <si>
    <t>AZ7.4-5</t>
  </si>
  <si>
    <t>AZ7.4-6</t>
  </si>
  <si>
    <t>AZ7.4-7</t>
  </si>
  <si>
    <t>AZ7.4-8</t>
  </si>
  <si>
    <t>AZ7.4-9</t>
  </si>
  <si>
    <t>AZ7.4-10</t>
  </si>
  <si>
    <t>AZ7.4-11</t>
  </si>
  <si>
    <t>AZ7.4-12</t>
  </si>
  <si>
    <t>AZ7.4-13</t>
  </si>
  <si>
    <t>AZ7.4-14</t>
  </si>
  <si>
    <t>AZ4.2.2-1</t>
    <phoneticPr fontId="2" type="noConversion"/>
  </si>
  <si>
    <t>AZ4.2.2-2</t>
    <phoneticPr fontId="2" type="noConversion"/>
  </si>
  <si>
    <t>AZ4.2.2-3</t>
  </si>
  <si>
    <t>AZ4.2.2-4</t>
  </si>
  <si>
    <t>AZ4.2.2-5</t>
  </si>
  <si>
    <t>AZ4.2.2-6</t>
  </si>
  <si>
    <t>AZ4.2.2-7</t>
  </si>
  <si>
    <t>AZ4.2.2-8</t>
  </si>
  <si>
    <t>AZ4.2.2-9</t>
  </si>
  <si>
    <t>AZ4.2.2-10</t>
  </si>
  <si>
    <t>AZ4.2.2-11</t>
  </si>
  <si>
    <t>AZ4.2.2-12</t>
  </si>
  <si>
    <t>AZ4.2.2-13</t>
  </si>
  <si>
    <t>AZ4.2.2-14</t>
  </si>
  <si>
    <t>AZ4.2.2-15</t>
  </si>
  <si>
    <t>AZ4.2.2-16</t>
  </si>
  <si>
    <t>AZ4.2.2-17</t>
  </si>
  <si>
    <t>AZ4.2.2-18</t>
  </si>
  <si>
    <t>AZ4.2.2-19</t>
  </si>
  <si>
    <t>AZ4.2.2-20</t>
  </si>
  <si>
    <t>AZ4.2.2-21</t>
  </si>
  <si>
    <t>AZ4.2.2-22</t>
  </si>
  <si>
    <t>AZ4.2.2-23</t>
  </si>
  <si>
    <t>AZ4.2.2-24</t>
  </si>
  <si>
    <t>AZ4.2.2-25</t>
  </si>
  <si>
    <t>AZ4.2.2-26</t>
  </si>
  <si>
    <t>AZ4.2.2-27</t>
  </si>
  <si>
    <t>AZ4.2.2-28</t>
  </si>
  <si>
    <t>AZ4.2.2-29</t>
  </si>
  <si>
    <t>AZ4.2.2-30</t>
  </si>
  <si>
    <t>AZ4.2.2-31</t>
  </si>
  <si>
    <t>Alvito deposit</t>
    <phoneticPr fontId="2" type="noConversion"/>
  </si>
  <si>
    <t>AL19_z1-1</t>
    <phoneticPr fontId="2" type="noConversion"/>
  </si>
  <si>
    <t>AL19_z1-2</t>
    <phoneticPr fontId="2" type="noConversion"/>
  </si>
  <si>
    <t>AL19_z1-3</t>
  </si>
  <si>
    <t>AL19_z1-4</t>
  </si>
  <si>
    <t>AL19_z1-5</t>
  </si>
  <si>
    <t>AL19_z1-6</t>
  </si>
  <si>
    <t>AL19_z1-7</t>
  </si>
  <si>
    <t>AL19_z1-8</t>
  </si>
  <si>
    <t>AL19_z1-9</t>
  </si>
  <si>
    <t>AL19_z1-10</t>
  </si>
  <si>
    <t>AL19_z1-11</t>
  </si>
  <si>
    <t>AL19_z1-12</t>
  </si>
  <si>
    <t>AL19_z1-13</t>
  </si>
  <si>
    <t>AL19_z1-14</t>
  </si>
  <si>
    <t>AL19_z1-15</t>
  </si>
  <si>
    <t>AL19_z1-16</t>
  </si>
  <si>
    <t>AL19_z1-17</t>
  </si>
  <si>
    <t>AL19_z1-18</t>
  </si>
  <si>
    <t>AL19_z1-19</t>
  </si>
  <si>
    <t>AL19_z2-1</t>
    <phoneticPr fontId="2" type="noConversion"/>
  </si>
  <si>
    <t>AL19_z2-2</t>
    <phoneticPr fontId="2" type="noConversion"/>
  </si>
  <si>
    <t>AL19_z2-3</t>
  </si>
  <si>
    <t>AL19_z2-4</t>
  </si>
  <si>
    <t>AL19_z2-5</t>
  </si>
  <si>
    <t>AL19_z2-6</t>
  </si>
  <si>
    <t>AL19_z2-7</t>
  </si>
  <si>
    <t>AL19_z2-8</t>
  </si>
  <si>
    <t>AL19_z2-9</t>
  </si>
  <si>
    <t>AL19_z2-10</t>
  </si>
  <si>
    <t>AL8-1</t>
    <phoneticPr fontId="2" type="noConversion"/>
  </si>
  <si>
    <t>AL8-2</t>
    <phoneticPr fontId="2" type="noConversion"/>
  </si>
  <si>
    <t>AL8-3</t>
  </si>
  <si>
    <t>AL8-4</t>
  </si>
  <si>
    <t>AL8-5</t>
  </si>
  <si>
    <t>AL8-6</t>
  </si>
  <si>
    <t>AL8-7</t>
  </si>
  <si>
    <t>AL8-8</t>
  </si>
  <si>
    <t>AL8-9</t>
  </si>
  <si>
    <t>AL8-10</t>
  </si>
  <si>
    <t>AL8-11</t>
  </si>
  <si>
    <t>AL8-12</t>
  </si>
  <si>
    <t>AL8-13</t>
  </si>
  <si>
    <t>AL8-14</t>
  </si>
  <si>
    <t>AL8-15</t>
  </si>
  <si>
    <t>AL8-16</t>
  </si>
  <si>
    <t>AL8-17</t>
  </si>
  <si>
    <t>AL8-18</t>
  </si>
  <si>
    <t>AL8-19</t>
  </si>
  <si>
    <t>AL8-20</t>
  </si>
  <si>
    <t>AL8-21</t>
  </si>
  <si>
    <t>AL8-22</t>
  </si>
  <si>
    <t>AL8-23</t>
  </si>
  <si>
    <t>AL8-24</t>
  </si>
  <si>
    <t>AL8-25</t>
  </si>
  <si>
    <t>AL8-26</t>
  </si>
  <si>
    <t>AL8-27</t>
  </si>
  <si>
    <t>AL8-28</t>
  </si>
  <si>
    <t>AL8-29</t>
  </si>
  <si>
    <t>AL8-30</t>
  </si>
  <si>
    <t>AL8-31</t>
  </si>
  <si>
    <t>AL10-1</t>
    <phoneticPr fontId="2" type="noConversion"/>
  </si>
  <si>
    <t>AL10-2</t>
    <phoneticPr fontId="2" type="noConversion"/>
  </si>
  <si>
    <t>AL10-3</t>
  </si>
  <si>
    <t>AL10-4</t>
  </si>
  <si>
    <t>AL10-5</t>
  </si>
  <si>
    <t>AL10-6</t>
  </si>
  <si>
    <t>AL10-7</t>
  </si>
  <si>
    <t>AL10-8</t>
  </si>
  <si>
    <t>AL10-9</t>
  </si>
  <si>
    <t>AL10-10</t>
  </si>
  <si>
    <t>AL10-11</t>
  </si>
  <si>
    <t>AL10-12</t>
  </si>
  <si>
    <t>AL10-13</t>
  </si>
  <si>
    <t>AL10-14</t>
  </si>
  <si>
    <t>AL10-15</t>
  </si>
  <si>
    <t>AL10-16</t>
  </si>
  <si>
    <t>AL10-17</t>
  </si>
  <si>
    <t>AL10-18</t>
  </si>
  <si>
    <t>AL10-19</t>
  </si>
  <si>
    <t>AL10-20</t>
  </si>
  <si>
    <t>AL10-21</t>
  </si>
  <si>
    <t>AL10-22</t>
  </si>
  <si>
    <t>AL10-23</t>
  </si>
  <si>
    <t>AL10-24</t>
  </si>
  <si>
    <t>AL10-25</t>
  </si>
  <si>
    <t>AL10-26</t>
  </si>
  <si>
    <t>AL10-27</t>
  </si>
  <si>
    <t>AL10-28</t>
  </si>
  <si>
    <t>AL10-29</t>
  </si>
  <si>
    <t>AL10-30</t>
  </si>
  <si>
    <t>AL10-31</t>
  </si>
  <si>
    <t>AL10-32</t>
  </si>
  <si>
    <t>AL10-33</t>
  </si>
  <si>
    <t>AL10-34</t>
  </si>
  <si>
    <t>AL10-35</t>
  </si>
  <si>
    <t>AL10-36</t>
  </si>
  <si>
    <t>AL10-37</t>
  </si>
  <si>
    <t>AL10-38</t>
  </si>
  <si>
    <t>AL10-39</t>
  </si>
  <si>
    <t>AL10-40</t>
  </si>
  <si>
    <t>AL10-41</t>
  </si>
  <si>
    <t>AL10-42</t>
  </si>
  <si>
    <t>AL10-43</t>
  </si>
  <si>
    <t>AL10-44</t>
  </si>
  <si>
    <t>AL10-45</t>
  </si>
  <si>
    <t>AL6.2-1</t>
    <phoneticPr fontId="2" type="noConversion"/>
  </si>
  <si>
    <t>AL6.2-2</t>
    <phoneticPr fontId="2" type="noConversion"/>
  </si>
  <si>
    <t>AL6.2-3</t>
  </si>
  <si>
    <t>AL6.2-4</t>
  </si>
  <si>
    <t>AL6.2-5</t>
  </si>
  <si>
    <t>AL6.2-6</t>
  </si>
  <si>
    <t>AL6.2-7</t>
  </si>
  <si>
    <t>AL6.2-8</t>
  </si>
  <si>
    <t>AL6.2-9</t>
  </si>
  <si>
    <t>AL6.2-10</t>
  </si>
  <si>
    <t>AL6.2-11</t>
  </si>
  <si>
    <t>AL6.2-12</t>
  </si>
  <si>
    <t>AL6.2-13</t>
  </si>
  <si>
    <t>AL6.2-14</t>
  </si>
  <si>
    <t>AL6.2-15</t>
  </si>
  <si>
    <t>AL6.2-16</t>
  </si>
  <si>
    <t>AL6.2-17</t>
  </si>
  <si>
    <t>AL6.2-18</t>
  </si>
  <si>
    <t>AL6.2-19</t>
  </si>
  <si>
    <t>AL6.2-20</t>
  </si>
  <si>
    <t>AL6.2-21</t>
  </si>
  <si>
    <t>AL6.2-22</t>
  </si>
  <si>
    <t>AL6.2-23</t>
  </si>
  <si>
    <t>AL6.2-24</t>
  </si>
  <si>
    <t>AL6.2-25</t>
  </si>
  <si>
    <t>AL6.2-26</t>
  </si>
  <si>
    <t>AL6.2-27</t>
  </si>
  <si>
    <t>AL6.2-28</t>
  </si>
  <si>
    <t>AL6.2-29</t>
  </si>
  <si>
    <t>AL6.2-30</t>
  </si>
  <si>
    <t>AL6.2-31</t>
  </si>
  <si>
    <t>AL6.2-32</t>
  </si>
  <si>
    <t>AL6.2-33</t>
  </si>
  <si>
    <t>AL6.2-34</t>
  </si>
  <si>
    <t>AL6.1-1</t>
    <phoneticPr fontId="2" type="noConversion"/>
  </si>
  <si>
    <t>AL6.1-2</t>
    <phoneticPr fontId="2" type="noConversion"/>
  </si>
  <si>
    <t>AL6.1-3</t>
  </si>
  <si>
    <t>AL6.1-4</t>
  </si>
  <si>
    <t>AL6.1-5</t>
  </si>
  <si>
    <t>AL6.1-6</t>
  </si>
  <si>
    <t>AL6.1-7</t>
  </si>
  <si>
    <t>AL6.1-8</t>
  </si>
  <si>
    <t>AL6.1-9</t>
  </si>
  <si>
    <t>AL6.1-10</t>
  </si>
  <si>
    <t>AL6.1-11</t>
  </si>
  <si>
    <t>AL6.1-12</t>
  </si>
  <si>
    <t>AL6.1-13</t>
  </si>
  <si>
    <t>AL6.1-14</t>
  </si>
  <si>
    <t>AL6.1-15</t>
  </si>
  <si>
    <t>AL6.1-16</t>
  </si>
  <si>
    <t>AL6.1-17</t>
  </si>
  <si>
    <t>AL6.1-18</t>
  </si>
  <si>
    <t>AL6.1-19</t>
  </si>
  <si>
    <t>AL6.1-20</t>
  </si>
  <si>
    <t>Makou deposit</t>
    <phoneticPr fontId="2" type="noConversion"/>
  </si>
  <si>
    <t>MK-10-C1-1</t>
  </si>
  <si>
    <t>Liu 2018 JAES</t>
    <phoneticPr fontId="2" type="noConversion"/>
  </si>
  <si>
    <t>MK-10-C1-2</t>
  </si>
  <si>
    <t>MK-10-C1-3</t>
  </si>
  <si>
    <t>Liu 2018 JAES</t>
  </si>
  <si>
    <t>MK-10-C1-4</t>
  </si>
  <si>
    <t>MK-10-C1-5</t>
  </si>
  <si>
    <t>MK-10-C2-1</t>
  </si>
  <si>
    <t>MK-10-C2-2</t>
  </si>
  <si>
    <t>MK-10-C2-3</t>
  </si>
  <si>
    <t>MK-10-C2-5</t>
  </si>
  <si>
    <t>MK-10-C3-1</t>
  </si>
  <si>
    <t>MK-10-C3-2</t>
  </si>
  <si>
    <t>MK-10-C3-3</t>
  </si>
  <si>
    <t>MK-10-C3-4</t>
  </si>
  <si>
    <t>MK-10-C3-5</t>
  </si>
  <si>
    <t>MK-10-C4-3</t>
  </si>
  <si>
    <t>MK-10-C4-4</t>
  </si>
  <si>
    <t>MK-15-01</t>
  </si>
  <si>
    <t>MK-15-02</t>
  </si>
  <si>
    <t xml:space="preserve">MK-15-03 </t>
  </si>
  <si>
    <t>MK-15-04</t>
  </si>
  <si>
    <t>MK-15-05</t>
  </si>
  <si>
    <t>MK-15-06</t>
  </si>
  <si>
    <t>MK-15-07</t>
  </si>
  <si>
    <t>MK-20-01</t>
  </si>
  <si>
    <t>MK-20-02</t>
  </si>
  <si>
    <t>MK-20-03</t>
  </si>
  <si>
    <t>MK-20-04</t>
  </si>
  <si>
    <t>MK-20-05</t>
  </si>
  <si>
    <t>MK-20-06</t>
  </si>
  <si>
    <t>MK-20-07</t>
  </si>
  <si>
    <t>MK-20-08</t>
  </si>
  <si>
    <t>MK-20-09</t>
  </si>
  <si>
    <t>Yangshan deposit</t>
    <phoneticPr fontId="2" type="noConversion"/>
  </si>
  <si>
    <t xml:space="preserve">YS-09-01 </t>
  </si>
  <si>
    <t>YS-09-02</t>
  </si>
  <si>
    <t xml:space="preserve">YS-09-03 </t>
  </si>
  <si>
    <t>YS-09-04</t>
  </si>
  <si>
    <t>YS-09-05</t>
  </si>
  <si>
    <t>YS-09-06</t>
  </si>
  <si>
    <t>YS-09-07</t>
  </si>
  <si>
    <t xml:space="preserve">YS-10-01 </t>
  </si>
  <si>
    <t xml:space="preserve">YS-10-02 </t>
  </si>
  <si>
    <t>YS-10-03</t>
  </si>
  <si>
    <t>YS-10-04</t>
  </si>
  <si>
    <t>YS-10-05</t>
  </si>
  <si>
    <t>YS-10-06</t>
  </si>
  <si>
    <t>YS-10-07</t>
  </si>
  <si>
    <t>YS-10-08</t>
  </si>
  <si>
    <t>YS-10-09</t>
  </si>
  <si>
    <t xml:space="preserve">YS-11-01 </t>
  </si>
  <si>
    <t xml:space="preserve">YS-11-02 </t>
  </si>
  <si>
    <t>YS-11-03</t>
  </si>
  <si>
    <t>YS-11-04</t>
  </si>
  <si>
    <t>YS-11-05</t>
  </si>
  <si>
    <t>YS-11-06</t>
  </si>
  <si>
    <t>YS-11-07</t>
  </si>
  <si>
    <t>YS-11-08</t>
  </si>
  <si>
    <t>YS-11-09</t>
  </si>
  <si>
    <t>Norilsk-Talnakh Mining District</t>
  </si>
  <si>
    <t>90MC15-1</t>
    <phoneticPr fontId="2" type="noConversion"/>
  </si>
  <si>
    <t>Ni-Cu-PGE</t>
    <phoneticPr fontId="2" type="noConversion"/>
  </si>
  <si>
    <t>Duran 2020 EG</t>
    <phoneticPr fontId="2" type="noConversion"/>
  </si>
  <si>
    <t>90MC15-2</t>
    <phoneticPr fontId="2" type="noConversion"/>
  </si>
  <si>
    <t>90OMZ67-5-1-1</t>
    <phoneticPr fontId="2" type="noConversion"/>
  </si>
  <si>
    <t>Duran 2020 EG</t>
  </si>
  <si>
    <t>90OMZ67-5-1-2</t>
    <phoneticPr fontId="2" type="noConversion"/>
  </si>
  <si>
    <t>NR17-1</t>
    <phoneticPr fontId="2" type="noConversion"/>
  </si>
  <si>
    <t>NR17-2</t>
    <phoneticPr fontId="2" type="noConversion"/>
  </si>
  <si>
    <t>NR17-3</t>
  </si>
  <si>
    <t>NR17-4</t>
  </si>
  <si>
    <t>NR17-5</t>
  </si>
  <si>
    <t>NR17-6</t>
  </si>
  <si>
    <t>NR17-7</t>
  </si>
  <si>
    <t>90OMZS2-2-1</t>
    <phoneticPr fontId="2" type="noConversion"/>
  </si>
  <si>
    <t>90OMZS2-2-2</t>
    <phoneticPr fontId="2" type="noConversion"/>
  </si>
  <si>
    <t>90OMZS2-2-3</t>
  </si>
  <si>
    <t>90OMZS2-2-4</t>
  </si>
  <si>
    <t>90OMZS2-2-5</t>
  </si>
  <si>
    <t>90OMZS2-2-6</t>
  </si>
  <si>
    <t>90OMZS2-2-7</t>
  </si>
  <si>
    <t>90OMZS2-3-1</t>
    <phoneticPr fontId="2" type="noConversion"/>
  </si>
  <si>
    <t>90OMZS2-3-2</t>
    <phoneticPr fontId="2" type="noConversion"/>
  </si>
  <si>
    <t>90OMZS2-3-3</t>
  </si>
  <si>
    <t>90OMZS2-3-4</t>
  </si>
  <si>
    <t>90OMZS2-3-5</t>
  </si>
  <si>
    <t>90OMZS2-3-6</t>
  </si>
  <si>
    <t>90OMZS2-3-7</t>
  </si>
  <si>
    <t>90OMZS2-3-8</t>
  </si>
  <si>
    <t>90OMZS2-3-9</t>
  </si>
  <si>
    <t>90OMZS2-3-10</t>
  </si>
  <si>
    <t>90OMZS2-3-11</t>
  </si>
  <si>
    <t>90OMZS2-3-12</t>
  </si>
  <si>
    <t>90OMZS2-3-13</t>
  </si>
  <si>
    <t>90OMZS2-3-14</t>
  </si>
  <si>
    <t>90OMZS2-3-15</t>
  </si>
  <si>
    <t>90OMZS2-3-16</t>
  </si>
  <si>
    <t>90OMZS2-3-17</t>
  </si>
  <si>
    <t>90OMZS2-3-18</t>
  </si>
  <si>
    <t>90OMZS2-3-19</t>
  </si>
  <si>
    <t>90OC13-1</t>
    <phoneticPr fontId="2" type="noConversion"/>
  </si>
  <si>
    <t>90OC13-2</t>
    <phoneticPr fontId="2" type="noConversion"/>
  </si>
  <si>
    <t>90OC13-3</t>
  </si>
  <si>
    <t>90OC13-4</t>
  </si>
  <si>
    <t>90OC13-5</t>
  </si>
  <si>
    <t>90OC13-6</t>
  </si>
  <si>
    <t>90OC13-7</t>
  </si>
  <si>
    <t>90OC13-8</t>
  </si>
  <si>
    <t>90OC13-9</t>
  </si>
  <si>
    <t>90OC13-10</t>
  </si>
  <si>
    <t>90OC13-11</t>
  </si>
  <si>
    <t>90OC13-12</t>
  </si>
  <si>
    <t>NR-13-1</t>
    <phoneticPr fontId="2" type="noConversion"/>
  </si>
  <si>
    <t>NR-13-2</t>
    <phoneticPr fontId="2" type="noConversion"/>
  </si>
  <si>
    <t>NR-13-3</t>
  </si>
  <si>
    <t>NR-13-4</t>
  </si>
  <si>
    <t>NR-13-5</t>
  </si>
  <si>
    <t>NR-14-1</t>
    <phoneticPr fontId="2" type="noConversion"/>
  </si>
  <si>
    <t>NR-14-2</t>
    <phoneticPr fontId="2" type="noConversion"/>
  </si>
  <si>
    <t>NR-14-3</t>
  </si>
  <si>
    <t>NR-14-4</t>
  </si>
  <si>
    <t>NR-14-5</t>
  </si>
  <si>
    <t>NR-14-6</t>
  </si>
  <si>
    <t>NR-14-7</t>
  </si>
  <si>
    <t>NR-14-8</t>
  </si>
  <si>
    <t>NR-14-9</t>
  </si>
  <si>
    <t>NR-14-10</t>
  </si>
  <si>
    <t>NR11-1</t>
    <phoneticPr fontId="2" type="noConversion"/>
  </si>
  <si>
    <t>NR11-2</t>
    <phoneticPr fontId="2" type="noConversion"/>
  </si>
  <si>
    <t>NR6-1</t>
    <phoneticPr fontId="2" type="noConversion"/>
  </si>
  <si>
    <t>NR6-2</t>
    <phoneticPr fontId="2" type="noConversion"/>
  </si>
  <si>
    <t>NR6-3</t>
  </si>
  <si>
    <t>90KMZ5-1</t>
    <phoneticPr fontId="2" type="noConversion"/>
  </si>
  <si>
    <t>90KMZ5-2</t>
    <phoneticPr fontId="2" type="noConversion"/>
  </si>
  <si>
    <t>90KMZ5-3</t>
  </si>
  <si>
    <t>90KMZ5-4</t>
  </si>
  <si>
    <t>90KMZ5-5</t>
  </si>
  <si>
    <t>90KMZ5-6</t>
  </si>
  <si>
    <t>Azenhas-Orada</t>
  </si>
  <si>
    <t>ORA 2-1</t>
    <phoneticPr fontId="2" type="noConversion"/>
  </si>
  <si>
    <t>Maia 2023 JGE</t>
    <phoneticPr fontId="2" type="noConversion"/>
  </si>
  <si>
    <t>ORA 2-2</t>
    <phoneticPr fontId="2" type="noConversion"/>
  </si>
  <si>
    <t>H</t>
  </si>
  <si>
    <t>Skarn</t>
  </si>
  <si>
    <t>Maia 2023 JGE</t>
  </si>
  <si>
    <t>ORA 2-3</t>
  </si>
  <si>
    <t>ORA 2-4</t>
  </si>
  <si>
    <t>ORA 2-5</t>
  </si>
  <si>
    <t>ORA 2-6</t>
  </si>
  <si>
    <t>ORA 2-7</t>
  </si>
  <si>
    <t>ORA 2-8</t>
  </si>
  <si>
    <t>ORA 2-9</t>
  </si>
  <si>
    <t>ORA 2-10</t>
  </si>
  <si>
    <t>ORA 2-11</t>
  </si>
  <si>
    <t>ORA 2-12</t>
  </si>
  <si>
    <t>ORA 2-13</t>
  </si>
  <si>
    <t>ORA 2-14</t>
  </si>
  <si>
    <t>ORA 2-15</t>
  </si>
  <si>
    <t>ORA 2-16</t>
  </si>
  <si>
    <t>ORA 2-17</t>
  </si>
  <si>
    <t>ORA 2-18</t>
  </si>
  <si>
    <t>ORA 2-19</t>
  </si>
  <si>
    <t>ORA 2-20</t>
  </si>
  <si>
    <t>ORA 2-21</t>
  </si>
  <si>
    <t>ORA 2-22</t>
  </si>
  <si>
    <t>ORA 2-23</t>
  </si>
  <si>
    <t>ORA 2-24</t>
  </si>
  <si>
    <t>ORA 2-25</t>
  </si>
  <si>
    <t>ORA 2-26</t>
  </si>
  <si>
    <t>ORA 2-27</t>
  </si>
  <si>
    <t>ORA 2-28</t>
  </si>
  <si>
    <t>ORA 2-29</t>
  </si>
  <si>
    <t>ORA 2-30</t>
  </si>
  <si>
    <t>ORA 2-31</t>
  </si>
  <si>
    <t>ORA 2-32</t>
  </si>
  <si>
    <t>ORA 2-33</t>
  </si>
  <si>
    <t>ORA 2-34</t>
  </si>
  <si>
    <t>ORA 2-35</t>
  </si>
  <si>
    <t>els-sample-6-gr-1_1</t>
  </si>
  <si>
    <t>La Cruz 2020 EG</t>
    <phoneticPr fontId="2" type="noConversion"/>
  </si>
  <si>
    <t>els-sample-6-gr-1_2</t>
  </si>
  <si>
    <t>els-sample-6-gr-1_3</t>
  </si>
  <si>
    <t>La Cruz 2020 EG</t>
  </si>
  <si>
    <t>els-sample-6-gr-1_4</t>
  </si>
  <si>
    <t>els-sample-6-gr-2_1</t>
  </si>
  <si>
    <t>els-sample-6-gr-2_2</t>
  </si>
  <si>
    <t>els-sample-6-gr-2_3</t>
  </si>
  <si>
    <t>els-sample-6-gr-2_4</t>
  </si>
  <si>
    <t>els-sample-6-gr-2_5</t>
  </si>
  <si>
    <t>els-sample-6-gr-2_9</t>
  </si>
  <si>
    <t>els-sample-6-gr-2_10</t>
  </si>
  <si>
    <t>els_t-5gr3-1</t>
  </si>
  <si>
    <t>els_t-5gr3-3</t>
  </si>
  <si>
    <t>els_t2gr2-1</t>
  </si>
  <si>
    <t>els_1gr2-2</t>
  </si>
  <si>
    <t>els_1gr2-3</t>
  </si>
  <si>
    <t>els_1gr2-5</t>
  </si>
  <si>
    <t>els_1gr2-6</t>
  </si>
  <si>
    <t>els_3gr5-1</t>
  </si>
  <si>
    <t>els_3gr5-2</t>
  </si>
  <si>
    <t>els_2gr2-3</t>
  </si>
  <si>
    <t>els_2gr1-1</t>
  </si>
  <si>
    <t>els_2gr1-2</t>
  </si>
  <si>
    <t>els_2gr1-3</t>
  </si>
  <si>
    <t>els_2gr1-4</t>
  </si>
  <si>
    <t>els_2gr1-5</t>
  </si>
  <si>
    <t>els_2gr1-6</t>
  </si>
  <si>
    <t>els_2gr1-7</t>
  </si>
  <si>
    <t>els_2gr1-8</t>
  </si>
  <si>
    <t>el_14outgr1-1</t>
  </si>
  <si>
    <t>el_14in-1</t>
  </si>
  <si>
    <t>ls el-14a-gr-4b_3</t>
  </si>
  <si>
    <t>ls el-14a-gr-4b_4</t>
  </si>
  <si>
    <t>ls el-14a-gr-4b_5</t>
  </si>
  <si>
    <t>ls el-14a-gr-4b_6</t>
  </si>
  <si>
    <t>ls el-14a-gr-4b_7</t>
  </si>
  <si>
    <t>ls el-14a-gr-4b_8</t>
  </si>
  <si>
    <t>ls el-14a-gr-4b_9</t>
  </si>
  <si>
    <t>ls el-14a-gr-4b_10</t>
  </si>
  <si>
    <t>el_3clgr1-1</t>
  </si>
  <si>
    <t>el_3clgr1-5</t>
  </si>
  <si>
    <t>el_3oxgr1-1</t>
  </si>
  <si>
    <t>el_3oxgr1-2</t>
  </si>
  <si>
    <t>el_5ingr2-1</t>
  </si>
  <si>
    <t>el_5ingr2-2</t>
  </si>
  <si>
    <t>el_5ingr2-3</t>
  </si>
  <si>
    <t>el_5ingr2-4</t>
  </si>
  <si>
    <t>el_7oxgr2-4</t>
  </si>
  <si>
    <t>el_cingr2-1</t>
  </si>
  <si>
    <t>el_cingr2-2</t>
  </si>
  <si>
    <t>el_15porous-1</t>
  </si>
  <si>
    <t>el_15porous-2</t>
  </si>
  <si>
    <t>el-ln-6_1</t>
  </si>
  <si>
    <t>el-ln-6_2</t>
  </si>
  <si>
    <t>el-ln-6_3</t>
  </si>
  <si>
    <t>el-ln-6_7</t>
  </si>
  <si>
    <t>el-ln-6_8</t>
  </si>
  <si>
    <t>el-ln-6_9</t>
  </si>
  <si>
    <t>el-ln-6_10</t>
  </si>
  <si>
    <t>el-ln-6_11</t>
  </si>
  <si>
    <t>el_6insgr3-1</t>
  </si>
  <si>
    <t>el_6insgr3-2</t>
  </si>
  <si>
    <t>els-sample-6-gr-1_5</t>
  </si>
  <si>
    <t>els-sample-6-gr-2_6</t>
  </si>
  <si>
    <t>els-sample-6-gr-2_7</t>
  </si>
  <si>
    <t>els-sample-6-gr-2_8</t>
  </si>
  <si>
    <t>els_t-5gr3-2</t>
  </si>
  <si>
    <t>els_1gr2-1</t>
  </si>
  <si>
    <t>els_1gr2-4</t>
  </si>
  <si>
    <t>els_2gr2-1</t>
  </si>
  <si>
    <t>els_2gr2-2</t>
  </si>
  <si>
    <t>els_2gr2-4</t>
  </si>
  <si>
    <t>els_2gr2-5</t>
  </si>
  <si>
    <t>el_14outgr1-2</t>
  </si>
  <si>
    <t>ls el-14a-gr-1_2</t>
  </si>
  <si>
    <t>ls el-14a-gr-1_4</t>
  </si>
  <si>
    <t>ls el-14a-gr-1_5</t>
  </si>
  <si>
    <t>ls el-14a-gr-1_6</t>
  </si>
  <si>
    <t>ls el-14a-gr-1_7</t>
  </si>
  <si>
    <t>ls el-14a-gr-1_8</t>
  </si>
  <si>
    <t>ls el-14a-gr-1_9</t>
  </si>
  <si>
    <t>ls el-14a-gr-1_10</t>
  </si>
  <si>
    <t>ls el-14a-gr-1_11</t>
  </si>
  <si>
    <t>ls el-14a-gr-1_12</t>
  </si>
  <si>
    <t>ls el-14a-gr-4b_1</t>
  </si>
  <si>
    <t>ls el-14a-gr-4b_2</t>
  </si>
  <si>
    <t>el_3clgr1-2</t>
  </si>
  <si>
    <t>el_3clgr1-3</t>
  </si>
  <si>
    <t>el_3clgr1-4</t>
  </si>
  <si>
    <t>el_3clgr1-6</t>
  </si>
  <si>
    <t>el_3clgr1-7</t>
  </si>
  <si>
    <t>el_3oxgr1-3</t>
  </si>
  <si>
    <t>el_3oxgr3-1</t>
  </si>
  <si>
    <t>el_3oxgr3-2</t>
  </si>
  <si>
    <t>el_3oxgr3-3</t>
  </si>
  <si>
    <t>el_5ingr2-5</t>
  </si>
  <si>
    <t>el_5outgr3-1</t>
  </si>
  <si>
    <t>el_5outgr3-5</t>
  </si>
  <si>
    <t>el_5outgr3-6</t>
  </si>
  <si>
    <t>el_5outgr3-7</t>
  </si>
  <si>
    <t>el_5outgr3-8</t>
  </si>
  <si>
    <t>el_5outgr3-9</t>
  </si>
  <si>
    <t>el_5outgr3-10</t>
  </si>
  <si>
    <t>el_5outgr3-11</t>
  </si>
  <si>
    <t>el_7oxgr2-1</t>
  </si>
  <si>
    <t>el_7oxgr2-2</t>
  </si>
  <si>
    <t>el_7oxgr2-3</t>
  </si>
  <si>
    <t>el_7oxgr2-5</t>
  </si>
  <si>
    <t>el_cingr2-3</t>
  </si>
  <si>
    <t>el_boutgr3-4</t>
  </si>
  <si>
    <t>el_boutgr1-2</t>
  </si>
  <si>
    <t>el_boutgr1-3</t>
  </si>
  <si>
    <t>el_boutgr1-4</t>
  </si>
  <si>
    <t>el-ln-6_4</t>
  </si>
  <si>
    <t>el-ln-6_5</t>
  </si>
  <si>
    <t>el-ln-6_6</t>
  </si>
  <si>
    <t>el-ln-6_12</t>
  </si>
  <si>
    <t>el_6outgr1-1</t>
  </si>
  <si>
    <t>el_6outgr1-2</t>
  </si>
  <si>
    <t>el_6outgr1-4</t>
  </si>
  <si>
    <t>el_6outgr1-5</t>
  </si>
  <si>
    <t>el_6outgr1-6</t>
  </si>
  <si>
    <t>el_6outgr1-7</t>
  </si>
  <si>
    <t>el_6outgr1-8</t>
  </si>
  <si>
    <t>el_6insgr3-3</t>
  </si>
  <si>
    <t>el_6insgr3-4</t>
  </si>
  <si>
    <t>el_6insgr3-5</t>
  </si>
  <si>
    <t>el_6insgr3-7</t>
  </si>
  <si>
    <t>el_6insgr3-8</t>
  </si>
  <si>
    <t>el_6insgr3-9</t>
  </si>
  <si>
    <t>el_2gr2-5</t>
  </si>
  <si>
    <t>el_2gr2-6</t>
  </si>
  <si>
    <t>el_2gr2-7</t>
  </si>
  <si>
    <t>el_2gr2-8</t>
  </si>
  <si>
    <t>el_2gr2-9</t>
  </si>
  <si>
    <t>el_2gr2-10</t>
  </si>
  <si>
    <t>el_11outgr1-2</t>
  </si>
  <si>
    <t>el_11outgr1-3</t>
  </si>
  <si>
    <t>el_11outgr1-4</t>
  </si>
  <si>
    <t>el_8gr1-2</t>
  </si>
  <si>
    <t>el_8gr1-3</t>
  </si>
  <si>
    <t>el_8gr1-5</t>
  </si>
  <si>
    <t>el_8gr1-7</t>
  </si>
  <si>
    <t>el_11out_gr3-3</t>
  </si>
  <si>
    <t>el_10coregr1-1</t>
  </si>
  <si>
    <t>el_10coregr1-2</t>
  </si>
  <si>
    <t>el_10coregr1-3</t>
  </si>
  <si>
    <t>el_10coregr1-4</t>
  </si>
  <si>
    <t>el_10coregr1-5</t>
  </si>
  <si>
    <t>el_10coregr1-6</t>
  </si>
  <si>
    <t>el_10coregr1-7</t>
  </si>
  <si>
    <t>el_10coregr1-8</t>
  </si>
  <si>
    <t>el_11outgr1-1</t>
  </si>
  <si>
    <t>el_11outgr1-5</t>
  </si>
  <si>
    <t>el_11out_gr3-2</t>
  </si>
  <si>
    <t>el_8gr1-4</t>
  </si>
  <si>
    <t>el_8gr1-6</t>
  </si>
  <si>
    <t>el_8gr1-8</t>
  </si>
  <si>
    <t>el-va-sample-t-1gr-4_3</t>
  </si>
  <si>
    <t>el-va-sample-t-1gr-4_8</t>
  </si>
  <si>
    <t>el-va-sample-2-gr-3_1</t>
  </si>
  <si>
    <t>el-va-sample-2-gr-3_4</t>
  </si>
  <si>
    <t>el-va-sample-2-gr-3_6</t>
  </si>
  <si>
    <t>el-va-sample-2-gr-4_1</t>
  </si>
  <si>
    <t>el-va-sample-2-gr-4_10</t>
  </si>
  <si>
    <t>el-va-sample-4-gr-5-tr_1</t>
  </si>
  <si>
    <t>el-va-sample-4-gr-5-tr_2</t>
  </si>
  <si>
    <t>el-va-sample-4-gr-5-tr_4</t>
  </si>
  <si>
    <t>el-va-sample-4-gr-5-tr_6</t>
  </si>
  <si>
    <t>el-va-sample-5-t-3_1</t>
  </si>
  <si>
    <t>el-va-sample-5-t-3_2</t>
  </si>
  <si>
    <t>el-va-sample-5-t-3_3</t>
  </si>
  <si>
    <t>el-va-sample-5-t-3_4</t>
  </si>
  <si>
    <t>el-va-sample-1-gr-8_1</t>
  </si>
  <si>
    <t>el-va-sample-1-gr-8_2</t>
  </si>
  <si>
    <t>el-va-sample-1-gr-8_3</t>
  </si>
  <si>
    <t>el-va-sample-1-gr-8_4</t>
  </si>
  <si>
    <t>el-va-sample-1-gr-8_5</t>
  </si>
  <si>
    <t>el-va-sample-1-gr-8_6</t>
  </si>
  <si>
    <t>el-va-sample-1-gr-8_7</t>
  </si>
  <si>
    <t>el-va-sample-3-gr-5_1</t>
  </si>
  <si>
    <t>el-va-sample-3-gr-5_2</t>
  </si>
  <si>
    <t>el-va-sample-3-gr-5_3</t>
  </si>
  <si>
    <t>el-va-sample-3-gr-5_4</t>
  </si>
  <si>
    <t>el-va-sample-3-gr-5_5</t>
  </si>
  <si>
    <t>el-va-sample-3-gr-5_6</t>
  </si>
  <si>
    <t>el-va-sample-3-gr-5_7</t>
  </si>
  <si>
    <t>el-va-sample-3-gr-5_8</t>
  </si>
  <si>
    <t>el-va-sample-3-gr-5_9</t>
  </si>
  <si>
    <t>el-va-sample-t-1gr-1_1</t>
  </si>
  <si>
    <t>el-va-sample-t-1gr-1_2</t>
  </si>
  <si>
    <t>el-va-sample-t-1gr-1_3</t>
  </si>
  <si>
    <t>el-va-sample-t-1gr-1_4</t>
  </si>
  <si>
    <t>el-va-sample-t-1gr-1_5</t>
  </si>
  <si>
    <t>el-va-sample-t-1gr-1_6</t>
  </si>
  <si>
    <t>el-va-sample-t-1gr-1_7</t>
  </si>
  <si>
    <t>el-va-sample-t-1gr-1_8</t>
  </si>
  <si>
    <t>el-va-sample-t-1gr-1_9</t>
  </si>
  <si>
    <t>el-va-sample-t-1gr-1_10</t>
  </si>
  <si>
    <t>el-va-sample-t-1gr-4_2</t>
  </si>
  <si>
    <t>el-va-sample-t-1gr-4_4</t>
  </si>
  <si>
    <t>el-va-sample-t-1gr-4_5</t>
  </si>
  <si>
    <t>el-va-sample-t-1gr-4_6</t>
  </si>
  <si>
    <t>el-va-sample-t-1gr-4_7</t>
  </si>
  <si>
    <t>el-va-sample-2-gr-3_2</t>
  </si>
  <si>
    <t>el-va-sample-2-gr-3_3</t>
  </si>
  <si>
    <t>el-va-sample-2-gr-3_5</t>
  </si>
  <si>
    <t>el-va-sample-2-gr-3_7</t>
  </si>
  <si>
    <t>el-va-sample-2-gr-4_2</t>
  </si>
  <si>
    <t>el-va-sample-2-gr-4_3</t>
  </si>
  <si>
    <t>el-va-sample-2-gr-4_4</t>
  </si>
  <si>
    <t>el-va-sample-2-gr-4_5</t>
  </si>
  <si>
    <t>el-va-sample-2-gr-4_6</t>
  </si>
  <si>
    <t>el-va-sample-2-gr-4_7</t>
  </si>
  <si>
    <t>el-va-sample-2-gr-4_8</t>
  </si>
  <si>
    <t>el-va-sample-2-gr-4_9</t>
  </si>
  <si>
    <t>el-va-sample-4-gr-9_1</t>
  </si>
  <si>
    <t>el-va-sample-4-gr-9_2</t>
  </si>
  <si>
    <t>el-va-sample-4-gr-9_3</t>
  </si>
  <si>
    <t>el-va-sample-4-gr-9_4</t>
  </si>
  <si>
    <t>el-va-sample-4-gr-9_5</t>
  </si>
  <si>
    <t>el-va-sample-4-gr-9_6</t>
  </si>
  <si>
    <t>el-va-sample-4-gr-5-tr_3</t>
  </si>
  <si>
    <t>el-va-sample-4-gr-5-tr_5</t>
  </si>
  <si>
    <t>rnc-sample-7-gr-1_1</t>
  </si>
  <si>
    <t>rnc-sample-7-gr-1_2</t>
  </si>
  <si>
    <t>rnc-sample-7-gr-1_3</t>
  </si>
  <si>
    <t>rnc-sample-7-gr-1_4</t>
  </si>
  <si>
    <t>rnc-sample-7-gr-1_5</t>
  </si>
  <si>
    <t>rnc-sample-7-gr-1_6</t>
  </si>
  <si>
    <t>rnc-sample-7-gr-1_7</t>
  </si>
  <si>
    <t>rnc-sample-7-gr-1_8</t>
  </si>
  <si>
    <t>rnc-sample-7-gr-1_9</t>
  </si>
  <si>
    <t>rnc-sample-7-gr-1_10</t>
  </si>
  <si>
    <t>rnc-sample-7-gr-4_1</t>
  </si>
  <si>
    <t>rnc-sample-7-gr-4_2</t>
  </si>
  <si>
    <t>rnc-sample-7-gr-4_3</t>
  </si>
  <si>
    <t>rnc-sample-7-gr-4_4</t>
  </si>
  <si>
    <t>rnc-sample-7-gr-4_5</t>
  </si>
  <si>
    <t>rnc-sample-7-gr-4_6</t>
  </si>
  <si>
    <t>rnc-sample-7-gr-4_7</t>
  </si>
  <si>
    <t>rnc-sample-7-gr-4_8</t>
  </si>
  <si>
    <t>rnc-sample-7-gr-4_9</t>
  </si>
  <si>
    <t>rnc-sample-7-gr-4_10</t>
  </si>
  <si>
    <t>rnc_1gr2-1</t>
  </si>
  <si>
    <t>rnc_1gr2-2</t>
  </si>
  <si>
    <t>rnc_1gr2-3</t>
  </si>
  <si>
    <t>rnc_1gr2-4</t>
  </si>
  <si>
    <t>rnc_1gr2-5</t>
  </si>
  <si>
    <t>rnc_1gr2-6</t>
  </si>
  <si>
    <t>rnc_1gr2-7</t>
  </si>
  <si>
    <t>rnc_1gr2-8</t>
  </si>
  <si>
    <t>rnc_1gr2-9</t>
  </si>
  <si>
    <t>rnc_1gr2-10</t>
  </si>
  <si>
    <t>rnc_1gr2-11</t>
  </si>
  <si>
    <t>rnc_3gr2-1</t>
  </si>
  <si>
    <t>rnc_3gr2-2</t>
  </si>
  <si>
    <t>rnc_3gr2-3</t>
  </si>
  <si>
    <t>rnc_3gr2-4</t>
  </si>
  <si>
    <t>rnc_3gr2-5</t>
  </si>
  <si>
    <t>rnc_3gr2-6</t>
  </si>
  <si>
    <t>rnc_3gr2-7</t>
  </si>
  <si>
    <t>rnc_3gr2-8</t>
  </si>
  <si>
    <t>rnc_3gr2-9</t>
  </si>
  <si>
    <t>rnc-3gr4-1</t>
  </si>
  <si>
    <t>rnc-3gr4-2</t>
  </si>
  <si>
    <t>rnc-3gr4-3</t>
  </si>
  <si>
    <t>rnc-3gr4-4</t>
  </si>
  <si>
    <t>rnc-3gr4-5</t>
  </si>
  <si>
    <t>rnc-3gr4-6</t>
  </si>
  <si>
    <t>rnc-3gr4-7</t>
  </si>
  <si>
    <t>rnc-3gr4-8</t>
  </si>
  <si>
    <t>rnc_2gr4-1</t>
  </si>
  <si>
    <t>rnc_2gr4-2</t>
  </si>
  <si>
    <t>rnc_2gr4-3</t>
  </si>
  <si>
    <t>rnc_2gr4-4</t>
  </si>
  <si>
    <t>rnc_2gr4-5</t>
  </si>
  <si>
    <t>rnc_2gr4-6</t>
  </si>
  <si>
    <t>rnc_2gr4-7</t>
  </si>
  <si>
    <t>rnc_2gr4-8</t>
  </si>
  <si>
    <t>rnc_2gr4-9</t>
  </si>
  <si>
    <t>rnc_2gr4-10</t>
  </si>
  <si>
    <t>rnc_2gr2-1</t>
  </si>
  <si>
    <t>rnc_2gr2-2</t>
  </si>
  <si>
    <t>rnc_2gr2-3</t>
  </si>
  <si>
    <t>rnc_2gr2-4</t>
  </si>
  <si>
    <t>rnc_2gr2-5</t>
  </si>
  <si>
    <t>rnc_2gr2-6</t>
  </si>
  <si>
    <t>rnc_2gr2-7</t>
  </si>
  <si>
    <t>rnc_2gr2-8</t>
  </si>
  <si>
    <t>rnc-4gr1-1</t>
  </si>
  <si>
    <t>rnc-4gr1-2</t>
  </si>
  <si>
    <t>rnc-4gr1-3</t>
  </si>
  <si>
    <t>rnc-4gr1-4</t>
  </si>
  <si>
    <t>rnc-4gr1-5</t>
  </si>
  <si>
    <t>rnc-4gr1-6</t>
  </si>
  <si>
    <t>rnc-4gr1-7</t>
  </si>
  <si>
    <t>rnc-4gr1-8</t>
  </si>
  <si>
    <t>rnc-4gr1-9</t>
  </si>
  <si>
    <t>rnc-4gr1-10</t>
  </si>
  <si>
    <t>rnc-4gr1-11</t>
  </si>
  <si>
    <t>rnd_gr2-1</t>
  </si>
  <si>
    <t>rnd_gr2-2</t>
  </si>
  <si>
    <t>rnd_gr2-3</t>
  </si>
  <si>
    <t>rnd_gr2-4</t>
  </si>
  <si>
    <t>rnd_gr2-5</t>
  </si>
  <si>
    <t>rnd_gr2-6</t>
  </si>
  <si>
    <t>rnd_gr2-7</t>
  </si>
  <si>
    <t>rnd_gr2-8</t>
  </si>
  <si>
    <t>rnd_gr2-9</t>
  </si>
  <si>
    <t>rnd_gr2-10</t>
  </si>
  <si>
    <t>rnd_gr2-11</t>
  </si>
  <si>
    <t>rnd_gr2-12</t>
  </si>
  <si>
    <t>rnd_gr2-13</t>
  </si>
  <si>
    <t>rnd_gr2-14</t>
  </si>
  <si>
    <t>rnd_gr2-15</t>
  </si>
  <si>
    <t>rnd_gr2-16</t>
  </si>
  <si>
    <t>rnd_gr3-1</t>
  </si>
  <si>
    <t>rnd_gr3-2</t>
  </si>
  <si>
    <t>rnd_gr3-3</t>
  </si>
  <si>
    <t>rnd_gr3-4</t>
  </si>
  <si>
    <t>rnd_gr3-5</t>
  </si>
  <si>
    <t>rnd_gr3-6</t>
  </si>
  <si>
    <t>rnd_gr3-7</t>
  </si>
  <si>
    <t>rnd_gr3-8</t>
  </si>
  <si>
    <t>rnd_gr3-9</t>
  </si>
  <si>
    <t>rnd_gr3-10</t>
  </si>
  <si>
    <t>rnd_gr3-11</t>
  </si>
  <si>
    <t>cg2_gr4-1</t>
  </si>
  <si>
    <t>cg2_gr4-3</t>
  </si>
  <si>
    <t>cg2_gr4-10</t>
  </si>
  <si>
    <t>cg3_gr9-1</t>
  </si>
  <si>
    <t>cg3_gr9-3</t>
  </si>
  <si>
    <t>cg3_gr9-4</t>
  </si>
  <si>
    <t>cg3_gr9-5</t>
  </si>
  <si>
    <t>cg3_gr9-6</t>
  </si>
  <si>
    <t>cg3_gr9-7</t>
  </si>
  <si>
    <t>cg3_gr9-8</t>
  </si>
  <si>
    <t>cg3_gr9-9</t>
  </si>
  <si>
    <t>cg3_gr9-10</t>
  </si>
  <si>
    <t>cg3_gr9-11</t>
  </si>
  <si>
    <t>cg3_gr9-12</t>
  </si>
  <si>
    <t>cg-3-gr6-1</t>
  </si>
  <si>
    <t>cg-3-gr6-2</t>
  </si>
  <si>
    <t>cg-3-gr6-4</t>
  </si>
  <si>
    <t>cg-3-gr7-2</t>
  </si>
  <si>
    <t>cg-3-gr7-5</t>
  </si>
  <si>
    <t>cg-3-gr7-7</t>
  </si>
  <si>
    <t>cg-3-gr7-8</t>
  </si>
  <si>
    <t>cg-3-gr7-9</t>
  </si>
  <si>
    <t>cg3_gr8_1</t>
  </si>
  <si>
    <t>cg3_gr8_2</t>
  </si>
  <si>
    <t>cg3_gr8_3</t>
  </si>
  <si>
    <t>cg3_gr8_4</t>
  </si>
  <si>
    <t>cg3_gr8_5</t>
  </si>
  <si>
    <t>cg3_gr4-1</t>
  </si>
  <si>
    <t>cg3_gr4-2</t>
  </si>
  <si>
    <t>cg3_gr4-3</t>
  </si>
  <si>
    <t>cg3_gr4-4</t>
  </si>
  <si>
    <t>cg3_gr4-5</t>
  </si>
  <si>
    <t>cg3_gr4-6</t>
  </si>
  <si>
    <t>cg3_gr4-7</t>
  </si>
  <si>
    <t>cg3_gr4-9</t>
  </si>
  <si>
    <t>cg3_gr4-10</t>
  </si>
  <si>
    <t>cg3_gr4-11</t>
  </si>
  <si>
    <t>cg4_gr2-1</t>
  </si>
  <si>
    <t>cg4_gr2-2</t>
  </si>
  <si>
    <t>cg4_gr2-4</t>
  </si>
  <si>
    <t>cg4_gr2-6</t>
  </si>
  <si>
    <t>cg4_Gr3_1</t>
  </si>
  <si>
    <t>cg4_Gr3_2</t>
  </si>
  <si>
    <t>cg4_Gr3_3</t>
  </si>
  <si>
    <t>cg4_Gr3_4</t>
  </si>
  <si>
    <t>cg4_Gr3_5</t>
  </si>
  <si>
    <t>cg4_Gr3_6</t>
  </si>
  <si>
    <t>cg4_Gr3_7</t>
  </si>
  <si>
    <t>cg4_Gr3_8</t>
  </si>
  <si>
    <t>cg2_gr4-2</t>
  </si>
  <si>
    <t>cg2_gr4-4</t>
  </si>
  <si>
    <t>cg2_gr4-5</t>
  </si>
  <si>
    <t>cg2_gr4-6</t>
  </si>
  <si>
    <t>cg2_gr4-7</t>
  </si>
  <si>
    <t>cg2_gr4-8</t>
  </si>
  <si>
    <t>cg2_gr4-9</t>
  </si>
  <si>
    <t>cg2_gr7-1</t>
  </si>
  <si>
    <t>cg2_gr7-2</t>
  </si>
  <si>
    <t>cg2_gr7-3</t>
  </si>
  <si>
    <t>cg2_gr7-4</t>
  </si>
  <si>
    <t>cg2_gr7-5</t>
  </si>
  <si>
    <t>cg2_gr7-6</t>
  </si>
  <si>
    <t>cg2_gr7-7</t>
  </si>
  <si>
    <t>cg2_gr7-8</t>
  </si>
  <si>
    <t>cg2_gr7-9</t>
  </si>
  <si>
    <t>cg2_gr7-10</t>
  </si>
  <si>
    <t>cg_1gr5-1</t>
  </si>
  <si>
    <t>cg_1gr5-2</t>
  </si>
  <si>
    <t>cg_1gr5-3</t>
  </si>
  <si>
    <t>cg_1gr5-4</t>
  </si>
  <si>
    <t>cg_1gr5-5</t>
  </si>
  <si>
    <t>cg_1gr5-6</t>
  </si>
  <si>
    <t>cg_1gr5-7</t>
  </si>
  <si>
    <t>cg_1gr5-8</t>
  </si>
  <si>
    <t>cg_1gr5-9</t>
  </si>
  <si>
    <t>cg_1gr5-10</t>
  </si>
  <si>
    <t>cg_1gr7-1</t>
  </si>
  <si>
    <t>cg_1gr7-2</t>
  </si>
  <si>
    <t>cg_1gr7-3</t>
  </si>
  <si>
    <t>cg_1gr7-4</t>
  </si>
  <si>
    <t>cg_1gr7-5</t>
  </si>
  <si>
    <t>cg_1gr7-6</t>
  </si>
  <si>
    <t>cg5_gr1-1</t>
  </si>
  <si>
    <t>cg5_gr1-2</t>
  </si>
  <si>
    <t>cg5_gr1-3</t>
  </si>
  <si>
    <t>cg5_gr1-4</t>
  </si>
  <si>
    <t>cg5_gr1-5</t>
  </si>
  <si>
    <t>cg5_gr1-6</t>
  </si>
  <si>
    <t>cg5_gr1-7</t>
  </si>
  <si>
    <t>cg5_gr1-8</t>
  </si>
  <si>
    <t>cg5_gr1-9</t>
  </si>
  <si>
    <t>cg5_gr4-1</t>
  </si>
  <si>
    <t>cg5_gr4-2</t>
  </si>
  <si>
    <t>cg5_gr4-3</t>
  </si>
  <si>
    <t>cg5_gr4-4</t>
  </si>
  <si>
    <t>cg5_gr4-5</t>
  </si>
  <si>
    <t>cg5_gr4-6</t>
  </si>
  <si>
    <t>cg5_gr4-7</t>
  </si>
  <si>
    <t>cg5_gr4-8</t>
  </si>
  <si>
    <t>cg5_gr4-9</t>
  </si>
  <si>
    <t>cg5_gr4-10</t>
  </si>
  <si>
    <t>cg3_gr9-2</t>
  </si>
  <si>
    <t>cg-3-gr6-3</t>
  </si>
  <si>
    <t>cg-3-gr6-5</t>
  </si>
  <si>
    <t>cg-3-gr6-6</t>
  </si>
  <si>
    <t>cg-3-gr7-1</t>
  </si>
  <si>
    <t>cg-3-gr7-4</t>
  </si>
  <si>
    <t>cg-3-gr7-10</t>
  </si>
  <si>
    <t>cg3_gr8_6</t>
  </si>
  <si>
    <t>cg3_gr8_7</t>
  </si>
  <si>
    <t>cg3_gr8_8</t>
  </si>
  <si>
    <t>cg3_gr4-8</t>
  </si>
  <si>
    <t>cg4_gr2-3</t>
  </si>
  <si>
    <t>cg4_gr2-5</t>
  </si>
  <si>
    <t>cg4_gr2-7</t>
  </si>
  <si>
    <t>cg4_gr2-8</t>
  </si>
  <si>
    <t>cg4_gr2-9</t>
  </si>
  <si>
    <t>cg4_gr2-10</t>
  </si>
  <si>
    <t>CG02_1</t>
  </si>
  <si>
    <t>Ovalle 2022 GCA</t>
    <phoneticPr fontId="2" type="noConversion"/>
  </si>
  <si>
    <t>CG02_2</t>
  </si>
  <si>
    <t>CG02_3</t>
  </si>
  <si>
    <t>Ovalle 2022 GCA</t>
  </si>
  <si>
    <t>CG02_4</t>
  </si>
  <si>
    <t>CG02_5</t>
  </si>
  <si>
    <t>CG02_6</t>
  </si>
  <si>
    <t>CG02_7</t>
  </si>
  <si>
    <t>CG02_8</t>
  </si>
  <si>
    <t>CG02_9</t>
  </si>
  <si>
    <t>CG02_10</t>
  </si>
  <si>
    <t>CG02_11</t>
  </si>
  <si>
    <t>CG02_12</t>
  </si>
  <si>
    <t>CG02_13</t>
  </si>
  <si>
    <t>CG02_14</t>
  </si>
  <si>
    <t>CG02_15</t>
  </si>
  <si>
    <t>CG02_16</t>
  </si>
  <si>
    <t>CG02_17</t>
  </si>
  <si>
    <t>CG02_18</t>
  </si>
  <si>
    <t>CG02_19</t>
  </si>
  <si>
    <t>RN03_1</t>
  </si>
  <si>
    <t>RN03_2</t>
  </si>
  <si>
    <t>RN03_3</t>
  </si>
  <si>
    <t>RN03_4</t>
  </si>
  <si>
    <t>RN03_5</t>
  </si>
  <si>
    <t>RN03_6</t>
  </si>
  <si>
    <t>RN03_7</t>
  </si>
  <si>
    <t>RN03_8</t>
  </si>
  <si>
    <t>RN03_9</t>
  </si>
  <si>
    <t>RN03_10</t>
  </si>
  <si>
    <t>RN03_11</t>
  </si>
  <si>
    <t>RN03_12</t>
  </si>
  <si>
    <t>RN03_13</t>
  </si>
  <si>
    <t>RN03_14</t>
  </si>
  <si>
    <t>RN03_15</t>
  </si>
  <si>
    <t>SVA1_04_1</t>
  </si>
  <si>
    <t>SVA1_04_2</t>
  </si>
  <si>
    <t>SVA1_04_3</t>
  </si>
  <si>
    <t>SVA1_04_4</t>
  </si>
  <si>
    <t>SVA1_04_5</t>
  </si>
  <si>
    <t>SVA1_04_6</t>
  </si>
  <si>
    <t>SVA1_04_7</t>
  </si>
  <si>
    <t>SVA1_04_8</t>
  </si>
  <si>
    <t>SVA1_04_9</t>
  </si>
  <si>
    <t>SVA1_04_10</t>
  </si>
  <si>
    <t>SVA1_04_11</t>
  </si>
  <si>
    <t>SVA1_04_12</t>
  </si>
  <si>
    <t>SVA1_04_13</t>
  </si>
  <si>
    <t>SVA1_04_14</t>
  </si>
  <si>
    <t>LCN05a_1</t>
  </si>
  <si>
    <t>LCN05a_2</t>
  </si>
  <si>
    <t>LCN05a_3</t>
  </si>
  <si>
    <t>LCN05a_4</t>
  </si>
  <si>
    <t>LCN05a_5</t>
  </si>
  <si>
    <t>LCN05a_6</t>
  </si>
  <si>
    <t>LCN05a_7</t>
  </si>
  <si>
    <t>LCN05a_8</t>
  </si>
  <si>
    <t>LCN05a_9</t>
  </si>
  <si>
    <t>LCN05a_10</t>
  </si>
  <si>
    <t>LCN05a_11</t>
  </si>
  <si>
    <t>LCN05a_12</t>
  </si>
  <si>
    <t>LCN05a_13</t>
  </si>
  <si>
    <t>LCN05a_14</t>
  </si>
  <si>
    <t>RN07_1</t>
  </si>
  <si>
    <t>RN07_2</t>
  </si>
  <si>
    <t>RN07_3</t>
  </si>
  <si>
    <t>RN07_4</t>
  </si>
  <si>
    <t>RN07_5</t>
  </si>
  <si>
    <t>RN07_6</t>
  </si>
  <si>
    <t>RN07_7</t>
  </si>
  <si>
    <t>RN07_8</t>
  </si>
  <si>
    <t>RN07_9</t>
  </si>
  <si>
    <t>RN07_10</t>
  </si>
  <si>
    <t>RN07_11</t>
  </si>
  <si>
    <t>RN07_12</t>
  </si>
  <si>
    <t>RN07_13</t>
  </si>
  <si>
    <t>RN07_14</t>
  </si>
  <si>
    <t>RN07_15</t>
  </si>
  <si>
    <t>RN07_16</t>
  </si>
  <si>
    <t>LCN07a_1</t>
  </si>
  <si>
    <t>LCN07a_2</t>
  </si>
  <si>
    <t>LCN07a_3</t>
  </si>
  <si>
    <t>LCN07a_4</t>
  </si>
  <si>
    <t>LCN07a_5</t>
  </si>
  <si>
    <t>LCN07a_6</t>
  </si>
  <si>
    <t>LCN07a_7</t>
  </si>
  <si>
    <t>LCN07a_8</t>
  </si>
  <si>
    <t>LCN07a_9</t>
  </si>
  <si>
    <t>LCN07a_10</t>
  </si>
  <si>
    <t>LCN07a_11</t>
  </si>
  <si>
    <t>LCN07a_12</t>
  </si>
  <si>
    <t>LCN07a_13</t>
  </si>
  <si>
    <t>LCN07a_14</t>
  </si>
  <si>
    <t>LCN07a_15</t>
  </si>
  <si>
    <t>LCN07a_16</t>
  </si>
  <si>
    <t>LCN07a_17</t>
  </si>
  <si>
    <t>LCN07a_18</t>
  </si>
  <si>
    <t>LCN07a_19</t>
  </si>
  <si>
    <t>LCN07a_20</t>
  </si>
  <si>
    <t>LCN07a_21</t>
  </si>
  <si>
    <t>CG08_1</t>
  </si>
  <si>
    <t>CG08_4</t>
  </si>
  <si>
    <t>CG08_5</t>
  </si>
  <si>
    <t>CG08_7</t>
  </si>
  <si>
    <t>CG08_8</t>
  </si>
  <si>
    <t>CG08_9</t>
  </si>
  <si>
    <t>CG08_12</t>
  </si>
  <si>
    <t>CG08_13</t>
  </si>
  <si>
    <t>CG08_14</t>
  </si>
  <si>
    <t>CG08_18</t>
  </si>
  <si>
    <t>SVA1_11_1</t>
  </si>
  <si>
    <t>SVA1_11_2</t>
  </si>
  <si>
    <t>SVA1_11_3</t>
  </si>
  <si>
    <t>SVA1_11_4</t>
  </si>
  <si>
    <t>SVA1_11_5</t>
  </si>
  <si>
    <t>SVA1_11_6</t>
  </si>
  <si>
    <t>SVA1_11_7</t>
  </si>
  <si>
    <t>SVA1_11_8</t>
  </si>
  <si>
    <t>SVA1_11_9</t>
  </si>
  <si>
    <t>SVA1_11_10</t>
  </si>
  <si>
    <t>SVA1_11_11</t>
  </si>
  <si>
    <t>SVA1_11_12</t>
  </si>
  <si>
    <t>SVA1_11_13</t>
  </si>
  <si>
    <t>SVB_11_1</t>
  </si>
  <si>
    <t>SVB_11_2</t>
  </si>
  <si>
    <t>SVB_11_3</t>
  </si>
  <si>
    <t>SVB_11_4</t>
  </si>
  <si>
    <t>SVB_11_5</t>
  </si>
  <si>
    <t>SVB_11_7</t>
  </si>
  <si>
    <t>SVB_11_8</t>
  </si>
  <si>
    <t>SVB_11_9</t>
  </si>
  <si>
    <t>SVB_11_10</t>
  </si>
  <si>
    <t>SVB_11_11</t>
  </si>
  <si>
    <t>SVB_11_12</t>
  </si>
  <si>
    <t>SVB_11_13</t>
  </si>
  <si>
    <t>SVB_11_14</t>
  </si>
  <si>
    <t>SVA1_14_1</t>
  </si>
  <si>
    <t>SVA1_14_2</t>
  </si>
  <si>
    <t>SVA1_14_3</t>
  </si>
  <si>
    <t>SVA1_14_4</t>
  </si>
  <si>
    <t>SVA1_14_5</t>
  </si>
  <si>
    <t>SVA1_14_6</t>
  </si>
  <si>
    <t>SVA1_14_7</t>
  </si>
  <si>
    <t>SVA1_14_8</t>
  </si>
  <si>
    <t>SVA1_14_9</t>
  </si>
  <si>
    <t>SVA1_14_10</t>
  </si>
  <si>
    <t>SVA1_14_11</t>
  </si>
  <si>
    <t>SVA1_14_12</t>
  </si>
  <si>
    <t>SVA1_14_13</t>
  </si>
  <si>
    <t>SVA1_14_14</t>
  </si>
  <si>
    <t>SVA1_14_15</t>
  </si>
  <si>
    <t>SVA1_14_16</t>
  </si>
  <si>
    <t>SVA1_14_17</t>
  </si>
  <si>
    <t>SVA1_14_18</t>
  </si>
  <si>
    <t>SVA1_14_19</t>
  </si>
  <si>
    <t>SVA1_14_20</t>
  </si>
  <si>
    <t>SVA1_14_21</t>
  </si>
  <si>
    <t>LCO318a_1</t>
  </si>
  <si>
    <t>LCO318a_2</t>
  </si>
  <si>
    <t>LCO318a_3</t>
  </si>
  <si>
    <t>LCO318a_4</t>
  </si>
  <si>
    <t>LCO318a_6</t>
  </si>
  <si>
    <t>LCO318a_7</t>
  </si>
  <si>
    <t>LCO318a_8</t>
  </si>
  <si>
    <t>LCO318a_9</t>
  </si>
  <si>
    <t>LCO318a_10</t>
  </si>
  <si>
    <t>LCO318a_11</t>
  </si>
  <si>
    <t>LCO318a_12</t>
  </si>
  <si>
    <t>LCO318a_13</t>
  </si>
  <si>
    <t>RN16_1</t>
  </si>
  <si>
    <t>RN16_2</t>
  </si>
  <si>
    <t>RN16_3</t>
  </si>
  <si>
    <t>RN16_4</t>
  </si>
  <si>
    <t>RN16_5</t>
  </si>
  <si>
    <t>RN16_6</t>
  </si>
  <si>
    <t>RN16_7</t>
  </si>
  <si>
    <t>RN16_8</t>
  </si>
  <si>
    <t>RN16_9</t>
  </si>
  <si>
    <t>RN16_10</t>
  </si>
  <si>
    <t>RN16_11</t>
  </si>
  <si>
    <t>RN16_12</t>
  </si>
  <si>
    <t>RN16_13</t>
  </si>
  <si>
    <t>RN16_14</t>
  </si>
  <si>
    <t>RN16_15</t>
  </si>
  <si>
    <t>RN16_16</t>
  </si>
  <si>
    <t>RN16_17</t>
  </si>
  <si>
    <t>EPI28_1</t>
  </si>
  <si>
    <t>EPI28_2</t>
  </si>
  <si>
    <t>EPI28_3</t>
  </si>
  <si>
    <t>EPI28_4</t>
  </si>
  <si>
    <t>EPI28_5</t>
  </si>
  <si>
    <t>EPI28_6</t>
  </si>
  <si>
    <t>EPI28_7</t>
  </si>
  <si>
    <t>EPI28_8</t>
  </si>
  <si>
    <t>EPI28_9</t>
  </si>
  <si>
    <t>EPI28_10</t>
  </si>
  <si>
    <t>EPI28_11</t>
  </si>
  <si>
    <t>EPI28_12</t>
  </si>
  <si>
    <t>EPI28_13</t>
  </si>
  <si>
    <t>EPI28_14</t>
  </si>
  <si>
    <t>EPI28_15</t>
  </si>
  <si>
    <t>EPI28_16</t>
  </si>
  <si>
    <t>EPI28_17</t>
  </si>
  <si>
    <t>EPI28_18</t>
  </si>
  <si>
    <t>EPI28_19</t>
  </si>
  <si>
    <t>ELS28a_1</t>
  </si>
  <si>
    <t>ELS28a_2</t>
  </si>
  <si>
    <t>ELS28a_3</t>
  </si>
  <si>
    <t>ELS28a_4</t>
  </si>
  <si>
    <t>ELS28a_5</t>
  </si>
  <si>
    <t>ELS28a_6</t>
  </si>
  <si>
    <t>ELS28a_7</t>
  </si>
  <si>
    <t>ELS28a_8</t>
  </si>
  <si>
    <t>ELS28a_9</t>
  </si>
  <si>
    <t>ELS28a_10</t>
  </si>
  <si>
    <t>ELS28a_11</t>
  </si>
  <si>
    <t>ELS28a_12</t>
  </si>
  <si>
    <t>ELS28a_13</t>
  </si>
  <si>
    <t>ELS28a_14</t>
  </si>
  <si>
    <t>ELS28a_15</t>
  </si>
  <si>
    <t>ELS28a_16</t>
  </si>
  <si>
    <t>ELS28a_17</t>
  </si>
  <si>
    <t>ELS28a_18</t>
  </si>
  <si>
    <t>ELS28a_19</t>
  </si>
  <si>
    <t>ELS28a_20</t>
  </si>
  <si>
    <t>ELS28a_21</t>
  </si>
  <si>
    <t>CG32_1</t>
  </si>
  <si>
    <t>CG32_2</t>
  </si>
  <si>
    <t>CG32_3</t>
  </si>
  <si>
    <t>CG32_4</t>
  </si>
  <si>
    <t>CG32_5</t>
  </si>
  <si>
    <t>CG32_6</t>
  </si>
  <si>
    <t>CG32_7</t>
  </si>
  <si>
    <t>CG32_8</t>
  </si>
  <si>
    <t>CG32_9</t>
  </si>
  <si>
    <t>CG32_10</t>
  </si>
  <si>
    <t>CG32_11</t>
  </si>
  <si>
    <t>CG32_12</t>
  </si>
  <si>
    <t>CG32_13</t>
  </si>
  <si>
    <t>CG32_14</t>
  </si>
  <si>
    <t>CG32_15</t>
  </si>
  <si>
    <t>CG32_16</t>
  </si>
  <si>
    <t>CG32_17</t>
  </si>
  <si>
    <t>CG32_18</t>
  </si>
  <si>
    <t>CG32_19</t>
  </si>
  <si>
    <t>LCN203a_1</t>
  </si>
  <si>
    <t>LCN203a_2</t>
  </si>
  <si>
    <t>LCN203a_3</t>
  </si>
  <si>
    <t>LCN203a_4</t>
  </si>
  <si>
    <t>LCN203a_5</t>
  </si>
  <si>
    <t>LCN203a_6</t>
  </si>
  <si>
    <t>LCN203a_7</t>
  </si>
  <si>
    <t>LCN203a_8</t>
  </si>
  <si>
    <t>LCN203a_9</t>
  </si>
  <si>
    <t>LCN203a_10</t>
  </si>
  <si>
    <t>LCN203a_11</t>
  </si>
  <si>
    <t>LCN203a_12</t>
  </si>
  <si>
    <t>LCN203a_13</t>
  </si>
  <si>
    <t>LCN203a_14</t>
  </si>
  <si>
    <t>LCN203a_15</t>
  </si>
  <si>
    <t>LCN203a_16</t>
  </si>
  <si>
    <t>LCN203a_17</t>
  </si>
  <si>
    <t>LCN203a_18</t>
  </si>
  <si>
    <t>LCN203a_19</t>
  </si>
  <si>
    <t>LCN203a_20</t>
  </si>
  <si>
    <t>LCN204b_1</t>
  </si>
  <si>
    <t>LCN204b_2</t>
  </si>
  <si>
    <t>LCN204b_3</t>
  </si>
  <si>
    <t>LCN204b_4</t>
  </si>
  <si>
    <t>LCN204b_5</t>
  </si>
  <si>
    <t>LCN204b_6</t>
  </si>
  <si>
    <t>LCN204b_7</t>
  </si>
  <si>
    <t>LCN204b_8</t>
  </si>
  <si>
    <t>LCN204b_9</t>
  </si>
  <si>
    <t>ASLN_CUM_1</t>
  </si>
  <si>
    <t>ASLN_CUM_2</t>
  </si>
  <si>
    <t>ASLN_CUM_3</t>
  </si>
  <si>
    <t>ASLN_CUM_4</t>
  </si>
  <si>
    <t>ASLN_CUM_5</t>
  </si>
  <si>
    <t>ASLN_CUM_6</t>
  </si>
  <si>
    <t>ASLN_CUM_7</t>
  </si>
  <si>
    <t>ASLN_CUM_8</t>
  </si>
  <si>
    <t>ASLN_CUM_9</t>
  </si>
  <si>
    <t>ASLN_CUM_10</t>
  </si>
  <si>
    <t>ASLN_CUM_11</t>
  </si>
  <si>
    <t>ASLN_CUM_12</t>
  </si>
  <si>
    <t>ASLN_CUM_13</t>
  </si>
  <si>
    <t>ASLN_CUM_14</t>
  </si>
  <si>
    <t>ASLN_CUM_15</t>
  </si>
  <si>
    <t>ASLN_CUM_16</t>
  </si>
  <si>
    <t>ASLN_CUM_17</t>
  </si>
  <si>
    <t>ASLN_CUM_18</t>
  </si>
  <si>
    <t>ASLN_CUM_19</t>
  </si>
  <si>
    <t>ASLN_CUM_20</t>
  </si>
  <si>
    <t>ASLN_CUM_21</t>
  </si>
  <si>
    <t>ASLN_CUM_22</t>
  </si>
  <si>
    <t>ASLN_CUM_23</t>
  </si>
  <si>
    <t>ASLN_CUM_24</t>
  </si>
  <si>
    <t>ASLN_CUM_25</t>
  </si>
  <si>
    <t>ASLN_CUM_26</t>
  </si>
  <si>
    <t>ASLN_CUM_27</t>
  </si>
  <si>
    <t>ASLN_CUM_28</t>
  </si>
  <si>
    <t>ASLN_CUM_29</t>
  </si>
  <si>
    <t>ASLN_CUM_30</t>
  </si>
  <si>
    <t>ASLN_CUM_31</t>
  </si>
  <si>
    <t>ASLN_CUM_32</t>
  </si>
  <si>
    <t>ASLN_CUM_33</t>
  </si>
  <si>
    <t>ASLN_CUM_34</t>
  </si>
  <si>
    <t>ASLN_CUM_35</t>
  </si>
  <si>
    <t>ASLN_CUM_36</t>
  </si>
  <si>
    <t>ASLN_CUM_37</t>
  </si>
  <si>
    <t>ASLN_CUM_38</t>
  </si>
  <si>
    <t>ASLN_CUM_39</t>
  </si>
  <si>
    <t>ASLN_CUM_40</t>
  </si>
  <si>
    <t>ASLN_CUM_41</t>
  </si>
  <si>
    <t>ACUMT01a_1</t>
  </si>
  <si>
    <t>ACUMT01a_2</t>
  </si>
  <si>
    <t>ACUMT01a_3</t>
  </si>
  <si>
    <t>ACUMT01a_4</t>
  </si>
  <si>
    <t>ACUMT01a_5</t>
  </si>
  <si>
    <t>ACUMT01a_6</t>
  </si>
  <si>
    <t>ACUMT01a_7</t>
  </si>
  <si>
    <t>ACUMT01a_8</t>
  </si>
  <si>
    <t>ACUMT01a_9</t>
  </si>
  <si>
    <t>ACUMT01a_10</t>
  </si>
  <si>
    <t>ACUMT01a_11</t>
  </si>
  <si>
    <t>ACUMT01a_12</t>
  </si>
  <si>
    <t>ACUMT01a_16</t>
  </si>
  <si>
    <t>ACUMT01a_17</t>
  </si>
  <si>
    <t>ACUMT01a_18</t>
  </si>
  <si>
    <t>ACUMT01a_19</t>
  </si>
  <si>
    <t>ACUMT01a_20</t>
  </si>
  <si>
    <t>ACUMT01a_21</t>
  </si>
  <si>
    <t>ACUMT01a_22</t>
  </si>
  <si>
    <t>ACUMT01a_23</t>
  </si>
  <si>
    <t>ACUMT01a_24</t>
  </si>
  <si>
    <t>ACUMT01a_25</t>
  </si>
  <si>
    <t>ACUMT01a_26</t>
  </si>
  <si>
    <t>ACUMT01a_27</t>
  </si>
  <si>
    <t>ACUMT01a_28</t>
  </si>
  <si>
    <t>ACUMT01a_29</t>
  </si>
  <si>
    <t>ACUMT01a_30</t>
  </si>
  <si>
    <t>ACUMT01a_31</t>
  </si>
  <si>
    <t>ACUMT01a_32</t>
  </si>
  <si>
    <t>ACUMT01a_33</t>
  </si>
  <si>
    <t>ACUMT01a_34</t>
  </si>
  <si>
    <t>Phalaborwa</t>
    <phoneticPr fontId="2" type="noConversion"/>
  </si>
  <si>
    <t>B60-1</t>
    <phoneticPr fontId="2" type="noConversion"/>
  </si>
  <si>
    <t>Milani 2017 MD</t>
    <phoneticPr fontId="2" type="noConversion"/>
  </si>
  <si>
    <t>B60-3</t>
    <phoneticPr fontId="2" type="noConversion"/>
  </si>
  <si>
    <t>B60-4</t>
    <phoneticPr fontId="2" type="noConversion"/>
  </si>
  <si>
    <t>B60-5</t>
    <phoneticPr fontId="2" type="noConversion"/>
  </si>
  <si>
    <t>B60-7</t>
    <phoneticPr fontId="2" type="noConversion"/>
  </si>
  <si>
    <t>B60-8</t>
    <phoneticPr fontId="2" type="noConversion"/>
  </si>
  <si>
    <t>B60-10</t>
    <phoneticPr fontId="2" type="noConversion"/>
  </si>
  <si>
    <t>B60-12</t>
    <phoneticPr fontId="2" type="noConversion"/>
  </si>
  <si>
    <t>B60-15</t>
    <phoneticPr fontId="2" type="noConversion"/>
  </si>
  <si>
    <t>GC813C-12</t>
    <phoneticPr fontId="2" type="noConversion"/>
  </si>
  <si>
    <t>GC813C-13</t>
    <phoneticPr fontId="2" type="noConversion"/>
  </si>
  <si>
    <t>GC813C-14</t>
    <phoneticPr fontId="2" type="noConversion"/>
  </si>
  <si>
    <t>GC813C-15</t>
    <phoneticPr fontId="2" type="noConversion"/>
  </si>
  <si>
    <t>GC813C-16</t>
    <phoneticPr fontId="2" type="noConversion"/>
  </si>
  <si>
    <t>GC813C-17</t>
    <phoneticPr fontId="2" type="noConversion"/>
  </si>
  <si>
    <t>GC813C-18</t>
    <phoneticPr fontId="2" type="noConversion"/>
  </si>
  <si>
    <t>GC813C-19</t>
    <phoneticPr fontId="2" type="noConversion"/>
  </si>
  <si>
    <t>GC813C-20</t>
  </si>
  <si>
    <t>GC813FT-9</t>
    <phoneticPr fontId="2" type="noConversion"/>
  </si>
  <si>
    <t>Milani 2017 MD</t>
  </si>
  <si>
    <t>GC813FT-10</t>
  </si>
  <si>
    <t>GC813FT-11</t>
  </si>
  <si>
    <t>GC813FT-12</t>
  </si>
  <si>
    <t>GC813FT-13</t>
  </si>
  <si>
    <t>GC813A-1</t>
    <phoneticPr fontId="2" type="noConversion"/>
  </si>
  <si>
    <t>GC813A-2</t>
    <phoneticPr fontId="2" type="noConversion"/>
  </si>
  <si>
    <t>GC813A-3</t>
  </si>
  <si>
    <t>GC813A-4</t>
  </si>
  <si>
    <t>GC813A-5</t>
  </si>
  <si>
    <t>GC813A-6</t>
  </si>
  <si>
    <t>GC813A-7</t>
  </si>
  <si>
    <t>GC813A-8</t>
  </si>
  <si>
    <t>GC813A-9</t>
  </si>
  <si>
    <t>GC813A-10</t>
  </si>
  <si>
    <t>GC813A-11</t>
  </si>
  <si>
    <t>GC813A-12</t>
  </si>
  <si>
    <t>GC813A-13</t>
  </si>
  <si>
    <t>GC813A-14</t>
  </si>
  <si>
    <t>GC813A-16</t>
    <phoneticPr fontId="2" type="noConversion"/>
  </si>
  <si>
    <t>GC813A-17</t>
    <phoneticPr fontId="2" type="noConversion"/>
  </si>
  <si>
    <t>GC813A-18</t>
    <phoneticPr fontId="2" type="noConversion"/>
  </si>
  <si>
    <t>B62D-1</t>
    <phoneticPr fontId="2" type="noConversion"/>
  </si>
  <si>
    <t>B62D-2</t>
  </si>
  <si>
    <t>B62D-3</t>
  </si>
  <si>
    <t>B62D-5</t>
    <phoneticPr fontId="2" type="noConversion"/>
  </si>
  <si>
    <t>B62D-6</t>
    <phoneticPr fontId="2" type="noConversion"/>
  </si>
  <si>
    <t>B62D-7</t>
    <phoneticPr fontId="2" type="noConversion"/>
  </si>
  <si>
    <t>B62D-8</t>
    <phoneticPr fontId="2" type="noConversion"/>
  </si>
  <si>
    <t>B62D-10</t>
    <phoneticPr fontId="2" type="noConversion"/>
  </si>
  <si>
    <t>Hydrothermal</t>
    <phoneticPr fontId="2" type="noConversion"/>
  </si>
  <si>
    <t>B62D-11</t>
    <phoneticPr fontId="2" type="noConversion"/>
  </si>
  <si>
    <t>B62D-12</t>
    <phoneticPr fontId="2" type="noConversion"/>
  </si>
  <si>
    <t>B63C-2</t>
    <phoneticPr fontId="2" type="noConversion"/>
  </si>
  <si>
    <t>B63C-3</t>
    <phoneticPr fontId="2" type="noConversion"/>
  </si>
  <si>
    <t>B63C-5</t>
    <phoneticPr fontId="2" type="noConversion"/>
  </si>
  <si>
    <t>B63C-6</t>
    <phoneticPr fontId="2" type="noConversion"/>
  </si>
  <si>
    <t>B60-17</t>
    <phoneticPr fontId="2" type="noConversion"/>
  </si>
  <si>
    <t>B66-4</t>
    <phoneticPr fontId="2" type="noConversion"/>
  </si>
  <si>
    <t>B66-5</t>
  </si>
  <si>
    <t>B66-6</t>
  </si>
  <si>
    <t>B66-7</t>
  </si>
  <si>
    <t>B66-8</t>
  </si>
  <si>
    <t>B66-9</t>
  </si>
  <si>
    <t>B66-11</t>
    <phoneticPr fontId="2" type="noConversion"/>
  </si>
  <si>
    <t>B66-12</t>
  </si>
  <si>
    <t>B66-13</t>
  </si>
  <si>
    <t>B66-15</t>
    <phoneticPr fontId="2" type="noConversion"/>
  </si>
  <si>
    <t>GC813FT-14</t>
    <phoneticPr fontId="2" type="noConversion"/>
  </si>
  <si>
    <t>GC813FT-15</t>
    <phoneticPr fontId="2" type="noConversion"/>
  </si>
  <si>
    <t>B8-1</t>
    <phoneticPr fontId="2" type="noConversion"/>
  </si>
  <si>
    <t>B8-2</t>
    <phoneticPr fontId="2" type="noConversion"/>
  </si>
  <si>
    <t>B8-3</t>
  </si>
  <si>
    <t>B8-4</t>
  </si>
  <si>
    <t>B8-5</t>
  </si>
  <si>
    <t>B8-6</t>
  </si>
  <si>
    <t>B8-7</t>
  </si>
  <si>
    <t>B8-8</t>
  </si>
  <si>
    <t>B8-9</t>
  </si>
  <si>
    <t>B8-10</t>
  </si>
  <si>
    <t>B8-11</t>
  </si>
  <si>
    <t>B8-12</t>
  </si>
  <si>
    <t>B8-13</t>
  </si>
  <si>
    <t>GC813A-19</t>
    <phoneticPr fontId="2" type="noConversion"/>
  </si>
  <si>
    <t>GC813A-20</t>
    <phoneticPr fontId="2" type="noConversion"/>
  </si>
  <si>
    <t>GC813A-21</t>
  </si>
  <si>
    <t>GC813A-22</t>
  </si>
  <si>
    <t>GC813A-23</t>
  </si>
  <si>
    <t>GC813A-24</t>
  </si>
  <si>
    <t>GC1993-1</t>
    <phoneticPr fontId="2" type="noConversion"/>
  </si>
  <si>
    <t>GC1993-3</t>
    <phoneticPr fontId="2" type="noConversion"/>
  </si>
  <si>
    <t>GC1993-4</t>
    <phoneticPr fontId="2" type="noConversion"/>
  </si>
  <si>
    <t>GC1993-6</t>
    <phoneticPr fontId="2" type="noConversion"/>
  </si>
  <si>
    <t>GC1993-7</t>
    <phoneticPr fontId="2" type="noConversion"/>
  </si>
  <si>
    <t>JKPN001A-1</t>
    <phoneticPr fontId="2" type="noConversion"/>
  </si>
  <si>
    <t>JKPN001A-2</t>
  </si>
  <si>
    <t>JKPN001A-3</t>
  </si>
  <si>
    <t>B63C-10</t>
    <phoneticPr fontId="2" type="noConversion"/>
  </si>
  <si>
    <t>B63C-13</t>
    <phoneticPr fontId="2" type="noConversion"/>
  </si>
  <si>
    <t>B63C-14</t>
    <phoneticPr fontId="2" type="noConversion"/>
  </si>
  <si>
    <t>B63C-15</t>
  </si>
  <si>
    <t>B63C-16</t>
  </si>
  <si>
    <t>B63C-17</t>
  </si>
  <si>
    <t>JKPN001B-8</t>
    <phoneticPr fontId="2" type="noConversion"/>
  </si>
  <si>
    <t>JKPN001B-9</t>
    <phoneticPr fontId="2" type="noConversion"/>
  </si>
  <si>
    <t>JKPN001B-10</t>
  </si>
  <si>
    <t>JKPN001B-11</t>
  </si>
  <si>
    <t>JKPN001B-12</t>
  </si>
  <si>
    <t>JKPN001B-13</t>
  </si>
  <si>
    <t>JKPN001B-14</t>
  </si>
  <si>
    <t>JKPN001B-15</t>
  </si>
  <si>
    <t>B66-17</t>
    <phoneticPr fontId="2" type="noConversion"/>
  </si>
  <si>
    <t>B66-20</t>
    <phoneticPr fontId="2" type="noConversion"/>
  </si>
  <si>
    <t>GC813C-1</t>
    <phoneticPr fontId="2" type="noConversion"/>
  </si>
  <si>
    <t>GC813C-2</t>
  </si>
  <si>
    <t>GC813C-3</t>
  </si>
  <si>
    <t>GC813C-4</t>
  </si>
  <si>
    <t>GC813C-5</t>
  </si>
  <si>
    <t>GC813C-6</t>
  </si>
  <si>
    <t>B8-15</t>
    <phoneticPr fontId="2" type="noConversion"/>
  </si>
  <si>
    <t>B67-3</t>
    <phoneticPr fontId="2" type="noConversion"/>
  </si>
  <si>
    <t>B67-4</t>
    <phoneticPr fontId="2" type="noConversion"/>
  </si>
  <si>
    <t>B67-5</t>
  </si>
  <si>
    <t>B67-6</t>
  </si>
  <si>
    <t>B67-7</t>
  </si>
  <si>
    <t>B67-8</t>
  </si>
  <si>
    <t>B67-9</t>
  </si>
  <si>
    <t>B67-10</t>
  </si>
  <si>
    <t>B67-11</t>
  </si>
  <si>
    <t>B67-12</t>
  </si>
  <si>
    <t>B67-13</t>
  </si>
  <si>
    <t>B67-14</t>
  </si>
  <si>
    <t>B67-15</t>
  </si>
  <si>
    <t>B67-16</t>
  </si>
  <si>
    <t>JKPN001A-4</t>
    <phoneticPr fontId="2" type="noConversion"/>
  </si>
  <si>
    <t>JKPN001A-5</t>
    <phoneticPr fontId="2" type="noConversion"/>
  </si>
  <si>
    <t>JKPN001A-6</t>
  </si>
  <si>
    <t>JKPN001A-7</t>
  </si>
  <si>
    <t>B61B-1</t>
    <phoneticPr fontId="2" type="noConversion"/>
  </si>
  <si>
    <t>B61B-2</t>
    <phoneticPr fontId="2" type="noConversion"/>
  </si>
  <si>
    <t>B61B-3</t>
  </si>
  <si>
    <t>B61B-4</t>
  </si>
  <si>
    <t>B61B-5</t>
  </si>
  <si>
    <t>B61B-6</t>
  </si>
  <si>
    <t>B61B-7</t>
  </si>
  <si>
    <t>B61B-8</t>
  </si>
  <si>
    <t>B61B-9</t>
  </si>
  <si>
    <t>B61B-10</t>
  </si>
  <si>
    <t>B61B-15</t>
    <phoneticPr fontId="2" type="noConversion"/>
  </si>
  <si>
    <t>JKPN001B-16</t>
    <phoneticPr fontId="2" type="noConversion"/>
  </si>
  <si>
    <t>JKPN001B-17</t>
    <phoneticPr fontId="2" type="noConversion"/>
  </si>
  <si>
    <t>Carmen</t>
  </si>
  <si>
    <t>TII-1</t>
  </si>
  <si>
    <t>Palma 2020 OGR</t>
    <phoneticPr fontId="2" type="noConversion"/>
  </si>
  <si>
    <t>TII-2</t>
  </si>
  <si>
    <t>TII-3</t>
  </si>
  <si>
    <t>Palma 2020 OGR</t>
  </si>
  <si>
    <t>TII-4</t>
  </si>
  <si>
    <t>TII-5</t>
  </si>
  <si>
    <t>TII-6</t>
  </si>
  <si>
    <t>TII-7</t>
  </si>
  <si>
    <t>TII-8</t>
  </si>
  <si>
    <t>TII-9</t>
  </si>
  <si>
    <t>TII-10</t>
  </si>
  <si>
    <t>TI-1</t>
  </si>
  <si>
    <t>TI-2</t>
  </si>
  <si>
    <t>TI-3</t>
  </si>
  <si>
    <t>TI-4</t>
  </si>
  <si>
    <t>TI-5</t>
  </si>
  <si>
    <t>TI-6</t>
  </si>
  <si>
    <t>TI-7</t>
  </si>
  <si>
    <t>TI-8</t>
  </si>
  <si>
    <t>TI-9</t>
  </si>
  <si>
    <t>TI-10</t>
  </si>
  <si>
    <t>TI-11</t>
  </si>
  <si>
    <t>TI-12</t>
  </si>
  <si>
    <t>tyI-13</t>
  </si>
  <si>
    <t>tyI-14</t>
  </si>
  <si>
    <t>tyI-15</t>
  </si>
  <si>
    <t>tyI-16</t>
  </si>
  <si>
    <t>tyI-17</t>
  </si>
  <si>
    <t>tyI-18</t>
  </si>
  <si>
    <t>tyI-19</t>
  </si>
  <si>
    <t>tyI-20</t>
  </si>
  <si>
    <t>tyI-21</t>
  </si>
  <si>
    <t>tyI-22</t>
  </si>
  <si>
    <t>tyI-23</t>
  </si>
  <si>
    <t>tyI-24</t>
  </si>
  <si>
    <t>tyI-25</t>
  </si>
  <si>
    <t>tyI-26</t>
  </si>
  <si>
    <t>tyI-27</t>
  </si>
  <si>
    <t>tyI-28</t>
  </si>
  <si>
    <t>tyI-29</t>
  </si>
  <si>
    <t>tyI-30</t>
  </si>
  <si>
    <t>tyI-31</t>
  </si>
  <si>
    <t>tyI-32</t>
  </si>
  <si>
    <t>tyI-33</t>
  </si>
  <si>
    <t>tyI-34</t>
  </si>
  <si>
    <t>tyI-35</t>
  </si>
  <si>
    <t>tyI-36</t>
  </si>
  <si>
    <t>tyI-37</t>
  </si>
  <si>
    <t>tyI-38</t>
  </si>
  <si>
    <t>tyI-39</t>
  </si>
  <si>
    <t>tyI-40</t>
  </si>
  <si>
    <t>Ca9-1</t>
  </si>
  <si>
    <t>Ca9-2</t>
  </si>
  <si>
    <t>Ca9-3</t>
  </si>
  <si>
    <t>Ca9-4</t>
  </si>
  <si>
    <t>Ca9-5</t>
  </si>
  <si>
    <t>Ca9-6</t>
  </si>
  <si>
    <t>Ca9-7</t>
  </si>
  <si>
    <t>Ca9-8</t>
  </si>
  <si>
    <t>Ca9-9</t>
  </si>
  <si>
    <t>Ca9-10</t>
  </si>
  <si>
    <t>Ca9-11</t>
  </si>
  <si>
    <t>Ca9-12</t>
  </si>
  <si>
    <t>Ca9-13</t>
  </si>
  <si>
    <t>Ca9-14</t>
  </si>
  <si>
    <t>Ca9-15</t>
  </si>
  <si>
    <t>Ca9-16</t>
  </si>
  <si>
    <t>Ca9-17</t>
  </si>
  <si>
    <t>Ca9-18</t>
  </si>
  <si>
    <t>Ca9-19</t>
  </si>
  <si>
    <t>Ca9-20</t>
  </si>
  <si>
    <t>Ca9-21</t>
  </si>
  <si>
    <t>Ca9-22</t>
  </si>
  <si>
    <t>Ca9-23</t>
  </si>
  <si>
    <t>Ca9-24</t>
  </si>
  <si>
    <t>Ca9-25</t>
  </si>
  <si>
    <t>Ca9-26</t>
  </si>
  <si>
    <t>Ca9_27</t>
  </si>
  <si>
    <t>Ca9_28</t>
  </si>
  <si>
    <t>Ca9_29</t>
  </si>
  <si>
    <t>Ca9_30</t>
  </si>
  <si>
    <t>Ca9_31</t>
  </si>
  <si>
    <t>Ca9_32</t>
  </si>
  <si>
    <t>Ca9_34</t>
  </si>
  <si>
    <t>Ca9_35</t>
  </si>
  <si>
    <t>Ca9_37</t>
  </si>
  <si>
    <t>Ca9_38</t>
  </si>
  <si>
    <t>Ca9_39</t>
  </si>
  <si>
    <t>Ca9_40</t>
  </si>
  <si>
    <t>Ca9_41</t>
  </si>
  <si>
    <t>Ca9_45</t>
  </si>
  <si>
    <t>Ca9_47</t>
  </si>
  <si>
    <t>Ca9_48</t>
  </si>
  <si>
    <t>Ca9_49</t>
  </si>
  <si>
    <t>Ca9_50</t>
  </si>
  <si>
    <t>Fresia</t>
  </si>
  <si>
    <t>Fre10_1</t>
  </si>
  <si>
    <t>Fre10_2</t>
  </si>
  <si>
    <t>Fre10_3</t>
  </si>
  <si>
    <t>Fre10_4</t>
  </si>
  <si>
    <t>Fre10_5</t>
  </si>
  <si>
    <t>Fre10_6</t>
  </si>
  <si>
    <t>Fre10_7</t>
  </si>
  <si>
    <t>Fre10_8</t>
  </si>
  <si>
    <t>Fre10_9</t>
  </si>
  <si>
    <t>Fre10_10</t>
  </si>
  <si>
    <t>Fre10_11</t>
  </si>
  <si>
    <t>Fre10_12</t>
  </si>
  <si>
    <t>Fre10_13</t>
  </si>
  <si>
    <t>Fre10_14</t>
  </si>
  <si>
    <t>Fre10_15</t>
  </si>
  <si>
    <t>Fre10_16</t>
  </si>
  <si>
    <t>Fre10_17</t>
  </si>
  <si>
    <t>Fre10_18</t>
  </si>
  <si>
    <t>Fre10_19</t>
  </si>
  <si>
    <t>Fre10_20</t>
  </si>
  <si>
    <t>Fre10_21</t>
  </si>
  <si>
    <t>Fre10_22</t>
  </si>
  <si>
    <t>Fre10_23</t>
  </si>
  <si>
    <t>Fre10_24</t>
  </si>
  <si>
    <t>Fre10_25</t>
  </si>
  <si>
    <t>Fre10_26</t>
  </si>
  <si>
    <t>Fre10_27</t>
  </si>
  <si>
    <t>Fre10_28</t>
  </si>
  <si>
    <t>Fre10_29</t>
  </si>
  <si>
    <t>Fre10_30</t>
  </si>
  <si>
    <t>Fre10_31</t>
  </si>
  <si>
    <t>Fre10_32</t>
  </si>
  <si>
    <t>Fre10_33</t>
  </si>
  <si>
    <t>Fre10_34</t>
  </si>
  <si>
    <t>Fre10_35</t>
  </si>
  <si>
    <t>F2_1</t>
  </si>
  <si>
    <t>F2_2</t>
  </si>
  <si>
    <t>F2_3</t>
  </si>
  <si>
    <t>F2_4</t>
  </si>
  <si>
    <t>F2_5</t>
  </si>
  <si>
    <t>F2_6</t>
  </si>
  <si>
    <t>F2_7</t>
  </si>
  <si>
    <t>F2_8</t>
  </si>
  <si>
    <t>F2_9</t>
  </si>
  <si>
    <t>F2_10</t>
  </si>
  <si>
    <t>F2_11</t>
  </si>
  <si>
    <t>F2_12</t>
  </si>
  <si>
    <t>F2_13</t>
  </si>
  <si>
    <t>F2_14</t>
  </si>
  <si>
    <t>F2_15</t>
  </si>
  <si>
    <t>F2_16</t>
  </si>
  <si>
    <t>F2_17</t>
  </si>
  <si>
    <t>F2_18</t>
  </si>
  <si>
    <t>F2_19</t>
  </si>
  <si>
    <t>F2_20</t>
  </si>
  <si>
    <t>F2_21</t>
  </si>
  <si>
    <t>F2_22</t>
  </si>
  <si>
    <t>F2_23</t>
  </si>
  <si>
    <t>F2_24</t>
  </si>
  <si>
    <t>F2_25</t>
  </si>
  <si>
    <t>F2_27</t>
  </si>
  <si>
    <t>F2_28</t>
  </si>
  <si>
    <t>F2_29</t>
  </si>
  <si>
    <t>F2_30</t>
  </si>
  <si>
    <t>F2_31</t>
  </si>
  <si>
    <t>F2_32</t>
  </si>
  <si>
    <t>F2_33</t>
  </si>
  <si>
    <t>F2_34</t>
  </si>
  <si>
    <t>F2_35</t>
  </si>
  <si>
    <t>F5_1</t>
  </si>
  <si>
    <t>F5_2</t>
  </si>
  <si>
    <t>F5_3</t>
  </si>
  <si>
    <t>F5_4</t>
  </si>
  <si>
    <t>F5_5</t>
  </si>
  <si>
    <t>F5_6</t>
  </si>
  <si>
    <t>F5_7</t>
  </si>
  <si>
    <t>F5_8</t>
  </si>
  <si>
    <t>F5_9</t>
  </si>
  <si>
    <t>F5_10</t>
  </si>
  <si>
    <t>F5_11</t>
  </si>
  <si>
    <t>F5_12</t>
  </si>
  <si>
    <t>F5_13</t>
  </si>
  <si>
    <t>F5_14</t>
  </si>
  <si>
    <t>F5_15</t>
  </si>
  <si>
    <t>F5_16</t>
  </si>
  <si>
    <t>F5_17</t>
  </si>
  <si>
    <t>F5_18</t>
  </si>
  <si>
    <t>F5_19</t>
  </si>
  <si>
    <t>F5_20</t>
  </si>
  <si>
    <t>F5_21</t>
  </si>
  <si>
    <t>F5_22</t>
  </si>
  <si>
    <t>F5_23</t>
  </si>
  <si>
    <t>F5_24</t>
  </si>
  <si>
    <t>F5_25</t>
  </si>
  <si>
    <t>F5_26</t>
  </si>
  <si>
    <t>F5_27</t>
  </si>
  <si>
    <t>F5_28</t>
  </si>
  <si>
    <t>F5_29</t>
  </si>
  <si>
    <t>F5_30</t>
  </si>
  <si>
    <t>F5_31</t>
  </si>
  <si>
    <t>F5_32</t>
  </si>
  <si>
    <t>F5_33</t>
  </si>
  <si>
    <t>F5_34</t>
  </si>
  <si>
    <t>F5_35</t>
  </si>
  <si>
    <t>F5_36</t>
  </si>
  <si>
    <t>F5_37</t>
  </si>
  <si>
    <t>F5_38</t>
  </si>
  <si>
    <t>F5_39</t>
  </si>
  <si>
    <t>F5_40</t>
  </si>
  <si>
    <t>F5_41</t>
  </si>
  <si>
    <t>F5_42</t>
  </si>
  <si>
    <t>F5_43</t>
  </si>
  <si>
    <t>F5_44</t>
  </si>
  <si>
    <t>Mariela</t>
  </si>
  <si>
    <t>Ma1_4</t>
  </si>
  <si>
    <t>Ma1_10</t>
  </si>
  <si>
    <t>Ma1_3</t>
  </si>
  <si>
    <t>Ma1_9</t>
  </si>
  <si>
    <t>Ma1_15</t>
  </si>
  <si>
    <t>Ma1_2</t>
  </si>
  <si>
    <t>Ma1_27</t>
  </si>
  <si>
    <t>Ma1_28</t>
  </si>
  <si>
    <t>Ma1_18</t>
  </si>
  <si>
    <t>Ma1_19</t>
  </si>
  <si>
    <t>Ma1_25</t>
  </si>
  <si>
    <t>Ma1_6</t>
  </si>
  <si>
    <t>Ma1_23</t>
  </si>
  <si>
    <t>Ma1_29</t>
  </si>
  <si>
    <t>Ma1_14</t>
  </si>
  <si>
    <t>Ma1_8</t>
  </si>
  <si>
    <t>Ma1_11</t>
  </si>
  <si>
    <t>Ma1_26</t>
  </si>
  <si>
    <t>Ma1_13</t>
  </si>
  <si>
    <t>Ma1_21</t>
  </si>
  <si>
    <t>Ma1_7</t>
  </si>
  <si>
    <t>Ma1_12</t>
  </si>
  <si>
    <t>Ma1_22</t>
  </si>
  <si>
    <t>Ma1_17</t>
  </si>
  <si>
    <t>Ma1_5</t>
  </si>
  <si>
    <t>Ma1_16</t>
  </si>
  <si>
    <t>Ma1_1</t>
  </si>
  <si>
    <t>Ma1_30</t>
  </si>
  <si>
    <t>Ma1_20</t>
  </si>
  <si>
    <t>Ma1_24</t>
  </si>
  <si>
    <t>Ma10_1</t>
  </si>
  <si>
    <t>Ma10_2</t>
  </si>
  <si>
    <t>Ma10_3</t>
  </si>
  <si>
    <t>Ma10_4</t>
  </si>
  <si>
    <t>Ma10_5</t>
  </si>
  <si>
    <t>Ma10_6</t>
  </si>
  <si>
    <t>Ma10_7</t>
  </si>
  <si>
    <t>Ma10_8</t>
  </si>
  <si>
    <t>Ma10_9</t>
  </si>
  <si>
    <t>Ma10_10</t>
  </si>
  <si>
    <t>Ma10_11</t>
  </si>
  <si>
    <t>Ma10_12</t>
  </si>
  <si>
    <t>Ma10_13</t>
  </si>
  <si>
    <t>Ma10_14</t>
  </si>
  <si>
    <t>Ma10_15</t>
  </si>
  <si>
    <t>Ma10_16</t>
  </si>
  <si>
    <t>Ma10_17</t>
  </si>
  <si>
    <t>Ma10_18</t>
  </si>
  <si>
    <t>Ma10_19</t>
  </si>
  <si>
    <t>Ma10_20</t>
  </si>
  <si>
    <t>Ma10_21</t>
  </si>
  <si>
    <t>Ma10_22</t>
  </si>
  <si>
    <t>Ma10_23</t>
  </si>
  <si>
    <t>Ma10_24</t>
  </si>
  <si>
    <t>Ma10_25</t>
  </si>
  <si>
    <t>Ma10_26</t>
  </si>
  <si>
    <t>Ma10_27</t>
  </si>
  <si>
    <t>Ma10_28</t>
  </si>
  <si>
    <t>Ma10_29</t>
  </si>
  <si>
    <t>Ma10_30</t>
  </si>
  <si>
    <t>Ma10_31</t>
  </si>
  <si>
    <t>Ma10_32</t>
  </si>
  <si>
    <t>Ma10_33</t>
  </si>
  <si>
    <t>Ma10_36</t>
  </si>
  <si>
    <t>Ma10_37</t>
  </si>
  <si>
    <t>Ma10_38</t>
  </si>
  <si>
    <t>Ma10_39</t>
  </si>
  <si>
    <t>Ma10_40</t>
  </si>
  <si>
    <t>Ma10_41</t>
  </si>
  <si>
    <t>Ma10_42</t>
  </si>
  <si>
    <t>Ma10_43</t>
  </si>
  <si>
    <t>Ma10_44</t>
  </si>
  <si>
    <t>Ma10_45</t>
  </si>
  <si>
    <t>Ma10_46</t>
  </si>
  <si>
    <t>Ma10_47</t>
  </si>
  <si>
    <t>Ma10_48</t>
  </si>
  <si>
    <t>Ma10_49</t>
  </si>
  <si>
    <t>Ma10_50</t>
  </si>
  <si>
    <t>Ma10_51</t>
  </si>
  <si>
    <t>Ma10_52</t>
  </si>
  <si>
    <t>Ma10_53</t>
  </si>
  <si>
    <t>Ma10_54</t>
  </si>
  <si>
    <t>Ma10_55</t>
  </si>
  <si>
    <t>Ma10_56</t>
  </si>
  <si>
    <t>Ma10_57</t>
  </si>
  <si>
    <t>Ma10_58</t>
  </si>
  <si>
    <t>Ma10_59</t>
  </si>
  <si>
    <t>Ma10_60</t>
  </si>
  <si>
    <t>Ma10_61</t>
  </si>
  <si>
    <t>Ma10_62</t>
  </si>
  <si>
    <t>Ma10_63</t>
  </si>
  <si>
    <t>Ma10_64</t>
  </si>
  <si>
    <t>MAA10_1</t>
  </si>
  <si>
    <t>MAA10_2</t>
  </si>
  <si>
    <t>MAA10_3</t>
  </si>
  <si>
    <t>MAA10_4</t>
  </si>
  <si>
    <t>MAA10_5</t>
  </si>
  <si>
    <t>MAA10_6</t>
  </si>
  <si>
    <t>MAA10_7</t>
  </si>
  <si>
    <t>MAA10_8</t>
  </si>
  <si>
    <t>MAA10_9</t>
  </si>
  <si>
    <t>MAA10_10</t>
  </si>
  <si>
    <t>MAA10_11</t>
  </si>
  <si>
    <t>MAA10_12</t>
  </si>
  <si>
    <t>MAA10_13</t>
  </si>
  <si>
    <t>MAA10_14</t>
  </si>
  <si>
    <t>MAA10_15</t>
  </si>
  <si>
    <t>MAA10_16</t>
  </si>
  <si>
    <t>MAA10_17</t>
  </si>
  <si>
    <t>MAA10_18</t>
  </si>
  <si>
    <t>MAA10_19</t>
  </si>
  <si>
    <t>MAA10_20</t>
  </si>
  <si>
    <t>MAA10_21</t>
  </si>
  <si>
    <t>MAA10_22</t>
  </si>
  <si>
    <t>MAA10_23</t>
  </si>
  <si>
    <t>MAA10_24</t>
  </si>
  <si>
    <t>MAA10_25</t>
  </si>
  <si>
    <t>MAA10_26</t>
  </si>
  <si>
    <t>MAA10_27</t>
  </si>
  <si>
    <t>MAA10_28</t>
  </si>
  <si>
    <t>MAA10_29</t>
  </si>
  <si>
    <t>MAA10_30</t>
  </si>
  <si>
    <t>MAA10_31</t>
  </si>
  <si>
    <t>MAA10_32</t>
  </si>
  <si>
    <t>MAA10_33</t>
  </si>
  <si>
    <t>MAA10_34</t>
  </si>
  <si>
    <t>MAA10_35</t>
  </si>
  <si>
    <t>MAA10_36</t>
  </si>
  <si>
    <t>MAA10_37</t>
  </si>
  <si>
    <t>MAA10_38</t>
  </si>
  <si>
    <t>MAA10_39</t>
  </si>
  <si>
    <t>MAA10_40</t>
  </si>
  <si>
    <t>El Romeral</t>
  </si>
  <si>
    <t>ROM149_1</t>
  </si>
  <si>
    <t>ROM149_2</t>
  </si>
  <si>
    <t>ROM149_3</t>
  </si>
  <si>
    <t>ROM149_4</t>
  </si>
  <si>
    <t>ROM149_5</t>
  </si>
  <si>
    <t>ROM149_6</t>
  </si>
  <si>
    <t>ROM149_7</t>
  </si>
  <si>
    <t>ROM149_8</t>
  </si>
  <si>
    <t>ROM149_9</t>
  </si>
  <si>
    <t>ROM149_10</t>
  </si>
  <si>
    <t>ROM149_11</t>
  </si>
  <si>
    <t>ROM149_12</t>
  </si>
  <si>
    <t>ROM149_13</t>
  </si>
  <si>
    <t>ROM149_14</t>
  </si>
  <si>
    <t>ROM149_15</t>
  </si>
  <si>
    <t>ROM149_16</t>
  </si>
  <si>
    <t>ROM149_17</t>
  </si>
  <si>
    <t>ROM149_18</t>
  </si>
  <si>
    <t>ROM149_19</t>
  </si>
  <si>
    <t>ROM149_20</t>
  </si>
  <si>
    <t>ROM149_21</t>
  </si>
  <si>
    <t>ROM149_22</t>
  </si>
  <si>
    <t>ROM149_23</t>
  </si>
  <si>
    <t>ROM149_24</t>
  </si>
  <si>
    <t>ROM149_25</t>
  </si>
  <si>
    <t>ROM149_26</t>
  </si>
  <si>
    <t>ROM149_27</t>
  </si>
  <si>
    <t>ROM149_28</t>
  </si>
  <si>
    <t>ROM149_29</t>
  </si>
  <si>
    <t>ROM149_30</t>
  </si>
  <si>
    <t>ROM149_31</t>
  </si>
  <si>
    <t>ROM149_32</t>
  </si>
  <si>
    <t>ROM149_33</t>
  </si>
  <si>
    <t>ROM149_34</t>
  </si>
  <si>
    <t>ROM149_35</t>
  </si>
  <si>
    <t>ROM149_36</t>
  </si>
  <si>
    <t>ROM149_37</t>
  </si>
  <si>
    <t>ROM149_38</t>
  </si>
  <si>
    <t>ROM149_39</t>
  </si>
  <si>
    <t>ROM149_40</t>
  </si>
  <si>
    <t>ROM149_41</t>
  </si>
  <si>
    <t>ROM149_42</t>
  </si>
  <si>
    <t>ROM149_43</t>
  </si>
  <si>
    <t>ROM149_44</t>
  </si>
  <si>
    <t>ROM149_45</t>
  </si>
  <si>
    <t>ROM149_46</t>
  </si>
  <si>
    <t>ROM149_47</t>
  </si>
  <si>
    <t>ROM149_48</t>
  </si>
  <si>
    <t>ROM149_49</t>
  </si>
  <si>
    <t>ROM149_50</t>
  </si>
  <si>
    <t>Rom094_1</t>
  </si>
  <si>
    <t>Rom094_2</t>
  </si>
  <si>
    <t>Rom094_3</t>
  </si>
  <si>
    <t>Rom094_4</t>
  </si>
  <si>
    <t>Rom094_5</t>
  </si>
  <si>
    <t>Rom094_6</t>
  </si>
  <si>
    <t>Rom094_7</t>
  </si>
  <si>
    <t>Rom094_8</t>
  </si>
  <si>
    <t>Rom094_9</t>
  </si>
  <si>
    <t>Rom094_10</t>
  </si>
  <si>
    <t>Rom094_11</t>
  </si>
  <si>
    <t>Rom094_12</t>
  </si>
  <si>
    <t>Rom094_13</t>
  </si>
  <si>
    <t>Rom094_14</t>
  </si>
  <si>
    <t>Rom094_15</t>
  </si>
  <si>
    <t>Rom094_16</t>
  </si>
  <si>
    <t>Rom094_17</t>
  </si>
  <si>
    <t>Rom094_18</t>
  </si>
  <si>
    <t>ROM094_19</t>
  </si>
  <si>
    <t>ROM094_20</t>
  </si>
  <si>
    <t>ROM094_21</t>
  </si>
  <si>
    <t>ROM094_22</t>
  </si>
  <si>
    <t>ROM094_23</t>
  </si>
  <si>
    <t>ROM094_24</t>
  </si>
  <si>
    <t>ROM094_25</t>
  </si>
  <si>
    <t>ROM094_26</t>
  </si>
  <si>
    <t>ROM094_28</t>
  </si>
  <si>
    <t>ROM094_29</t>
  </si>
  <si>
    <t>ROM094_30</t>
  </si>
  <si>
    <t>ROM094_31</t>
  </si>
  <si>
    <t>ROM094_32</t>
  </si>
  <si>
    <t>ROM094_33</t>
  </si>
  <si>
    <t>ROM094_34</t>
  </si>
  <si>
    <t>ROM094_35</t>
  </si>
  <si>
    <t>ROM094_36</t>
  </si>
  <si>
    <t>ROM094_37</t>
  </si>
  <si>
    <t>ROM094_38</t>
  </si>
  <si>
    <t>ROM094_39</t>
  </si>
  <si>
    <t>ROM094_40</t>
  </si>
  <si>
    <t>Cerro Negro Norte</t>
    <phoneticPr fontId="2" type="noConversion"/>
  </si>
  <si>
    <t>BED13_01_MT_03</t>
  </si>
  <si>
    <t>Salazar 2020 MD</t>
    <phoneticPr fontId="2" type="noConversion"/>
  </si>
  <si>
    <t>BED13_01_MT_04</t>
  </si>
  <si>
    <t>BED13_01_MT_05</t>
  </si>
  <si>
    <t>Salazar 2020 MD</t>
  </si>
  <si>
    <t>BED13_01_MT_06</t>
  </si>
  <si>
    <t>BED13_01_MT_07</t>
  </si>
  <si>
    <t>BED13_02_MT_01</t>
  </si>
  <si>
    <t>BED13_02_MT_02</t>
  </si>
  <si>
    <t>BED13_02_MT_03</t>
  </si>
  <si>
    <t>BED13_02_MT_04</t>
  </si>
  <si>
    <t>BED13_02_MT_05</t>
  </si>
  <si>
    <t>BED13_02_MT_06</t>
  </si>
  <si>
    <t>BED13_03_MT_01</t>
  </si>
  <si>
    <t>BED13_03_MT_02</t>
  </si>
  <si>
    <t>BED13_03_MT_03</t>
  </si>
  <si>
    <t>BED13_03_MT_04</t>
  </si>
  <si>
    <t>BED13_03_MT_05</t>
  </si>
  <si>
    <t>BED13_03_MT_06</t>
  </si>
  <si>
    <t>BED13_03_MT_07</t>
  </si>
  <si>
    <t>BED13_03_MT_08</t>
  </si>
  <si>
    <t>BED13_04_MT_01</t>
  </si>
  <si>
    <t>BED13_04_MT_02</t>
  </si>
  <si>
    <t>BED13_04_MT_04</t>
  </si>
  <si>
    <t>BED13_04_MT_05</t>
  </si>
  <si>
    <t>BED13_04_MT_06</t>
  </si>
  <si>
    <t>BED13_04_MT_07</t>
  </si>
  <si>
    <t>BED13_04_MT_08</t>
  </si>
  <si>
    <t>BED13_05_MT_01</t>
  </si>
  <si>
    <t>BED13_05_MT_02</t>
  </si>
  <si>
    <t>BED13_05_MT_03</t>
  </si>
  <si>
    <t>BED13_05_MT_04</t>
  </si>
  <si>
    <t>BED13_05_MT_05</t>
  </si>
  <si>
    <t>BED13_05_MT_06</t>
  </si>
  <si>
    <t>BED13_05_MT_07</t>
  </si>
  <si>
    <t>BED13_05_MT_08</t>
  </si>
  <si>
    <t>BED13_05_MT_09</t>
  </si>
  <si>
    <t>BED13_05_MT_10</t>
  </si>
  <si>
    <t>BED13_06_MT_01</t>
  </si>
  <si>
    <t>BED13_06_MT_02</t>
  </si>
  <si>
    <t>BED13_06_MT_03</t>
  </si>
  <si>
    <t>BED13_06_MT_04</t>
  </si>
  <si>
    <t>BED13_06_MT_05</t>
  </si>
  <si>
    <t>BED13_06_MT_06</t>
  </si>
  <si>
    <t>BED13_07_MT_02</t>
  </si>
  <si>
    <t>BED13_07_MT_04</t>
  </si>
  <si>
    <t>BED13_07_MT_05</t>
  </si>
  <si>
    <t>AUT29_01_MT_12</t>
  </si>
  <si>
    <t>AUT29_01_MT_11</t>
  </si>
  <si>
    <t>AUT29_01_MT_07</t>
  </si>
  <si>
    <t>AUT29_01_MT_04</t>
  </si>
  <si>
    <t>AUT29_01_MT_03</t>
  </si>
  <si>
    <t>AUT29_01_MT_02</t>
  </si>
  <si>
    <t>AUT29_01_MT_01</t>
  </si>
  <si>
    <t>AUT29_06_MT_01</t>
  </si>
  <si>
    <t>AUT29_06_MT_02</t>
  </si>
  <si>
    <t>AUT29_06_MT_03</t>
  </si>
  <si>
    <t>AUT29_06_MT_04</t>
  </si>
  <si>
    <t>AUT29_06_MT_05</t>
  </si>
  <si>
    <t>AUT29_07_MT_01</t>
  </si>
  <si>
    <t>AUT29_07_MT_02</t>
  </si>
  <si>
    <t>AUT29_07_MT_03</t>
  </si>
  <si>
    <t>AUT29_07_MT_04</t>
  </si>
  <si>
    <t>AUT29_07_MT_05</t>
  </si>
  <si>
    <t>AUT29_07_MT_06</t>
  </si>
  <si>
    <t>AUT29_07_MT_07</t>
  </si>
  <si>
    <t>AUT29_08_MT_01</t>
  </si>
  <si>
    <t>AUT29_08_MT_02</t>
  </si>
  <si>
    <t>AUT29_08_MT_04</t>
  </si>
  <si>
    <t>AUT29_08_MT_05</t>
  </si>
  <si>
    <t>AUT29_08_MT_06</t>
  </si>
  <si>
    <t>BED09_02_MT_01</t>
  </si>
  <si>
    <t>BED09_02_MT_04</t>
  </si>
  <si>
    <t>BED09_02_MT_06</t>
  </si>
  <si>
    <t>BED09_06_MT_01</t>
  </si>
  <si>
    <t>BED09_06_MT_02</t>
  </si>
  <si>
    <t>BED09_06_MT_03</t>
  </si>
  <si>
    <t>BED09_06_MT_04</t>
  </si>
  <si>
    <t>BED09_06_MT_05</t>
  </si>
  <si>
    <t>BED09_03_MT_02</t>
  </si>
  <si>
    <t>BEDII23_01_MT2_06</t>
  </si>
  <si>
    <t>BEDII23_01_MT2_05</t>
  </si>
  <si>
    <t>BEDII23_01_MT2_04</t>
  </si>
  <si>
    <t>BEDII23_01_MT2_02</t>
  </si>
  <si>
    <t>BEDII23_01_MT1_05</t>
  </si>
  <si>
    <t>BEDII23_01_MT2_01</t>
  </si>
  <si>
    <t>BEDII23_02_MT2_01</t>
  </si>
  <si>
    <t>BEDII23_02_MT2_03</t>
  </si>
  <si>
    <t>BEDII23_02_MT2_05</t>
  </si>
  <si>
    <t>BEDII23_03_MT1_03</t>
  </si>
  <si>
    <t>BEDII23_02_MT1_02</t>
  </si>
  <si>
    <t>BEDII23_02_MT1_03</t>
  </si>
  <si>
    <t>BEDII23_02_MT1_04</t>
  </si>
  <si>
    <t>BEDII23_02_MT1_05</t>
  </si>
  <si>
    <t>BEDII23_04_MT2_02</t>
  </si>
  <si>
    <t>BEDII23_04_MT2_01</t>
  </si>
  <si>
    <t>BEDII23_04_MT2_03</t>
  </si>
  <si>
    <t>BEDII23_04_MT2_04</t>
  </si>
  <si>
    <t>BEDII23_04_MT2_05</t>
  </si>
  <si>
    <t>BEDII23_04_MT1_01</t>
  </si>
  <si>
    <t>BEDII23_04_MT1_02</t>
  </si>
  <si>
    <t>BEDII23_04_MT1_03</t>
  </si>
  <si>
    <t>BEDII23_04_MT1_04</t>
  </si>
  <si>
    <t>BEDII23_04_MT1_05</t>
  </si>
  <si>
    <t>BEDII23_05_MT_09</t>
  </si>
  <si>
    <t>BEDII23_05_MT_04</t>
  </si>
  <si>
    <t>BEDII23_05_MT_03</t>
  </si>
  <si>
    <t>BEDII23_05_MT_01</t>
  </si>
  <si>
    <t>AUT09_01_MT_01</t>
  </si>
  <si>
    <t>AUT09_01_MT_02</t>
  </si>
  <si>
    <t>AUT09_01_MT_03</t>
  </si>
  <si>
    <t>AUT09_01_MT_04</t>
  </si>
  <si>
    <t>AUT09_01_MT_05</t>
  </si>
  <si>
    <t>AUT09_02_MT_01</t>
  </si>
  <si>
    <t>AUT09_02_MT_02</t>
  </si>
  <si>
    <t>AUT09_02_MT_03</t>
  </si>
  <si>
    <t>AUT09_02_MT_04</t>
  </si>
  <si>
    <t>AUT09_02_MT_05</t>
  </si>
  <si>
    <t>AUT09_03_MT_01</t>
  </si>
  <si>
    <t>AUT09_03_MT_02</t>
  </si>
  <si>
    <t>AUT09_03_MT_03</t>
  </si>
  <si>
    <t>AUT09_03_MT_04</t>
  </si>
  <si>
    <t>BEDII31_01_MT_01</t>
  </si>
  <si>
    <t>BEDII31_01_MT_02</t>
  </si>
  <si>
    <t>BEDII31_01_MT_03</t>
  </si>
  <si>
    <t>BEDII31_01_MT_04</t>
  </si>
  <si>
    <t>BEDII31_01_MT_05</t>
  </si>
  <si>
    <t>BEDII31_01_MT_06</t>
  </si>
  <si>
    <t>BEDII31_02_MT_01</t>
  </si>
  <si>
    <t>BEDII31_02_MT_02</t>
  </si>
  <si>
    <t>BEDII31_02_MT_03</t>
  </si>
  <si>
    <t>BEDII31_02_MT_04</t>
  </si>
  <si>
    <t>BEDII31_02_MT_05</t>
  </si>
  <si>
    <t>BEDII31_02_MT_06</t>
  </si>
  <si>
    <t>BEDII31_03_MT_01</t>
  </si>
  <si>
    <t>BEDII31_03_MT_02</t>
  </si>
  <si>
    <t>BEDII31_03_MT_03</t>
  </si>
  <si>
    <t>BEDII31_03_MT_04</t>
  </si>
  <si>
    <t>BEDII31_03_MT_05</t>
  </si>
  <si>
    <t>BEDII31_03_MT_06</t>
  </si>
  <si>
    <t>BEDII31_03_MT_07</t>
  </si>
  <si>
    <t>BEDII31_03_MT_08</t>
  </si>
  <si>
    <t>BEDII31_03_MT_09</t>
  </si>
  <si>
    <t>BEDII31_03_MT_11</t>
  </si>
  <si>
    <t>BEDII31_03_MT_12</t>
  </si>
  <si>
    <t>Alemao</t>
    <phoneticPr fontId="2" type="noConversion"/>
  </si>
  <si>
    <t>Alemao-1</t>
    <phoneticPr fontId="2" type="noConversion"/>
  </si>
  <si>
    <t>Huang 2019 MD</t>
    <phoneticPr fontId="2" type="noConversion"/>
  </si>
  <si>
    <t>Alemao-2</t>
    <phoneticPr fontId="2" type="noConversion"/>
  </si>
  <si>
    <t>Sossego</t>
    <phoneticPr fontId="2" type="noConversion"/>
  </si>
  <si>
    <t>Sossego-80</t>
    <phoneticPr fontId="2" type="noConversion"/>
  </si>
  <si>
    <t>Huang 2019 MD</t>
  </si>
  <si>
    <t>Sossego-84-1</t>
    <phoneticPr fontId="2" type="noConversion"/>
  </si>
  <si>
    <t>Sossego-84-2</t>
  </si>
  <si>
    <t>Sossego-84-3</t>
  </si>
  <si>
    <t>Sossego-84-4</t>
  </si>
  <si>
    <t>Sossego-84-5</t>
  </si>
  <si>
    <t>F259-1</t>
    <phoneticPr fontId="2" type="noConversion"/>
  </si>
  <si>
    <t>F259-2</t>
  </si>
  <si>
    <t>F259-3</t>
  </si>
  <si>
    <t>F259-4</t>
  </si>
  <si>
    <t>F259-5</t>
  </si>
  <si>
    <t>F259-6</t>
  </si>
  <si>
    <t>F263P-1</t>
    <phoneticPr fontId="2" type="noConversion"/>
  </si>
  <si>
    <t>F263P-2</t>
  </si>
  <si>
    <t>F263P-3</t>
  </si>
  <si>
    <t>F263P-4</t>
  </si>
  <si>
    <t>F263P-5</t>
  </si>
  <si>
    <t>F263P-6</t>
  </si>
  <si>
    <t>SOS_39K-1</t>
    <phoneticPr fontId="2" type="noConversion"/>
  </si>
  <si>
    <t>SOS_39K-2</t>
  </si>
  <si>
    <t>SOS_39K-3</t>
  </si>
  <si>
    <t>SOS_39K-4</t>
  </si>
  <si>
    <t>SOS_39K-5</t>
  </si>
  <si>
    <t>SOS_39K-6</t>
  </si>
  <si>
    <t>Salobo</t>
    <phoneticPr fontId="2" type="noConversion"/>
  </si>
  <si>
    <t>F66-1</t>
    <phoneticPr fontId="2" type="noConversion"/>
  </si>
  <si>
    <t>F66-2</t>
    <phoneticPr fontId="2" type="noConversion"/>
  </si>
  <si>
    <t>F66-3</t>
  </si>
  <si>
    <t>F66-4</t>
  </si>
  <si>
    <t>F66-5</t>
  </si>
  <si>
    <t>Sal2-1</t>
    <phoneticPr fontId="2" type="noConversion"/>
  </si>
  <si>
    <t>Sal2-2</t>
    <phoneticPr fontId="2" type="noConversion"/>
  </si>
  <si>
    <t>Sal2-3</t>
  </si>
  <si>
    <t>Sal2-4</t>
  </si>
  <si>
    <t>Sal2-5</t>
  </si>
  <si>
    <t>Sal2-6</t>
  </si>
  <si>
    <t>11CC051-1</t>
    <phoneticPr fontId="2" type="noConversion"/>
  </si>
  <si>
    <t>11CC051-2</t>
  </si>
  <si>
    <t>11CC051-3</t>
  </si>
  <si>
    <t>11CC051-4</t>
  </si>
  <si>
    <t>F159-1</t>
    <phoneticPr fontId="2" type="noConversion"/>
  </si>
  <si>
    <t>F159-2</t>
  </si>
  <si>
    <t>F159-3</t>
  </si>
  <si>
    <t>Ernest Henry</t>
    <phoneticPr fontId="2" type="noConversion"/>
  </si>
  <si>
    <t>EH3-1</t>
    <phoneticPr fontId="2" type="noConversion"/>
  </si>
  <si>
    <t>EH3-2</t>
    <phoneticPr fontId="2" type="noConversion"/>
  </si>
  <si>
    <t>EH3-3</t>
  </si>
  <si>
    <t>EH4-1</t>
    <phoneticPr fontId="2" type="noConversion"/>
  </si>
  <si>
    <t>EH4-2</t>
    <phoneticPr fontId="2" type="noConversion"/>
  </si>
  <si>
    <t>EH4-3</t>
    <phoneticPr fontId="2" type="noConversion"/>
  </si>
  <si>
    <t>EHenry2-1</t>
    <phoneticPr fontId="2" type="noConversion"/>
  </si>
  <si>
    <t>EHenry2-2</t>
    <phoneticPr fontId="2" type="noConversion"/>
  </si>
  <si>
    <t>EHenry2-3</t>
    <phoneticPr fontId="2" type="noConversion"/>
  </si>
  <si>
    <t>Candelaria</t>
  </si>
  <si>
    <t>Candelaria-1</t>
    <phoneticPr fontId="2" type="noConversion"/>
  </si>
  <si>
    <t>Candelaria-2</t>
  </si>
  <si>
    <t>Candelaria-3</t>
  </si>
  <si>
    <t>Candelaria-4</t>
  </si>
  <si>
    <t>Candelaria-5</t>
  </si>
  <si>
    <t>Candelaria-6</t>
  </si>
  <si>
    <t>Candelaria414-1</t>
    <phoneticPr fontId="2" type="noConversion"/>
  </si>
  <si>
    <t>Candelaria414-2</t>
  </si>
  <si>
    <t>Candelaria414-3</t>
  </si>
  <si>
    <t>PC98102-1</t>
    <phoneticPr fontId="2" type="noConversion"/>
  </si>
  <si>
    <t>PC98102-2</t>
  </si>
  <si>
    <t>PC98102-3</t>
  </si>
  <si>
    <t>PC98102-4</t>
  </si>
  <si>
    <t>PC9174-1</t>
    <phoneticPr fontId="2" type="noConversion"/>
  </si>
  <si>
    <t>PC9174-2</t>
  </si>
  <si>
    <t>Kwyjibo</t>
  </si>
  <si>
    <t>KJ1-1</t>
    <phoneticPr fontId="2" type="noConversion"/>
  </si>
  <si>
    <t>KJ1-2</t>
    <phoneticPr fontId="2" type="noConversion"/>
  </si>
  <si>
    <t>KJ1-3</t>
  </si>
  <si>
    <t>KJ2-1</t>
    <phoneticPr fontId="2" type="noConversion"/>
  </si>
  <si>
    <t>KJ2-2</t>
    <phoneticPr fontId="2" type="noConversion"/>
  </si>
  <si>
    <t>KJ2-3</t>
  </si>
  <si>
    <t>KJ2-4</t>
  </si>
  <si>
    <t>KJ2-5</t>
  </si>
  <si>
    <t>KJ2-6</t>
  </si>
  <si>
    <t>KJ2-7</t>
  </si>
  <si>
    <t>KJ2-8</t>
  </si>
  <si>
    <t>KJ2-9</t>
  </si>
  <si>
    <t>KJ2-10</t>
  </si>
  <si>
    <t>KJ2-11</t>
  </si>
  <si>
    <t>KJ2-12</t>
  </si>
  <si>
    <t>KJ2-13</t>
  </si>
  <si>
    <t>KJ3-1</t>
    <phoneticPr fontId="2" type="noConversion"/>
  </si>
  <si>
    <t>KJ3-2</t>
    <phoneticPr fontId="2" type="noConversion"/>
  </si>
  <si>
    <t>KJ3-3</t>
  </si>
  <si>
    <t>KJ3-4</t>
  </si>
  <si>
    <t>KJ3-5</t>
  </si>
  <si>
    <t>KJ3-6</t>
  </si>
  <si>
    <t>KJ3-7</t>
  </si>
  <si>
    <t>KJ3-8</t>
  </si>
  <si>
    <t>Kiruna</t>
    <phoneticPr fontId="2" type="noConversion"/>
  </si>
  <si>
    <t>Kiruna 1154-1</t>
    <phoneticPr fontId="2" type="noConversion"/>
  </si>
  <si>
    <t>Kiruna 1154-2</t>
  </si>
  <si>
    <t>Kiruna 1154-3</t>
  </si>
  <si>
    <t>Kiruna 1154-4</t>
  </si>
  <si>
    <t>Rektorn</t>
    <phoneticPr fontId="2" type="noConversion"/>
  </si>
  <si>
    <t>1053Mag-1</t>
    <phoneticPr fontId="2" type="noConversion"/>
  </si>
  <si>
    <t>1053Mag-2</t>
  </si>
  <si>
    <t>1053Mag-3</t>
  </si>
  <si>
    <t>El Romeral-1</t>
    <phoneticPr fontId="2" type="noConversion"/>
  </si>
  <si>
    <t>El Romeral-2</t>
    <phoneticPr fontId="2" type="noConversion"/>
  </si>
  <si>
    <t>El Romeral-3</t>
  </si>
  <si>
    <t>El Romeral-4</t>
  </si>
  <si>
    <t>El Romeral-5</t>
  </si>
  <si>
    <t>El Romeral-6</t>
  </si>
  <si>
    <t>El Romeral-7</t>
  </si>
  <si>
    <t>El Romeral-8</t>
  </si>
  <si>
    <t>Savage River</t>
  </si>
  <si>
    <t>Sriver-1</t>
    <phoneticPr fontId="2" type="noConversion"/>
  </si>
  <si>
    <t>Sriver-2</t>
    <phoneticPr fontId="2" type="noConversion"/>
  </si>
  <si>
    <t>Sriver-3</t>
    <phoneticPr fontId="2" type="noConversion"/>
  </si>
  <si>
    <t>Pilot Knob</t>
    <phoneticPr fontId="2" type="noConversion"/>
  </si>
  <si>
    <t>1158Mag</t>
    <phoneticPr fontId="2" type="noConversion"/>
  </si>
  <si>
    <t>Pea Ridge</t>
    <phoneticPr fontId="2" type="noConversion"/>
  </si>
  <si>
    <t>1157Mag-1</t>
    <phoneticPr fontId="2" type="noConversion"/>
  </si>
  <si>
    <t>1157Mag-2</t>
  </si>
  <si>
    <t>1157Mag-3</t>
  </si>
  <si>
    <t>Dahongshan</t>
    <phoneticPr fontId="2" type="noConversion"/>
  </si>
  <si>
    <t>CKN5-11-1</t>
  </si>
  <si>
    <t>Wang 2020 OGR</t>
    <phoneticPr fontId="2" type="noConversion"/>
  </si>
  <si>
    <t>CKN5-11-2</t>
  </si>
  <si>
    <t>CKN5-11-3</t>
  </si>
  <si>
    <t>Wang 2020 OGR</t>
  </si>
  <si>
    <t>CKN5-11-4</t>
  </si>
  <si>
    <t>CKN5-11-5</t>
  </si>
  <si>
    <t>CKN5-11-6</t>
  </si>
  <si>
    <t>CKN5-11-7</t>
  </si>
  <si>
    <t>CKN5-11-8</t>
  </si>
  <si>
    <t>CKN5-13-1</t>
  </si>
  <si>
    <t>CKN5-13-2</t>
  </si>
  <si>
    <t>CKN5-13-3</t>
  </si>
  <si>
    <t>CKN5-13-4</t>
  </si>
  <si>
    <t>CKN5-13-5</t>
  </si>
  <si>
    <t>CKN5-13-6</t>
  </si>
  <si>
    <t>CKN5-13-7</t>
  </si>
  <si>
    <t>CKN5-13-8</t>
  </si>
  <si>
    <t>CKN5-14-1</t>
  </si>
  <si>
    <t>CKN5-14-2</t>
  </si>
  <si>
    <t>CKN5-14-3</t>
  </si>
  <si>
    <t>CKN5-14-5</t>
  </si>
  <si>
    <t>CKN5-14-6</t>
  </si>
  <si>
    <t>CKN5-14-7</t>
  </si>
  <si>
    <t>CKN5-14-8</t>
  </si>
  <si>
    <t>CKN5-16-1</t>
  </si>
  <si>
    <t>CKN5-16-2</t>
  </si>
  <si>
    <t>CKN5-16-3</t>
  </si>
  <si>
    <t>CKN5-16-4</t>
  </si>
  <si>
    <t>CKN5-16-5</t>
  </si>
  <si>
    <t>CKN5-16-6</t>
  </si>
  <si>
    <t>CKN5-16-7</t>
  </si>
  <si>
    <t>CKN5-16-8</t>
  </si>
  <si>
    <t>CKN5-19-3</t>
  </si>
  <si>
    <t>CKN5-19-4</t>
  </si>
  <si>
    <t>CKN5-19-8</t>
  </si>
  <si>
    <t>DHS1513-1</t>
  </si>
  <si>
    <t>DHS1513-2</t>
  </si>
  <si>
    <t>DHS1513-3</t>
  </si>
  <si>
    <t>DHS1513-4</t>
  </si>
  <si>
    <t>DHS1513-5</t>
  </si>
  <si>
    <t>DHS1513-6</t>
  </si>
  <si>
    <t>DHS1513-7</t>
  </si>
  <si>
    <t>DHS1513-8</t>
  </si>
  <si>
    <t>DHS1605-1</t>
  </si>
  <si>
    <t>DHS1605-2</t>
  </si>
  <si>
    <t>DHS1605-3</t>
  </si>
  <si>
    <t>DHS1605-4</t>
  </si>
  <si>
    <t>DHS1605-5</t>
  </si>
  <si>
    <t>DHS1605-6</t>
  </si>
  <si>
    <t>DHS1605-7</t>
  </si>
  <si>
    <t>DHS1605-8</t>
  </si>
  <si>
    <t>DHS1611-1</t>
  </si>
  <si>
    <t>DHS1611-2</t>
  </si>
  <si>
    <t>DHS1611-4</t>
  </si>
  <si>
    <t>DHS1611-5</t>
  </si>
  <si>
    <t>DHS1611-6</t>
  </si>
  <si>
    <t>DHS1611-7</t>
  </si>
  <si>
    <t>DHS1611-8</t>
  </si>
  <si>
    <t>DHS1612-1</t>
  </si>
  <si>
    <t>DHS1612-3</t>
  </si>
  <si>
    <t>DHS1612-4</t>
  </si>
  <si>
    <t>DHS1612-5</t>
  </si>
  <si>
    <t>DHS1612-6</t>
  </si>
  <si>
    <t>DHS1612-7</t>
  </si>
  <si>
    <t>DHS1612-8</t>
  </si>
  <si>
    <t>DHS1518-1</t>
  </si>
  <si>
    <t>DHS1518-2</t>
  </si>
  <si>
    <t>DHS1518-3</t>
  </si>
  <si>
    <t>DHS1518-4</t>
  </si>
  <si>
    <t>DHS1518-5</t>
  </si>
  <si>
    <t>DHS1518-6</t>
  </si>
  <si>
    <t>DHS1518-7</t>
  </si>
  <si>
    <t>DHS1518-8</t>
  </si>
  <si>
    <t>DHS1523-1</t>
  </si>
  <si>
    <t>DHS1523-2</t>
  </si>
  <si>
    <t>DHS1523-3</t>
  </si>
  <si>
    <t>DHS1523-4</t>
  </si>
  <si>
    <t>DHS1523-5</t>
  </si>
  <si>
    <t>DHS1523-6</t>
  </si>
  <si>
    <t>DHS1523-7</t>
  </si>
  <si>
    <t>DHS1523-8</t>
  </si>
  <si>
    <t>DHS1531-1</t>
  </si>
  <si>
    <t>DHS1531-2</t>
  </si>
  <si>
    <t>DHS1531-3</t>
  </si>
  <si>
    <t>DHS1531-4</t>
  </si>
  <si>
    <t>DHS1531-5</t>
  </si>
  <si>
    <t>DHS1531-6</t>
  </si>
  <si>
    <t>DHS1531-7</t>
  </si>
  <si>
    <t>DHS1531-8</t>
  </si>
  <si>
    <t>CKN5-44-1</t>
  </si>
  <si>
    <t>CKN5-44-2</t>
  </si>
  <si>
    <t>CKN5-44-3</t>
  </si>
  <si>
    <t>CKN5-44-4</t>
  </si>
  <si>
    <t>CKN5-44-5</t>
  </si>
  <si>
    <t>CKN5-44-6</t>
  </si>
  <si>
    <t>CKN5-44-8</t>
  </si>
  <si>
    <t>CK34-16-1</t>
  </si>
  <si>
    <t>CK34-16-2</t>
  </si>
  <si>
    <t>CK34-16-3</t>
  </si>
  <si>
    <t>CK34-16-4</t>
  </si>
  <si>
    <t>CK34-16-6</t>
  </si>
  <si>
    <t>CK34-16-7</t>
  </si>
  <si>
    <t>CK34-16-8</t>
  </si>
  <si>
    <t>CK34-15-1</t>
  </si>
  <si>
    <t>CK34-15-2</t>
  </si>
  <si>
    <t>CK34-15-3</t>
  </si>
  <si>
    <t>CK34-15-4</t>
  </si>
  <si>
    <t>CK34-15-5</t>
  </si>
  <si>
    <t>CK34-15-6</t>
  </si>
  <si>
    <t>CK34-15-7</t>
  </si>
  <si>
    <t>CK34-15-8</t>
  </si>
  <si>
    <t>CK34-12-1</t>
  </si>
  <si>
    <t>CK34-12-2</t>
  </si>
  <si>
    <t>CK34-12-3</t>
  </si>
  <si>
    <t>CK34-12-5</t>
  </si>
  <si>
    <t>CK34-12-6</t>
  </si>
  <si>
    <t>CK34-12-8</t>
  </si>
  <si>
    <t>DHS1533-2</t>
  </si>
  <si>
    <t>DHS1533-3</t>
  </si>
  <si>
    <t>DHS1533-4</t>
  </si>
  <si>
    <t>DHS1533-5</t>
  </si>
  <si>
    <t>DHS1533-6</t>
  </si>
  <si>
    <t>DHS1533-7</t>
  </si>
  <si>
    <t>DHS1533-8</t>
  </si>
  <si>
    <t>DHS1535-1</t>
  </si>
  <si>
    <t>DHS1535-2</t>
  </si>
  <si>
    <t>DHS1535-3</t>
  </si>
  <si>
    <t>DHS1535-4</t>
  </si>
  <si>
    <t>DHS1535-5</t>
  </si>
  <si>
    <t>DHS1535-6</t>
  </si>
  <si>
    <t>DHS1535-7</t>
  </si>
  <si>
    <t>DHS1535-8</t>
  </si>
  <si>
    <t>DHS1536-1</t>
  </si>
  <si>
    <t>DHS1536-2</t>
  </si>
  <si>
    <t>DHS1536-3</t>
  </si>
  <si>
    <t>DHS1536-4</t>
  </si>
  <si>
    <t>DHS1536-5</t>
  </si>
  <si>
    <t>DHS1536-6</t>
  </si>
  <si>
    <t>DHS1536-7</t>
  </si>
  <si>
    <t>DHS1536-8</t>
  </si>
  <si>
    <t>DHS1632-1</t>
  </si>
  <si>
    <t>DHS1632-4</t>
  </si>
  <si>
    <t>DHS1632-5</t>
  </si>
  <si>
    <t>DHS1632-6</t>
  </si>
  <si>
    <t>DHS1632-7</t>
  </si>
  <si>
    <t>DHS1632-8</t>
  </si>
  <si>
    <t>DHS1633-1</t>
  </si>
  <si>
    <t>DHS1633-2</t>
  </si>
  <si>
    <t>DHS1633-3</t>
  </si>
  <si>
    <t>DHS1633-4</t>
  </si>
  <si>
    <t>DHS1633-5</t>
  </si>
  <si>
    <t>DHS1633-6</t>
  </si>
  <si>
    <t>DHS1633-7</t>
  </si>
  <si>
    <t>DHS1633-8</t>
  </si>
  <si>
    <t>DHS1637-1</t>
  </si>
  <si>
    <t>DHS1637-2</t>
  </si>
  <si>
    <t>DHS1637-3</t>
  </si>
  <si>
    <t>DHS1637-5</t>
  </si>
  <si>
    <t>DHS1637-8</t>
  </si>
  <si>
    <t>DHS1638-1</t>
  </si>
  <si>
    <t>DHS1638-2</t>
  </si>
  <si>
    <t>DHS1638-3</t>
  </si>
  <si>
    <t>DHS1638-4</t>
  </si>
  <si>
    <t>DHS1638-5</t>
  </si>
  <si>
    <t>DHS1638-6</t>
  </si>
  <si>
    <t>DHS1638-7</t>
  </si>
  <si>
    <t>DHS1638-8</t>
  </si>
  <si>
    <t>DHS1640-1</t>
  </si>
  <si>
    <t>DHS1640-2</t>
  </si>
  <si>
    <t>DHS1640-3</t>
  </si>
  <si>
    <t>DHS1640-4</t>
  </si>
  <si>
    <t>DHS1640-5</t>
  </si>
  <si>
    <t>DHS1640-6</t>
  </si>
  <si>
    <t>DHS1640-7</t>
  </si>
  <si>
    <t>DHS1640-8</t>
  </si>
  <si>
    <t>KRN-10-02-1</t>
    <phoneticPr fontId="2" type="noConversion"/>
  </si>
  <si>
    <t>Broughm 2017 MD</t>
    <phoneticPr fontId="2" type="noConversion"/>
  </si>
  <si>
    <t>KRN-10-02-2</t>
    <phoneticPr fontId="2" type="noConversion"/>
  </si>
  <si>
    <t>KRN-10-02-3</t>
    <phoneticPr fontId="2" type="noConversion"/>
  </si>
  <si>
    <t>Broughm 2017 MD</t>
  </si>
  <si>
    <t>KRN-10-02-4</t>
  </si>
  <si>
    <t>KRN-10-02-5</t>
  </si>
  <si>
    <t>KRN-10-02-6</t>
  </si>
  <si>
    <t>K-1-1</t>
    <phoneticPr fontId="2" type="noConversion"/>
  </si>
  <si>
    <t>K-1-2</t>
  </si>
  <si>
    <t>K-1-3</t>
  </si>
  <si>
    <t>K-1-4</t>
  </si>
  <si>
    <t>K-1-5</t>
  </si>
  <si>
    <t>K-1-6</t>
  </si>
  <si>
    <t>K-1-7</t>
  </si>
  <si>
    <t>K-1-8</t>
  </si>
  <si>
    <t>K-1-9</t>
  </si>
  <si>
    <t>K-1-10</t>
  </si>
  <si>
    <t>K-1-11</t>
  </si>
  <si>
    <t>K-1-12</t>
  </si>
  <si>
    <t>K-1-13</t>
  </si>
  <si>
    <t>K-1-14</t>
  </si>
  <si>
    <t>K-1-15</t>
  </si>
  <si>
    <t>K-1-16</t>
  </si>
  <si>
    <t>KRN-11-01-1</t>
    <phoneticPr fontId="2" type="noConversion"/>
  </si>
  <si>
    <t>KRN-11-01-2</t>
  </si>
  <si>
    <t>KRN-11-01-3</t>
  </si>
  <si>
    <t>KRN-11-01-4</t>
  </si>
  <si>
    <t>KRN-11-01-5</t>
  </si>
  <si>
    <t>KRN-11-01-6</t>
  </si>
  <si>
    <t>KRN-11-01-7</t>
  </si>
  <si>
    <t>KRN-11-03-1</t>
    <phoneticPr fontId="2" type="noConversion"/>
  </si>
  <si>
    <t>KRN-11-03-2</t>
  </si>
  <si>
    <t>KRN-11-03-3</t>
  </si>
  <si>
    <t>KRN-11-03-4</t>
  </si>
  <si>
    <t>KRN-11-03-5</t>
  </si>
  <si>
    <t>KRN-11-04-1</t>
    <phoneticPr fontId="2" type="noConversion"/>
  </si>
  <si>
    <t>KRN-11-04-2</t>
  </si>
  <si>
    <t>KRN-11-04-3</t>
  </si>
  <si>
    <t>KRN-11-04-4</t>
  </si>
  <si>
    <t>KRN-11-04-5</t>
  </si>
  <si>
    <t>KRN-11-04-6</t>
  </si>
  <si>
    <t>KRN-11-04-7</t>
  </si>
  <si>
    <t>KRN-11-05-1</t>
    <phoneticPr fontId="2" type="noConversion"/>
  </si>
  <si>
    <t>KRN-11-05-2</t>
  </si>
  <si>
    <t>KRN-12-02-1</t>
    <phoneticPr fontId="2" type="noConversion"/>
  </si>
  <si>
    <t>KRN-12-02-2</t>
  </si>
  <si>
    <t>KRN-12-02-3</t>
  </si>
  <si>
    <t>KRN-12-03-1</t>
    <phoneticPr fontId="2" type="noConversion"/>
  </si>
  <si>
    <t>KRN-12-03-2</t>
  </si>
  <si>
    <t>KRN-12-03-3</t>
  </si>
  <si>
    <t>KRN-12-03-4</t>
  </si>
  <si>
    <t>KRN-12-03-5</t>
  </si>
  <si>
    <t>KRN-12-03-6</t>
  </si>
  <si>
    <t>KRN-12-03-7</t>
  </si>
  <si>
    <t>KRN-12-05-1</t>
    <phoneticPr fontId="2" type="noConversion"/>
  </si>
  <si>
    <t>KRN-12-05-2</t>
  </si>
  <si>
    <t>TUV-10-01-1</t>
    <phoneticPr fontId="2" type="noConversion"/>
  </si>
  <si>
    <t>TUV-10-01-2</t>
  </si>
  <si>
    <t>TUV-10-01-3</t>
  </si>
  <si>
    <t>TUV-10-01-4</t>
  </si>
  <si>
    <t>TUV-10-01-5</t>
  </si>
  <si>
    <t>TUV-10-01-6</t>
  </si>
  <si>
    <t>TUV-10-03-1</t>
    <phoneticPr fontId="2" type="noConversion"/>
  </si>
  <si>
    <t>TUV-10-03-2</t>
  </si>
  <si>
    <t>TUV-10-03-3</t>
  </si>
  <si>
    <t>NUK-10-03-1</t>
    <phoneticPr fontId="2" type="noConversion"/>
  </si>
  <si>
    <t>NUK-10-03-2</t>
  </si>
  <si>
    <t>NUK-10-03-3</t>
  </si>
  <si>
    <t>NUK-10-03-4</t>
  </si>
  <si>
    <t>NUK-10-03-5</t>
  </si>
  <si>
    <t>NUK-12-02-1</t>
    <phoneticPr fontId="2" type="noConversion"/>
  </si>
  <si>
    <t>NUK-12-02-2</t>
  </si>
  <si>
    <t>NUK-12-02-3</t>
  </si>
  <si>
    <t>NUK-12-02-4</t>
  </si>
  <si>
    <t>NUK-12-02-5</t>
  </si>
  <si>
    <t>NUK-12-02-6</t>
  </si>
  <si>
    <t>REK-10-04-1</t>
    <phoneticPr fontId="2" type="noConversion"/>
  </si>
  <si>
    <t>REK-10-04-2</t>
  </si>
  <si>
    <t>REK-10-04-3</t>
  </si>
  <si>
    <t>REK-12-02-1</t>
    <phoneticPr fontId="2" type="noConversion"/>
  </si>
  <si>
    <t>REK-12-02-2</t>
  </si>
  <si>
    <t>REK-12-02-3</t>
  </si>
  <si>
    <t>REK-12-02-4</t>
  </si>
  <si>
    <t>REK-12-02-5</t>
  </si>
  <si>
    <t>REK-12-02-6</t>
  </si>
  <si>
    <t>ELL-14-05-1</t>
    <phoneticPr fontId="2" type="noConversion"/>
  </si>
  <si>
    <t>ELL-14-05-2</t>
  </si>
  <si>
    <t>ELL-14-05-3</t>
  </si>
  <si>
    <t>ELL-14-05-4</t>
  </si>
  <si>
    <t>ELL-14-05-5</t>
  </si>
  <si>
    <t>ELL-14-05-6</t>
  </si>
  <si>
    <t>ELL-14-05-7</t>
  </si>
  <si>
    <t>ELL-14-05-8</t>
  </si>
  <si>
    <t>ELL-14-05-9</t>
  </si>
  <si>
    <t>ELL-14-05-10</t>
  </si>
  <si>
    <t>ELL-14-05-11</t>
  </si>
  <si>
    <t>ELL-14-05-12</t>
  </si>
  <si>
    <t>ELL-14-05-13</t>
  </si>
  <si>
    <t>ELL-14-05-14</t>
  </si>
  <si>
    <t>ELL-14-05-15</t>
  </si>
  <si>
    <t>ELL-14-05-16</t>
  </si>
  <si>
    <t>ELL-14-05-17</t>
  </si>
  <si>
    <t>ELL-14-05-18</t>
  </si>
  <si>
    <t>ELL-14-06-1</t>
    <phoneticPr fontId="2" type="noConversion"/>
  </si>
  <si>
    <t>ELL-14-06-2</t>
  </si>
  <si>
    <t>ELL-14-06-3</t>
  </si>
  <si>
    <t>ELL-14-06-4</t>
  </si>
  <si>
    <t>ELL-14-06-5</t>
  </si>
  <si>
    <t>ELL-14-06-6</t>
  </si>
  <si>
    <t>ELL-14-06-7</t>
  </si>
  <si>
    <t>ELL-14-06-8</t>
  </si>
  <si>
    <t>ELL-14-06-9</t>
  </si>
  <si>
    <t>ELL-14-06-10</t>
  </si>
  <si>
    <t>Bajo de la Alumbrera</t>
  </si>
  <si>
    <t>3129G1L2.D</t>
  </si>
  <si>
    <t>Huang 2019 EG</t>
    <phoneticPr fontId="2" type="noConversion"/>
  </si>
  <si>
    <t>3129G2L1.D</t>
  </si>
  <si>
    <t>3129G2L2.D</t>
  </si>
  <si>
    <t>Huang 2019 EG</t>
  </si>
  <si>
    <t>3129G3.D</t>
  </si>
  <si>
    <t>3130G1.D</t>
  </si>
  <si>
    <t>3130G2L1.D</t>
  </si>
  <si>
    <t>3130G2L2.D</t>
  </si>
  <si>
    <t>3130G3.D</t>
  </si>
  <si>
    <t>3131G1.D</t>
  </si>
  <si>
    <t>3131G3L1.D</t>
  </si>
  <si>
    <t>3131G3L2.D</t>
  </si>
  <si>
    <t>3133G1L1.D</t>
  </si>
  <si>
    <t>3133G1L2.D</t>
  </si>
  <si>
    <t>3133G2.D</t>
  </si>
  <si>
    <t>3133G3.D</t>
  </si>
  <si>
    <t>522G1L1.D</t>
  </si>
  <si>
    <t>522G1L2.D</t>
  </si>
  <si>
    <t>522G2L1.D</t>
  </si>
  <si>
    <t>522G2L2.D</t>
  </si>
  <si>
    <t>Butte</t>
  </si>
  <si>
    <t>10BG2L1.D</t>
  </si>
  <si>
    <t>10BG3.D</t>
  </si>
  <si>
    <t>0981G1L1.D</t>
  </si>
  <si>
    <t>0981G3.D</t>
  </si>
  <si>
    <t>BUR5G1.D</t>
  </si>
  <si>
    <t>BUR5G2L1.D</t>
  </si>
  <si>
    <t>BUR8G1.D</t>
  </si>
  <si>
    <t>BUR8G3.D</t>
  </si>
  <si>
    <t>Morococha</t>
  </si>
  <si>
    <t>T1G1L1.D</t>
  </si>
  <si>
    <t>T1G3L1.D</t>
  </si>
  <si>
    <t>T1G4L1.D</t>
  </si>
  <si>
    <t>T2G1L1.D</t>
  </si>
  <si>
    <t>T2G1L2.D</t>
  </si>
  <si>
    <t>Porgera</t>
  </si>
  <si>
    <t>PORGG3L3.D</t>
  </si>
  <si>
    <t>PORG4L1.D</t>
  </si>
  <si>
    <t>Reko Diq</t>
  </si>
  <si>
    <t>L18G5L1.D</t>
  </si>
  <si>
    <t>L18G3L2.D</t>
  </si>
  <si>
    <t>L18G4L1.D</t>
  </si>
  <si>
    <t>RK5G2L2.D</t>
  </si>
  <si>
    <t>RK5G3L1.D</t>
  </si>
  <si>
    <t>Reko Diq</t>
    <phoneticPr fontId="2" type="noConversion"/>
  </si>
  <si>
    <t>RK5G3L2.D</t>
  </si>
  <si>
    <t>RK5G4L1.D</t>
  </si>
  <si>
    <t>RK18G67.D</t>
  </si>
  <si>
    <t>Ridgeway</t>
  </si>
  <si>
    <t>RIDG2L1.D</t>
  </si>
  <si>
    <t>RIDG3L1.D</t>
  </si>
  <si>
    <t>RIDG3L2.D</t>
  </si>
  <si>
    <t>Bayan Obo</t>
    <phoneticPr fontId="2" type="noConversion"/>
  </si>
  <si>
    <t>1545-1-1</t>
  </si>
  <si>
    <t>Chen 2019 OGR</t>
    <phoneticPr fontId="2" type="noConversion"/>
  </si>
  <si>
    <t>1545-1-2</t>
  </si>
  <si>
    <t>1545-2-1</t>
  </si>
  <si>
    <t>Chen 2019 OGR</t>
  </si>
  <si>
    <t>1545-2-2</t>
  </si>
  <si>
    <t>1545-2-3</t>
  </si>
  <si>
    <t>1545-3-1</t>
  </si>
  <si>
    <t>1545-3-2</t>
  </si>
  <si>
    <t>1545-4-1</t>
  </si>
  <si>
    <t>1545-4-2</t>
  </si>
  <si>
    <t>1545-4-3</t>
  </si>
  <si>
    <t>1539-1-4</t>
  </si>
  <si>
    <t>1539-1-5</t>
  </si>
  <si>
    <t>1539-2-1</t>
  </si>
  <si>
    <t>1539-2-3</t>
  </si>
  <si>
    <t>1539-2-4</t>
  </si>
  <si>
    <t>1539-3-1</t>
  </si>
  <si>
    <t>1539-3-2</t>
  </si>
  <si>
    <t>1539-3-3</t>
  </si>
  <si>
    <t>Mushgai Khudag</t>
  </si>
  <si>
    <t>MK6-1 (raster)</t>
  </si>
  <si>
    <t>MK6-2 (raster)</t>
  </si>
  <si>
    <t>MK6-3 (raster)</t>
  </si>
  <si>
    <t>MK6-4 (raster)</t>
  </si>
  <si>
    <t>MK6-5 (raster)</t>
  </si>
  <si>
    <t>MK6-6 (raster)</t>
  </si>
  <si>
    <t>MK6-7 (raster)</t>
  </si>
  <si>
    <t>MK6-8 (raster)</t>
  </si>
  <si>
    <t>MK6-1-1</t>
  </si>
  <si>
    <t>MK6-1-2</t>
  </si>
  <si>
    <t>MK6-1-3</t>
  </si>
  <si>
    <t>MK6-1-4</t>
  </si>
  <si>
    <t>MK6-1-5</t>
  </si>
  <si>
    <t>MK6-1-6</t>
  </si>
  <si>
    <t>MK6-2-1</t>
  </si>
  <si>
    <t>MK6-2-2</t>
  </si>
  <si>
    <t>MK6-2-3</t>
  </si>
  <si>
    <t>MK6-2-4</t>
  </si>
  <si>
    <t>MK6-2-5</t>
  </si>
  <si>
    <t>MK6-2-6</t>
  </si>
  <si>
    <t>MK6-2-7</t>
  </si>
  <si>
    <t>MK6-2-8</t>
  </si>
  <si>
    <t>MK6-2-9</t>
  </si>
  <si>
    <t>MK6-2-10</t>
  </si>
  <si>
    <t>MK6-2-11</t>
  </si>
  <si>
    <t>MK6-2-12</t>
  </si>
  <si>
    <t>MK6-2-13</t>
  </si>
  <si>
    <t>MK6-2-15</t>
  </si>
  <si>
    <t>MK6-2-16</t>
  </si>
  <si>
    <t>Oka</t>
    <phoneticPr fontId="2" type="noConversion"/>
  </si>
  <si>
    <t>MT2-6</t>
  </si>
  <si>
    <t>MT2-12</t>
  </si>
  <si>
    <t>MT2-14</t>
  </si>
  <si>
    <t>MT2-94</t>
  </si>
  <si>
    <t>MT2-95</t>
  </si>
  <si>
    <t>MT2-112</t>
  </si>
  <si>
    <t>MT2-145</t>
  </si>
  <si>
    <t>MT2-146</t>
  </si>
  <si>
    <t>MT2-154</t>
  </si>
  <si>
    <t>MT2-189</t>
  </si>
  <si>
    <t>MT2-200</t>
  </si>
  <si>
    <t>MT2-231</t>
  </si>
  <si>
    <t>MT2-255</t>
  </si>
  <si>
    <t>MT2-325</t>
  </si>
  <si>
    <t>MT2-327</t>
  </si>
  <si>
    <t>MT2-372</t>
  </si>
  <si>
    <t>MT2-373</t>
  </si>
  <si>
    <t>MT2-47</t>
  </si>
  <si>
    <t>MT1-322</t>
  </si>
  <si>
    <t>MT1-303</t>
  </si>
  <si>
    <t>MT1-215</t>
  </si>
  <si>
    <t>MT1-218</t>
  </si>
  <si>
    <t>MT1-244</t>
  </si>
  <si>
    <t>Huangshaping</t>
    <phoneticPr fontId="2" type="noConversion"/>
  </si>
  <si>
    <t>11HSP63-01</t>
  </si>
  <si>
    <t>Ding 2018 OGR</t>
    <phoneticPr fontId="2" type="noConversion"/>
  </si>
  <si>
    <t>11HSP63-02</t>
  </si>
  <si>
    <t>11HSP63-03</t>
  </si>
  <si>
    <t>Ding 2018 OGR</t>
  </si>
  <si>
    <t>11HSP63-04</t>
  </si>
  <si>
    <t>11HSP63-05</t>
  </si>
  <si>
    <t>11HSP63-06</t>
  </si>
  <si>
    <t>11HSP63-07</t>
  </si>
  <si>
    <t>11HSP63-08</t>
  </si>
  <si>
    <t>11HSP63-09</t>
  </si>
  <si>
    <t>11HSP63-10</t>
  </si>
  <si>
    <t>11HSP63-11</t>
  </si>
  <si>
    <t>11HSP63-12</t>
  </si>
  <si>
    <t>11HSP63-13</t>
  </si>
  <si>
    <t>11HSP63-16</t>
  </si>
  <si>
    <t>11HSP63-19</t>
  </si>
  <si>
    <t>11HSP63-21</t>
  </si>
  <si>
    <t>11HSP63-22</t>
  </si>
  <si>
    <t>11HSP63-24</t>
  </si>
  <si>
    <t>11HSP63-25</t>
  </si>
  <si>
    <t>11HSP63-28</t>
  </si>
  <si>
    <t>11HSP63-29</t>
  </si>
  <si>
    <t>11HSP63-30</t>
  </si>
  <si>
    <t>12HSP07-02</t>
  </si>
  <si>
    <t>12HSP07-03</t>
  </si>
  <si>
    <t>12HSP07-04</t>
  </si>
  <si>
    <t>12HSP07-06</t>
  </si>
  <si>
    <t>12HSP07-07</t>
  </si>
  <si>
    <t>12HSP07-08</t>
  </si>
  <si>
    <t>12HSP07-09</t>
  </si>
  <si>
    <t>12HSP07-10</t>
  </si>
  <si>
    <t>12HSP07-11</t>
  </si>
  <si>
    <t>12HSP07-12</t>
  </si>
  <si>
    <t>12HSP07-13</t>
  </si>
  <si>
    <t>12HSP07-14</t>
  </si>
  <si>
    <t>12HSP07-15</t>
  </si>
  <si>
    <t>12HSP07-16</t>
  </si>
  <si>
    <t>12HSP07-17</t>
  </si>
  <si>
    <t>12HSP07-18</t>
  </si>
  <si>
    <t>11HSP28-01</t>
  </si>
  <si>
    <t>11HSP28-02</t>
  </si>
  <si>
    <t>11HSP28-03</t>
  </si>
  <si>
    <t>11HSP28-04</t>
  </si>
  <si>
    <t>11HSP28-05</t>
  </si>
  <si>
    <t>11HSP28-06</t>
  </si>
  <si>
    <t>11HSP28-07</t>
  </si>
  <si>
    <t>11HSP28-08</t>
  </si>
  <si>
    <t>11HSP28-09</t>
  </si>
  <si>
    <t>11HSP28-10</t>
  </si>
  <si>
    <t>11HSP28-12</t>
  </si>
  <si>
    <t>11HSP28-14</t>
  </si>
  <si>
    <t>11HSP28-15</t>
  </si>
  <si>
    <t>11HSP28-16</t>
  </si>
  <si>
    <t>12HSP17-05</t>
  </si>
  <si>
    <t>12HSP17-06</t>
  </si>
  <si>
    <t>12HSP17-10</t>
  </si>
  <si>
    <t>12HSP17-11</t>
  </si>
  <si>
    <t>12HSP17-17</t>
  </si>
  <si>
    <t>12HSP17-18</t>
  </si>
  <si>
    <t>11HSP39-01</t>
  </si>
  <si>
    <t>11HSP39-02</t>
  </si>
  <si>
    <t>11HSP39-05</t>
  </si>
  <si>
    <t>11HSP39-06</t>
  </si>
  <si>
    <t>11HSP39-08</t>
  </si>
  <si>
    <t>11HSP39-10</t>
  </si>
  <si>
    <t>11HSP39-11</t>
  </si>
  <si>
    <t>11HSP39-15</t>
  </si>
  <si>
    <t>11HSP39-16</t>
  </si>
  <si>
    <t>11HSP39-18</t>
  </si>
  <si>
    <t>Hongyuntan</t>
    <phoneticPr fontId="2" type="noConversion"/>
  </si>
  <si>
    <t>ZK502-4-C1</t>
  </si>
  <si>
    <t>Sun 2020 OGR</t>
    <phoneticPr fontId="2" type="noConversion"/>
  </si>
  <si>
    <t>ZK502-4-C2</t>
  </si>
  <si>
    <t>ZK502-4-C3</t>
  </si>
  <si>
    <t>Sun 2020 OGR</t>
  </si>
  <si>
    <t>ZK502-4-C5</t>
  </si>
  <si>
    <t>ZK502-4-C6</t>
  </si>
  <si>
    <t>ZK502-4-C7</t>
  </si>
  <si>
    <t>H6924-5-01</t>
  </si>
  <si>
    <t>H6924-5-02</t>
  </si>
  <si>
    <t>H6924-5-03</t>
  </si>
  <si>
    <t>H6924-5-04</t>
  </si>
  <si>
    <t>H6924-5-05</t>
  </si>
  <si>
    <t>H6924-27-01</t>
  </si>
  <si>
    <t>H6924-27-02</t>
  </si>
  <si>
    <t>H6924-27-03</t>
  </si>
  <si>
    <t>H6924-27-04</t>
  </si>
  <si>
    <t>H6924-27-05</t>
  </si>
  <si>
    <t>H6924-27-06</t>
  </si>
  <si>
    <t>H6924-27-07</t>
  </si>
  <si>
    <t>H6924-27-08</t>
  </si>
  <si>
    <t>H6924-20-1-01</t>
  </si>
  <si>
    <t>H6924-20-1-02</t>
  </si>
  <si>
    <t>H6924-20-1-03</t>
  </si>
  <si>
    <t>H6924-20-1-04</t>
  </si>
  <si>
    <t>H6924-20-1-05</t>
  </si>
  <si>
    <t>H6924-20-1-07</t>
  </si>
  <si>
    <t>H6924-11-01</t>
  </si>
  <si>
    <t>H6924-11-02</t>
  </si>
  <si>
    <t>H6924-11-03</t>
  </si>
  <si>
    <t>H6924-11-05</t>
  </si>
  <si>
    <t>H6924-11-06</t>
  </si>
  <si>
    <t>H6924-11-07</t>
  </si>
  <si>
    <t>H6924-11-08</t>
  </si>
  <si>
    <t>H6924-11-09</t>
  </si>
  <si>
    <t>H2-02</t>
  </si>
  <si>
    <t>H2-03</t>
  </si>
  <si>
    <t>H2-04</t>
  </si>
  <si>
    <t>H2-05</t>
  </si>
  <si>
    <t>H2-06</t>
  </si>
  <si>
    <t>H2-07</t>
  </si>
  <si>
    <t>H2-08</t>
  </si>
  <si>
    <t>H2-09</t>
  </si>
  <si>
    <t>H2-10</t>
  </si>
  <si>
    <t>H6923-6-01</t>
  </si>
  <si>
    <t>H6923-6-03</t>
  </si>
  <si>
    <t>H6923-6-04</t>
  </si>
  <si>
    <t>H6923-6-05</t>
  </si>
  <si>
    <t>H6923-6-06</t>
  </si>
  <si>
    <t>H6924-20-2-01</t>
  </si>
  <si>
    <t>H6924-20-2-02</t>
  </si>
  <si>
    <t>H6924-20-2-03</t>
  </si>
  <si>
    <t>H6924-20-2-04</t>
  </si>
  <si>
    <t>H6924-20-2-05</t>
  </si>
  <si>
    <t>H6924-20-2-06</t>
  </si>
  <si>
    <t>H6924-20-2-07</t>
  </si>
  <si>
    <t>Sudbury Igneous Complex</t>
    <phoneticPr fontId="2" type="noConversion"/>
  </si>
  <si>
    <t>CRTN4</t>
    <phoneticPr fontId="2" type="noConversion"/>
  </si>
  <si>
    <t>Dare 2012 GCA</t>
    <phoneticPr fontId="2" type="noConversion"/>
  </si>
  <si>
    <t>CRTN5</t>
    <phoneticPr fontId="2" type="noConversion"/>
  </si>
  <si>
    <t>CRTN9-1</t>
    <phoneticPr fontId="2" type="noConversion"/>
  </si>
  <si>
    <t>Dare 2012 GCA</t>
  </si>
  <si>
    <t>CRTN9-2</t>
  </si>
  <si>
    <t>CRTN9-3</t>
  </si>
  <si>
    <t>CRTN10</t>
    <phoneticPr fontId="2" type="noConversion"/>
  </si>
  <si>
    <t>CRTN14</t>
    <phoneticPr fontId="2" type="noConversion"/>
  </si>
  <si>
    <t>CRTN15</t>
    <phoneticPr fontId="2" type="noConversion"/>
  </si>
  <si>
    <t>CRTN16</t>
    <phoneticPr fontId="2" type="noConversion"/>
  </si>
  <si>
    <t>CRTN17</t>
    <phoneticPr fontId="2" type="noConversion"/>
  </si>
  <si>
    <t>CRTN18</t>
    <phoneticPr fontId="2" type="noConversion"/>
  </si>
  <si>
    <t>MCR3-1</t>
    <phoneticPr fontId="2" type="noConversion"/>
  </si>
  <si>
    <t>MCR3-2</t>
    <phoneticPr fontId="2" type="noConversion"/>
  </si>
  <si>
    <t>MCR5-1</t>
    <phoneticPr fontId="2" type="noConversion"/>
  </si>
  <si>
    <t>MCR5-2</t>
    <phoneticPr fontId="2" type="noConversion"/>
  </si>
  <si>
    <t>MCR7A</t>
    <phoneticPr fontId="2" type="noConversion"/>
  </si>
  <si>
    <t>MCR10</t>
    <phoneticPr fontId="2" type="noConversion"/>
  </si>
  <si>
    <t>MCR11</t>
    <phoneticPr fontId="2" type="noConversion"/>
  </si>
  <si>
    <t>MCR12-1</t>
    <phoneticPr fontId="2" type="noConversion"/>
  </si>
  <si>
    <t>MCR12-2</t>
    <phoneticPr fontId="2" type="noConversion"/>
  </si>
  <si>
    <t>MCR-12-3</t>
    <phoneticPr fontId="2" type="noConversion"/>
  </si>
  <si>
    <t>MCR-13</t>
    <phoneticPr fontId="2" type="noConversion"/>
  </si>
  <si>
    <t>MCR-14</t>
    <phoneticPr fontId="2" type="noConversion"/>
  </si>
  <si>
    <t>17BY08-1 - 1</t>
  </si>
  <si>
    <t>She 2021 OGR</t>
    <phoneticPr fontId="2" type="noConversion"/>
  </si>
  <si>
    <t>17BY08-2 - 1</t>
  </si>
  <si>
    <t>17BY08-3 - 1</t>
  </si>
  <si>
    <t>She 2021 OGR</t>
  </si>
  <si>
    <t>17BY08-4 - 1</t>
  </si>
  <si>
    <t>17BY08-5 - 1</t>
  </si>
  <si>
    <t>17BY08-6 - 1</t>
  </si>
  <si>
    <t>17BY08-7 - 1</t>
  </si>
  <si>
    <t>17BY08-7 - 2</t>
  </si>
  <si>
    <t>17BY08-9 - 1</t>
  </si>
  <si>
    <t>17BY08-10 - 1</t>
  </si>
  <si>
    <t>17BY93-1 - 3</t>
  </si>
  <si>
    <t>17BY93-1 - 4</t>
  </si>
  <si>
    <t>17BY93-2 - 1</t>
  </si>
  <si>
    <t>17BY93-2 - 2</t>
  </si>
  <si>
    <t>17BY93-3 - 1</t>
  </si>
  <si>
    <t>17BY93-3 - 2</t>
  </si>
  <si>
    <t>17BY93-5 - 1</t>
  </si>
  <si>
    <t>17BY93-6 - 1</t>
  </si>
  <si>
    <t>17BY93-6 - 2</t>
  </si>
  <si>
    <t>17BY164 - 1</t>
  </si>
  <si>
    <t>17BY164 - 2</t>
  </si>
  <si>
    <t>17BY164 - 4</t>
  </si>
  <si>
    <t>17BY164-7 - 1</t>
  </si>
  <si>
    <t>17BY164-8 - 1</t>
  </si>
  <si>
    <t>17BY164-9 - 1</t>
  </si>
  <si>
    <t>17BY164-9 - 2</t>
  </si>
  <si>
    <t>17BY164-9 - 3</t>
  </si>
  <si>
    <t>17BY164-10 - 1</t>
  </si>
  <si>
    <t>17BY164-10 - 3</t>
  </si>
  <si>
    <t>17BY206-4 - 1</t>
  </si>
  <si>
    <t>17BY206-5 - 1</t>
  </si>
  <si>
    <t>17BY206-6 - 1</t>
  </si>
  <si>
    <t>17BY206-7 - 1</t>
  </si>
  <si>
    <t>17BY206-7 - 2</t>
  </si>
  <si>
    <t>17BY206-8 - 1</t>
  </si>
  <si>
    <t>17BY206-9 - 2</t>
  </si>
  <si>
    <t>17BY60-1 - 1</t>
  </si>
  <si>
    <t>17BY60-1 - 2</t>
  </si>
  <si>
    <t>17BY60-1 - 3</t>
  </si>
  <si>
    <t>17BY60-1 - 4</t>
  </si>
  <si>
    <t>17BY60-1 - 5</t>
  </si>
  <si>
    <t>17BY60-3 - 1</t>
  </si>
  <si>
    <t>17BY60-4 - 2</t>
  </si>
  <si>
    <t>17BY60-4 - 3</t>
  </si>
  <si>
    <t>17BY81 - 1</t>
  </si>
  <si>
    <t>17BY81-2 - 2</t>
  </si>
  <si>
    <t>17BY81-4 - 1</t>
  </si>
  <si>
    <t>17BY81-4 - 2</t>
  </si>
  <si>
    <t>17BY81-5 - 1</t>
  </si>
  <si>
    <t>17BY81-5 - 2</t>
  </si>
  <si>
    <t>17BY81-6 - 2</t>
  </si>
  <si>
    <t>17BY81-7 - 1</t>
  </si>
  <si>
    <t>17BY81-8 - 1</t>
  </si>
  <si>
    <t>17BY190-2 - 1</t>
  </si>
  <si>
    <t>17BY190-3 - 1</t>
  </si>
  <si>
    <t>17BY190-4 - 1</t>
  </si>
  <si>
    <t>17BY190-5 - 2</t>
  </si>
  <si>
    <t>17BY190-6 - 1</t>
  </si>
  <si>
    <t>17BY190-6 - 2</t>
  </si>
  <si>
    <t>17BY190-7 - 1</t>
  </si>
  <si>
    <t>17BY190-7 - 2</t>
  </si>
  <si>
    <t>19BY74A-1 - 1</t>
  </si>
  <si>
    <t>19BY74A-1 - 2</t>
  </si>
  <si>
    <t>19BY74A-2 - 1</t>
  </si>
  <si>
    <t>19BY74A-2 - 2</t>
  </si>
  <si>
    <t>19BY74A-3 - 1</t>
  </si>
  <si>
    <t>19BY74A-3 - 2</t>
  </si>
  <si>
    <t>19BY74A-3 - 3</t>
  </si>
  <si>
    <t>19BY74A-4 - 1</t>
  </si>
  <si>
    <t>19BY74A-5 - 1</t>
  </si>
  <si>
    <t>19BY74A-5 - 2</t>
  </si>
  <si>
    <t>19BY74A-6 - 1</t>
  </si>
  <si>
    <t>19BY74A-6 - 2</t>
  </si>
  <si>
    <t>19BY74A-6 - 3</t>
  </si>
  <si>
    <t>19BY74A-7 - 1</t>
  </si>
  <si>
    <t xml:space="preserve"> 16HNB22-1</t>
  </si>
  <si>
    <t xml:space="preserve"> 16HNB22-2</t>
  </si>
  <si>
    <t xml:space="preserve"> 16HNB22-3</t>
  </si>
  <si>
    <t xml:space="preserve"> 16HNB22-4</t>
  </si>
  <si>
    <t xml:space="preserve"> 16HNB22-5</t>
  </si>
  <si>
    <t xml:space="preserve"> 16HNB22-6</t>
  </si>
  <si>
    <t xml:space="preserve"> 16HNB22-7</t>
  </si>
  <si>
    <t xml:space="preserve"> 16HNB22-8</t>
  </si>
  <si>
    <t xml:space="preserve"> 16HNB22-9</t>
  </si>
  <si>
    <t xml:space="preserve"> 16HNB22-10</t>
  </si>
  <si>
    <t xml:space="preserve"> 16HNB16-1</t>
  </si>
  <si>
    <t xml:space="preserve"> 16HNB16-2</t>
  </si>
  <si>
    <t xml:space="preserve"> 16HNB16-3</t>
  </si>
  <si>
    <t xml:space="preserve"> 16HNB16-4</t>
  </si>
  <si>
    <t xml:space="preserve"> 16HNB16-5</t>
  </si>
  <si>
    <t xml:space="preserve"> 16HNB16-6</t>
  </si>
  <si>
    <t xml:space="preserve"> 16HNB16-7</t>
  </si>
  <si>
    <t xml:space="preserve"> 16HNB16-8</t>
  </si>
  <si>
    <t xml:space="preserve"> 16HNB16-9</t>
  </si>
  <si>
    <t xml:space="preserve"> 16HNB16-10</t>
  </si>
  <si>
    <t>Baishiya deposit</t>
    <phoneticPr fontId="2" type="noConversion"/>
  </si>
  <si>
    <t>DL15-3 (dark)-1</t>
    <phoneticPr fontId="2" type="noConversion"/>
  </si>
  <si>
    <t>Yin 2017 AM</t>
    <phoneticPr fontId="2" type="noConversion"/>
  </si>
  <si>
    <t>DL15-3 (dark)-2</t>
    <phoneticPr fontId="2" type="noConversion"/>
  </si>
  <si>
    <t>DL15-3 (dark)-3</t>
  </si>
  <si>
    <t>Yin 2017 AM</t>
  </si>
  <si>
    <t>DL15-3 (light)-1</t>
    <phoneticPr fontId="2" type="noConversion"/>
  </si>
  <si>
    <t>DL15-3 (light)-2</t>
  </si>
  <si>
    <t>DL15-3 (light)-3</t>
  </si>
  <si>
    <t>DL15-3 (light)-4</t>
  </si>
  <si>
    <t>DL15-3 (light)-5</t>
  </si>
  <si>
    <t>DL15-3 (light)-6</t>
  </si>
  <si>
    <t>DL15-3 (light)-7</t>
  </si>
  <si>
    <t>DL15-3 (light)-8</t>
  </si>
  <si>
    <t>DL15-3 (light)-9</t>
  </si>
  <si>
    <t>DL2#01 (dark) -1</t>
    <phoneticPr fontId="2" type="noConversion"/>
  </si>
  <si>
    <t>DL2#01 (dark) -2</t>
  </si>
  <si>
    <t>DL2#01 (light)-1</t>
    <phoneticPr fontId="2" type="noConversion"/>
  </si>
  <si>
    <t>DL2#01 (light)-2</t>
  </si>
  <si>
    <t>DL8#01-1</t>
    <phoneticPr fontId="2" type="noConversion"/>
  </si>
  <si>
    <t>DL8#01-2</t>
  </si>
  <si>
    <t>DL8#01-3</t>
  </si>
  <si>
    <t>DL8#01-4</t>
  </si>
  <si>
    <t>DL8#01-5</t>
  </si>
  <si>
    <t>DL8#01-6</t>
  </si>
  <si>
    <t>DL8#01-7</t>
  </si>
  <si>
    <t>DL8#01-8</t>
  </si>
  <si>
    <t>DL8#01-9</t>
  </si>
  <si>
    <t>DL8#01-10</t>
  </si>
  <si>
    <t>DL8#01-11</t>
  </si>
  <si>
    <t>DL8#01-12</t>
  </si>
  <si>
    <t>DL8#01-13</t>
  </si>
  <si>
    <t>DL8#01-14</t>
  </si>
  <si>
    <t>DL8#01-15</t>
  </si>
  <si>
    <t>DL14-14-1</t>
    <phoneticPr fontId="2" type="noConversion"/>
  </si>
  <si>
    <t>DL14-14-2</t>
  </si>
  <si>
    <t>DL14-14-3</t>
  </si>
  <si>
    <t>DL14-14-4</t>
  </si>
  <si>
    <t>Magin</t>
    <phoneticPr fontId="2" type="noConversion"/>
  </si>
  <si>
    <t>7504G-1</t>
  </si>
  <si>
    <t>Duprac 2016 JSR</t>
    <phoneticPr fontId="2" type="noConversion"/>
  </si>
  <si>
    <t>7504G-2</t>
  </si>
  <si>
    <t>7504G-3</t>
  </si>
  <si>
    <t>Duprac 2016 JSR</t>
  </si>
  <si>
    <t>7504G-4</t>
  </si>
  <si>
    <t>7504G-5</t>
  </si>
  <si>
    <t>7504G-6</t>
  </si>
  <si>
    <t>7504G-7</t>
  </si>
  <si>
    <t>7504G-8</t>
  </si>
  <si>
    <t>7504G-9</t>
  </si>
  <si>
    <t>7504G-10</t>
  </si>
  <si>
    <t>7504G-11</t>
  </si>
  <si>
    <t>7504G-12</t>
  </si>
  <si>
    <t>7504G-13</t>
  </si>
  <si>
    <t>7504G-14</t>
  </si>
  <si>
    <t>7504G-15</t>
  </si>
  <si>
    <t>7504G-16</t>
  </si>
  <si>
    <t>7504G-17</t>
  </si>
  <si>
    <t>Bezier Pluton</t>
    <phoneticPr fontId="2" type="noConversion"/>
  </si>
  <si>
    <t>00-ST-3237A1</t>
  </si>
  <si>
    <t>00-ST-3237A2</t>
  </si>
  <si>
    <t>00-ST-3237A3</t>
  </si>
  <si>
    <t>00-JG-1520A1</t>
  </si>
  <si>
    <t>00-JG-1520A2</t>
  </si>
  <si>
    <t>00-JG-1520A3</t>
  </si>
  <si>
    <t>2000-MC-5021A1</t>
  </si>
  <si>
    <t>2000-MC-5021A2</t>
  </si>
  <si>
    <t>2000-MC-5021A3</t>
  </si>
  <si>
    <t>99-JG-1117A1</t>
  </si>
  <si>
    <t>99-JG-1117A2</t>
  </si>
  <si>
    <t>99-JG-1117A3</t>
  </si>
  <si>
    <t>Duncan Intrusion</t>
    <phoneticPr fontId="2" type="noConversion"/>
  </si>
  <si>
    <t>97-JG-1720-1</t>
  </si>
  <si>
    <t>97-JG-1720-2</t>
  </si>
  <si>
    <t>97-JG-1720-3</t>
  </si>
  <si>
    <t>99-JG-1097A1</t>
  </si>
  <si>
    <t>99-JG-1097A2</t>
  </si>
  <si>
    <t>99-JG-1097A3</t>
  </si>
  <si>
    <t>98-MB21-1</t>
  </si>
  <si>
    <t>98-MB21-2</t>
  </si>
  <si>
    <t>98-MB21-3</t>
  </si>
  <si>
    <t>98-MB21-4</t>
  </si>
  <si>
    <t>98-MB21-5</t>
  </si>
  <si>
    <t>Langelier Complex</t>
    <phoneticPr fontId="2" type="noConversion"/>
  </si>
  <si>
    <t>99-MH-4619A1</t>
  </si>
  <si>
    <t>99-MH-4619A2</t>
  </si>
  <si>
    <t>99-MH-4619A3</t>
  </si>
  <si>
    <t>11-DB-2024A1</t>
  </si>
  <si>
    <t>11-DB-2024A2</t>
  </si>
  <si>
    <t>11-DB-2024A3</t>
  </si>
  <si>
    <t>11-CS-6226A1</t>
  </si>
  <si>
    <t>11-CS-6226A2</t>
  </si>
  <si>
    <t>11-CS-6226A3</t>
  </si>
  <si>
    <t>98-MB25-1</t>
  </si>
  <si>
    <t>Nochet Pluton</t>
    <phoneticPr fontId="2" type="noConversion"/>
  </si>
  <si>
    <t>11-GM-5396A1</t>
  </si>
  <si>
    <t>11-GM-5396A2</t>
  </si>
  <si>
    <t>11-GM-5396A3</t>
  </si>
  <si>
    <t>11-QD-7045A1</t>
  </si>
  <si>
    <t>11-QD-7045A2</t>
  </si>
  <si>
    <t>11-QD-7045A3</t>
  </si>
  <si>
    <t>11-AM-9090A1</t>
  </si>
  <si>
    <t>11-AM-9090A2</t>
  </si>
  <si>
    <t>11-AM-9090A3</t>
  </si>
  <si>
    <t>11-SL-8114A1</t>
  </si>
  <si>
    <t>Fontay Pluton</t>
    <phoneticPr fontId="2" type="noConversion"/>
  </si>
  <si>
    <t>11-SL-8073-1</t>
  </si>
  <si>
    <t>11-SL-8073-2</t>
  </si>
  <si>
    <t>11-PB-4139A1</t>
  </si>
  <si>
    <t>11-PB-4139A2</t>
  </si>
  <si>
    <t>11-PB-4139A3</t>
  </si>
  <si>
    <t>11-AM-9001A1</t>
  </si>
  <si>
    <t>11-AM-9001A2</t>
  </si>
  <si>
    <t>Salleneuve Suit</t>
    <phoneticPr fontId="2" type="noConversion"/>
  </si>
  <si>
    <t>11-PB-4315A1</t>
  </si>
  <si>
    <t>11-PB-4315A2</t>
  </si>
  <si>
    <t>11-PB-4315A3</t>
  </si>
  <si>
    <t>11-SL-8122A1</t>
  </si>
  <si>
    <t>11-SL-8122A2</t>
  </si>
  <si>
    <t>11-SL-8122A3</t>
  </si>
  <si>
    <t>11-GM-5425A1</t>
  </si>
  <si>
    <t>11-GM-5425A2</t>
  </si>
  <si>
    <t>Radisson Pluton</t>
    <phoneticPr fontId="2" type="noConversion"/>
  </si>
  <si>
    <t>98-MB01-1</t>
  </si>
  <si>
    <t>98-MB01-2</t>
  </si>
  <si>
    <t>98-MB01-3</t>
  </si>
  <si>
    <t>99-MH-4469-1</t>
  </si>
  <si>
    <t>99-MH-4469-2</t>
  </si>
  <si>
    <t>99-MH-4469-3</t>
  </si>
  <si>
    <t>99-MH-4475-1</t>
  </si>
  <si>
    <t>99-MH-4475-2</t>
  </si>
  <si>
    <t>99-MH-4475-3</t>
  </si>
  <si>
    <t>JG-001A-1</t>
  </si>
  <si>
    <t>JG-001A-2</t>
  </si>
  <si>
    <t>JG-001A-3</t>
  </si>
  <si>
    <t>99-JG-1175A1</t>
  </si>
  <si>
    <t>99-JG-1175A2</t>
  </si>
  <si>
    <t>99-JG-1175A3</t>
  </si>
  <si>
    <t>Poste Le Moyne Pluton</t>
    <phoneticPr fontId="2" type="noConversion"/>
  </si>
  <si>
    <t>11-EN-9546A1</t>
  </si>
  <si>
    <t>11-EN-9546A2</t>
  </si>
  <si>
    <t>11-EN-9546A3</t>
  </si>
  <si>
    <t>Lac Bruce Syénite</t>
  </si>
  <si>
    <t>98-MB17-1</t>
  </si>
  <si>
    <t>98-MB17-2</t>
  </si>
  <si>
    <t>98-MB17-3</t>
  </si>
  <si>
    <t>98-MB17-4</t>
  </si>
  <si>
    <t>Kamusaawach Intrusion</t>
  </si>
  <si>
    <t>12-JG-1092A1</t>
  </si>
  <si>
    <t>12-JG-1092A2</t>
  </si>
  <si>
    <t>12-JG-1092A3</t>
  </si>
  <si>
    <t>Lengshuikeng deposit</t>
    <phoneticPr fontId="2" type="noConversion"/>
  </si>
  <si>
    <t>XBYH14-08 C2-01</t>
    <phoneticPr fontId="2" type="noConversion"/>
  </si>
  <si>
    <t>Qi 2021 OGR</t>
    <phoneticPr fontId="2" type="noConversion"/>
  </si>
  <si>
    <t>XBYH14-08 C2-02</t>
  </si>
  <si>
    <t>XBYH14-08 C2-03</t>
  </si>
  <si>
    <t>Qi 2021 OGR</t>
  </si>
  <si>
    <t>XBYH14-08 C2-05</t>
  </si>
  <si>
    <t>XBYH14-08 C2-06</t>
  </si>
  <si>
    <t>XBYH14-08 C2-07</t>
  </si>
  <si>
    <t>KD14-17 C3-01</t>
    <phoneticPr fontId="2" type="noConversion"/>
  </si>
  <si>
    <t>XBYH14-18a C1-01</t>
    <phoneticPr fontId="2" type="noConversion"/>
  </si>
  <si>
    <t>XBYH14-18a C1-02</t>
  </si>
  <si>
    <t>XBYH14-18a C1-03</t>
  </si>
  <si>
    <t>XBYH14-18a C1-04</t>
  </si>
  <si>
    <t>XBYH14-18a C1-05</t>
  </si>
  <si>
    <t>XBYH14-18a C1-06</t>
  </si>
  <si>
    <t>XBYH14-21 C1-01</t>
    <phoneticPr fontId="2" type="noConversion"/>
  </si>
  <si>
    <t>XBYH14-21 C1-02</t>
  </si>
  <si>
    <t>XBYH14-21 C1-04</t>
  </si>
  <si>
    <t>XBYH14-21 C1-05</t>
  </si>
  <si>
    <t>YLL14-37-1 C1-05</t>
  </si>
  <si>
    <t>YLL14-37-1 C1-06</t>
  </si>
  <si>
    <t>YLL14-37-1 C2-02</t>
  </si>
  <si>
    <t>YLL14-37-1 C2-03</t>
  </si>
  <si>
    <t>Xinqiao deposit</t>
    <phoneticPr fontId="2" type="noConversion"/>
  </si>
  <si>
    <t>XQ11-3-1</t>
    <phoneticPr fontId="2" type="noConversion"/>
  </si>
  <si>
    <t>Zhang 2020 AM</t>
    <phoneticPr fontId="2" type="noConversion"/>
  </si>
  <si>
    <t>XQ11-3-3</t>
  </si>
  <si>
    <t>Zhang 2020 AM</t>
  </si>
  <si>
    <t>XQ11-3-4</t>
  </si>
  <si>
    <t>XQ11-3-5</t>
  </si>
  <si>
    <t>XQ17-1-1</t>
    <phoneticPr fontId="2" type="noConversion"/>
  </si>
  <si>
    <t>XQ17-1-2</t>
  </si>
  <si>
    <t>XQ17-1-4</t>
  </si>
  <si>
    <t>XQ17-3-1</t>
    <phoneticPr fontId="2" type="noConversion"/>
  </si>
  <si>
    <t>XQ17-3-2</t>
  </si>
  <si>
    <t>XQ17-3-3</t>
  </si>
  <si>
    <t>XQ17-3-4</t>
  </si>
  <si>
    <t>XQ22-2-1</t>
    <phoneticPr fontId="2" type="noConversion"/>
  </si>
  <si>
    <t>XQ22-2-2</t>
  </si>
  <si>
    <t>XQ22-2-3</t>
  </si>
  <si>
    <t>XQ22-2-4</t>
  </si>
  <si>
    <t>XQ22-2-5</t>
  </si>
  <si>
    <t>XQ22-2-6</t>
  </si>
  <si>
    <t>XQ22-2-7</t>
  </si>
  <si>
    <t>XQ22-2-8</t>
  </si>
  <si>
    <t>XQ22-2-9</t>
  </si>
  <si>
    <t>XQ22-2-10</t>
  </si>
  <si>
    <t>XQ22-2-11</t>
  </si>
  <si>
    <t>XQ22-7-2</t>
  </si>
  <si>
    <t>XQ22-7-3</t>
  </si>
  <si>
    <t>XQ22-7-5</t>
  </si>
  <si>
    <t>XQ22-7-6</t>
  </si>
  <si>
    <t>XQ22-7-7</t>
  </si>
  <si>
    <t>XQ22-7-8</t>
  </si>
  <si>
    <t>XQ22-7-9</t>
  </si>
  <si>
    <t>XQ22-7-11</t>
  </si>
  <si>
    <t>XQ22-7-12</t>
  </si>
  <si>
    <t>D006-5-1</t>
    <phoneticPr fontId="2" type="noConversion"/>
  </si>
  <si>
    <t>D006-5-3</t>
  </si>
  <si>
    <t>D006-5-4</t>
  </si>
  <si>
    <t>D006-5-5</t>
  </si>
  <si>
    <t>D006-5-6</t>
  </si>
  <si>
    <t>D006-5-7</t>
  </si>
  <si>
    <t>D006-5-8</t>
  </si>
  <si>
    <t>D006-5-10</t>
  </si>
  <si>
    <t>D006-5-11</t>
  </si>
  <si>
    <t>D006-5-12</t>
  </si>
  <si>
    <t>D006-5-13</t>
  </si>
  <si>
    <t>D006-5-14</t>
  </si>
  <si>
    <t>D006-5-15</t>
  </si>
  <si>
    <t>XQ47-6-1</t>
    <phoneticPr fontId="2" type="noConversion"/>
  </si>
  <si>
    <t>XQ47-6-2</t>
  </si>
  <si>
    <t>XQ47-6-3</t>
  </si>
  <si>
    <t>XQ47-6-4</t>
  </si>
  <si>
    <t>XQ47-6-5</t>
  </si>
  <si>
    <t>XQ33-11-1</t>
    <phoneticPr fontId="2" type="noConversion"/>
  </si>
  <si>
    <t>XQ33-11-2</t>
  </si>
  <si>
    <t>XQ33-11-3</t>
  </si>
  <si>
    <t>XQ33-11-4</t>
  </si>
  <si>
    <t>XQ33-11-5</t>
  </si>
  <si>
    <t>D006-7-1</t>
    <phoneticPr fontId="2" type="noConversion"/>
  </si>
  <si>
    <t>D006-7-2</t>
  </si>
  <si>
    <t>D006-7-3</t>
  </si>
  <si>
    <t>D006-7-4</t>
  </si>
  <si>
    <t>D006-7-5</t>
  </si>
  <si>
    <t>D006-10-1</t>
    <phoneticPr fontId="2" type="noConversion"/>
  </si>
  <si>
    <t>D006-10-2</t>
  </si>
  <si>
    <t>D006-10-3</t>
  </si>
  <si>
    <t>Yinachang deposit</t>
    <phoneticPr fontId="2" type="noConversion"/>
  </si>
  <si>
    <t>YN07314-01</t>
  </si>
  <si>
    <t>YN07314-02</t>
  </si>
  <si>
    <t>YN07314-03</t>
  </si>
  <si>
    <t>Chen 2015 MD</t>
  </si>
  <si>
    <t>YN07314-04</t>
  </si>
  <si>
    <t>YN07314-05</t>
  </si>
  <si>
    <t>YN07315-01</t>
    <phoneticPr fontId="4" type="noConversion"/>
  </si>
  <si>
    <t>YN07315-02</t>
  </si>
  <si>
    <t>YN07315-03</t>
  </si>
  <si>
    <t>YN07315-04</t>
  </si>
  <si>
    <t>YN07315-05</t>
  </si>
  <si>
    <t>YN07315-06</t>
  </si>
  <si>
    <t>YN12-01-01</t>
    <phoneticPr fontId="4" type="noConversion"/>
  </si>
  <si>
    <t>YN12-01-02</t>
  </si>
  <si>
    <t>YN12-01-03</t>
  </si>
  <si>
    <t>YN12-01-04</t>
  </si>
  <si>
    <t>YN12-01-05</t>
  </si>
  <si>
    <t>YN12-10-01</t>
    <phoneticPr fontId="4" type="noConversion"/>
  </si>
  <si>
    <t>YN12-10-02</t>
  </si>
  <si>
    <t>YN12-10-03</t>
  </si>
  <si>
    <t>YN12-10-04</t>
  </si>
  <si>
    <t>YN12-10-05</t>
  </si>
  <si>
    <t>YN12-10-06</t>
  </si>
  <si>
    <t>Glubochenskoe deposit</t>
    <phoneticPr fontId="2" type="noConversion"/>
  </si>
  <si>
    <t>Magnetite-1-1</t>
    <phoneticPr fontId="2" type="noConversion"/>
  </si>
  <si>
    <t>Ayupova 2021 MD</t>
    <phoneticPr fontId="2" type="noConversion"/>
  </si>
  <si>
    <t>Magnetite-1-2</t>
  </si>
  <si>
    <t>Magnetite-1-3</t>
  </si>
  <si>
    <t>Ayupova 2021 MD</t>
  </si>
  <si>
    <t>Magnetite-1-4</t>
  </si>
  <si>
    <t>Magnetite-1-5</t>
  </si>
  <si>
    <t>Magnetite-1-6</t>
  </si>
  <si>
    <t>Magnetite-1-7</t>
  </si>
  <si>
    <t>Magnetite-1-8</t>
  </si>
  <si>
    <t>Magnetite-1-9</t>
  </si>
  <si>
    <t>Magnetite-1-10</t>
  </si>
  <si>
    <t>Magnetite-1-11</t>
  </si>
  <si>
    <t>Magnetite-1-12</t>
  </si>
  <si>
    <t>Magnetite-1-13</t>
  </si>
  <si>
    <t>Magnetite-1-14</t>
  </si>
  <si>
    <t>Magnetite-1-15</t>
  </si>
  <si>
    <t>Magnetite-1-16</t>
  </si>
  <si>
    <t>Magnetite-1-17</t>
  </si>
  <si>
    <t>Magnetite-1-18</t>
  </si>
  <si>
    <t>Magnetite-1-19</t>
  </si>
  <si>
    <t>Magnetite-1-20</t>
  </si>
  <si>
    <t>Magnetite-1-21</t>
  </si>
  <si>
    <t>Magnetite-1-22</t>
  </si>
  <si>
    <t>Magnetite-1-23</t>
  </si>
  <si>
    <t>Magnetite-1-24</t>
  </si>
  <si>
    <t>Magnetite-1-25</t>
  </si>
  <si>
    <t>Magnetite-1-26</t>
  </si>
  <si>
    <t>Magnetite-1-27</t>
  </si>
  <si>
    <t>Magnetite-1-28</t>
  </si>
  <si>
    <t>Magnetite-1-29</t>
  </si>
  <si>
    <t>Magnetite-1-30</t>
  </si>
  <si>
    <t>Magnetite-1-31</t>
  </si>
  <si>
    <t>Magnetite-1-32</t>
  </si>
  <si>
    <t>Magnetite-1-33</t>
  </si>
  <si>
    <t>Magnetite-1-34</t>
  </si>
  <si>
    <t>Magnetite-1-35</t>
  </si>
  <si>
    <t>Magnetite-1-36</t>
  </si>
  <si>
    <t>Magnetite-1-37</t>
  </si>
  <si>
    <t>Magnetite-1-38</t>
  </si>
  <si>
    <t>Magnetite-1-39</t>
  </si>
  <si>
    <t>Magnetite-1-40</t>
  </si>
  <si>
    <t>Magnetite-1-41</t>
  </si>
  <si>
    <t>Magnetite-1-42</t>
  </si>
  <si>
    <t>Magnetite-1-43</t>
  </si>
  <si>
    <t>Magnetite-2-1</t>
    <phoneticPr fontId="2" type="noConversion"/>
  </si>
  <si>
    <t>Magnetite-2-2</t>
  </si>
  <si>
    <t>Magnetite-2-3</t>
  </si>
  <si>
    <t>Magnetite-2-4</t>
  </si>
  <si>
    <t>Magnetite-2-5</t>
  </si>
  <si>
    <t>Magnetite-2-6</t>
  </si>
  <si>
    <t>Magnetite-2-7</t>
  </si>
  <si>
    <t>Magnetite-2-8</t>
  </si>
  <si>
    <t>Magnetite-2-9</t>
  </si>
  <si>
    <t>Magnetite-2-10</t>
  </si>
  <si>
    <t>Magnetite-2-11</t>
  </si>
  <si>
    <t>Magnetite-2-12</t>
  </si>
  <si>
    <t>Magnetite-2-13</t>
  </si>
  <si>
    <t>Magnetite-2-14</t>
  </si>
  <si>
    <t>Magnetite-2-15</t>
  </si>
  <si>
    <t>Magnetite-2-16</t>
  </si>
  <si>
    <t>Magnetite-2-17</t>
  </si>
  <si>
    <t>Magnetite-2-18</t>
  </si>
  <si>
    <t>Magnetite-2-19</t>
  </si>
  <si>
    <t>Magnetite-2-20</t>
  </si>
  <si>
    <t>Magnetite-2-21</t>
  </si>
  <si>
    <t>Magnetite-2-22</t>
  </si>
  <si>
    <t>Magnetite-2-23</t>
  </si>
  <si>
    <t>Pingchuan deposit</t>
    <phoneticPr fontId="2" type="noConversion"/>
  </si>
  <si>
    <t>DB1420-1</t>
  </si>
  <si>
    <t>Wang 2019 AG</t>
    <phoneticPr fontId="2" type="noConversion"/>
  </si>
  <si>
    <t>DB1420-2</t>
  </si>
  <si>
    <t>DB1420-3</t>
  </si>
  <si>
    <t>Wang 2019 AG</t>
  </si>
  <si>
    <t>DB1420-4</t>
  </si>
  <si>
    <t>DB1420-5</t>
  </si>
  <si>
    <t>DB1420-6</t>
  </si>
  <si>
    <t>DB1420-7</t>
  </si>
  <si>
    <t>DB1430-1</t>
    <phoneticPr fontId="2" type="noConversion"/>
  </si>
  <si>
    <t>DB1430-2</t>
  </si>
  <si>
    <t>DB1430-3</t>
  </si>
  <si>
    <t>DB1430-4</t>
  </si>
  <si>
    <t>DB1430-5</t>
  </si>
  <si>
    <t>DB1430-6</t>
  </si>
  <si>
    <t>DB1430-7</t>
  </si>
  <si>
    <t>DB1430-8</t>
  </si>
  <si>
    <t>DB1431-1</t>
    <phoneticPr fontId="2" type="noConversion"/>
  </si>
  <si>
    <t>DB1431-2</t>
  </si>
  <si>
    <t>DB1431-3</t>
  </si>
  <si>
    <t>DB1431-4</t>
  </si>
  <si>
    <t>DB1431-5</t>
  </si>
  <si>
    <t>DB1431-6</t>
  </si>
  <si>
    <t>DB1431-7</t>
  </si>
  <si>
    <t>DB1431-8</t>
  </si>
  <si>
    <t>DB1432-1</t>
    <phoneticPr fontId="2" type="noConversion"/>
  </si>
  <si>
    <t>DB1432-2</t>
  </si>
  <si>
    <t>DB1432-3</t>
  </si>
  <si>
    <t>DB1432-4</t>
  </si>
  <si>
    <t>DB1432-5</t>
  </si>
  <si>
    <t>DB1432-6</t>
  </si>
  <si>
    <t>DB1432-7</t>
  </si>
  <si>
    <t>DB1432-8</t>
  </si>
  <si>
    <t>DB1402-1</t>
    <phoneticPr fontId="2" type="noConversion"/>
  </si>
  <si>
    <t>DB1402-2</t>
  </si>
  <si>
    <t>DB1402-3</t>
  </si>
  <si>
    <t>DB1426-1</t>
    <phoneticPr fontId="2" type="noConversion"/>
  </si>
  <si>
    <t>DB1426-2</t>
  </si>
  <si>
    <t>DB1426-3</t>
  </si>
  <si>
    <t>DB1426-4</t>
  </si>
  <si>
    <t>DB1426-5</t>
  </si>
  <si>
    <t>DB1426-6</t>
  </si>
  <si>
    <t>DB1426-7</t>
  </si>
  <si>
    <t>DB1426-8</t>
  </si>
  <si>
    <t>DB1427-1</t>
    <phoneticPr fontId="2" type="noConversion"/>
  </si>
  <si>
    <t>DB1427-2</t>
  </si>
  <si>
    <t>DB1427-3</t>
  </si>
  <si>
    <t>DB1427-4</t>
  </si>
  <si>
    <t>DB1427-5</t>
  </si>
  <si>
    <t>Pechenga-Zhdanove deposit</t>
    <phoneticPr fontId="2" type="noConversion"/>
  </si>
  <si>
    <t>Type1-Sulfide-Core-6</t>
    <phoneticPr fontId="2" type="noConversion"/>
  </si>
  <si>
    <t>Liang 2024 JAES</t>
    <phoneticPr fontId="2" type="noConversion"/>
  </si>
  <si>
    <t>Type1-Sulfide-Core-7</t>
  </si>
  <si>
    <t>Type1-Sulfide-Core-8</t>
  </si>
  <si>
    <t>Liang 2024 JAES</t>
  </si>
  <si>
    <t>Type1-Sulfide-Core-9</t>
  </si>
  <si>
    <t>Type1-Sulfide-Core-10</t>
  </si>
  <si>
    <t>Type1-Sulfide-Core-11</t>
  </si>
  <si>
    <t>Type1-Sulfide-Mantle-1</t>
    <phoneticPr fontId="2" type="noConversion"/>
  </si>
  <si>
    <t>Type1-Sulfide-Mantle-2</t>
  </si>
  <si>
    <t>Type1-Sulfide-Mantle-3</t>
  </si>
  <si>
    <t>Type1-Sulfide-Mantle-4</t>
  </si>
  <si>
    <t>Type1-Sulfide-Mantle-5</t>
  </si>
  <si>
    <t>Type1-Sulfide-Mantle-6</t>
  </si>
  <si>
    <t>Type1-Sulfide-Mantle-7</t>
  </si>
  <si>
    <t>Type1-Sulfide-Mantle-8</t>
  </si>
  <si>
    <t>Type1-Sulfide-Mantle-9</t>
  </si>
  <si>
    <t>Type1-Sulfide-Rim-1</t>
    <phoneticPr fontId="2" type="noConversion"/>
  </si>
  <si>
    <t>Type1-Sulfide-Rim-2</t>
  </si>
  <si>
    <t>Type1-Sulfide-Rim-3</t>
  </si>
  <si>
    <t>Type1-Sulfide-Rim-4</t>
  </si>
  <si>
    <t>Type1-Sulfide-Rim-5</t>
  </si>
  <si>
    <t>Type1-Sulfide-Rim-7</t>
    <phoneticPr fontId="2" type="noConversion"/>
  </si>
  <si>
    <t>Type1-Sulfide-Rim-8</t>
  </si>
  <si>
    <t>Type1-Sulfide-Rim-9</t>
  </si>
  <si>
    <t>Type1-Sulfide-Rim-10</t>
  </si>
  <si>
    <t>Type1-Silicate-Core-2</t>
    <phoneticPr fontId="2" type="noConversion"/>
  </si>
  <si>
    <t>Type1-Silicate-Core-3</t>
  </si>
  <si>
    <t>Type1-Silicate-Core-4</t>
  </si>
  <si>
    <t>Type1-Silicate-Core-5</t>
  </si>
  <si>
    <t>Type1-Silicate-Core-6</t>
  </si>
  <si>
    <t>Type1-Silicate-Core-7</t>
  </si>
  <si>
    <t>Type1-Silicate-Core-8</t>
  </si>
  <si>
    <t>Type1-Silicate-Core-9</t>
  </si>
  <si>
    <t>Type1-Silicate-Core-11</t>
    <phoneticPr fontId="2" type="noConversion"/>
  </si>
  <si>
    <t>Type1-Silicate-Core-12</t>
  </si>
  <si>
    <t>Type1-Silicate-Core-13</t>
  </si>
  <si>
    <t>Type1-Silicate-Core-14</t>
  </si>
  <si>
    <t>Type1-Silicate-Core-15</t>
  </si>
  <si>
    <t>Type1-Silicate-Mantle-1</t>
    <phoneticPr fontId="2" type="noConversion"/>
  </si>
  <si>
    <t>Type1-Silicate-Mantle-2</t>
  </si>
  <si>
    <t>Type1-Silicate-Mantle-3</t>
  </si>
  <si>
    <t>Type1-Silicate-Mantle-5</t>
    <phoneticPr fontId="2" type="noConversion"/>
  </si>
  <si>
    <t>Type1-Silicate-Mantle-6</t>
  </si>
  <si>
    <t>Type1-Silicate-Mantle-7</t>
  </si>
  <si>
    <t>Type1-Silicate-Mantle-8</t>
  </si>
  <si>
    <t>Type1-Silicate-Mantle-9</t>
  </si>
  <si>
    <t>Type1-Silicate-Rim-1</t>
    <phoneticPr fontId="2" type="noConversion"/>
  </si>
  <si>
    <t>Type1-Silicate-Rim-2</t>
  </si>
  <si>
    <t>Type1-Silicate-Rim-3</t>
  </si>
  <si>
    <t>Type1-Silicate-Rim-4</t>
  </si>
  <si>
    <t>Type1-Silicate-Rim-5</t>
  </si>
  <si>
    <t>Type1-Silicate-Rim-7</t>
    <phoneticPr fontId="2" type="noConversion"/>
  </si>
  <si>
    <t>Type1-Silicate-Rim-8</t>
  </si>
  <si>
    <t>Type1-Silicate-Rim-9</t>
  </si>
  <si>
    <t>Type1-Silicate-Rim-10</t>
  </si>
  <si>
    <t>Type1-Silicate-Rim-11</t>
  </si>
  <si>
    <t>Type1-Silicate-Rim-12</t>
  </si>
  <si>
    <t>Type1-Silicate-Rim-14</t>
    <phoneticPr fontId="2" type="noConversion"/>
  </si>
  <si>
    <t>Type1-Silicate-Rim-15</t>
  </si>
  <si>
    <t>Type2-Sulfide-Core-1</t>
    <phoneticPr fontId="2" type="noConversion"/>
  </si>
  <si>
    <t>Type2-Sulfide-Core-3</t>
    <phoneticPr fontId="2" type="noConversion"/>
  </si>
  <si>
    <t>Type2-Sulfide-Core-4</t>
  </si>
  <si>
    <t>Type2-Sulfide-Core-5</t>
  </si>
  <si>
    <t>Type2-Sulfide-Core-6</t>
  </si>
  <si>
    <t>Type2-Sulfide-Core-7</t>
  </si>
  <si>
    <t>Type2-Sulfide-Core-8</t>
  </si>
  <si>
    <t>Type2-Sulfide-Core-9</t>
  </si>
  <si>
    <t>Type2-Sulfide-Core-10</t>
  </si>
  <si>
    <t>Type2-Sulfide-Core-11</t>
  </si>
  <si>
    <t>Type2-Sulfide-Core-12</t>
  </si>
  <si>
    <t>Type2-Sulfide-Core-13</t>
  </si>
  <si>
    <t>Type2-Sulfide-Core-14</t>
  </si>
  <si>
    <t>Type2-Sulfide-Core-15</t>
  </si>
  <si>
    <t>Type2-Sulfide-Core-16</t>
  </si>
  <si>
    <t>Type2-Sulfide-Core-17</t>
  </si>
  <si>
    <t>Type2-Sulfide-Core-18</t>
  </si>
  <si>
    <t>Type2-Sulfide-Core-19</t>
  </si>
  <si>
    <t>Type2-Sulfide-Core-20</t>
  </si>
  <si>
    <t>Type2-Sulfide-Core-21</t>
  </si>
  <si>
    <t>Type2-Sulfide-Core-22</t>
  </si>
  <si>
    <t>Type2-Sulfide-Core-23</t>
  </si>
  <si>
    <t>Type2-Sulfide-Core-24</t>
  </si>
  <si>
    <t>Type2-Mantle-1</t>
    <phoneticPr fontId="2" type="noConversion"/>
  </si>
  <si>
    <t>Type2-Mantle-6</t>
    <phoneticPr fontId="2" type="noConversion"/>
  </si>
  <si>
    <t>Type2-Mantle-7</t>
  </si>
  <si>
    <t>Type2-Mantle-8</t>
  </si>
  <si>
    <t>Type2-Mantle-12</t>
    <phoneticPr fontId="2" type="noConversion"/>
  </si>
  <si>
    <t>Type2-Mantle-13</t>
  </si>
  <si>
    <t>Type2-Mantle-14</t>
  </si>
  <si>
    <t>Type2-Mantle-15</t>
  </si>
  <si>
    <t>Type2-Mantle-16</t>
  </si>
  <si>
    <t>Type2-Mantle-17</t>
  </si>
  <si>
    <t>Type2-Mantle-18</t>
  </si>
  <si>
    <t>Type2-Mantle-19</t>
  </si>
  <si>
    <t>Type2-Mantle-20</t>
  </si>
  <si>
    <t>Type2-Mantle-21</t>
  </si>
  <si>
    <t>Type2-Mantle-22</t>
  </si>
  <si>
    <t>Type2-Mantle-23</t>
  </si>
  <si>
    <t>Type2-Mantle-24</t>
  </si>
  <si>
    <t>Type2-Mantle-25</t>
  </si>
  <si>
    <t>Type2-Mantle-26</t>
  </si>
  <si>
    <t>Type2-Rim-1</t>
    <phoneticPr fontId="2" type="noConversion"/>
  </si>
  <si>
    <t>Type2-Rim-2</t>
  </si>
  <si>
    <t>Type2-Rim-3</t>
  </si>
  <si>
    <t>Type2-Rim-4</t>
  </si>
  <si>
    <t>Type2-Rim-5</t>
  </si>
  <si>
    <t>Type2-Rim-6</t>
  </si>
  <si>
    <t>Type2-Rim-7</t>
  </si>
  <si>
    <t>Type2-Rim-8</t>
  </si>
  <si>
    <t>Zankan deposit</t>
    <phoneticPr fontId="2" type="noConversion"/>
  </si>
  <si>
    <t>ZKA3-1-01</t>
  </si>
  <si>
    <t>Zhou 2017 OGR</t>
    <phoneticPr fontId="2" type="noConversion"/>
  </si>
  <si>
    <t>ZKA3-1-02</t>
  </si>
  <si>
    <t>ZKA3-1-03</t>
  </si>
  <si>
    <t>Zhou 2017 OGR</t>
  </si>
  <si>
    <t>ZKA3-1-04</t>
  </si>
  <si>
    <t>ZKA3-1-05</t>
  </si>
  <si>
    <t>ZKA3-1-06</t>
  </si>
  <si>
    <t>ZKA1-2-01</t>
  </si>
  <si>
    <t>ZKA1-2-02</t>
  </si>
  <si>
    <t>ZKA1-2-03</t>
  </si>
  <si>
    <t>ZKA1-2-04</t>
  </si>
  <si>
    <t>ZKA1-2-05</t>
  </si>
  <si>
    <t>ZKA1-2-06</t>
  </si>
  <si>
    <t>ZKA1-2-07</t>
  </si>
  <si>
    <t>ZKA1-2-08</t>
  </si>
  <si>
    <t>ZKA1-2-09</t>
  </si>
  <si>
    <t>ZKA1-2-10</t>
  </si>
  <si>
    <t>ZKA1-2-11</t>
  </si>
  <si>
    <t>ZKA1-2-12</t>
  </si>
  <si>
    <t>ZK10-371-01</t>
  </si>
  <si>
    <t>ZK10-371-02</t>
  </si>
  <si>
    <t>ZK10-371-03</t>
  </si>
  <si>
    <t>ZK10-531-01</t>
  </si>
  <si>
    <t>ZK10-531-02</t>
  </si>
  <si>
    <t>ZK10-531-03</t>
  </si>
  <si>
    <t>Zhangmatun deposit</t>
    <phoneticPr fontId="2" type="noConversion"/>
  </si>
  <si>
    <t>KS-1-1</t>
  </si>
  <si>
    <t>Xie 2017 OGR</t>
    <phoneticPr fontId="2" type="noConversion"/>
  </si>
  <si>
    <t>KS-1-2</t>
  </si>
  <si>
    <t>KS-1-3</t>
  </si>
  <si>
    <t>Xie 2017 OGR</t>
  </si>
  <si>
    <t>FH-2-2</t>
  </si>
  <si>
    <t>FH-2-3</t>
  </si>
  <si>
    <t>BS-3-1</t>
  </si>
  <si>
    <t>BS-3-2</t>
  </si>
  <si>
    <t>BS-3-3</t>
  </si>
  <si>
    <t>KS-2-1</t>
  </si>
  <si>
    <t>KS-2-2</t>
  </si>
  <si>
    <t>KS-2-3</t>
  </si>
  <si>
    <t>YS-3-2-1</t>
  </si>
  <si>
    <t>YS-3-2-2</t>
  </si>
  <si>
    <t>YS-3-2-3</t>
  </si>
  <si>
    <t>YS-2-1</t>
  </si>
  <si>
    <t>YS-2-3</t>
  </si>
  <si>
    <t>ZMT-11- 1</t>
    <phoneticPr fontId="2" type="noConversion"/>
  </si>
  <si>
    <t>ZMT-11- 3</t>
    <phoneticPr fontId="2" type="noConversion"/>
  </si>
  <si>
    <t>ZMT-11- 4</t>
  </si>
  <si>
    <t>ZMT-15- 1</t>
    <phoneticPr fontId="2" type="noConversion"/>
  </si>
  <si>
    <t>ZMT-10-1</t>
    <phoneticPr fontId="2" type="noConversion"/>
  </si>
  <si>
    <t>ZMT-10-3</t>
    <phoneticPr fontId="2" type="noConversion"/>
  </si>
  <si>
    <t>JN-10-3-1</t>
    <phoneticPr fontId="2" type="noConversion"/>
  </si>
  <si>
    <t>JN-10-1-1</t>
    <phoneticPr fontId="2" type="noConversion"/>
  </si>
  <si>
    <t>JN-10-4-2</t>
  </si>
  <si>
    <t>JN-15-2</t>
  </si>
  <si>
    <t>JN-13-1</t>
  </si>
  <si>
    <t>JN-16-1</t>
  </si>
  <si>
    <t>Lac des Iles Pd deposits</t>
    <phoneticPr fontId="2" type="noConversion"/>
  </si>
  <si>
    <t>CD-00-150C-1</t>
    <phoneticPr fontId="2" type="noConversion"/>
  </si>
  <si>
    <t>Duran 2016 JGE</t>
    <phoneticPr fontId="2" type="noConversion"/>
  </si>
  <si>
    <t>CD-00-150C-2</t>
  </si>
  <si>
    <t>CD-00-150C-3</t>
  </si>
  <si>
    <t>Duran 2016 JGE</t>
  </si>
  <si>
    <t>CD-00-150C-4</t>
  </si>
  <si>
    <t>CD-00-150C-5</t>
  </si>
  <si>
    <t>CD-RP-012-1</t>
    <phoneticPr fontId="2" type="noConversion"/>
  </si>
  <si>
    <t>CD-RP-012-2</t>
  </si>
  <si>
    <t>CD-RP-012-3</t>
  </si>
  <si>
    <t>CD-RP-012-4</t>
  </si>
  <si>
    <t>CD-RP-012-5</t>
  </si>
  <si>
    <t>CD-RP-012-6</t>
  </si>
  <si>
    <t>CD-RP-012-7</t>
  </si>
  <si>
    <t>CD-RP-012-8</t>
  </si>
  <si>
    <t>CD-RP-012-9</t>
  </si>
  <si>
    <t>CD-RP-012-10</t>
  </si>
  <si>
    <t>CD-00150A-1</t>
    <phoneticPr fontId="2" type="noConversion"/>
  </si>
  <si>
    <t>CD-00150A-2</t>
  </si>
  <si>
    <t>CD-00150A-3</t>
  </si>
  <si>
    <t>CD-00150A-4</t>
  </si>
  <si>
    <t>CD-00150A-5</t>
  </si>
  <si>
    <t>CD-00150A-6</t>
  </si>
  <si>
    <t>CD-00150A-7</t>
  </si>
  <si>
    <t>CD-00150A-8</t>
  </si>
  <si>
    <t>CD-00150A-9</t>
  </si>
  <si>
    <t>CD-00150A-10</t>
  </si>
  <si>
    <t>CD-00150A-11</t>
  </si>
  <si>
    <t>CD-00150A-12</t>
  </si>
  <si>
    <t>CD-00150A-13</t>
  </si>
  <si>
    <t>CD-00150A-14</t>
  </si>
  <si>
    <t>CD-00150A-15</t>
  </si>
  <si>
    <t>CD-10-551-1</t>
    <phoneticPr fontId="2" type="noConversion"/>
  </si>
  <si>
    <t>CD-10-551-2</t>
  </si>
  <si>
    <t>CD-10-551-3</t>
  </si>
  <si>
    <t>CD-10-551-4</t>
  </si>
  <si>
    <t>CD-10-551-5</t>
  </si>
  <si>
    <t>CD-10-551-6</t>
  </si>
  <si>
    <t>CD-98-042A-1</t>
    <phoneticPr fontId="2" type="noConversion"/>
  </si>
  <si>
    <t>CD-98-042A-2</t>
  </si>
  <si>
    <t>CD-02-004-1</t>
    <phoneticPr fontId="2" type="noConversion"/>
  </si>
  <si>
    <t>CD-02-004-2</t>
  </si>
  <si>
    <t>CD-RP-008-1</t>
    <phoneticPr fontId="2" type="noConversion"/>
  </si>
  <si>
    <t>CD-RP-008-2</t>
  </si>
  <si>
    <t>CD-RP-008-3</t>
  </si>
  <si>
    <t>CD-RP-008-4</t>
  </si>
  <si>
    <t>CD-RP-008-5</t>
  </si>
  <si>
    <t>CD-RP-008-6</t>
  </si>
  <si>
    <t>CD-RP-008-7</t>
  </si>
  <si>
    <t>CD-00-109-1</t>
    <phoneticPr fontId="2" type="noConversion"/>
  </si>
  <si>
    <t>CD-00-118-1</t>
    <phoneticPr fontId="2" type="noConversion"/>
  </si>
  <si>
    <t>CD-00-118-2</t>
  </si>
  <si>
    <t>CD-00-118-3</t>
  </si>
  <si>
    <t>CD-00-150B-1</t>
    <phoneticPr fontId="2" type="noConversion"/>
  </si>
  <si>
    <t>CD-00-150B-2</t>
  </si>
  <si>
    <t>CD-00-150B-3</t>
  </si>
  <si>
    <t>CD-00-150B-4</t>
  </si>
  <si>
    <t>Beiya deposit</t>
    <phoneticPr fontId="2" type="noConversion"/>
  </si>
  <si>
    <t>W007-01</t>
    <phoneticPr fontId="2" type="noConversion"/>
  </si>
  <si>
    <t>Sun 2017 OGR</t>
    <phoneticPr fontId="2" type="noConversion"/>
  </si>
  <si>
    <t>W007-02</t>
    <phoneticPr fontId="2" type="noConversion"/>
  </si>
  <si>
    <t>W007-03</t>
  </si>
  <si>
    <t>Sun 2017 OGR</t>
  </si>
  <si>
    <t>W007-04</t>
  </si>
  <si>
    <t>W007-05</t>
  </si>
  <si>
    <t>W007-07</t>
  </si>
  <si>
    <t>W007-08</t>
  </si>
  <si>
    <t>W007-09</t>
  </si>
  <si>
    <t>W007-10</t>
  </si>
  <si>
    <t>W007-11</t>
  </si>
  <si>
    <t>W007-12</t>
  </si>
  <si>
    <t>W007-13</t>
  </si>
  <si>
    <t>W007-15</t>
  </si>
  <si>
    <t>W007-16</t>
  </si>
  <si>
    <t>W007-17</t>
  </si>
  <si>
    <t>W007-18</t>
  </si>
  <si>
    <t>W007-19</t>
  </si>
  <si>
    <t>W007-20</t>
  </si>
  <si>
    <t>W007-21</t>
  </si>
  <si>
    <t>W007-22</t>
  </si>
  <si>
    <t>W364r-01</t>
    <phoneticPr fontId="2" type="noConversion"/>
  </si>
  <si>
    <t>W364r-02</t>
  </si>
  <si>
    <t>W364r-03</t>
  </si>
  <si>
    <t>W364r-04</t>
  </si>
  <si>
    <t>W364r-05</t>
  </si>
  <si>
    <t>W364c-01</t>
    <phoneticPr fontId="2" type="noConversion"/>
  </si>
  <si>
    <t>W364c-02</t>
  </si>
  <si>
    <t>W364c-05</t>
  </si>
  <si>
    <t>W364c-06</t>
  </si>
  <si>
    <t>W364c-07</t>
  </si>
  <si>
    <t>W364c-08</t>
  </si>
  <si>
    <t>W364c-09</t>
  </si>
  <si>
    <t>W364c-11</t>
  </si>
  <si>
    <t>W364c-12</t>
  </si>
  <si>
    <t>W009-1</t>
    <phoneticPr fontId="2" type="noConversion"/>
  </si>
  <si>
    <t>W009-2</t>
  </si>
  <si>
    <t>W009-3</t>
  </si>
  <si>
    <t>W009-4</t>
  </si>
  <si>
    <t>W009-5</t>
  </si>
  <si>
    <t>W009-6</t>
  </si>
  <si>
    <t>W009-7</t>
  </si>
  <si>
    <t>W009-8</t>
  </si>
  <si>
    <t>W009-9</t>
  </si>
  <si>
    <t>W009-10</t>
  </si>
  <si>
    <t>W009-12</t>
  </si>
  <si>
    <t>W009-13</t>
  </si>
  <si>
    <t>W009-14</t>
  </si>
  <si>
    <t>W009-16</t>
  </si>
  <si>
    <t>W009-17</t>
  </si>
  <si>
    <t>W009-18</t>
  </si>
  <si>
    <t>W009-19</t>
  </si>
  <si>
    <t>W009-20</t>
  </si>
  <si>
    <t>W009-21</t>
  </si>
  <si>
    <t>W009-22</t>
  </si>
  <si>
    <t>W009-23</t>
  </si>
  <si>
    <t>W009-25</t>
  </si>
  <si>
    <t>W566a-1</t>
    <phoneticPr fontId="2" type="noConversion"/>
  </si>
  <si>
    <t>W566a-2</t>
  </si>
  <si>
    <t>W566a-3</t>
  </si>
  <si>
    <t>W566a-4</t>
  </si>
  <si>
    <t>W566a-5</t>
  </si>
  <si>
    <t>W566a-7</t>
  </si>
  <si>
    <t>W566a-9</t>
  </si>
  <si>
    <t>W566a-10</t>
  </si>
  <si>
    <t>W566a-11</t>
  </si>
  <si>
    <t>W566a-12</t>
  </si>
  <si>
    <t>W566b-1</t>
    <phoneticPr fontId="2" type="noConversion"/>
  </si>
  <si>
    <t>W566b-2</t>
  </si>
  <si>
    <t>W566b-3</t>
  </si>
  <si>
    <t>W566b-4</t>
  </si>
  <si>
    <t>W566b-5</t>
  </si>
  <si>
    <t>W566b-6</t>
  </si>
  <si>
    <t>W566b-7</t>
  </si>
  <si>
    <t>W566b-8</t>
  </si>
  <si>
    <t>W566b-9</t>
  </si>
  <si>
    <t>W566b-10</t>
  </si>
  <si>
    <t>W566b-12</t>
  </si>
  <si>
    <t>W566b-13</t>
  </si>
  <si>
    <t>W566b-15</t>
  </si>
  <si>
    <t>W566b-16</t>
  </si>
  <si>
    <t>W566b-17</t>
  </si>
  <si>
    <t>W566b-18</t>
  </si>
  <si>
    <t>W561-1</t>
    <phoneticPr fontId="2" type="noConversion"/>
  </si>
  <si>
    <t>W561-2</t>
  </si>
  <si>
    <t>W561-3</t>
  </si>
  <si>
    <t>W561-4</t>
  </si>
  <si>
    <t>W561-5</t>
  </si>
  <si>
    <t>W561-6</t>
  </si>
  <si>
    <t>W561-7</t>
  </si>
  <si>
    <t>W561-8</t>
  </si>
  <si>
    <t>W561-9</t>
  </si>
  <si>
    <t>W561-10</t>
  </si>
  <si>
    <t>W561-11</t>
  </si>
  <si>
    <t>W561-12</t>
  </si>
  <si>
    <t>W561-13</t>
  </si>
  <si>
    <t>W561-14</t>
  </si>
  <si>
    <t>Jinchuan deposit</t>
    <phoneticPr fontId="2" type="noConversion"/>
  </si>
  <si>
    <t>JII-1T-C1-2</t>
  </si>
  <si>
    <t>Wang 2023 CG</t>
    <phoneticPr fontId="2" type="noConversion"/>
  </si>
  <si>
    <t>JII-1T-C2-2</t>
  </si>
  <si>
    <t>JII-1T-C2-3</t>
  </si>
  <si>
    <t>Wang 2023 CG</t>
  </si>
  <si>
    <t>JII-1T-C2-4</t>
  </si>
  <si>
    <t>20JC-30B-C1-2</t>
  </si>
  <si>
    <t>20JC-30B-C5-4</t>
  </si>
  <si>
    <t>21JC-41T-3P1</t>
  </si>
  <si>
    <t>21JC-41T-3P2</t>
  </si>
  <si>
    <t>21JC-41T-3P3</t>
  </si>
  <si>
    <t>21JC-41T-4P1</t>
  </si>
  <si>
    <t>21JC-41T-4P2</t>
  </si>
  <si>
    <t>21JC-45T-C6-1</t>
  </si>
  <si>
    <t>21JC-45T-C6-2</t>
  </si>
  <si>
    <t>21JC-45T-C6-3</t>
  </si>
  <si>
    <t>21JC-48T-C13-1</t>
  </si>
  <si>
    <t>21JC-48T-C15-2</t>
  </si>
  <si>
    <t>21JC-48T-C16-1</t>
  </si>
  <si>
    <t>21JC-48T-C16-2</t>
  </si>
  <si>
    <t>21JC-48T-C10-3</t>
  </si>
  <si>
    <t>21JC-35T-C10-2</t>
  </si>
  <si>
    <t>21JC-35T-C10-5</t>
  </si>
  <si>
    <t>21JC-45T-C16-4</t>
  </si>
  <si>
    <t>20JC-53T-2P1</t>
  </si>
  <si>
    <t>20JC-53T-2P2</t>
  </si>
  <si>
    <t>20JC-53T-2P3</t>
  </si>
  <si>
    <t>20JC-53T-2P4</t>
  </si>
  <si>
    <t>JII-1T-C6-1</t>
  </si>
  <si>
    <t>JII-1T-C6-2</t>
  </si>
  <si>
    <t>JII-1T-C9-1</t>
  </si>
  <si>
    <t>JII-1T-C9-3</t>
  </si>
  <si>
    <t>JII-1T-C10-1</t>
  </si>
  <si>
    <t>20JC-30B-C5-1</t>
  </si>
  <si>
    <t>20JC-30B-C6-1</t>
  </si>
  <si>
    <t>20JC-30B-C6-2</t>
  </si>
  <si>
    <t>21JC-45T-C15-1</t>
  </si>
  <si>
    <t>21JC-45T-C15-2</t>
  </si>
  <si>
    <t>21JC-45T-C15-3</t>
  </si>
  <si>
    <t>21JC-45T-C15-4</t>
  </si>
  <si>
    <t>21JC-45T-C15-5</t>
  </si>
  <si>
    <t>21JC-45T-C16-2</t>
  </si>
  <si>
    <t>21JC-45T-C16-3</t>
  </si>
  <si>
    <t>21JC-45T-C16-5</t>
  </si>
  <si>
    <t>21JC-45T-C16-6</t>
  </si>
  <si>
    <t>20JC-79B1-C2-1</t>
  </si>
  <si>
    <t>20JC-79B1-C2-2</t>
  </si>
  <si>
    <t>20JC-79B1-C2-3</t>
  </si>
  <si>
    <t>20JC-79B1-C2-4</t>
  </si>
  <si>
    <t>20JC-79B1-C3-1</t>
  </si>
  <si>
    <t>20JC-79B1-C3-2</t>
  </si>
  <si>
    <t>20JC-79B-1P1</t>
  </si>
  <si>
    <t>20JC-79B-1P2</t>
  </si>
  <si>
    <t>20JC-79B-1P3</t>
  </si>
  <si>
    <t>20JC-79B-4P1</t>
  </si>
  <si>
    <t>20JC-79B-4P2</t>
  </si>
  <si>
    <t>20JC-79B-4P3</t>
  </si>
  <si>
    <t>20JC-79B-4P4</t>
  </si>
  <si>
    <t>20JC-79B2-C1-1</t>
  </si>
  <si>
    <t>20JC-79B2-C1-2</t>
  </si>
  <si>
    <t>20JC-79B2-C1-3</t>
  </si>
  <si>
    <t>20JC-79B2-C1-4</t>
  </si>
  <si>
    <t>20JC-79B-2P1</t>
  </si>
  <si>
    <t>20JC-79B-2P2</t>
  </si>
  <si>
    <t>20JC-79B-2P4</t>
  </si>
  <si>
    <t>20JC-79B-3P1</t>
  </si>
  <si>
    <t>20JC-79B-3P2</t>
  </si>
  <si>
    <t>20JC-79B-3P3</t>
  </si>
  <si>
    <t>20JC-79B-3P4</t>
  </si>
  <si>
    <t>20JC-79B-5P1</t>
  </si>
  <si>
    <t>20JC-79B-5P2</t>
  </si>
  <si>
    <t>21JC-35T-1P2</t>
  </si>
  <si>
    <t>21JC-35T-1P3</t>
  </si>
  <si>
    <t>21JC-35T-C8-1</t>
  </si>
  <si>
    <t>21JC-35T-C8-2</t>
  </si>
  <si>
    <t>21JC-35T-C8-3</t>
  </si>
  <si>
    <t>21JC-35T-C8-4</t>
  </si>
  <si>
    <t>21JC-35T-C8-5</t>
  </si>
  <si>
    <t>21JC-35T-C8-6</t>
  </si>
  <si>
    <t>21JC-35T-C8-7</t>
  </si>
  <si>
    <t>21JC-53T-C9-4</t>
  </si>
  <si>
    <t>21JC-53T-C10-4</t>
  </si>
  <si>
    <t>JII-1T-C12-1</t>
  </si>
  <si>
    <t>JII-1T-C12-3</t>
  </si>
  <si>
    <t>20JC-30B-C4-1</t>
  </si>
  <si>
    <t>20JC-30B-C4-2</t>
  </si>
  <si>
    <t>20JC-30B-C9-1</t>
  </si>
  <si>
    <t>20JC-30B-C9-2</t>
  </si>
  <si>
    <t>21JC-45T-C10-1</t>
  </si>
  <si>
    <t>21JC-33T-C2-1</t>
  </si>
  <si>
    <t>21JC-41T-2P1</t>
  </si>
  <si>
    <t>21JC-41T-2P2</t>
  </si>
  <si>
    <t>21JC-41T-2P3</t>
  </si>
  <si>
    <t>21JC-45T-1P2</t>
  </si>
  <si>
    <t>21JC-45T-2P2</t>
  </si>
  <si>
    <t>21JC-33T-C12-1</t>
  </si>
  <si>
    <t>21JC-33T-C12-2</t>
  </si>
  <si>
    <t>21JC-41T-1P4</t>
  </si>
  <si>
    <t>21JC-45T-1P3</t>
  </si>
  <si>
    <t>21JC-45T-2P1</t>
  </si>
  <si>
    <t>21JC-45T-C11-1</t>
  </si>
  <si>
    <t>21JC-45T-C11-2</t>
  </si>
  <si>
    <t>21JC-45T-C11-3</t>
  </si>
  <si>
    <t>21JC-48T-C10-1</t>
  </si>
  <si>
    <t>21JC-48T-C10-2</t>
  </si>
  <si>
    <t>BY51-01</t>
  </si>
  <si>
    <t>Hong 2021 GJ</t>
    <phoneticPr fontId="2" type="noConversion"/>
  </si>
  <si>
    <t>BY51-02</t>
  </si>
  <si>
    <t>BY51-03</t>
  </si>
  <si>
    <t>Hong 2021 GJ</t>
  </si>
  <si>
    <t>BY51-04</t>
  </si>
  <si>
    <t>BY51-05</t>
  </si>
  <si>
    <t>BY51-06</t>
  </si>
  <si>
    <t>BY51-07</t>
  </si>
  <si>
    <t>BY51-08</t>
  </si>
  <si>
    <t>BY51-09</t>
  </si>
  <si>
    <t>BY51-10</t>
  </si>
  <si>
    <t>BY51-11</t>
  </si>
  <si>
    <t>BY51-12</t>
  </si>
  <si>
    <t>BY51-13</t>
  </si>
  <si>
    <t>BY51-14</t>
  </si>
  <si>
    <t>BY51-15</t>
  </si>
  <si>
    <t>BY51-16</t>
  </si>
  <si>
    <t>BY51-17</t>
  </si>
  <si>
    <t>BY51-18</t>
  </si>
  <si>
    <t>BY51-19</t>
  </si>
  <si>
    <t>BY51-20</t>
  </si>
  <si>
    <t>BY51-21</t>
  </si>
  <si>
    <t>BY51-22</t>
  </si>
  <si>
    <t>BY51-23</t>
  </si>
  <si>
    <t>BY51-24</t>
  </si>
  <si>
    <t>BY51-25</t>
  </si>
  <si>
    <t>BY51-26</t>
  </si>
  <si>
    <t>BY51-27</t>
  </si>
  <si>
    <t>BY51-28</t>
  </si>
  <si>
    <t>BY17-01</t>
  </si>
  <si>
    <t>BY17-02</t>
  </si>
  <si>
    <t>BY17-03</t>
  </si>
  <si>
    <t>BY17-04</t>
  </si>
  <si>
    <t>BY17-05</t>
  </si>
  <si>
    <t>BY17-06</t>
  </si>
  <si>
    <t>BY17-07</t>
  </si>
  <si>
    <t>BY17-08</t>
  </si>
  <si>
    <t>BY17-09</t>
  </si>
  <si>
    <t>BY17-10</t>
  </si>
  <si>
    <t>BY57-01</t>
  </si>
  <si>
    <t>BY57-02</t>
  </si>
  <si>
    <t>BY57-03</t>
  </si>
  <si>
    <t>BY57-04</t>
  </si>
  <si>
    <t>BY57-05</t>
  </si>
  <si>
    <t>BY57-06</t>
  </si>
  <si>
    <t>BY57-07</t>
  </si>
  <si>
    <t>BY57-08</t>
  </si>
  <si>
    <t>BY57-09</t>
  </si>
  <si>
    <t>BY57-10</t>
  </si>
  <si>
    <t>BY57-11</t>
  </si>
  <si>
    <t>BY57-12</t>
  </si>
  <si>
    <t>BY57-13</t>
  </si>
  <si>
    <t>BY57-14</t>
  </si>
  <si>
    <t>BY57-15</t>
  </si>
  <si>
    <t>BY57-16</t>
  </si>
  <si>
    <t>BY57-17</t>
  </si>
  <si>
    <t>BY57-18</t>
  </si>
  <si>
    <t>BY57-19</t>
  </si>
  <si>
    <t>BY57-20</t>
  </si>
  <si>
    <t>BY57-21</t>
  </si>
  <si>
    <t>BY57-22</t>
  </si>
  <si>
    <t>BY57-23</t>
  </si>
  <si>
    <t>BY46-01</t>
  </si>
  <si>
    <t>BY46-02</t>
  </si>
  <si>
    <t>BY46-03</t>
  </si>
  <si>
    <t>BY46-04</t>
  </si>
  <si>
    <t>BY46-05</t>
  </si>
  <si>
    <t>BY46-06</t>
  </si>
  <si>
    <t>BY46-07</t>
  </si>
  <si>
    <t>BY46-08</t>
  </si>
  <si>
    <t>BY46-09</t>
  </si>
  <si>
    <t>BY46-10</t>
  </si>
  <si>
    <t>BY46-11</t>
  </si>
  <si>
    <t>BY46-12</t>
  </si>
  <si>
    <t>BY46-13</t>
  </si>
  <si>
    <t>BY46-14</t>
  </si>
  <si>
    <t>BY46-15</t>
  </si>
  <si>
    <t>BY46-16</t>
  </si>
  <si>
    <t>BY46-17</t>
  </si>
  <si>
    <t>BY46-18</t>
  </si>
  <si>
    <t>BY46-19</t>
  </si>
  <si>
    <t>BY46-20</t>
  </si>
  <si>
    <t>BY46-21</t>
  </si>
  <si>
    <t>BY46-22</t>
  </si>
  <si>
    <t>BY46-23</t>
  </si>
  <si>
    <t>BY46-24</t>
  </si>
  <si>
    <t>BY46-25</t>
  </si>
  <si>
    <t>BY46-26</t>
  </si>
  <si>
    <t>BY46-27</t>
  </si>
  <si>
    <t>BY46-28</t>
  </si>
  <si>
    <t>BY46-29</t>
  </si>
  <si>
    <t>BY46-30</t>
  </si>
  <si>
    <t>BY46-2-01</t>
  </si>
  <si>
    <t>BY46-2-02</t>
  </si>
  <si>
    <t>BY46-2-03</t>
  </si>
  <si>
    <t>BY46-2-04</t>
  </si>
  <si>
    <t>BY46-2-05</t>
  </si>
  <si>
    <t>BY46-2-06</t>
  </si>
  <si>
    <t>BY46-2-07</t>
  </si>
  <si>
    <t>BY46-2-08</t>
  </si>
  <si>
    <t>BY46-2-09</t>
  </si>
  <si>
    <t>BY46-2-10</t>
  </si>
  <si>
    <t>BY46-2-11</t>
  </si>
  <si>
    <t>BY46-2-12</t>
  </si>
  <si>
    <t>BY46-2-13</t>
  </si>
  <si>
    <t>BY46-2-14</t>
  </si>
  <si>
    <t>BY46-2-15</t>
  </si>
  <si>
    <t>BY46-2-16</t>
  </si>
  <si>
    <t>BY46-2-17</t>
  </si>
  <si>
    <t>BY46-2-18</t>
  </si>
  <si>
    <t>BY46-2-19</t>
  </si>
  <si>
    <t>BY46-2-20</t>
  </si>
  <si>
    <t>BY46-2-21</t>
  </si>
  <si>
    <t>BY46-2-22</t>
  </si>
  <si>
    <t>BY46-2-23</t>
  </si>
  <si>
    <t>BY46-2-24</t>
  </si>
  <si>
    <t>BY46-2-25</t>
  </si>
  <si>
    <t>BY46-2-26</t>
  </si>
  <si>
    <t>BY46-2-27</t>
  </si>
  <si>
    <t>BY46-2-28</t>
  </si>
  <si>
    <t>BY46-2-29</t>
  </si>
  <si>
    <t>BY46-2-30</t>
  </si>
  <si>
    <t>BY46-2-31</t>
  </si>
  <si>
    <t>BY46-2-32</t>
  </si>
  <si>
    <t>BY46-2-33</t>
  </si>
  <si>
    <t>BY46-2-34</t>
  </si>
  <si>
    <t>BY46-2-35</t>
  </si>
  <si>
    <t>BY46-2-36</t>
  </si>
  <si>
    <t>BY46-2-37</t>
  </si>
  <si>
    <t>BY46-2-38</t>
  </si>
  <si>
    <t>Akesayi deposit</t>
    <phoneticPr fontId="2" type="noConversion"/>
  </si>
  <si>
    <t>1-1J-5.1</t>
  </si>
  <si>
    <t>Dong 2021 OGR</t>
    <phoneticPr fontId="2" type="noConversion"/>
  </si>
  <si>
    <t>1-1J-5.2</t>
  </si>
  <si>
    <t>1-1J-5.3</t>
  </si>
  <si>
    <t>Dong 2021 OGR</t>
  </si>
  <si>
    <t>1-1J-4.1</t>
  </si>
  <si>
    <t>1-1J-4.2</t>
  </si>
  <si>
    <t>1-1J-4.3</t>
  </si>
  <si>
    <t>1-1J-3.2</t>
  </si>
  <si>
    <t>1-1J-1.1</t>
  </si>
  <si>
    <t>1-1J-1.2</t>
  </si>
  <si>
    <t>1-1J-1.3</t>
  </si>
  <si>
    <t>1-1J-1.4</t>
  </si>
  <si>
    <t>1-2J-1.2</t>
  </si>
  <si>
    <t>3J-1.1</t>
  </si>
  <si>
    <t>3J-1.3</t>
  </si>
  <si>
    <t>3J-2.1</t>
  </si>
  <si>
    <t>3J-2.2</t>
  </si>
  <si>
    <t>3J-2.3</t>
  </si>
  <si>
    <t>3J-2.4</t>
  </si>
  <si>
    <t>3J-2.7</t>
  </si>
  <si>
    <t>3J-3.1</t>
  </si>
  <si>
    <t>3J-3.2</t>
  </si>
  <si>
    <t>3J-3.3</t>
  </si>
  <si>
    <t>3J-3.4</t>
  </si>
  <si>
    <t>3J-3.5</t>
  </si>
  <si>
    <t>3J-3.6</t>
  </si>
  <si>
    <t>3J-3.7</t>
  </si>
  <si>
    <t>7-1J-4.1</t>
  </si>
  <si>
    <t>7-1J-4.3</t>
  </si>
  <si>
    <t>7-1J-4.4</t>
  </si>
  <si>
    <t>7-1J-3.1</t>
  </si>
  <si>
    <t>7-1J-3.2</t>
  </si>
  <si>
    <t>7-1J-3.3</t>
  </si>
  <si>
    <t>7-1J-2.4</t>
  </si>
  <si>
    <t>7-1J-1.1</t>
  </si>
  <si>
    <t>7-1J-1.2</t>
  </si>
  <si>
    <t>7-1J-1.3</t>
  </si>
  <si>
    <t>6J-1.1</t>
  </si>
  <si>
    <t>6J-1.3</t>
  </si>
  <si>
    <t>6J-2.1</t>
  </si>
  <si>
    <t>6J-2.2</t>
  </si>
  <si>
    <t>6J-2.3</t>
  </si>
  <si>
    <t>6J-5.1</t>
  </si>
  <si>
    <t>6J-3.1</t>
  </si>
  <si>
    <t>6J-3.2</t>
  </si>
  <si>
    <t>6J-3.3</t>
  </si>
  <si>
    <t>6J-3.4</t>
  </si>
  <si>
    <t>6J-3.5</t>
  </si>
  <si>
    <t>Wuyang</t>
    <phoneticPr fontId="2" type="noConversion"/>
  </si>
  <si>
    <t>13JSS-11-3</t>
  </si>
  <si>
    <t>Lan 2019 PR</t>
  </si>
  <si>
    <t>13JSS-11-6</t>
  </si>
  <si>
    <t>13JSS-11-8</t>
  </si>
  <si>
    <t>13JSS-11-9</t>
  </si>
  <si>
    <t>13JSS-4-3-1</t>
    <phoneticPr fontId="2" type="noConversion"/>
  </si>
  <si>
    <t>13JSS-4-3-2</t>
  </si>
  <si>
    <t>13JSS-4-3-3</t>
  </si>
  <si>
    <t>13JSS-4-3-5</t>
  </si>
  <si>
    <t>13JSS-4-3-6</t>
  </si>
  <si>
    <t>12WJ-22-3</t>
  </si>
  <si>
    <t>12WJ-22-4</t>
  </si>
  <si>
    <t>12WJ-22-5</t>
  </si>
  <si>
    <t>12WJ-22-7</t>
  </si>
  <si>
    <t>12WJ-22-9</t>
  </si>
  <si>
    <t>12WL-5-3</t>
  </si>
  <si>
    <t>12WL-5-5</t>
  </si>
  <si>
    <t>12WL-5-6</t>
  </si>
  <si>
    <t>12WL-5-7</t>
  </si>
  <si>
    <t>12WL-5-8</t>
  </si>
  <si>
    <t>13TGK-45-1</t>
    <phoneticPr fontId="2" type="noConversion"/>
  </si>
  <si>
    <t>13TGK-45-2</t>
  </si>
  <si>
    <t>13TGK-45-3</t>
  </si>
  <si>
    <t>13TGK-45-4</t>
  </si>
  <si>
    <t>13TGK-45-5</t>
  </si>
  <si>
    <t>13TGK-45-6</t>
  </si>
  <si>
    <t>13TGK-45-7</t>
  </si>
  <si>
    <t>13TGK-45-8</t>
  </si>
  <si>
    <t>13TGK-45-9</t>
  </si>
  <si>
    <t>13TGK-45-10</t>
  </si>
  <si>
    <t>13TGK-45-11</t>
  </si>
  <si>
    <t>13TGK-45-13</t>
  </si>
  <si>
    <t>13TGK-45-14</t>
  </si>
  <si>
    <t>13TGK-37-B1</t>
    <phoneticPr fontId="2" type="noConversion"/>
  </si>
  <si>
    <t>13TGK-37-B2</t>
  </si>
  <si>
    <t>13TGK-37-B3</t>
  </si>
  <si>
    <t>13TGK-37-B4</t>
  </si>
  <si>
    <t>13TGK-37-B5</t>
  </si>
  <si>
    <t>13TGK-37-B6</t>
  </si>
  <si>
    <t>13TGK-37-B7</t>
  </si>
  <si>
    <t>13TGK-37-B8</t>
  </si>
  <si>
    <t>14WT-14-2</t>
  </si>
  <si>
    <t>14WT-14-3</t>
  </si>
  <si>
    <t>14WT-14-7</t>
  </si>
  <si>
    <t>14WT-14-9</t>
  </si>
  <si>
    <t>14SL-3-3</t>
  </si>
  <si>
    <t>14SL-3-4</t>
  </si>
  <si>
    <t>14SL-3-5</t>
  </si>
  <si>
    <t>14SL-3-6</t>
  </si>
  <si>
    <t>14SL-3-7</t>
  </si>
  <si>
    <t>14SL-3-8</t>
  </si>
  <si>
    <t>13LG-1-1</t>
    <phoneticPr fontId="6" type="noConversion"/>
  </si>
  <si>
    <t>13LG-1-2</t>
  </si>
  <si>
    <t>13LG-1-3</t>
  </si>
  <si>
    <t>13LG-1-4</t>
  </si>
  <si>
    <t>13LG-1-5</t>
  </si>
  <si>
    <t>13LG-1-6</t>
  </si>
  <si>
    <t>13SM-7-3-1</t>
    <phoneticPr fontId="2" type="noConversion"/>
  </si>
  <si>
    <t>13SM-7-3-2</t>
  </si>
  <si>
    <t>13SM-7-3-3</t>
  </si>
  <si>
    <t>13SM-7-3-4</t>
  </si>
  <si>
    <t>13SM-7-3-5</t>
  </si>
  <si>
    <t>13SM-7-3-6</t>
  </si>
  <si>
    <t>13SM-7-3-7</t>
  </si>
  <si>
    <t>13SM-7-3-8</t>
  </si>
  <si>
    <t>13SM-7-3-9</t>
  </si>
  <si>
    <t>13SM-7-3-10</t>
  </si>
  <si>
    <t>13SM-7-3-11</t>
  </si>
  <si>
    <t>13SM-7-3-12</t>
  </si>
  <si>
    <t>13SM-7-3-13</t>
  </si>
  <si>
    <t>13SM-7-3-14</t>
  </si>
  <si>
    <t>13SM-7-3-15</t>
  </si>
  <si>
    <t>13SM-7-3-16</t>
  </si>
  <si>
    <t>13SM-7-3-17</t>
  </si>
  <si>
    <t>13SM-7-3-18</t>
  </si>
  <si>
    <t>13SM-7-3-19</t>
  </si>
  <si>
    <t>13SM-7-3-20</t>
  </si>
  <si>
    <t>13SM-7-3-21</t>
  </si>
  <si>
    <t>13TGK-102-1</t>
    <phoneticPr fontId="2" type="noConversion"/>
  </si>
  <si>
    <t>13TGK-102-2</t>
  </si>
  <si>
    <t>13TGK-102-3</t>
  </si>
  <si>
    <t>13TGK-102-4</t>
  </si>
  <si>
    <t>13TGK-102-5</t>
  </si>
  <si>
    <t>13TGK-102-6</t>
  </si>
  <si>
    <t>13TGK-102-7</t>
  </si>
  <si>
    <t>13TGK-102-8</t>
  </si>
  <si>
    <t>13TGK-102-9</t>
  </si>
  <si>
    <t>13TGK-102-10</t>
  </si>
  <si>
    <t>13TGK-102-11</t>
  </si>
  <si>
    <t>13TGK-102-12</t>
  </si>
  <si>
    <t>Hongniu–Hongshan skarn deposit</t>
  </si>
  <si>
    <t>ZK1711-681-1</t>
  </si>
  <si>
    <t>Peng 2021 OGR</t>
    <phoneticPr fontId="2" type="noConversion"/>
  </si>
  <si>
    <t>ZK1711-681-2</t>
  </si>
  <si>
    <t>ZK1711-681-3</t>
  </si>
  <si>
    <t>Peng 2021 OGR</t>
  </si>
  <si>
    <t>ZK1712-1365-1</t>
  </si>
  <si>
    <t>ZK1712-1365-2</t>
  </si>
  <si>
    <t>ZK1712-1408-1</t>
  </si>
  <si>
    <t>ZK1712-1170-core1</t>
  </si>
  <si>
    <t>ZK1712-1170-rim1</t>
  </si>
  <si>
    <t>ZK1712-1170-core2</t>
  </si>
  <si>
    <t>ZK1712-1170-rim2</t>
  </si>
  <si>
    <t>ZK1711-604-core1</t>
  </si>
  <si>
    <t>ZK1711-604-rim1</t>
  </si>
  <si>
    <t>ZK1711-604-core2</t>
  </si>
  <si>
    <t>ZK1711-604-rim2</t>
  </si>
  <si>
    <t>ZK1712-1306-1</t>
  </si>
  <si>
    <t>ZK1711-435-3</t>
  </si>
  <si>
    <t>ZK1712-1040-1</t>
  </si>
  <si>
    <t>ZK1712-1040-2</t>
  </si>
  <si>
    <t>ZK1712-1040-3</t>
  </si>
  <si>
    <t>Pahardiha-Rungikocha gold deposit</t>
  </si>
  <si>
    <t>MagII-1</t>
    <phoneticPr fontId="2" type="noConversion"/>
  </si>
  <si>
    <t>Barla 2020 OGR</t>
    <phoneticPr fontId="2" type="noConversion"/>
  </si>
  <si>
    <t>MagII-2</t>
  </si>
  <si>
    <t>MagII-3</t>
  </si>
  <si>
    <t>Barla 2020 OGR</t>
  </si>
  <si>
    <t>MagII-4</t>
  </si>
  <si>
    <t>MagII-5</t>
  </si>
  <si>
    <t>MagII-6</t>
  </si>
  <si>
    <t>MagII-7</t>
  </si>
  <si>
    <t>MagII-8</t>
  </si>
  <si>
    <t>MagII-9</t>
  </si>
  <si>
    <t>MagII-10</t>
  </si>
  <si>
    <t>MagII-11</t>
  </si>
  <si>
    <t>MagII-12</t>
  </si>
  <si>
    <t>MagII-13</t>
  </si>
  <si>
    <t>MagII-14</t>
  </si>
  <si>
    <t>MagII-15</t>
  </si>
  <si>
    <t>MagII-16</t>
  </si>
  <si>
    <t>MagII-17</t>
  </si>
  <si>
    <t>MagII-18</t>
  </si>
  <si>
    <t>MagII-19</t>
  </si>
  <si>
    <t>Dingjiashan deposit</t>
  </si>
  <si>
    <t>DJS180-19-3</t>
  </si>
  <si>
    <t>Xing 2022 OGR</t>
  </si>
  <si>
    <t>DJS180-19-5</t>
  </si>
  <si>
    <t>DJS180-19-7</t>
  </si>
  <si>
    <t>DJS180-19-8</t>
  </si>
  <si>
    <t>DJS150-4-1</t>
  </si>
  <si>
    <t>DJS150-4-2</t>
  </si>
  <si>
    <t>DJS150-4-3</t>
  </si>
  <si>
    <t>DJS150-4-4</t>
  </si>
  <si>
    <t>DJS150-4-5</t>
  </si>
  <si>
    <t>DJS110-9-1</t>
  </si>
  <si>
    <t>DJS110-9-2</t>
  </si>
  <si>
    <t>DJS110-9-3</t>
  </si>
  <si>
    <t>DJS110-9-4</t>
  </si>
  <si>
    <t>DJS110-9-5</t>
  </si>
  <si>
    <t>DJS110-9-6</t>
  </si>
  <si>
    <t>DJS110-9-7</t>
  </si>
  <si>
    <t>DJS90-2-1</t>
  </si>
  <si>
    <t>DJS90-2-2</t>
  </si>
  <si>
    <t>DJS90-2-3</t>
  </si>
  <si>
    <t>DJS50-8-1</t>
  </si>
  <si>
    <t>DJS50-8-2</t>
  </si>
  <si>
    <t>DJS50-8-3</t>
  </si>
  <si>
    <t>DJS50-8-4</t>
  </si>
  <si>
    <t>DJS30-5-1</t>
  </si>
  <si>
    <t>DJS30-5-2</t>
  </si>
  <si>
    <t>DJS30-5-3</t>
  </si>
  <si>
    <t>DJS30-5-4</t>
  </si>
  <si>
    <t>DJSm10-5-1</t>
  </si>
  <si>
    <t>DJSm10-5-2</t>
  </si>
  <si>
    <t>DJSm10-5-3</t>
  </si>
  <si>
    <t>DJSm10-5-4</t>
  </si>
  <si>
    <t>DJSm10-5-5</t>
  </si>
  <si>
    <t>DJSm30-1-1</t>
  </si>
  <si>
    <t>DJSm30-1-2</t>
  </si>
  <si>
    <t>DJSm30-1-3</t>
  </si>
  <si>
    <t>DJSm30-1-4</t>
  </si>
  <si>
    <t>DJSm30-1-5</t>
  </si>
  <si>
    <t>Fengyan deposit</t>
  </si>
  <si>
    <t>FY280-6-1</t>
  </si>
  <si>
    <t>FY280-6-2</t>
  </si>
  <si>
    <t>FY280-6-3</t>
  </si>
  <si>
    <t>FY280-6-4</t>
  </si>
  <si>
    <t>FY260-5-1</t>
  </si>
  <si>
    <t>FY260-5-2</t>
  </si>
  <si>
    <t>FY260-5-3</t>
  </si>
  <si>
    <t>FY260-5-4</t>
  </si>
  <si>
    <t>FY260-5-5</t>
  </si>
  <si>
    <t>FY260-5-6</t>
  </si>
  <si>
    <t>FY240t-5-2</t>
  </si>
  <si>
    <t>FY240t-5-6</t>
  </si>
  <si>
    <t>FY200-21-1</t>
  </si>
  <si>
    <t>FY200-21-2</t>
  </si>
  <si>
    <t>FY200-21-3</t>
  </si>
  <si>
    <t>FY200-21-4</t>
  </si>
  <si>
    <t>FY200-21-5</t>
  </si>
  <si>
    <t>FY200-21-6</t>
  </si>
  <si>
    <t>FY200-21-7</t>
  </si>
  <si>
    <t>FY200-38-1</t>
  </si>
  <si>
    <t>FY200-38-2</t>
  </si>
  <si>
    <t>Longqiao deposit</t>
    <phoneticPr fontId="2" type="noConversion"/>
  </si>
  <si>
    <t>LQ1-C1-1-MT</t>
  </si>
  <si>
    <t>Liu 2019 MD</t>
    <phoneticPr fontId="2" type="noConversion"/>
  </si>
  <si>
    <t>LQ1-C1-2-MT</t>
  </si>
  <si>
    <t>LQ1-C1-3-MT</t>
  </si>
  <si>
    <t>Liu 2019 MD</t>
  </si>
  <si>
    <t>LQ1-C1-4-MT</t>
  </si>
  <si>
    <t>LQ1-C1-5-MT</t>
  </si>
  <si>
    <t>LQ1-C2-1-MT</t>
  </si>
  <si>
    <t>LQ1-C2-2-MT</t>
  </si>
  <si>
    <t>LQ1-C2-3-MT</t>
  </si>
  <si>
    <t>LQ1-C2-4-MT</t>
  </si>
  <si>
    <t>LQ1-C2-5-MT</t>
  </si>
  <si>
    <t>LQ1-C3-1-MT</t>
  </si>
  <si>
    <t>LQ1-C3-2-MT</t>
  </si>
  <si>
    <t>LQ1-C3-3-MT</t>
  </si>
  <si>
    <t>LQ1-C3-4-MT</t>
  </si>
  <si>
    <t>LQ1-C3-5-MT</t>
  </si>
  <si>
    <t>LQ1-C4-1-MT</t>
  </si>
  <si>
    <t>LQ1-C4-2-MT</t>
  </si>
  <si>
    <t>LQ1-C4-3-MT</t>
  </si>
  <si>
    <t>LQ1-C4-4-MT</t>
  </si>
  <si>
    <t>LQ1-C4-5-MT</t>
  </si>
  <si>
    <t>LQ1-C4-6-MT</t>
  </si>
  <si>
    <t>LQ1-C4-7-MT</t>
  </si>
  <si>
    <t>LQ1-C5-1-MT</t>
  </si>
  <si>
    <t>LQ1-C5-2-MT</t>
  </si>
  <si>
    <t>LQ1-C5-3-MT</t>
  </si>
  <si>
    <t>LQ1-C5-4-MT</t>
  </si>
  <si>
    <t>LQ1-C5-5-MT</t>
  </si>
  <si>
    <t>LQ21-C1-1-MT</t>
  </si>
  <si>
    <t>LQ21-C1-2-MT</t>
  </si>
  <si>
    <t>LQ21-C1-3-MT</t>
  </si>
  <si>
    <t>LQ21-C1-4-MT</t>
  </si>
  <si>
    <t>LQ21-C1-5-MT</t>
  </si>
  <si>
    <t>LQ21-C2-1-MT</t>
  </si>
  <si>
    <t>LQ21-C2-2-MT</t>
  </si>
  <si>
    <t>LQ21-C2-3-MT</t>
  </si>
  <si>
    <t>LQ21-C2-4-MT</t>
  </si>
  <si>
    <t>LQ21-C2-5-MT</t>
  </si>
  <si>
    <t>LQ21-C3-1-MT</t>
  </si>
  <si>
    <t>LQ21-C3-2-MT</t>
  </si>
  <si>
    <t>LQ21-C3-3-MT</t>
  </si>
  <si>
    <t>LQ21-C3-4-MT</t>
  </si>
  <si>
    <t>LQ21-C3-5-MT</t>
  </si>
  <si>
    <t>LQ21-C4-1-MT</t>
  </si>
  <si>
    <t>LQ21-C4-2-MT</t>
  </si>
  <si>
    <t>LQ21-C4-3-MT</t>
  </si>
  <si>
    <t>LQ21-C4-4-MT</t>
  </si>
  <si>
    <t>LQ21-C4-5-MT</t>
  </si>
  <si>
    <t>LQ21-C5-1-MT</t>
  </si>
  <si>
    <t>LQ21-C5-2-MT</t>
  </si>
  <si>
    <t>LQ21-C5-3-MT</t>
  </si>
  <si>
    <t>LQ21-C5-4-MT</t>
  </si>
  <si>
    <t>LQ21-C5-5-MT</t>
  </si>
  <si>
    <t>LQ41-C1-1 MT</t>
  </si>
  <si>
    <t>LQ41-C1-2MT</t>
  </si>
  <si>
    <t>LQ41-C1-4 MT</t>
  </si>
  <si>
    <t>LQ41-C1-5 MT</t>
  </si>
  <si>
    <t>LQ41-C2-1 MT</t>
  </si>
  <si>
    <t>LQ41-C2-2 MT</t>
  </si>
  <si>
    <t>LQ41-C2-3 MT</t>
  </si>
  <si>
    <t>LQ41-C2-4 MT</t>
  </si>
  <si>
    <t>LQ41-C2-5 MT</t>
  </si>
  <si>
    <t>LQ41-C3-1 MT</t>
  </si>
  <si>
    <t>LQ41-C3-2 MT</t>
  </si>
  <si>
    <t>LQ41-C3-3 MT</t>
  </si>
  <si>
    <t>LQ41-C3-4 MT</t>
  </si>
  <si>
    <t>LQ41-C3-5 MT</t>
  </si>
  <si>
    <t>LQ41-C4-1 MT</t>
  </si>
  <si>
    <t>LQ41-C4-2 MT</t>
  </si>
  <si>
    <t>LQ41-C4-3 MT</t>
  </si>
  <si>
    <t>LQ41-C4-4 MT</t>
  </si>
  <si>
    <t>LQ41-C4-5 MT</t>
  </si>
  <si>
    <t>LQ41-C5-1 MT</t>
  </si>
  <si>
    <t>LQ41-C5-2MT</t>
  </si>
  <si>
    <t>LQ41-C5-5 MT</t>
  </si>
  <si>
    <t>LQ32-C1-1 MT</t>
  </si>
  <si>
    <t>LQ32-C1-2 MT</t>
  </si>
  <si>
    <t>LQ32-C1-3 MT</t>
  </si>
  <si>
    <t>LQ32-C1-4 MT</t>
  </si>
  <si>
    <t>LQ32-C1-5 MT</t>
  </si>
  <si>
    <t>LQ32-C2-5 MT</t>
  </si>
  <si>
    <t>LQ32-C3-1 MT</t>
  </si>
  <si>
    <t>LQ32-C3-2 MT</t>
  </si>
  <si>
    <t>LQ32-C3-3 MT</t>
  </si>
  <si>
    <t>LQ32-C3-4 MT</t>
  </si>
  <si>
    <t>LQ32-C3-5 MT</t>
  </si>
  <si>
    <t>LQ32-C4-1 MT</t>
  </si>
  <si>
    <t>LQ32-C4-3 MT</t>
  </si>
  <si>
    <t>LQ32-C4-4 MT</t>
  </si>
  <si>
    <t>LQ32-C4-5 MT</t>
  </si>
  <si>
    <t>LQ32-C5-1 MT</t>
  </si>
  <si>
    <t>LQ32-C5-2 MT</t>
  </si>
  <si>
    <t>LQ32-C5-3 MT</t>
  </si>
  <si>
    <t>LQ32-C5-4 MT</t>
  </si>
  <si>
    <t>LQ32-C5-5 MT</t>
  </si>
  <si>
    <t>LQ97-C1-1 MT</t>
  </si>
  <si>
    <t>LQ97-C1-2 MT</t>
  </si>
  <si>
    <t>LQ97-C1-3 MT</t>
  </si>
  <si>
    <t>LQ97-C1-4 MT</t>
  </si>
  <si>
    <t>LQ97-C1-5 MT</t>
  </si>
  <si>
    <t>LQ97-C2-1 MT</t>
  </si>
  <si>
    <t>LQ97-C2-2MT</t>
  </si>
  <si>
    <t>LQ97-C2-3 MT</t>
  </si>
  <si>
    <t>LQ97-C2-4 MT</t>
  </si>
  <si>
    <t>LQ97-C2-5 MT</t>
  </si>
  <si>
    <t>LQ97-C3-1 MT</t>
  </si>
  <si>
    <t>LQ97-C3-2 MT</t>
  </si>
  <si>
    <t>LQ97-C3-3 MT</t>
  </si>
  <si>
    <t>LQ97-C3-4 MT</t>
  </si>
  <si>
    <t>LQ97-C3-5 MT</t>
  </si>
  <si>
    <t>LQ97-C4-1 MT</t>
  </si>
  <si>
    <t>LQ97-C4-2 MT</t>
  </si>
  <si>
    <t>LQ97-C4-3 MT</t>
  </si>
  <si>
    <t>LQ97-C4-4 MT</t>
  </si>
  <si>
    <t>LQ97-C4-5 MT</t>
  </si>
  <si>
    <t>LQ95-C1-1 MT</t>
  </si>
  <si>
    <t>LQ95-C1-2 MT</t>
  </si>
  <si>
    <t>LQ95-C1-3 MT</t>
  </si>
  <si>
    <t>LQ95-C1-4 MT</t>
  </si>
  <si>
    <t>LQ95-C1-5 MT</t>
  </si>
  <si>
    <t>LQ95-C2-1 MT</t>
  </si>
  <si>
    <t>LQ95-C2-2 MT</t>
  </si>
  <si>
    <t>LQ95-C2-3 MT</t>
  </si>
  <si>
    <t>LQ95-C2-4 MT</t>
  </si>
  <si>
    <t>LQ95-C3-1 MT</t>
  </si>
  <si>
    <t>LQ95-C3-2 MT</t>
  </si>
  <si>
    <t>LQ95-C3-3 MT</t>
  </si>
  <si>
    <t>LQ95-C3-4 MT</t>
  </si>
  <si>
    <t>LQ95-C3-5MT</t>
  </si>
  <si>
    <t>LQ95-C4-1 MT</t>
  </si>
  <si>
    <t>LQ95-C4-2 MT</t>
  </si>
  <si>
    <t>LQ95-C4-3 MT</t>
  </si>
  <si>
    <t>LQ95-C4-4 MT</t>
  </si>
  <si>
    <t>LQ95-C4-5 MT</t>
  </si>
  <si>
    <t>162-mt-c1-1</t>
  </si>
  <si>
    <t>162-mt-c1-2</t>
  </si>
  <si>
    <t>162-mt-c1-3</t>
  </si>
  <si>
    <t>162-mt-c1-4</t>
  </si>
  <si>
    <t>162-mt-c1-5</t>
  </si>
  <si>
    <t>162-mt-c2-1</t>
  </si>
  <si>
    <t>162-mt-c2-2</t>
  </si>
  <si>
    <t>162-mt-c2-3</t>
  </si>
  <si>
    <t>162-mt-c2-4</t>
  </si>
  <si>
    <t>162-mt-c2-5</t>
  </si>
  <si>
    <t>162-mt-c3-1</t>
  </si>
  <si>
    <t>162-mt-c3-2</t>
  </si>
  <si>
    <t>162-mt-c3-3</t>
  </si>
  <si>
    <t>162-mt-c3-4</t>
  </si>
  <si>
    <t>162-mt-c3-5</t>
  </si>
  <si>
    <t>162-mt-c4-1</t>
  </si>
  <si>
    <t>162-mt-c4-2</t>
  </si>
  <si>
    <t>162-mt-c4-3</t>
  </si>
  <si>
    <t>162-mt-c4-4</t>
  </si>
  <si>
    <t>162-mt-c4-5</t>
  </si>
  <si>
    <t>162-mt-c5-1</t>
  </si>
  <si>
    <t>162-mt-c5-2</t>
  </si>
  <si>
    <t>162-mt-c5-3</t>
  </si>
  <si>
    <t>162-mt-c5-4</t>
  </si>
  <si>
    <t>162-mt-c5-5</t>
  </si>
  <si>
    <t>84-mt-c1-1</t>
  </si>
  <si>
    <t>84-mt-c1-2</t>
  </si>
  <si>
    <t>84-mt-c1-3</t>
  </si>
  <si>
    <t>84-mt-c1-4</t>
  </si>
  <si>
    <t>84-mt-c1-5</t>
  </si>
  <si>
    <t>84-mt-c2-1</t>
  </si>
  <si>
    <t>84-mt-c2-2</t>
  </si>
  <si>
    <t>84-mt-c2-3</t>
  </si>
  <si>
    <t>84-mt-c2-4</t>
  </si>
  <si>
    <t>84-mt-c2-5</t>
  </si>
  <si>
    <t>84-mt-c3-1</t>
  </si>
  <si>
    <t>84-mt-c3-2</t>
  </si>
  <si>
    <t>84-mt-c3-3</t>
  </si>
  <si>
    <t>84-mt-c3-4</t>
  </si>
  <si>
    <t>84-mt-c3-5</t>
  </si>
  <si>
    <t>84-mt-c4-1</t>
  </si>
  <si>
    <t>84-mt-c4-2</t>
  </si>
  <si>
    <t>84-mt-c4-3</t>
  </si>
  <si>
    <t>84-mt-c4-4</t>
  </si>
  <si>
    <t>84-mt-c4-5</t>
  </si>
  <si>
    <t>84-mt-c5-1</t>
  </si>
  <si>
    <t>84-mt-c5-2</t>
  </si>
  <si>
    <t>84-mt-c5-3</t>
  </si>
  <si>
    <t>84-mt-c5-4</t>
  </si>
  <si>
    <t>84-mt-c5-5</t>
  </si>
  <si>
    <t>Intermediate</t>
    <phoneticPr fontId="2" type="noConversion"/>
  </si>
  <si>
    <t>Intermediate intrusive</t>
  </si>
  <si>
    <t>Norilsk-Talnakh Mining District</t>
    <phoneticPr fontId="2" type="noConversion"/>
  </si>
  <si>
    <t>90MC15-3</t>
    <phoneticPr fontId="2" type="noConversion"/>
  </si>
  <si>
    <t>90MC5-1</t>
    <phoneticPr fontId="2" type="noConversion"/>
  </si>
  <si>
    <t>90MC5-2</t>
    <phoneticPr fontId="2" type="noConversion"/>
  </si>
  <si>
    <t>90MC5-3</t>
    <phoneticPr fontId="2" type="noConversion"/>
  </si>
  <si>
    <t>90MC5-4</t>
    <phoneticPr fontId="2" type="noConversion"/>
  </si>
  <si>
    <t>90MC5-5</t>
    <phoneticPr fontId="2" type="noConversion"/>
  </si>
  <si>
    <t>NR11-3</t>
    <phoneticPr fontId="2" type="noConversion"/>
  </si>
  <si>
    <t>NR11-4</t>
    <phoneticPr fontId="2" type="noConversion"/>
  </si>
  <si>
    <t>el_2gr2-4</t>
    <phoneticPr fontId="2" type="noConversion"/>
  </si>
  <si>
    <t>Laco Norte</t>
    <phoneticPr fontId="2" type="noConversion"/>
  </si>
  <si>
    <t>IOA</t>
  </si>
  <si>
    <t>el-va-sample-t-1gr-4_1</t>
    <phoneticPr fontId="2" type="noConversion"/>
  </si>
  <si>
    <t>San Vicente Alto</t>
    <phoneticPr fontId="2" type="noConversion"/>
  </si>
  <si>
    <t>Rodados Negros</t>
    <phoneticPr fontId="2" type="noConversion"/>
  </si>
  <si>
    <t>Cristales Grandes</t>
    <phoneticPr fontId="2" type="noConversion"/>
  </si>
  <si>
    <t>LCO318a_5</t>
  </si>
  <si>
    <t>Laco Sur</t>
    <phoneticPr fontId="2" type="noConversion"/>
  </si>
  <si>
    <t>LCO206a_1</t>
  </si>
  <si>
    <t>LCO206a_2</t>
  </si>
  <si>
    <t>LCO206a_3</t>
  </si>
  <si>
    <t>LCO206a_4</t>
  </si>
  <si>
    <t>LCO206a_5</t>
  </si>
  <si>
    <t>LCO206a_6</t>
  </si>
  <si>
    <t>LCO206a_7</t>
  </si>
  <si>
    <t>LCO206a_8</t>
  </si>
  <si>
    <t>LCO206a_9</t>
  </si>
  <si>
    <t>LCO206a_10</t>
  </si>
  <si>
    <t>LCO206a_11</t>
  </si>
  <si>
    <t>LCO206a_12</t>
  </si>
  <si>
    <t>LCO313_1</t>
  </si>
  <si>
    <t>LCO313_2</t>
  </si>
  <si>
    <t>LCO313_3</t>
  </si>
  <si>
    <t>LCO313_4</t>
  </si>
  <si>
    <t>LCO313_5</t>
  </si>
  <si>
    <t>LCO313_6</t>
  </si>
  <si>
    <t>LCO313_7</t>
  </si>
  <si>
    <t>LCO313_8</t>
  </si>
  <si>
    <t>LCO313_9</t>
  </si>
  <si>
    <t>LCO2a_1</t>
  </si>
  <si>
    <t>LCO2a_2</t>
  </si>
  <si>
    <t>LCO2a_3</t>
  </si>
  <si>
    <t>LCO2a_4</t>
  </si>
  <si>
    <t>LCO2a_5</t>
  </si>
  <si>
    <t>LCO2a_6</t>
  </si>
  <si>
    <t>LCO2a_7</t>
  </si>
  <si>
    <t>LCO2a_8</t>
  </si>
  <si>
    <t>LCO2a_9</t>
  </si>
  <si>
    <t>LCO2a_10</t>
  </si>
  <si>
    <t>LCO2a_11</t>
  </si>
  <si>
    <t>LCO2a_12</t>
  </si>
  <si>
    <t>LCO2a_13</t>
  </si>
  <si>
    <t>LCO2a_14</t>
  </si>
  <si>
    <t>LCO2a_15</t>
  </si>
  <si>
    <t>LCO2a_16</t>
  </si>
  <si>
    <t>LCO2a_17</t>
  </si>
  <si>
    <t>Ultramafic</t>
    <phoneticPr fontId="2" type="noConversion"/>
  </si>
  <si>
    <t>Carbonatite</t>
    <phoneticPr fontId="2" type="noConversion"/>
  </si>
  <si>
    <t>B63C-9</t>
    <phoneticPr fontId="2" type="noConversion"/>
  </si>
  <si>
    <t>GC1993-2</t>
    <phoneticPr fontId="2" type="noConversion"/>
  </si>
  <si>
    <t>B66-19</t>
    <phoneticPr fontId="2" type="noConversion"/>
  </si>
  <si>
    <t>Mafic volcanic</t>
    <phoneticPr fontId="2" type="noConversion"/>
  </si>
  <si>
    <t>ELL-14-02-1</t>
    <phoneticPr fontId="2" type="noConversion"/>
  </si>
  <si>
    <t>ELL-14-02-2</t>
    <phoneticPr fontId="2" type="noConversion"/>
  </si>
  <si>
    <t>ELL-14-02-3</t>
  </si>
  <si>
    <t>ELL-14-02-4</t>
  </si>
  <si>
    <t>ELL-14-02-5</t>
  </si>
  <si>
    <t>ELL-14-02-6</t>
  </si>
  <si>
    <t>ELL-14-02-7</t>
  </si>
  <si>
    <t>ELL-14-02-8</t>
  </si>
  <si>
    <t>ELL-14-02-9</t>
  </si>
  <si>
    <t>ELL-14-02-10</t>
  </si>
  <si>
    <t>ELL-14-02-11</t>
  </si>
  <si>
    <t>ELL-14-02-12</t>
  </si>
  <si>
    <t>ELL-14-02-13</t>
  </si>
  <si>
    <t>ELL-14-02-14</t>
  </si>
  <si>
    <t>ELL-14-02-15</t>
  </si>
  <si>
    <t>LAS-14-07-1</t>
    <phoneticPr fontId="2" type="noConversion"/>
  </si>
  <si>
    <t>LAS-14-07-2</t>
    <phoneticPr fontId="2" type="noConversion"/>
  </si>
  <si>
    <t>LAS-14-07-3</t>
  </si>
  <si>
    <t>LAS-14-07-4</t>
  </si>
  <si>
    <t>LAS-14-07-5</t>
  </si>
  <si>
    <t>LAS-14-07-6</t>
  </si>
  <si>
    <t>LAS-14-07-7</t>
  </si>
  <si>
    <t>LAS-14-07-8</t>
  </si>
  <si>
    <t>Láscar</t>
  </si>
  <si>
    <t>I</t>
  </si>
  <si>
    <t>Intermediate Porphyry</t>
    <phoneticPr fontId="2" type="noConversion"/>
  </si>
  <si>
    <t>Felsic Porphyry</t>
    <phoneticPr fontId="2" type="noConversion"/>
  </si>
  <si>
    <t>S</t>
  </si>
  <si>
    <t>Dolomite</t>
    <phoneticPr fontId="2" type="noConversion"/>
  </si>
  <si>
    <t>Nelsonite</t>
    <phoneticPr fontId="2" type="noConversion"/>
  </si>
  <si>
    <t>Okaite</t>
    <phoneticPr fontId="2" type="noConversion"/>
  </si>
  <si>
    <t>Bayan Obo Eastern Contact Zone</t>
    <phoneticPr fontId="2" type="noConversion"/>
  </si>
  <si>
    <t>Heinaobao</t>
    <phoneticPr fontId="2" type="noConversion"/>
  </si>
  <si>
    <t>Felsic</t>
    <phoneticPr fontId="2" type="noConversion"/>
  </si>
  <si>
    <t>XQ47-6-6</t>
    <phoneticPr fontId="2" type="noConversion"/>
  </si>
  <si>
    <t>XQ47-6-7</t>
    <phoneticPr fontId="2" type="noConversion"/>
  </si>
  <si>
    <t>XQ33-11-6</t>
    <phoneticPr fontId="2" type="noConversion"/>
  </si>
  <si>
    <t>XQ33-11-7</t>
    <phoneticPr fontId="2" type="noConversion"/>
  </si>
  <si>
    <t>XQ47-6-8</t>
    <phoneticPr fontId="2" type="noConversion"/>
  </si>
  <si>
    <t>XQ47-6-9</t>
    <phoneticPr fontId="2" type="noConversion"/>
  </si>
  <si>
    <t>XQ47-6-10</t>
    <phoneticPr fontId="2" type="noConversion"/>
  </si>
  <si>
    <t>XQ47-6-11</t>
    <phoneticPr fontId="2" type="noConversion"/>
  </si>
  <si>
    <t>XQ33-11-8</t>
    <phoneticPr fontId="2" type="noConversion"/>
  </si>
  <si>
    <t>XQ33-11-9</t>
    <phoneticPr fontId="2" type="noConversion"/>
  </si>
  <si>
    <t>XQ33-11-10</t>
    <phoneticPr fontId="2" type="noConversion"/>
  </si>
  <si>
    <t>XQ33-11-11</t>
    <phoneticPr fontId="2" type="noConversion"/>
  </si>
  <si>
    <t>XQ33-11-12</t>
    <phoneticPr fontId="2" type="noConversion"/>
  </si>
  <si>
    <t>XQ33-11-13</t>
    <phoneticPr fontId="2" type="noConversion"/>
  </si>
  <si>
    <t>XQ33-11-14</t>
    <phoneticPr fontId="2" type="noConversion"/>
  </si>
  <si>
    <t>D006-7-6</t>
    <phoneticPr fontId="2" type="noConversion"/>
  </si>
  <si>
    <t>D006-7-7</t>
    <phoneticPr fontId="2" type="noConversion"/>
  </si>
  <si>
    <t>D006-7-8</t>
    <phoneticPr fontId="2" type="noConversion"/>
  </si>
  <si>
    <t>D006-7-9</t>
    <phoneticPr fontId="2" type="noConversion"/>
  </si>
  <si>
    <t>D006-7-10</t>
    <phoneticPr fontId="2" type="noConversion"/>
  </si>
  <si>
    <t>D006-10-4</t>
    <phoneticPr fontId="2" type="noConversion"/>
  </si>
  <si>
    <t>D006-10-5</t>
    <phoneticPr fontId="2" type="noConversion"/>
  </si>
  <si>
    <t>D006-10-6</t>
    <phoneticPr fontId="2" type="noConversion"/>
  </si>
  <si>
    <t>D006-10-8</t>
    <phoneticPr fontId="2" type="noConversion"/>
  </si>
  <si>
    <t>D006-10-9</t>
    <phoneticPr fontId="2" type="noConversion"/>
  </si>
  <si>
    <t>Lala deposit</t>
    <phoneticPr fontId="2" type="noConversion"/>
  </si>
  <si>
    <t>LL24-01</t>
  </si>
  <si>
    <t>LL24-02</t>
  </si>
  <si>
    <t>LL24-03</t>
  </si>
  <si>
    <t>LL24-04</t>
  </si>
  <si>
    <t>LL24-05</t>
  </si>
  <si>
    <t>LL24-06</t>
  </si>
  <si>
    <t>LL24-07</t>
  </si>
  <si>
    <t>LL24-08</t>
  </si>
  <si>
    <t>LL84-01</t>
  </si>
  <si>
    <t>LL84-02</t>
  </si>
  <si>
    <t>LL84-03</t>
  </si>
  <si>
    <t>LL84-04</t>
  </si>
  <si>
    <t>LL84-05</t>
  </si>
  <si>
    <t>LL84-06</t>
  </si>
  <si>
    <t>LL84-07</t>
  </si>
  <si>
    <t>LL84-08</t>
  </si>
  <si>
    <t>LL125-01</t>
  </si>
  <si>
    <t>LL125-02</t>
  </si>
  <si>
    <t>LL125-03</t>
  </si>
  <si>
    <t>LL125-04</t>
  </si>
  <si>
    <t>LL96-01</t>
  </si>
  <si>
    <t>LL96-02</t>
  </si>
  <si>
    <t>LL96-03</t>
  </si>
  <si>
    <t>LL96-04</t>
  </si>
  <si>
    <t>LL59-01</t>
  </si>
  <si>
    <t>LL59-02</t>
  </si>
  <si>
    <t>LL59-03</t>
  </si>
  <si>
    <t>LL59-04</t>
  </si>
  <si>
    <t>LL158-01</t>
  </si>
  <si>
    <t>LL158-02</t>
  </si>
  <si>
    <t>LL158-03</t>
  </si>
  <si>
    <t>LL158-04</t>
  </si>
  <si>
    <t>LL157-01</t>
  </si>
  <si>
    <t>LL157-02</t>
  </si>
  <si>
    <t>LL157-03</t>
  </si>
  <si>
    <t>LL157-04</t>
  </si>
  <si>
    <t>LL128-01</t>
  </si>
  <si>
    <t>LL128-02</t>
  </si>
  <si>
    <t>LL128-03</t>
  </si>
  <si>
    <t>LL128-04</t>
  </si>
  <si>
    <t>LL132-01</t>
  </si>
  <si>
    <t>LL132-02</t>
  </si>
  <si>
    <t>LL132-03</t>
  </si>
  <si>
    <t>LL132-04</t>
  </si>
  <si>
    <t>LL132-05</t>
  </si>
  <si>
    <t>LL132-06</t>
  </si>
  <si>
    <t>LL132-07</t>
  </si>
  <si>
    <t>LL132-08</t>
  </si>
  <si>
    <t>LL49-01</t>
  </si>
  <si>
    <t>LL49-02</t>
  </si>
  <si>
    <t>LL49-03</t>
  </si>
  <si>
    <t>LL49-04</t>
  </si>
  <si>
    <t>LL49-05</t>
  </si>
  <si>
    <t>LL49-06</t>
  </si>
  <si>
    <t>LL49-07</t>
  </si>
  <si>
    <t>LL49-08</t>
  </si>
  <si>
    <t>LL129-01</t>
  </si>
  <si>
    <t>LL129-02</t>
  </si>
  <si>
    <t>LL129-03</t>
  </si>
  <si>
    <t>LL129-04</t>
  </si>
  <si>
    <t>LL76-01</t>
  </si>
  <si>
    <t>LL76-02</t>
  </si>
  <si>
    <t>LL76-03</t>
  </si>
  <si>
    <t>LL76-04</t>
  </si>
  <si>
    <t>LL39-01</t>
  </si>
  <si>
    <t>LL39-02</t>
  </si>
  <si>
    <t>LL39-03</t>
  </si>
  <si>
    <t>LL39-04</t>
  </si>
  <si>
    <t>LL22-01</t>
  </si>
  <si>
    <t>LL22-02</t>
  </si>
  <si>
    <t>LL22-03</t>
  </si>
  <si>
    <t>LL22-04</t>
  </si>
  <si>
    <t>LL160-01</t>
  </si>
  <si>
    <t>LL160-02</t>
  </si>
  <si>
    <t>LL160-03</t>
  </si>
  <si>
    <t>LL160-04</t>
  </si>
  <si>
    <t>LL146-01</t>
  </si>
  <si>
    <t>LL146-02</t>
  </si>
  <si>
    <t>LL146-03</t>
  </si>
  <si>
    <t>LL146-04</t>
  </si>
  <si>
    <t>GS36-01</t>
  </si>
  <si>
    <t>GS36-02</t>
  </si>
  <si>
    <t>GS36-03</t>
  </si>
  <si>
    <t>GS36-04</t>
  </si>
  <si>
    <t>GS36-05</t>
  </si>
  <si>
    <t>GS36-06</t>
  </si>
  <si>
    <t>GS36-07</t>
  </si>
  <si>
    <t>GS36-08</t>
  </si>
  <si>
    <t>GS36-09</t>
  </si>
  <si>
    <t>GS36-10</t>
  </si>
  <si>
    <t>DHS36-01</t>
  </si>
  <si>
    <t>DHS36-02</t>
  </si>
  <si>
    <t>DHS36-03</t>
  </si>
  <si>
    <t>DHS36-04</t>
  </si>
  <si>
    <t>DHS36-05</t>
  </si>
  <si>
    <t>DHS36-06</t>
  </si>
  <si>
    <t>DHS36-07</t>
  </si>
  <si>
    <t>DHS36-08</t>
  </si>
  <si>
    <t>DHS36-09</t>
  </si>
  <si>
    <t>DHS36-10</t>
  </si>
  <si>
    <t>DHS36-11</t>
  </si>
  <si>
    <t>DHS36-12</t>
  </si>
  <si>
    <t>DHS36-13</t>
  </si>
  <si>
    <t>DHS36-14</t>
  </si>
  <si>
    <t>DHS36-15</t>
  </si>
  <si>
    <t>DHS36-16</t>
  </si>
  <si>
    <t>DHS36-17</t>
  </si>
  <si>
    <t>DHS36-18</t>
  </si>
  <si>
    <t>DHS36-19</t>
  </si>
  <si>
    <t>DHS36-20</t>
  </si>
  <si>
    <t>DHS36-21</t>
  </si>
  <si>
    <t>DHS36-22</t>
  </si>
  <si>
    <t>DHS36-23</t>
  </si>
  <si>
    <t>DHS36-24</t>
  </si>
  <si>
    <t>DHS57-01</t>
  </si>
  <si>
    <t>DHS57-02</t>
  </si>
  <si>
    <t>DHS57-03</t>
  </si>
  <si>
    <t>DHS57-04</t>
  </si>
  <si>
    <t>DHS57-05</t>
  </si>
  <si>
    <t>DHS57-06</t>
  </si>
  <si>
    <t>DHS57-07</t>
  </si>
  <si>
    <t>DHS57-08</t>
  </si>
  <si>
    <t>DHS57-09</t>
  </si>
  <si>
    <t>DHS57-10</t>
  </si>
  <si>
    <t>DHS57-11</t>
  </si>
  <si>
    <t>DHS57-13</t>
  </si>
  <si>
    <t>DHS57-14</t>
  </si>
  <si>
    <t>DHS57-15</t>
  </si>
  <si>
    <t>DHS57-16</t>
  </si>
  <si>
    <t>DHS57-17</t>
  </si>
  <si>
    <t>DHS57-18</t>
  </si>
  <si>
    <t>DHS57-19</t>
  </si>
  <si>
    <t>DHS57-20</t>
  </si>
  <si>
    <t>DHS57-21</t>
  </si>
  <si>
    <t>DHS57-22</t>
  </si>
  <si>
    <t>DHS57-23</t>
  </si>
  <si>
    <t>DHS57-24</t>
  </si>
  <si>
    <t>DHS40-02</t>
  </si>
  <si>
    <t>DHS40-03</t>
  </si>
  <si>
    <t>DHS40-04</t>
  </si>
  <si>
    <t>DHS40-05</t>
  </si>
  <si>
    <t>DHS40-06</t>
  </si>
  <si>
    <t>DHS40-07</t>
  </si>
  <si>
    <t>DHS40-08</t>
  </si>
  <si>
    <t>DHS40-09</t>
  </si>
  <si>
    <t>DHS40-10</t>
  </si>
  <si>
    <t>DHS40-11</t>
  </si>
  <si>
    <t>DHS40-12</t>
  </si>
  <si>
    <t>DHS40-13</t>
  </si>
  <si>
    <t>DHS40-14</t>
  </si>
  <si>
    <t>DHS40-15</t>
  </si>
  <si>
    <t>DHS40-16</t>
  </si>
  <si>
    <t>DHS40-17</t>
  </si>
  <si>
    <t>DHS40-18</t>
  </si>
  <si>
    <t>DHS40-20</t>
  </si>
  <si>
    <t>DHS40-21</t>
  </si>
  <si>
    <t>DHS40-22</t>
  </si>
  <si>
    <t>DHS40-23</t>
  </si>
  <si>
    <t>DHS40-24</t>
  </si>
  <si>
    <t>Dahongshan deposit</t>
    <phoneticPr fontId="2" type="noConversion"/>
  </si>
  <si>
    <t>Mafic intrusive</t>
    <phoneticPr fontId="2" type="noConversion"/>
  </si>
  <si>
    <t>Mafic</t>
    <phoneticPr fontId="2" type="noConversion"/>
  </si>
  <si>
    <t>Sedimentary-hydrothermal</t>
    <phoneticPr fontId="2" type="noConversion"/>
  </si>
  <si>
    <t>Jinshandian deposit</t>
    <phoneticPr fontId="2" type="noConversion"/>
  </si>
  <si>
    <t>JS80-1</t>
  </si>
  <si>
    <t>JS80-2</t>
  </si>
  <si>
    <t>JS80-3</t>
  </si>
  <si>
    <t>JS80-4</t>
  </si>
  <si>
    <t>JS80-5</t>
  </si>
  <si>
    <t>JS80-6</t>
  </si>
  <si>
    <t>JS80-7</t>
  </si>
  <si>
    <t>JS80-8</t>
  </si>
  <si>
    <t>JS80-9</t>
  </si>
  <si>
    <t>Zhu 2025 JAES</t>
  </si>
  <si>
    <t>Zhu 2025 JAES</t>
    <phoneticPr fontId="2" type="noConversion"/>
  </si>
  <si>
    <t>JS190-1_1</t>
  </si>
  <si>
    <t>JS190-1_2</t>
  </si>
  <si>
    <t>JS190-1_3</t>
  </si>
  <si>
    <t>JS190-2_1</t>
  </si>
  <si>
    <t>JS190-2_2</t>
  </si>
  <si>
    <t>JS190-2_3</t>
  </si>
  <si>
    <t>JS42-1_2Core</t>
  </si>
  <si>
    <t>JS42-1_3Core</t>
  </si>
  <si>
    <t>JS42-1_6Core</t>
  </si>
  <si>
    <t>JS42-1_7Core</t>
  </si>
  <si>
    <t>JS42-1_22Core</t>
  </si>
  <si>
    <t>JS42-1_24Core</t>
  </si>
  <si>
    <t>JS42-2_11Rim</t>
  </si>
  <si>
    <t>JS42-2_14Rim</t>
  </si>
  <si>
    <t>JS42-2_15Rim</t>
  </si>
  <si>
    <t>JS42-2_18Rim</t>
  </si>
  <si>
    <t>JS42-2_1Rim</t>
  </si>
  <si>
    <t>JS42-2_3Rim</t>
  </si>
  <si>
    <t>JS650-1_1</t>
  </si>
  <si>
    <t>JS650-1_2</t>
  </si>
  <si>
    <t>JS650-1_3</t>
  </si>
  <si>
    <t>JS650-1_4</t>
  </si>
  <si>
    <t>JS650-1_5</t>
  </si>
  <si>
    <t>JS650-1_6</t>
  </si>
  <si>
    <t>JS650-1_7</t>
  </si>
  <si>
    <t>JS650-1_8</t>
  </si>
  <si>
    <t>JS650-1_9</t>
  </si>
  <si>
    <t>JS650-1_11</t>
  </si>
  <si>
    <t>JS650-1_12</t>
  </si>
  <si>
    <t>JS650-1_13</t>
  </si>
  <si>
    <t>JS650-1_14</t>
  </si>
  <si>
    <t>JS650-1_15</t>
  </si>
  <si>
    <t>JS650-1_16</t>
  </si>
  <si>
    <t>JS659-1_1</t>
  </si>
  <si>
    <t>JS659-1_2</t>
  </si>
  <si>
    <t>JS659-1_3</t>
  </si>
  <si>
    <t>JS659-1_4</t>
  </si>
  <si>
    <t>JS659-1_6</t>
  </si>
  <si>
    <t>JS659-1_7</t>
  </si>
  <si>
    <t>JS659-1_8</t>
  </si>
  <si>
    <t>JS659-1_9</t>
  </si>
  <si>
    <t>JS659-1_10</t>
  </si>
  <si>
    <t>JS515-1-3_4</t>
  </si>
  <si>
    <t>JS515-1-4_3</t>
  </si>
  <si>
    <t>JS515-1-4_4</t>
  </si>
  <si>
    <t>JS515-1-4_5</t>
  </si>
  <si>
    <t>JS515-1-4_6</t>
  </si>
  <si>
    <t>JS527-1_3</t>
  </si>
  <si>
    <t>JS527-1_4</t>
  </si>
  <si>
    <t>JS527-2-3_4</t>
  </si>
  <si>
    <t>JS527-1-3_3</t>
  </si>
  <si>
    <t>JS527-1-3_4</t>
  </si>
  <si>
    <t>JS527-1-2_1</t>
  </si>
  <si>
    <t>JS527-1-2_2</t>
  </si>
  <si>
    <t>JS527-1-2_4</t>
  </si>
  <si>
    <t>JS527-1-2_5</t>
  </si>
  <si>
    <t>JS527-1-2_6</t>
  </si>
  <si>
    <t>JS527-1-2_7</t>
  </si>
  <si>
    <t>JS527-1-4_1</t>
  </si>
  <si>
    <t>JS527-1-4_3</t>
  </si>
  <si>
    <t>JS527-1-4_5</t>
  </si>
  <si>
    <t>JS530-1_1</t>
  </si>
  <si>
    <t>JS530-1_2</t>
  </si>
  <si>
    <t>JS530-1_3</t>
  </si>
  <si>
    <t>JS530-1_4</t>
  </si>
  <si>
    <t>JS530-2_1</t>
  </si>
  <si>
    <t>JS530-2_2</t>
  </si>
  <si>
    <t>JS530-2_3</t>
  </si>
  <si>
    <t>Weng 2025 JAES</t>
  </si>
  <si>
    <t>Weng 2025 JAES</t>
    <phoneticPr fontId="2" type="noConversion"/>
  </si>
  <si>
    <t>Makeng deposit</t>
    <phoneticPr fontId="2" type="noConversion"/>
  </si>
  <si>
    <t>Mag-MKSYS-4-17</t>
  </si>
  <si>
    <t>Mag-MKSYS-14-1</t>
  </si>
  <si>
    <t>Mag-MKSYS-14-2</t>
  </si>
  <si>
    <t>Mag-MKSYS-11-12</t>
  </si>
  <si>
    <t>Mag-MKSYS-11-13</t>
  </si>
  <si>
    <t>Mag-MKSYS-11-15</t>
  </si>
  <si>
    <t>Mag-MKSYS-19-4-1</t>
  </si>
  <si>
    <t>Mag-MKSYS-19-4-2</t>
  </si>
  <si>
    <t>Mag-MKSYS-12-3-19</t>
  </si>
  <si>
    <t>Mag-MKSYS-12-3-21</t>
  </si>
  <si>
    <t>Mag-MKSYS-12-3-22</t>
  </si>
  <si>
    <t>Mag-MKSYS-12-4-3</t>
  </si>
  <si>
    <t>Mag-MKSYS-12-4-6</t>
  </si>
  <si>
    <t>Mag-MKSYS-8-1-4</t>
  </si>
  <si>
    <t>Mag-MKSYS-8-1-5</t>
  </si>
  <si>
    <t>Mag-MKSYS-8-3-7</t>
  </si>
  <si>
    <t>Mag-MKSYS-8-3-8</t>
  </si>
  <si>
    <t>Mag-MKSYS-8-3-9</t>
  </si>
  <si>
    <t>Mag-MK22-7-3-13</t>
  </si>
  <si>
    <t>Mag-MK22-7-3-14</t>
  </si>
  <si>
    <t>Mag-MK22-7-3-15</t>
  </si>
  <si>
    <t>Mag-MK22-7-6-16</t>
  </si>
  <si>
    <t>Mag-MK22-7-6-17</t>
  </si>
  <si>
    <t>Mag-MK22-7-618</t>
  </si>
  <si>
    <t>Mag-MK22-15-4-1</t>
  </si>
  <si>
    <t>Mag-MK22-15-4-2</t>
  </si>
  <si>
    <t>Mag-MK22-15-3-2</t>
  </si>
  <si>
    <t>Mag-MK22-15-3-5</t>
  </si>
  <si>
    <t>Mag-MK22-15-4-3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</si>
</sst>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8">
    <font>
      <sz val="9"/>
      <color theme="1"/>
      <name val="Times New Roman"/>
      <family val="2"/>
      <charset val="134"/>
    </font>
    <font>
      <sz val="9"/>
      <color theme="1"/>
      <name val="Times New Roman"/>
      <family val="1"/>
    </font>
    <font>
      <sz val="9"/>
      <name val="Times New Roman"/>
      <family val="2"/>
      <charset val="134"/>
    </font>
    <font>
      <sz val="9"/>
      <name val="Times New Roman"/>
      <family val="1"/>
    </font>
    <font>
      <sz val="9"/>
      <name val="宋体"/>
      <family val="3"/>
      <charset val="134"/>
    </font>
    <font>
      <sz val="9"/>
      <color indexed="8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/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/>
    <xf numFmtId="0" fontId="3" fillId="2" borderId="0" xfId="0" applyFont="1" applyFill="1" applyAlignment="1"/>
    <xf numFmtId="0" fontId="3" fillId="0" borderId="0" xfId="0" applyFont="1">
      <alignment vertical="center"/>
    </xf>
    <xf numFmtId="0" fontId="3" fillId="0" borderId="0" xfId="0" applyFont="1" applyAlignment="1"/>
    <xf numFmtId="176" fontId="3" fillId="0" borderId="0" xfId="0" applyNumberFormat="1" applyFont="1" applyAlignment="1"/>
    <xf numFmtId="0" fontId="5" fillId="0" borderId="0" xfId="0" applyFont="1" applyAlignment="1"/>
    <xf numFmtId="0" fontId="1" fillId="0" borderId="0" xfId="0" applyFont="1" applyAlignment="1">
      <alignment vertical="center" wrapText="1"/>
    </xf>
    <xf numFmtId="177" fontId="3" fillId="0" borderId="0" xfId="0" applyNumberFormat="1" applyFont="1">
      <alignment vertical="center"/>
    </xf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/>
  </cellXfs>
  <cellStyles count="2">
    <cellStyle name="常规" xfId="0" builtinId="0"/>
    <cellStyle name="常规 2" xfId="1" xr:uid="{CA198B02-BF83-458E-98FB-C6978C5C0C13}"/>
  </cellStyles>
  <dxfs count="1">
    <dxf>
      <font>
        <b val="0"/>
        <i val="0"/>
        <strike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575B-CFC3-4229-97AD-CB4DDF4B76FA}">
  <dimension ref="A1:P5679"/>
  <sheetViews>
    <sheetView tabSelected="1" workbookViewId="0">
      <selection activeCell="Y15" sqref="Y15"/>
    </sheetView>
  </sheetViews>
  <sheetFormatPr defaultRowHeight="11.65"/>
  <cols>
    <col min="2" max="2" width="18.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6552.5</v>
      </c>
      <c r="G2">
        <v>280.03714285714284</v>
      </c>
      <c r="H2">
        <v>52.274999999999999</v>
      </c>
      <c r="I2">
        <v>1332.25</v>
      </c>
      <c r="J2">
        <v>2.3650000000000002</v>
      </c>
      <c r="K2">
        <v>550.3271428571428</v>
      </c>
      <c r="L2">
        <v>124.625</v>
      </c>
      <c r="M2">
        <v>373.75</v>
      </c>
      <c r="N2">
        <v>61.774999999999999</v>
      </c>
      <c r="O2">
        <v>1.7540000000000002</v>
      </c>
      <c r="P2">
        <v>7.7450000000000001</v>
      </c>
    </row>
    <row r="3" spans="1:16">
      <c r="A3" s="1" t="s">
        <v>16</v>
      </c>
      <c r="B3" s="1" t="s">
        <v>21</v>
      </c>
      <c r="C3" s="1" t="s">
        <v>18</v>
      </c>
      <c r="D3" s="1" t="s">
        <v>19</v>
      </c>
      <c r="E3" s="1" t="s">
        <v>20</v>
      </c>
      <c r="F3">
        <v>5735.7142857142853</v>
      </c>
      <c r="G3">
        <v>649.28571428571433</v>
      </c>
      <c r="H3">
        <v>162.37142857142857</v>
      </c>
      <c r="I3">
        <v>2362.7142857142858</v>
      </c>
      <c r="J3">
        <v>2.5142857142857147</v>
      </c>
      <c r="K3">
        <v>527.17142857142858</v>
      </c>
      <c r="L3">
        <v>104.32857142857144</v>
      </c>
      <c r="M3">
        <v>408.52857142857141</v>
      </c>
      <c r="N3">
        <v>43.971428571428568</v>
      </c>
      <c r="O3">
        <v>10.220000000000001</v>
      </c>
      <c r="P3">
        <v>5.8771428571428572</v>
      </c>
    </row>
    <row r="4" spans="1:16">
      <c r="A4" s="1" t="s">
        <v>16</v>
      </c>
      <c r="B4" s="1" t="s">
        <v>22</v>
      </c>
      <c r="C4" s="1" t="s">
        <v>18</v>
      </c>
      <c r="D4" s="1" t="s">
        <v>19</v>
      </c>
      <c r="E4" s="1" t="s">
        <v>20</v>
      </c>
      <c r="F4">
        <v>4650.818181818182</v>
      </c>
      <c r="G4">
        <v>759.36454545454546</v>
      </c>
      <c r="H4">
        <v>332.2285714285714</v>
      </c>
      <c r="I4">
        <v>1433.1428571428571</v>
      </c>
      <c r="J4">
        <v>1.59</v>
      </c>
      <c r="K4">
        <v>404.71909090909088</v>
      </c>
      <c r="L4">
        <v>78.914285714285711</v>
      </c>
      <c r="M4">
        <v>350.62857142857138</v>
      </c>
      <c r="N4">
        <v>37.642857142857146</v>
      </c>
      <c r="O4">
        <v>13.804285714285713</v>
      </c>
      <c r="P4">
        <v>8.1528571428571421</v>
      </c>
    </row>
    <row r="5" spans="1:16">
      <c r="A5" s="1" t="s">
        <v>16</v>
      </c>
      <c r="B5" s="1" t="s">
        <v>23</v>
      </c>
      <c r="C5" s="1" t="s">
        <v>18</v>
      </c>
      <c r="D5" s="1" t="s">
        <v>19</v>
      </c>
      <c r="E5" s="1" t="s">
        <v>20</v>
      </c>
      <c r="F5">
        <v>7712.5090909090914</v>
      </c>
      <c r="G5">
        <v>1088.0063636363639</v>
      </c>
      <c r="H5">
        <v>393.5</v>
      </c>
      <c r="I5">
        <v>1603.5</v>
      </c>
      <c r="J5">
        <v>2.2066666666666666</v>
      </c>
      <c r="K5">
        <v>419.25454545454545</v>
      </c>
      <c r="L5">
        <v>104.33333333333333</v>
      </c>
      <c r="M5">
        <v>388.58333333333331</v>
      </c>
      <c r="N5">
        <v>41.666666666666671</v>
      </c>
      <c r="O5">
        <v>9.8166666666666682</v>
      </c>
      <c r="P5">
        <v>7.713333333333332</v>
      </c>
    </row>
    <row r="6" spans="1:16">
      <c r="A6" s="1" t="s">
        <v>16</v>
      </c>
      <c r="B6" s="1" t="s">
        <v>24</v>
      </c>
      <c r="C6" s="1" t="s">
        <v>18</v>
      </c>
      <c r="D6" s="1" t="s">
        <v>19</v>
      </c>
      <c r="E6" s="1" t="s">
        <v>20</v>
      </c>
      <c r="F6">
        <v>5840.909090909091</v>
      </c>
      <c r="G6">
        <v>305.76181818181817</v>
      </c>
      <c r="H6">
        <v>30.9</v>
      </c>
      <c r="I6">
        <v>2176.1428571428573</v>
      </c>
      <c r="J6">
        <v>2.0057142857142858</v>
      </c>
      <c r="K6">
        <v>323.97181818181821</v>
      </c>
      <c r="L6">
        <v>95.514285714285705</v>
      </c>
      <c r="M6">
        <v>365</v>
      </c>
      <c r="N6">
        <v>23.757142857142856</v>
      </c>
      <c r="O6">
        <v>6.34</v>
      </c>
      <c r="P6">
        <v>4.4742857142857142</v>
      </c>
    </row>
    <row r="7" spans="1:16">
      <c r="A7" s="1" t="s">
        <v>16</v>
      </c>
      <c r="B7" s="1" t="s">
        <v>25</v>
      </c>
      <c r="C7" s="1" t="s">
        <v>18</v>
      </c>
      <c r="D7" s="1" t="s">
        <v>19</v>
      </c>
      <c r="E7" s="1" t="s">
        <v>20</v>
      </c>
      <c r="F7">
        <v>6691.58</v>
      </c>
      <c r="G7">
        <v>261.19799999999998</v>
      </c>
      <c r="H7">
        <v>35.07</v>
      </c>
      <c r="I7">
        <v>851.34</v>
      </c>
      <c r="J7">
        <v>5.2626000000000008</v>
      </c>
      <c r="K7">
        <v>360.31799999999998</v>
      </c>
      <c r="L7">
        <v>115.38800000000001</v>
      </c>
      <c r="M7">
        <v>305.64800000000002</v>
      </c>
      <c r="N7">
        <v>29.635199999999998</v>
      </c>
      <c r="O7">
        <v>1.2075</v>
      </c>
      <c r="P7">
        <v>6.1712000000000007</v>
      </c>
    </row>
    <row r="8" spans="1:16">
      <c r="A8" s="1" t="s">
        <v>16</v>
      </c>
      <c r="B8" s="1" t="s">
        <v>26</v>
      </c>
      <c r="C8" s="1" t="s">
        <v>18</v>
      </c>
      <c r="D8" s="1" t="s">
        <v>19</v>
      </c>
      <c r="E8" s="1" t="s">
        <v>20</v>
      </c>
      <c r="F8">
        <v>9147.7000000000007</v>
      </c>
      <c r="G8">
        <v>1043.97</v>
      </c>
      <c r="H8">
        <v>287.47000000000003</v>
      </c>
      <c r="I8">
        <v>1715.13</v>
      </c>
      <c r="J8">
        <v>6.4770000000000003</v>
      </c>
      <c r="K8">
        <v>372.64</v>
      </c>
      <c r="L8">
        <v>110.381</v>
      </c>
      <c r="M8">
        <v>336.94</v>
      </c>
      <c r="N8">
        <v>24.582000000000001</v>
      </c>
      <c r="O8">
        <v>10.392099999999999</v>
      </c>
      <c r="P8">
        <v>7.9458000000000002</v>
      </c>
    </row>
    <row r="9" spans="1:16">
      <c r="A9" s="1" t="s">
        <v>16</v>
      </c>
      <c r="B9" s="1" t="s">
        <v>27</v>
      </c>
      <c r="C9" s="1" t="s">
        <v>18</v>
      </c>
      <c r="D9" s="1" t="s">
        <v>19</v>
      </c>
      <c r="E9" s="1" t="s">
        <v>20</v>
      </c>
      <c r="F9">
        <v>5292.34</v>
      </c>
      <c r="G9">
        <v>983.52750000000003</v>
      </c>
      <c r="H9">
        <v>212.94675000000001</v>
      </c>
      <c r="I9">
        <v>633.67499999999995</v>
      </c>
      <c r="J9">
        <v>2.0766789999999999</v>
      </c>
      <c r="K9">
        <v>889.27499999999998</v>
      </c>
      <c r="L9">
        <v>134.82900000000001</v>
      </c>
      <c r="M9">
        <v>129.16675000000001</v>
      </c>
      <c r="N9">
        <v>141.98224999999999</v>
      </c>
      <c r="O9">
        <v>17.185550000000003</v>
      </c>
      <c r="P9">
        <v>5.3995500000000005</v>
      </c>
    </row>
    <row r="10" spans="1:16">
      <c r="A10" s="1" t="s">
        <v>16</v>
      </c>
      <c r="B10" s="1" t="s">
        <v>28</v>
      </c>
      <c r="C10" s="1" t="s">
        <v>18</v>
      </c>
      <c r="D10" s="1" t="s">
        <v>19</v>
      </c>
      <c r="E10" s="1" t="s">
        <v>20</v>
      </c>
      <c r="F10">
        <v>6732.5749999999998</v>
      </c>
      <c r="G10">
        <v>680.53499999999997</v>
      </c>
      <c r="H10">
        <v>130.48025000000001</v>
      </c>
      <c r="I10">
        <v>1393.5525</v>
      </c>
      <c r="J10">
        <v>1.9511864999999999</v>
      </c>
      <c r="K10">
        <v>331.25049999999999</v>
      </c>
      <c r="L10">
        <v>124.92449999999999</v>
      </c>
      <c r="M10">
        <v>348.64549999999997</v>
      </c>
      <c r="N10">
        <v>33.582999999999998</v>
      </c>
      <c r="O10">
        <v>2.7512500000000002</v>
      </c>
      <c r="P10">
        <v>6.9047499999999999</v>
      </c>
    </row>
    <row r="11" spans="1:16">
      <c r="A11" s="1" t="s">
        <v>16</v>
      </c>
      <c r="B11" s="1" t="s">
        <v>29</v>
      </c>
      <c r="C11" s="1" t="s">
        <v>18</v>
      </c>
      <c r="D11" s="1" t="s">
        <v>19</v>
      </c>
      <c r="E11" s="1" t="s">
        <v>20</v>
      </c>
      <c r="F11">
        <v>5687.1</v>
      </c>
      <c r="G11">
        <v>155.29474999999996</v>
      </c>
      <c r="H11">
        <v>12.3256</v>
      </c>
      <c r="I11">
        <v>49.078749999999999</v>
      </c>
      <c r="J11">
        <v>1.8822454999999998</v>
      </c>
      <c r="K11">
        <v>852.17750000000001</v>
      </c>
      <c r="L11">
        <v>182.66525000000001</v>
      </c>
      <c r="M11">
        <v>61.361749999999994</v>
      </c>
      <c r="N11">
        <v>103.23400000000001</v>
      </c>
      <c r="O11">
        <v>0.29571500000000001</v>
      </c>
      <c r="P11">
        <v>9.9470999999999989</v>
      </c>
    </row>
    <row r="12" spans="1:16">
      <c r="A12" s="1" t="s">
        <v>16</v>
      </c>
      <c r="B12" s="1" t="s">
        <v>30</v>
      </c>
      <c r="C12" s="1" t="s">
        <v>18</v>
      </c>
      <c r="D12" s="1" t="s">
        <v>19</v>
      </c>
      <c r="E12" s="1" t="s">
        <v>20</v>
      </c>
      <c r="F12">
        <v>6717.6142857142859</v>
      </c>
      <c r="G12">
        <v>240.79142857142855</v>
      </c>
      <c r="H12">
        <v>28.095714285714287</v>
      </c>
      <c r="I12">
        <v>1057.5957142857144</v>
      </c>
      <c r="J12">
        <v>1.4967408571428569</v>
      </c>
      <c r="K12">
        <v>384.82</v>
      </c>
      <c r="L12">
        <v>124.66585714285713</v>
      </c>
      <c r="M12">
        <v>263.46071428571429</v>
      </c>
      <c r="N12">
        <v>46.231142857142849</v>
      </c>
      <c r="O12">
        <v>0.50896857142857144</v>
      </c>
      <c r="P12">
        <v>78.678142857142873</v>
      </c>
    </row>
    <row r="13" spans="1:16">
      <c r="A13" s="1" t="s">
        <v>16</v>
      </c>
      <c r="B13" s="1" t="s">
        <v>31</v>
      </c>
      <c r="C13" s="1" t="s">
        <v>18</v>
      </c>
      <c r="D13" s="1" t="s">
        <v>19</v>
      </c>
      <c r="E13" s="1" t="s">
        <v>20</v>
      </c>
      <c r="F13">
        <v>10432.266666666665</v>
      </c>
      <c r="G13">
        <v>842.63983333333317</v>
      </c>
      <c r="H13">
        <v>101.30516666666666</v>
      </c>
      <c r="I13">
        <v>1006.6616666666667</v>
      </c>
      <c r="J13">
        <v>1.8432901666666666</v>
      </c>
      <c r="K13">
        <v>386.76066666666662</v>
      </c>
      <c r="L13">
        <v>123.185</v>
      </c>
      <c r="M13">
        <v>314.28149999999999</v>
      </c>
      <c r="N13">
        <v>43.534833333333331</v>
      </c>
      <c r="O13">
        <v>3.0340666666666665</v>
      </c>
      <c r="P13">
        <v>15.688633333333334</v>
      </c>
    </row>
    <row r="14" spans="1:16">
      <c r="A14" s="1" t="s">
        <v>16</v>
      </c>
      <c r="B14" s="1" t="s">
        <v>32</v>
      </c>
      <c r="C14" s="1" t="s">
        <v>18</v>
      </c>
      <c r="D14" s="1" t="s">
        <v>19</v>
      </c>
      <c r="E14" s="1" t="s">
        <v>20</v>
      </c>
      <c r="F14">
        <v>7242.71</v>
      </c>
      <c r="G14">
        <v>1022.7313333333335</v>
      </c>
      <c r="H14">
        <v>142.89578333333336</v>
      </c>
      <c r="I14">
        <v>870.40083333333348</v>
      </c>
      <c r="J14">
        <v>2.6443949999999998</v>
      </c>
      <c r="K14">
        <v>257.13833333333332</v>
      </c>
      <c r="L14">
        <v>123.753</v>
      </c>
      <c r="M14">
        <v>293.3483333333333</v>
      </c>
      <c r="N14">
        <v>29.468549999999997</v>
      </c>
      <c r="O14">
        <v>3.3677666666666668</v>
      </c>
      <c r="P14">
        <v>10.23465</v>
      </c>
    </row>
    <row r="15" spans="1:16">
      <c r="A15" s="1" t="s">
        <v>16</v>
      </c>
      <c r="B15" s="1" t="s">
        <v>33</v>
      </c>
      <c r="C15" s="1" t="s">
        <v>18</v>
      </c>
      <c r="D15" s="1" t="s">
        <v>19</v>
      </c>
      <c r="E15" s="1" t="s">
        <v>20</v>
      </c>
      <c r="F15">
        <v>7547.876666666667</v>
      </c>
      <c r="G15">
        <v>3400.6453333333338</v>
      </c>
      <c r="H15">
        <v>1542.8506666666665</v>
      </c>
      <c r="I15">
        <v>546.18413333333331</v>
      </c>
      <c r="J15">
        <v>77.0488</v>
      </c>
      <c r="K15">
        <v>424.84633333333335</v>
      </c>
      <c r="L15">
        <v>124.75906666666667</v>
      </c>
      <c r="M15">
        <v>328.51189999999997</v>
      </c>
      <c r="N15">
        <v>35.5015</v>
      </c>
      <c r="O15">
        <v>2.8705833333333328</v>
      </c>
      <c r="P15">
        <v>6.2754466666666664</v>
      </c>
    </row>
    <row r="16" spans="1:16">
      <c r="A16" s="1" t="s">
        <v>16</v>
      </c>
      <c r="B16" s="1" t="s">
        <v>34</v>
      </c>
      <c r="C16" s="1" t="s">
        <v>18</v>
      </c>
      <c r="D16" s="1" t="s">
        <v>19</v>
      </c>
      <c r="E16" s="1" t="s">
        <v>20</v>
      </c>
      <c r="F16">
        <v>7515.07</v>
      </c>
      <c r="G16">
        <v>6000.1049999999996</v>
      </c>
      <c r="H16">
        <v>643.245</v>
      </c>
      <c r="I16">
        <v>697.02449999999999</v>
      </c>
      <c r="J16">
        <v>9.5608000000000004</v>
      </c>
      <c r="K16">
        <v>423.20600000000002</v>
      </c>
      <c r="L16">
        <v>124.1498</v>
      </c>
      <c r="M16">
        <v>302.81725</v>
      </c>
      <c r="N16">
        <v>40.211599999999997</v>
      </c>
      <c r="O16">
        <v>4.5694999999999997</v>
      </c>
      <c r="P16">
        <v>7.0159399999999996</v>
      </c>
    </row>
    <row r="17" spans="1:16">
      <c r="A17" s="1" t="s">
        <v>16</v>
      </c>
      <c r="B17" s="1" t="s">
        <v>35</v>
      </c>
      <c r="C17" s="1" t="s">
        <v>18</v>
      </c>
      <c r="D17" s="1" t="s">
        <v>19</v>
      </c>
      <c r="E17" s="1" t="s">
        <v>20</v>
      </c>
      <c r="F17">
        <v>7399.0749999999998</v>
      </c>
      <c r="G17">
        <v>3805.3389999999999</v>
      </c>
      <c r="H17">
        <v>553.96399999999994</v>
      </c>
      <c r="I17">
        <v>707.56950000000006</v>
      </c>
      <c r="J17">
        <v>4.7628249999999994</v>
      </c>
      <c r="K17">
        <v>439.375</v>
      </c>
      <c r="L17">
        <v>121.16204999999999</v>
      </c>
      <c r="M17">
        <v>304.15294999999998</v>
      </c>
      <c r="N17">
        <v>47.874299999999998</v>
      </c>
      <c r="O17">
        <v>4.7206449999999993</v>
      </c>
      <c r="P17">
        <v>7.2233249999999991</v>
      </c>
    </row>
    <row r="18" spans="1:16">
      <c r="A18" s="1" t="s">
        <v>16</v>
      </c>
      <c r="B18" s="1" t="s">
        <v>36</v>
      </c>
      <c r="C18" s="1" t="s">
        <v>18</v>
      </c>
      <c r="D18" s="1" t="s">
        <v>19</v>
      </c>
      <c r="E18" s="1" t="s">
        <v>20</v>
      </c>
      <c r="F18">
        <v>5581.82</v>
      </c>
      <c r="G18">
        <v>3971.95</v>
      </c>
      <c r="H18">
        <v>553.26099999999997</v>
      </c>
      <c r="I18">
        <v>734.63499999999999</v>
      </c>
      <c r="J18">
        <v>10.404399999999999</v>
      </c>
      <c r="K18">
        <v>440.07799999999997</v>
      </c>
      <c r="L18">
        <v>122.32199999999999</v>
      </c>
      <c r="M18">
        <v>301.30579999999998</v>
      </c>
      <c r="N18">
        <v>43.656299999999995</v>
      </c>
      <c r="O18">
        <v>5.3990399999999994</v>
      </c>
      <c r="P18">
        <v>5.9051999999999998</v>
      </c>
    </row>
    <row r="19" spans="1:16">
      <c r="A19" s="1" t="s">
        <v>16</v>
      </c>
      <c r="B19" s="1" t="s">
        <v>37</v>
      </c>
      <c r="C19" s="1" t="s">
        <v>38</v>
      </c>
      <c r="D19" s="1" t="s">
        <v>5503</v>
      </c>
      <c r="E19" s="1" t="s">
        <v>20</v>
      </c>
      <c r="F19">
        <v>11020</v>
      </c>
      <c r="G19">
        <v>13567</v>
      </c>
      <c r="H19">
        <v>63980</v>
      </c>
      <c r="I19">
        <v>3349</v>
      </c>
      <c r="J19">
        <v>506.5</v>
      </c>
      <c r="K19">
        <v>3251.2</v>
      </c>
      <c r="L19">
        <v>200.88</v>
      </c>
      <c r="M19">
        <v>147.69999999999999</v>
      </c>
      <c r="N19">
        <v>871.1</v>
      </c>
      <c r="O19">
        <v>49.53</v>
      </c>
      <c r="P19">
        <v>6.0620000000000003</v>
      </c>
    </row>
    <row r="20" spans="1:16">
      <c r="A20" s="1" t="s">
        <v>16</v>
      </c>
      <c r="B20" s="1" t="s">
        <v>39</v>
      </c>
      <c r="C20" s="1" t="s">
        <v>38</v>
      </c>
      <c r="D20" s="1" t="s">
        <v>5503</v>
      </c>
      <c r="E20" s="1" t="s">
        <v>20</v>
      </c>
      <c r="F20">
        <v>18618</v>
      </c>
      <c r="G20">
        <v>17170.8</v>
      </c>
      <c r="H20">
        <v>54120</v>
      </c>
      <c r="I20">
        <v>3146.4</v>
      </c>
      <c r="J20">
        <v>788.76</v>
      </c>
      <c r="K20">
        <v>2739</v>
      </c>
      <c r="L20">
        <v>240.88800000000001</v>
      </c>
      <c r="M20">
        <v>496.2</v>
      </c>
      <c r="N20">
        <v>666.72</v>
      </c>
      <c r="O20">
        <v>47.304000000000009</v>
      </c>
      <c r="P20">
        <v>4.5407999999999999</v>
      </c>
    </row>
    <row r="21" spans="1:16">
      <c r="A21" s="1" t="s">
        <v>40</v>
      </c>
      <c r="B21" s="1" t="s">
        <v>41</v>
      </c>
      <c r="C21" s="1" t="s">
        <v>38</v>
      </c>
      <c r="D21" s="1" t="s">
        <v>5503</v>
      </c>
      <c r="E21" s="1" t="s">
        <v>20</v>
      </c>
      <c r="F21">
        <v>14515.714285714286</v>
      </c>
      <c r="G21">
        <v>17220.857142857141</v>
      </c>
      <c r="H21">
        <v>49952.571428571428</v>
      </c>
      <c r="I21">
        <v>3376.1142857142854</v>
      </c>
      <c r="J21">
        <v>463.53428571428566</v>
      </c>
      <c r="K21">
        <v>3035.2285714285713</v>
      </c>
      <c r="L21">
        <v>195.74571428571426</v>
      </c>
      <c r="M21">
        <v>279.2657142857143</v>
      </c>
      <c r="N21">
        <v>871.11428571428576</v>
      </c>
      <c r="O21">
        <v>52.217142857142861</v>
      </c>
      <c r="P21">
        <v>6.6102857142857143</v>
      </c>
    </row>
    <row r="22" spans="1:16">
      <c r="A22" s="1" t="s">
        <v>42</v>
      </c>
      <c r="B22" s="1" t="s">
        <v>43</v>
      </c>
      <c r="C22" s="1" t="s">
        <v>18</v>
      </c>
      <c r="D22" s="1" t="s">
        <v>44</v>
      </c>
      <c r="E22" s="1" t="s">
        <v>45</v>
      </c>
      <c r="F22">
        <v>133</v>
      </c>
      <c r="G22">
        <v>1240</v>
      </c>
      <c r="H22">
        <v>835</v>
      </c>
      <c r="I22">
        <v>57</v>
      </c>
      <c r="J22">
        <v>28</v>
      </c>
      <c r="K22">
        <v>2670</v>
      </c>
      <c r="L22">
        <v>94.5</v>
      </c>
      <c r="M22">
        <v>38</v>
      </c>
      <c r="N22">
        <v>1603</v>
      </c>
      <c r="O22">
        <v>6.7</v>
      </c>
      <c r="P22">
        <v>26</v>
      </c>
    </row>
    <row r="23" spans="1:16">
      <c r="A23" s="1" t="s">
        <v>42</v>
      </c>
      <c r="B23" s="1" t="s">
        <v>46</v>
      </c>
      <c r="C23" s="1" t="s">
        <v>18</v>
      </c>
      <c r="D23" s="1" t="s">
        <v>44</v>
      </c>
      <c r="E23" s="1" t="s">
        <v>45</v>
      </c>
      <c r="F23">
        <v>82</v>
      </c>
      <c r="G23">
        <v>1266</v>
      </c>
      <c r="H23">
        <v>602</v>
      </c>
      <c r="I23">
        <v>65</v>
      </c>
      <c r="J23">
        <v>4</v>
      </c>
      <c r="K23">
        <v>2078</v>
      </c>
      <c r="L23">
        <v>95.3</v>
      </c>
      <c r="M23">
        <v>31</v>
      </c>
      <c r="N23">
        <v>1375</v>
      </c>
      <c r="O23">
        <v>4.3</v>
      </c>
      <c r="P23">
        <v>23</v>
      </c>
    </row>
    <row r="24" spans="1:16">
      <c r="A24" s="1" t="s">
        <v>42</v>
      </c>
      <c r="B24" s="1" t="s">
        <v>47</v>
      </c>
      <c r="C24" s="1" t="s">
        <v>18</v>
      </c>
      <c r="D24" s="1" t="s">
        <v>44</v>
      </c>
      <c r="E24" s="1" t="s">
        <v>45</v>
      </c>
      <c r="F24">
        <v>34</v>
      </c>
      <c r="G24">
        <v>1218</v>
      </c>
      <c r="H24">
        <v>324</v>
      </c>
      <c r="I24">
        <v>73</v>
      </c>
      <c r="J24">
        <v>9</v>
      </c>
      <c r="K24">
        <v>1671</v>
      </c>
      <c r="L24">
        <v>93.1</v>
      </c>
      <c r="M24">
        <v>20</v>
      </c>
      <c r="N24">
        <v>1518</v>
      </c>
      <c r="O24">
        <v>2.5</v>
      </c>
      <c r="P24">
        <v>12</v>
      </c>
    </row>
    <row r="25" spans="1:16">
      <c r="A25" s="1" t="s">
        <v>42</v>
      </c>
      <c r="B25" s="1" t="s">
        <v>48</v>
      </c>
      <c r="C25" s="1" t="s">
        <v>18</v>
      </c>
      <c r="D25" s="1" t="s">
        <v>44</v>
      </c>
      <c r="E25" s="1" t="s">
        <v>45</v>
      </c>
      <c r="F25">
        <v>52</v>
      </c>
      <c r="G25">
        <v>1275</v>
      </c>
      <c r="H25">
        <v>693</v>
      </c>
      <c r="I25">
        <v>71</v>
      </c>
      <c r="J25">
        <v>31</v>
      </c>
      <c r="K25">
        <v>2104</v>
      </c>
      <c r="L25">
        <v>91.7</v>
      </c>
      <c r="M25">
        <v>31</v>
      </c>
      <c r="N25">
        <v>1439</v>
      </c>
      <c r="O25">
        <v>3.6</v>
      </c>
      <c r="P25">
        <v>21</v>
      </c>
    </row>
    <row r="26" spans="1:16">
      <c r="A26" s="1" t="s">
        <v>42</v>
      </c>
      <c r="B26" s="1" t="s">
        <v>49</v>
      </c>
      <c r="C26" s="1" t="s">
        <v>18</v>
      </c>
      <c r="D26" s="1" t="s">
        <v>44</v>
      </c>
      <c r="E26" s="1" t="s">
        <v>45</v>
      </c>
      <c r="F26">
        <v>97</v>
      </c>
      <c r="G26">
        <v>1347</v>
      </c>
      <c r="H26">
        <v>798</v>
      </c>
      <c r="I26">
        <v>57</v>
      </c>
      <c r="J26">
        <v>3</v>
      </c>
      <c r="K26">
        <v>2463</v>
      </c>
      <c r="L26">
        <v>96.1</v>
      </c>
      <c r="M26">
        <v>32</v>
      </c>
      <c r="N26">
        <v>1499</v>
      </c>
      <c r="O26">
        <v>5.3</v>
      </c>
      <c r="P26">
        <v>29</v>
      </c>
    </row>
    <row r="27" spans="1:16">
      <c r="A27" s="1" t="s">
        <v>42</v>
      </c>
      <c r="B27" s="1" t="s">
        <v>50</v>
      </c>
      <c r="C27" s="1" t="s">
        <v>18</v>
      </c>
      <c r="D27" s="1" t="s">
        <v>44</v>
      </c>
      <c r="E27" s="1" t="s">
        <v>45</v>
      </c>
      <c r="F27">
        <v>96</v>
      </c>
      <c r="G27">
        <v>2575</v>
      </c>
      <c r="H27">
        <v>418</v>
      </c>
      <c r="I27">
        <v>42</v>
      </c>
      <c r="J27">
        <v>39</v>
      </c>
      <c r="K27">
        <v>2007</v>
      </c>
      <c r="L27">
        <v>83.3</v>
      </c>
      <c r="M27">
        <v>29</v>
      </c>
      <c r="N27">
        <v>1975</v>
      </c>
      <c r="O27">
        <v>8.3000000000000007</v>
      </c>
      <c r="P27">
        <v>36</v>
      </c>
    </row>
    <row r="28" spans="1:16">
      <c r="A28" s="1" t="s">
        <v>42</v>
      </c>
      <c r="B28" s="1" t="s">
        <v>51</v>
      </c>
      <c r="C28" s="1" t="s">
        <v>18</v>
      </c>
      <c r="D28" s="1" t="s">
        <v>44</v>
      </c>
      <c r="E28" s="1" t="s">
        <v>45</v>
      </c>
      <c r="F28">
        <v>125</v>
      </c>
      <c r="G28">
        <v>1230</v>
      </c>
      <c r="H28">
        <v>313</v>
      </c>
      <c r="I28">
        <v>63</v>
      </c>
      <c r="J28">
        <v>80</v>
      </c>
      <c r="K28">
        <v>2032</v>
      </c>
      <c r="L28">
        <v>93.1</v>
      </c>
      <c r="M28">
        <v>25</v>
      </c>
      <c r="N28">
        <v>1340</v>
      </c>
      <c r="O28">
        <v>8.1</v>
      </c>
      <c r="P28">
        <v>13</v>
      </c>
    </row>
    <row r="29" spans="1:16">
      <c r="A29" s="1" t="s">
        <v>42</v>
      </c>
      <c r="B29" s="1" t="s">
        <v>52</v>
      </c>
      <c r="C29" s="1" t="s">
        <v>18</v>
      </c>
      <c r="D29" s="1" t="s">
        <v>44</v>
      </c>
      <c r="E29" s="1" t="s">
        <v>45</v>
      </c>
      <c r="F29">
        <v>42</v>
      </c>
      <c r="G29">
        <v>985</v>
      </c>
      <c r="H29">
        <v>457</v>
      </c>
      <c r="I29">
        <v>61</v>
      </c>
      <c r="J29">
        <v>1.5</v>
      </c>
      <c r="K29">
        <v>1662</v>
      </c>
      <c r="L29">
        <v>67.900000000000006</v>
      </c>
      <c r="M29">
        <v>22</v>
      </c>
      <c r="N29">
        <v>904</v>
      </c>
      <c r="O29">
        <v>3.6</v>
      </c>
      <c r="P29">
        <v>20</v>
      </c>
    </row>
    <row r="30" spans="1:16">
      <c r="A30" s="1" t="s">
        <v>42</v>
      </c>
      <c r="B30" s="1" t="s">
        <v>53</v>
      </c>
      <c r="C30" s="1" t="s">
        <v>18</v>
      </c>
      <c r="D30" s="1" t="s">
        <v>44</v>
      </c>
      <c r="E30" s="1" t="s">
        <v>45</v>
      </c>
      <c r="F30">
        <v>63</v>
      </c>
      <c r="G30">
        <v>1711</v>
      </c>
      <c r="H30">
        <v>1049</v>
      </c>
      <c r="I30">
        <v>66</v>
      </c>
      <c r="J30">
        <v>1.5</v>
      </c>
      <c r="K30">
        <v>1842</v>
      </c>
      <c r="L30">
        <v>95.2</v>
      </c>
      <c r="M30">
        <v>17</v>
      </c>
      <c r="N30">
        <v>1456</v>
      </c>
      <c r="O30">
        <v>8</v>
      </c>
      <c r="P30">
        <v>37</v>
      </c>
    </row>
    <row r="31" spans="1:16">
      <c r="A31" s="1" t="s">
        <v>42</v>
      </c>
      <c r="B31" s="1" t="s">
        <v>54</v>
      </c>
      <c r="C31" s="1" t="s">
        <v>18</v>
      </c>
      <c r="D31" s="1" t="s">
        <v>44</v>
      </c>
      <c r="E31" s="1" t="s">
        <v>45</v>
      </c>
      <c r="F31">
        <v>48</v>
      </c>
      <c r="G31">
        <v>1170</v>
      </c>
      <c r="H31">
        <v>383</v>
      </c>
      <c r="I31">
        <v>42</v>
      </c>
      <c r="J31">
        <v>55</v>
      </c>
      <c r="K31">
        <v>2042</v>
      </c>
      <c r="L31">
        <v>74.599999999999994</v>
      </c>
      <c r="M31">
        <v>28</v>
      </c>
      <c r="N31">
        <v>1277</v>
      </c>
      <c r="O31">
        <v>6.2</v>
      </c>
      <c r="P31">
        <v>13</v>
      </c>
    </row>
    <row r="32" spans="1:16">
      <c r="A32" s="1" t="s">
        <v>42</v>
      </c>
      <c r="B32" s="1" t="s">
        <v>55</v>
      </c>
      <c r="C32" s="1" t="s">
        <v>18</v>
      </c>
      <c r="D32" s="1" t="s">
        <v>44</v>
      </c>
      <c r="E32" s="1" t="s">
        <v>45</v>
      </c>
      <c r="F32">
        <v>56</v>
      </c>
      <c r="G32">
        <v>1230</v>
      </c>
      <c r="H32">
        <v>604</v>
      </c>
      <c r="I32">
        <v>58</v>
      </c>
      <c r="J32">
        <v>99</v>
      </c>
      <c r="K32">
        <v>2967</v>
      </c>
      <c r="L32">
        <v>70.2</v>
      </c>
      <c r="M32">
        <v>26</v>
      </c>
      <c r="N32">
        <v>1527</v>
      </c>
      <c r="O32">
        <v>11.5</v>
      </c>
      <c r="P32">
        <v>31</v>
      </c>
    </row>
    <row r="33" spans="1:16">
      <c r="A33" s="1" t="s">
        <v>42</v>
      </c>
      <c r="B33" s="1" t="s">
        <v>56</v>
      </c>
      <c r="C33" s="1" t="s">
        <v>18</v>
      </c>
      <c r="D33" s="1" t="s">
        <v>44</v>
      </c>
      <c r="E33" s="1" t="s">
        <v>45</v>
      </c>
      <c r="F33">
        <v>213</v>
      </c>
      <c r="G33">
        <v>887</v>
      </c>
      <c r="H33">
        <v>1267</v>
      </c>
      <c r="I33">
        <v>57</v>
      </c>
      <c r="J33">
        <v>1.5</v>
      </c>
      <c r="K33">
        <v>3591</v>
      </c>
      <c r="L33">
        <v>71.2</v>
      </c>
      <c r="M33">
        <v>19</v>
      </c>
      <c r="N33">
        <v>1058</v>
      </c>
      <c r="O33">
        <v>11</v>
      </c>
      <c r="P33">
        <v>35</v>
      </c>
    </row>
    <row r="34" spans="1:16">
      <c r="A34" s="1" t="s">
        <v>42</v>
      </c>
      <c r="B34" s="1" t="s">
        <v>57</v>
      </c>
      <c r="C34" s="1" t="s">
        <v>18</v>
      </c>
      <c r="D34" s="1" t="s">
        <v>44</v>
      </c>
      <c r="E34" s="1" t="s">
        <v>45</v>
      </c>
      <c r="F34">
        <v>353</v>
      </c>
      <c r="G34">
        <v>1318</v>
      </c>
      <c r="H34">
        <v>1886</v>
      </c>
      <c r="I34">
        <v>60</v>
      </c>
      <c r="J34">
        <v>1.5</v>
      </c>
      <c r="K34">
        <v>3963</v>
      </c>
      <c r="L34">
        <v>66.7</v>
      </c>
      <c r="M34">
        <v>12</v>
      </c>
      <c r="N34">
        <v>1279</v>
      </c>
      <c r="O34">
        <v>14.9</v>
      </c>
      <c r="P34">
        <v>185</v>
      </c>
    </row>
    <row r="35" spans="1:16">
      <c r="A35" s="1" t="s">
        <v>42</v>
      </c>
      <c r="B35" s="1" t="s">
        <v>58</v>
      </c>
      <c r="C35" s="1" t="s">
        <v>18</v>
      </c>
      <c r="D35" s="1" t="s">
        <v>44</v>
      </c>
      <c r="E35" s="1" t="s">
        <v>45</v>
      </c>
      <c r="F35">
        <v>2745</v>
      </c>
      <c r="G35">
        <v>1008</v>
      </c>
      <c r="H35">
        <v>1561</v>
      </c>
      <c r="I35">
        <v>66</v>
      </c>
      <c r="J35">
        <v>1.5</v>
      </c>
      <c r="K35">
        <v>6160</v>
      </c>
      <c r="L35">
        <v>62.3</v>
      </c>
      <c r="M35">
        <v>15</v>
      </c>
      <c r="N35">
        <v>967</v>
      </c>
      <c r="O35">
        <v>14.5</v>
      </c>
      <c r="P35">
        <v>41</v>
      </c>
    </row>
    <row r="36" spans="1:16">
      <c r="A36" s="1" t="s">
        <v>42</v>
      </c>
      <c r="B36" s="1" t="s">
        <v>59</v>
      </c>
      <c r="C36" s="1" t="s">
        <v>18</v>
      </c>
      <c r="D36" s="1" t="s">
        <v>44</v>
      </c>
      <c r="E36" s="1" t="s">
        <v>45</v>
      </c>
      <c r="F36">
        <v>273</v>
      </c>
      <c r="G36">
        <v>1175</v>
      </c>
      <c r="H36">
        <v>1139</v>
      </c>
      <c r="I36">
        <v>43</v>
      </c>
      <c r="J36">
        <v>1.5</v>
      </c>
      <c r="K36">
        <v>4883</v>
      </c>
      <c r="L36">
        <v>59</v>
      </c>
      <c r="M36">
        <v>15</v>
      </c>
      <c r="N36">
        <v>1203</v>
      </c>
      <c r="O36">
        <v>12.8</v>
      </c>
      <c r="P36">
        <v>22</v>
      </c>
    </row>
    <row r="37" spans="1:16">
      <c r="A37" s="1" t="s">
        <v>42</v>
      </c>
      <c r="B37" s="1" t="s">
        <v>60</v>
      </c>
      <c r="C37" s="1" t="s">
        <v>18</v>
      </c>
      <c r="D37" s="1" t="s">
        <v>44</v>
      </c>
      <c r="E37" s="1" t="s">
        <v>45</v>
      </c>
      <c r="F37">
        <v>92</v>
      </c>
      <c r="G37">
        <v>801</v>
      </c>
      <c r="H37">
        <v>998</v>
      </c>
      <c r="I37">
        <v>50</v>
      </c>
      <c r="J37">
        <v>1.5</v>
      </c>
      <c r="K37">
        <v>3437</v>
      </c>
      <c r="L37">
        <v>59.9</v>
      </c>
      <c r="M37">
        <v>15</v>
      </c>
      <c r="N37">
        <v>985</v>
      </c>
      <c r="O37">
        <v>12.2</v>
      </c>
      <c r="P37">
        <v>27</v>
      </c>
    </row>
    <row r="38" spans="1:16">
      <c r="A38" s="1" t="s">
        <v>42</v>
      </c>
      <c r="B38" s="1" t="s">
        <v>61</v>
      </c>
      <c r="C38" s="1" t="s">
        <v>18</v>
      </c>
      <c r="D38" s="1" t="s">
        <v>44</v>
      </c>
      <c r="E38" s="1" t="s">
        <v>45</v>
      </c>
      <c r="F38">
        <v>486</v>
      </c>
      <c r="G38">
        <v>927</v>
      </c>
      <c r="H38">
        <v>594</v>
      </c>
      <c r="I38">
        <v>37</v>
      </c>
      <c r="J38">
        <v>1.5</v>
      </c>
      <c r="K38">
        <v>6374</v>
      </c>
      <c r="L38">
        <v>77.7</v>
      </c>
      <c r="M38">
        <v>13</v>
      </c>
      <c r="N38">
        <v>1287</v>
      </c>
      <c r="O38">
        <v>13.9</v>
      </c>
      <c r="P38">
        <v>49</v>
      </c>
    </row>
    <row r="39" spans="1:16">
      <c r="A39" s="1" t="s">
        <v>42</v>
      </c>
      <c r="B39" s="1" t="s">
        <v>62</v>
      </c>
      <c r="C39" s="1" t="s">
        <v>18</v>
      </c>
      <c r="D39" s="1" t="s">
        <v>44</v>
      </c>
      <c r="E39" s="1" t="s">
        <v>45</v>
      </c>
      <c r="F39">
        <v>1612</v>
      </c>
      <c r="G39">
        <v>976</v>
      </c>
      <c r="H39">
        <v>673</v>
      </c>
      <c r="I39">
        <v>35</v>
      </c>
      <c r="J39">
        <v>1.5</v>
      </c>
      <c r="K39">
        <v>6664</v>
      </c>
      <c r="L39">
        <v>81.2</v>
      </c>
      <c r="M39">
        <v>15</v>
      </c>
      <c r="N39">
        <v>1027</v>
      </c>
      <c r="O39">
        <v>12.9</v>
      </c>
      <c r="P39">
        <v>22</v>
      </c>
    </row>
    <row r="40" spans="1:16">
      <c r="A40" s="1" t="s">
        <v>63</v>
      </c>
      <c r="B40" s="1" t="s">
        <v>64</v>
      </c>
      <c r="C40" s="1" t="s">
        <v>18</v>
      </c>
      <c r="D40" s="1" t="s">
        <v>44</v>
      </c>
      <c r="E40" s="1" t="s">
        <v>45</v>
      </c>
      <c r="F40">
        <v>61</v>
      </c>
      <c r="G40">
        <v>1100</v>
      </c>
      <c r="H40">
        <v>832</v>
      </c>
      <c r="I40">
        <v>57</v>
      </c>
      <c r="J40">
        <v>51</v>
      </c>
      <c r="K40">
        <v>4517</v>
      </c>
      <c r="L40">
        <v>65.099999999999994</v>
      </c>
      <c r="M40">
        <v>22</v>
      </c>
      <c r="N40">
        <v>1419</v>
      </c>
      <c r="O40">
        <v>10.7</v>
      </c>
      <c r="P40">
        <v>16</v>
      </c>
    </row>
    <row r="41" spans="1:16">
      <c r="A41" s="1" t="s">
        <v>42</v>
      </c>
      <c r="B41" s="1" t="s">
        <v>65</v>
      </c>
      <c r="C41" s="1" t="s">
        <v>18</v>
      </c>
      <c r="D41" s="1" t="s">
        <v>44</v>
      </c>
      <c r="E41" s="1" t="s">
        <v>45</v>
      </c>
      <c r="F41">
        <v>67</v>
      </c>
      <c r="G41">
        <v>980</v>
      </c>
      <c r="H41">
        <v>690</v>
      </c>
      <c r="I41">
        <v>49</v>
      </c>
      <c r="J41">
        <v>1.5</v>
      </c>
      <c r="K41">
        <v>4509</v>
      </c>
      <c r="L41">
        <v>66.8</v>
      </c>
      <c r="M41">
        <v>20</v>
      </c>
      <c r="N41">
        <v>1166</v>
      </c>
      <c r="O41">
        <v>10.7</v>
      </c>
      <c r="P41">
        <v>17</v>
      </c>
    </row>
    <row r="42" spans="1:16">
      <c r="A42" s="1" t="s">
        <v>42</v>
      </c>
      <c r="B42" s="1" t="s">
        <v>66</v>
      </c>
      <c r="C42" s="1" t="s">
        <v>18</v>
      </c>
      <c r="D42" s="1" t="s">
        <v>44</v>
      </c>
      <c r="E42" s="1" t="s">
        <v>45</v>
      </c>
      <c r="F42">
        <v>50</v>
      </c>
      <c r="G42">
        <v>509</v>
      </c>
      <c r="H42">
        <v>755</v>
      </c>
      <c r="I42">
        <v>53</v>
      </c>
      <c r="J42">
        <v>1.5</v>
      </c>
      <c r="K42">
        <v>1228</v>
      </c>
      <c r="L42">
        <v>54.4</v>
      </c>
      <c r="M42">
        <v>17</v>
      </c>
      <c r="N42">
        <v>593</v>
      </c>
      <c r="O42">
        <v>6.2</v>
      </c>
      <c r="P42">
        <v>38</v>
      </c>
    </row>
    <row r="43" spans="1:16">
      <c r="A43" s="1" t="s">
        <v>42</v>
      </c>
      <c r="B43" s="1" t="s">
        <v>67</v>
      </c>
      <c r="C43" s="1" t="s">
        <v>18</v>
      </c>
      <c r="D43" s="1" t="s">
        <v>44</v>
      </c>
      <c r="E43" s="1" t="s">
        <v>45</v>
      </c>
      <c r="F43">
        <v>157</v>
      </c>
      <c r="G43">
        <v>619</v>
      </c>
      <c r="H43">
        <v>1222</v>
      </c>
      <c r="I43">
        <v>56</v>
      </c>
      <c r="J43">
        <v>1.5</v>
      </c>
      <c r="K43">
        <v>2370</v>
      </c>
      <c r="L43">
        <v>64.599999999999994</v>
      </c>
      <c r="M43">
        <v>17</v>
      </c>
      <c r="N43">
        <v>761</v>
      </c>
      <c r="O43">
        <v>8.5</v>
      </c>
      <c r="P43">
        <v>45</v>
      </c>
    </row>
    <row r="44" spans="1:16">
      <c r="A44" s="1" t="s">
        <v>42</v>
      </c>
      <c r="B44" s="1" t="s">
        <v>68</v>
      </c>
      <c r="C44" s="1" t="s">
        <v>18</v>
      </c>
      <c r="D44" s="1" t="s">
        <v>44</v>
      </c>
      <c r="E44" s="1" t="s">
        <v>45</v>
      </c>
      <c r="F44">
        <v>53</v>
      </c>
      <c r="G44">
        <v>546</v>
      </c>
      <c r="H44">
        <v>599</v>
      </c>
      <c r="I44">
        <v>41</v>
      </c>
      <c r="J44">
        <v>1.5</v>
      </c>
      <c r="K44">
        <v>1287</v>
      </c>
      <c r="L44">
        <v>57.4</v>
      </c>
      <c r="M44">
        <v>16</v>
      </c>
      <c r="N44">
        <v>635</v>
      </c>
      <c r="O44">
        <v>5.9</v>
      </c>
      <c r="P44">
        <v>27</v>
      </c>
    </row>
    <row r="45" spans="1:16">
      <c r="A45" s="1" t="s">
        <v>42</v>
      </c>
      <c r="B45" s="1" t="s">
        <v>69</v>
      </c>
      <c r="C45" s="1" t="s">
        <v>18</v>
      </c>
      <c r="D45" s="1" t="s">
        <v>44</v>
      </c>
      <c r="E45" s="1" t="s">
        <v>45</v>
      </c>
      <c r="F45">
        <v>106</v>
      </c>
      <c r="G45">
        <v>1069</v>
      </c>
      <c r="H45">
        <v>671</v>
      </c>
      <c r="I45">
        <v>69</v>
      </c>
      <c r="J45">
        <v>16</v>
      </c>
      <c r="K45">
        <v>1814</v>
      </c>
      <c r="L45">
        <v>44.5</v>
      </c>
      <c r="M45">
        <v>23</v>
      </c>
      <c r="N45">
        <v>1029</v>
      </c>
      <c r="O45">
        <v>6.9</v>
      </c>
      <c r="P45">
        <v>20</v>
      </c>
    </row>
    <row r="46" spans="1:16">
      <c r="A46" s="1" t="s">
        <v>42</v>
      </c>
      <c r="B46" s="1" t="s">
        <v>70</v>
      </c>
      <c r="C46" s="1" t="s">
        <v>18</v>
      </c>
      <c r="D46" s="1" t="s">
        <v>44</v>
      </c>
      <c r="E46" s="1" t="s">
        <v>45</v>
      </c>
      <c r="F46">
        <v>102</v>
      </c>
      <c r="G46">
        <v>1066</v>
      </c>
      <c r="H46">
        <v>1741</v>
      </c>
      <c r="I46">
        <v>60</v>
      </c>
      <c r="J46">
        <v>1.5</v>
      </c>
      <c r="K46">
        <v>2996</v>
      </c>
      <c r="L46">
        <v>52.9</v>
      </c>
      <c r="M46">
        <v>15</v>
      </c>
      <c r="N46">
        <v>1087</v>
      </c>
      <c r="O46">
        <v>9</v>
      </c>
      <c r="P46">
        <v>103</v>
      </c>
    </row>
    <row r="47" spans="1:16">
      <c r="A47" s="1" t="s">
        <v>42</v>
      </c>
      <c r="B47" s="1" t="s">
        <v>71</v>
      </c>
      <c r="C47" s="1" t="s">
        <v>18</v>
      </c>
      <c r="D47" s="1" t="s">
        <v>44</v>
      </c>
      <c r="E47" s="1" t="s">
        <v>45</v>
      </c>
      <c r="F47">
        <v>100</v>
      </c>
      <c r="G47">
        <v>856</v>
      </c>
      <c r="H47">
        <v>589</v>
      </c>
      <c r="I47">
        <v>65</v>
      </c>
      <c r="J47">
        <v>13</v>
      </c>
      <c r="K47">
        <v>2607</v>
      </c>
      <c r="L47">
        <v>54</v>
      </c>
      <c r="M47">
        <v>23</v>
      </c>
      <c r="N47">
        <v>787</v>
      </c>
      <c r="O47">
        <v>9.1999999999999993</v>
      </c>
      <c r="P47">
        <v>13</v>
      </c>
    </row>
    <row r="48" spans="1:16">
      <c r="A48" s="1" t="s">
        <v>42</v>
      </c>
      <c r="B48" s="1" t="s">
        <v>72</v>
      </c>
      <c r="C48" s="1" t="s">
        <v>18</v>
      </c>
      <c r="D48" s="1" t="s">
        <v>44</v>
      </c>
      <c r="E48" s="1" t="s">
        <v>45</v>
      </c>
      <c r="F48">
        <v>27</v>
      </c>
      <c r="G48">
        <v>488</v>
      </c>
      <c r="H48">
        <v>731</v>
      </c>
      <c r="I48">
        <v>84</v>
      </c>
      <c r="J48">
        <v>15</v>
      </c>
      <c r="K48">
        <v>779</v>
      </c>
      <c r="L48">
        <v>25.6</v>
      </c>
      <c r="M48">
        <v>21</v>
      </c>
      <c r="N48">
        <v>441</v>
      </c>
      <c r="O48">
        <v>4.5999999999999996</v>
      </c>
      <c r="P48">
        <v>32</v>
      </c>
    </row>
    <row r="49" spans="1:16">
      <c r="A49" s="1" t="s">
        <v>42</v>
      </c>
      <c r="B49" s="1" t="s">
        <v>73</v>
      </c>
      <c r="C49" s="1" t="s">
        <v>18</v>
      </c>
      <c r="D49" s="1" t="s">
        <v>44</v>
      </c>
      <c r="E49" s="1" t="s">
        <v>45</v>
      </c>
      <c r="F49">
        <v>46</v>
      </c>
      <c r="G49">
        <v>897</v>
      </c>
      <c r="H49">
        <v>1367</v>
      </c>
      <c r="I49">
        <v>59</v>
      </c>
      <c r="J49">
        <v>1.5</v>
      </c>
      <c r="K49">
        <v>1370</v>
      </c>
      <c r="L49">
        <v>26.1</v>
      </c>
      <c r="M49">
        <v>14</v>
      </c>
      <c r="N49">
        <v>1051</v>
      </c>
      <c r="O49">
        <v>5.3</v>
      </c>
      <c r="P49">
        <v>62</v>
      </c>
    </row>
    <row r="50" spans="1:16">
      <c r="A50" s="1" t="s">
        <v>42</v>
      </c>
      <c r="B50" s="1" t="s">
        <v>74</v>
      </c>
      <c r="C50" s="1" t="s">
        <v>18</v>
      </c>
      <c r="D50" s="1" t="s">
        <v>44</v>
      </c>
      <c r="E50" s="1" t="s">
        <v>45</v>
      </c>
      <c r="F50">
        <v>63</v>
      </c>
      <c r="G50">
        <v>1061</v>
      </c>
      <c r="H50">
        <v>949</v>
      </c>
      <c r="I50">
        <v>79</v>
      </c>
      <c r="J50">
        <v>9</v>
      </c>
      <c r="K50">
        <v>1494</v>
      </c>
      <c r="L50">
        <v>31.6</v>
      </c>
      <c r="M50">
        <v>22</v>
      </c>
      <c r="N50">
        <v>1326</v>
      </c>
      <c r="O50">
        <v>6.1</v>
      </c>
      <c r="P50">
        <v>27</v>
      </c>
    </row>
    <row r="51" spans="1:16">
      <c r="A51" s="1" t="s">
        <v>42</v>
      </c>
      <c r="B51" s="1" t="s">
        <v>75</v>
      </c>
      <c r="C51" s="1" t="s">
        <v>18</v>
      </c>
      <c r="D51" s="1" t="s">
        <v>44</v>
      </c>
      <c r="E51" s="1" t="s">
        <v>45</v>
      </c>
      <c r="F51">
        <v>47</v>
      </c>
      <c r="G51">
        <v>1220</v>
      </c>
      <c r="H51">
        <v>129</v>
      </c>
      <c r="I51">
        <v>29</v>
      </c>
      <c r="J51">
        <v>1.5</v>
      </c>
      <c r="K51">
        <v>953</v>
      </c>
      <c r="L51">
        <v>26.5</v>
      </c>
      <c r="M51">
        <v>37</v>
      </c>
      <c r="N51">
        <v>979</v>
      </c>
      <c r="O51">
        <v>4.4000000000000004</v>
      </c>
      <c r="P51">
        <v>32</v>
      </c>
    </row>
    <row r="52" spans="1:16">
      <c r="A52" s="1" t="s">
        <v>42</v>
      </c>
      <c r="B52" s="1" t="s">
        <v>76</v>
      </c>
      <c r="C52" s="1" t="s">
        <v>18</v>
      </c>
      <c r="D52" s="1" t="s">
        <v>44</v>
      </c>
      <c r="E52" s="1" t="s">
        <v>45</v>
      </c>
      <c r="F52">
        <v>779</v>
      </c>
      <c r="G52">
        <v>1978</v>
      </c>
      <c r="H52">
        <v>217</v>
      </c>
      <c r="I52">
        <v>60</v>
      </c>
      <c r="J52">
        <v>1.5</v>
      </c>
      <c r="K52">
        <v>2617</v>
      </c>
      <c r="L52">
        <v>47.3</v>
      </c>
      <c r="M52">
        <v>56</v>
      </c>
      <c r="N52">
        <v>1334</v>
      </c>
      <c r="O52">
        <v>13.5</v>
      </c>
      <c r="P52">
        <v>124</v>
      </c>
    </row>
    <row r="53" spans="1:16">
      <c r="A53" s="1" t="s">
        <v>42</v>
      </c>
      <c r="B53" s="1" t="s">
        <v>77</v>
      </c>
      <c r="C53" s="1" t="s">
        <v>18</v>
      </c>
      <c r="D53" s="1" t="s">
        <v>44</v>
      </c>
      <c r="E53" s="1" t="s">
        <v>45</v>
      </c>
      <c r="F53">
        <v>89</v>
      </c>
      <c r="G53">
        <v>1429</v>
      </c>
      <c r="H53">
        <v>117</v>
      </c>
      <c r="I53">
        <v>35</v>
      </c>
      <c r="J53">
        <v>1.5</v>
      </c>
      <c r="K53">
        <v>1684</v>
      </c>
      <c r="L53">
        <v>37.6</v>
      </c>
      <c r="M53">
        <v>38</v>
      </c>
      <c r="N53">
        <v>1436</v>
      </c>
      <c r="O53">
        <v>6.6</v>
      </c>
      <c r="P53">
        <v>16</v>
      </c>
    </row>
    <row r="54" spans="1:16">
      <c r="A54" s="1" t="s">
        <v>42</v>
      </c>
      <c r="B54" s="1" t="s">
        <v>78</v>
      </c>
      <c r="C54" s="1" t="s">
        <v>18</v>
      </c>
      <c r="D54" s="1" t="s">
        <v>44</v>
      </c>
      <c r="E54" s="1" t="s">
        <v>45</v>
      </c>
      <c r="F54">
        <v>830</v>
      </c>
      <c r="G54">
        <v>1555</v>
      </c>
      <c r="H54">
        <v>154</v>
      </c>
      <c r="I54">
        <v>37</v>
      </c>
      <c r="J54">
        <v>1.5</v>
      </c>
      <c r="K54">
        <v>3254</v>
      </c>
      <c r="L54">
        <v>47.4</v>
      </c>
      <c r="M54">
        <v>37</v>
      </c>
      <c r="N54">
        <v>1009</v>
      </c>
      <c r="O54">
        <v>11.9</v>
      </c>
      <c r="P54">
        <v>15</v>
      </c>
    </row>
    <row r="55" spans="1:16">
      <c r="A55" s="1" t="s">
        <v>79</v>
      </c>
      <c r="B55" s="1" t="s">
        <v>80</v>
      </c>
      <c r="C55" s="1" t="s">
        <v>18</v>
      </c>
      <c r="D55" s="1" t="s">
        <v>81</v>
      </c>
      <c r="E55" s="1" t="s">
        <v>82</v>
      </c>
      <c r="F55">
        <v>84.24</v>
      </c>
      <c r="G55">
        <v>3649.59</v>
      </c>
      <c r="H55">
        <v>111.36</v>
      </c>
      <c r="I55">
        <v>2303.5</v>
      </c>
      <c r="J55">
        <v>2425.31</v>
      </c>
      <c r="K55">
        <v>313.51</v>
      </c>
      <c r="L55">
        <v>28.01</v>
      </c>
      <c r="M55">
        <v>200.47</v>
      </c>
      <c r="N55">
        <v>21.05</v>
      </c>
      <c r="O55">
        <v>28.54</v>
      </c>
      <c r="P55">
        <v>1.08</v>
      </c>
    </row>
    <row r="56" spans="1:16">
      <c r="A56" s="1" t="s">
        <v>79</v>
      </c>
      <c r="B56" s="1" t="s">
        <v>83</v>
      </c>
      <c r="C56" s="1" t="s">
        <v>18</v>
      </c>
      <c r="D56" s="1" t="s">
        <v>81</v>
      </c>
      <c r="E56" s="1" t="s">
        <v>82</v>
      </c>
      <c r="F56">
        <v>2126.33</v>
      </c>
      <c r="G56">
        <v>3006.57</v>
      </c>
      <c r="H56">
        <v>123.53</v>
      </c>
      <c r="I56">
        <v>2245.14</v>
      </c>
      <c r="J56">
        <v>2380.67</v>
      </c>
      <c r="K56">
        <v>401.53</v>
      </c>
      <c r="L56">
        <v>28.76</v>
      </c>
      <c r="M56">
        <v>189.99</v>
      </c>
      <c r="N56">
        <v>22.75</v>
      </c>
      <c r="O56">
        <v>42.93</v>
      </c>
      <c r="P56">
        <v>1.08</v>
      </c>
    </row>
    <row r="57" spans="1:16">
      <c r="A57" s="1" t="s">
        <v>79</v>
      </c>
      <c r="B57" s="1" t="s">
        <v>84</v>
      </c>
      <c r="C57" s="1" t="s">
        <v>18</v>
      </c>
      <c r="D57" s="1" t="s">
        <v>81</v>
      </c>
      <c r="E57" s="1" t="s">
        <v>82</v>
      </c>
      <c r="F57">
        <v>20.45</v>
      </c>
      <c r="G57">
        <v>3542.85</v>
      </c>
      <c r="H57">
        <v>91.82</v>
      </c>
      <c r="I57">
        <v>2285.35</v>
      </c>
      <c r="J57">
        <v>1371.97</v>
      </c>
      <c r="K57">
        <v>261.45999999999998</v>
      </c>
      <c r="L57">
        <v>33.57</v>
      </c>
      <c r="M57">
        <v>156.13</v>
      </c>
      <c r="N57">
        <v>20.18</v>
      </c>
      <c r="O57">
        <v>15.49</v>
      </c>
      <c r="P57">
        <v>1.08</v>
      </c>
    </row>
    <row r="58" spans="1:16">
      <c r="A58" s="1" t="s">
        <v>79</v>
      </c>
      <c r="B58" s="1" t="s">
        <v>85</v>
      </c>
      <c r="C58" s="1" t="s">
        <v>18</v>
      </c>
      <c r="D58" s="1" t="s">
        <v>81</v>
      </c>
      <c r="E58" s="1" t="s">
        <v>82</v>
      </c>
      <c r="F58">
        <v>83.45</v>
      </c>
      <c r="G58">
        <v>3304.8</v>
      </c>
      <c r="H58">
        <v>175.92</v>
      </c>
      <c r="I58">
        <v>2303.02</v>
      </c>
      <c r="J58">
        <v>869.92</v>
      </c>
      <c r="K58">
        <v>290.18</v>
      </c>
      <c r="L58">
        <v>33.93</v>
      </c>
      <c r="M58">
        <v>137.52000000000001</v>
      </c>
      <c r="N58">
        <v>93.12</v>
      </c>
      <c r="O58">
        <v>16.739999999999998</v>
      </c>
      <c r="P58">
        <v>1.08</v>
      </c>
    </row>
    <row r="59" spans="1:16">
      <c r="A59" s="1" t="s">
        <v>79</v>
      </c>
      <c r="B59" s="1" t="s">
        <v>86</v>
      </c>
      <c r="C59" s="1" t="s">
        <v>18</v>
      </c>
      <c r="D59" s="1" t="s">
        <v>81</v>
      </c>
      <c r="E59" s="1" t="s">
        <v>82</v>
      </c>
      <c r="F59">
        <v>2941.03</v>
      </c>
      <c r="G59">
        <v>4979.95</v>
      </c>
      <c r="H59">
        <v>49.478000000000002</v>
      </c>
      <c r="I59">
        <v>2197.94</v>
      </c>
      <c r="J59">
        <v>585.24</v>
      </c>
      <c r="K59">
        <v>333.62</v>
      </c>
      <c r="L59">
        <v>34.21</v>
      </c>
      <c r="M59">
        <v>203.21</v>
      </c>
      <c r="N59">
        <v>50.88</v>
      </c>
      <c r="O59">
        <v>16.690000000000001</v>
      </c>
      <c r="P59">
        <v>1.08</v>
      </c>
    </row>
    <row r="60" spans="1:16">
      <c r="A60" s="1" t="s">
        <v>79</v>
      </c>
      <c r="B60" s="1" t="s">
        <v>87</v>
      </c>
      <c r="C60" s="1" t="s">
        <v>18</v>
      </c>
      <c r="D60" s="1" t="s">
        <v>81</v>
      </c>
      <c r="E60" s="1" t="s">
        <v>82</v>
      </c>
      <c r="F60">
        <v>135.82</v>
      </c>
      <c r="G60">
        <v>3485.42</v>
      </c>
      <c r="H60">
        <v>146.19</v>
      </c>
      <c r="I60">
        <v>2255.38</v>
      </c>
      <c r="J60">
        <v>604.79</v>
      </c>
      <c r="K60">
        <v>297.35000000000002</v>
      </c>
      <c r="L60">
        <v>33.840000000000003</v>
      </c>
      <c r="M60">
        <v>141.77000000000001</v>
      </c>
      <c r="N60">
        <v>28.13</v>
      </c>
      <c r="O60">
        <v>22.75</v>
      </c>
      <c r="P60">
        <v>1.08</v>
      </c>
    </row>
    <row r="61" spans="1:16">
      <c r="A61" s="1" t="s">
        <v>79</v>
      </c>
      <c r="B61" s="1" t="s">
        <v>88</v>
      </c>
      <c r="C61" s="1" t="s">
        <v>18</v>
      </c>
      <c r="D61" s="1" t="s">
        <v>81</v>
      </c>
      <c r="E61" s="1" t="s">
        <v>82</v>
      </c>
      <c r="F61">
        <v>2445.34</v>
      </c>
      <c r="G61">
        <v>4197.09</v>
      </c>
      <c r="H61">
        <v>63.715000000000003</v>
      </c>
      <c r="I61">
        <v>2154.6999999999998</v>
      </c>
      <c r="J61">
        <v>1730.47</v>
      </c>
      <c r="K61">
        <v>257.57</v>
      </c>
      <c r="L61">
        <v>32.93</v>
      </c>
      <c r="M61">
        <v>208.51</v>
      </c>
      <c r="N61">
        <v>39.39</v>
      </c>
      <c r="O61">
        <v>13.85</v>
      </c>
      <c r="P61">
        <v>1.08</v>
      </c>
    </row>
    <row r="62" spans="1:16">
      <c r="A62" s="1" t="s">
        <v>79</v>
      </c>
      <c r="B62" s="1" t="s">
        <v>89</v>
      </c>
      <c r="C62" s="1" t="s">
        <v>18</v>
      </c>
      <c r="D62" s="1" t="s">
        <v>81</v>
      </c>
      <c r="E62" s="1" t="s">
        <v>82</v>
      </c>
      <c r="F62">
        <v>71.91</v>
      </c>
      <c r="G62">
        <v>3480.75</v>
      </c>
      <c r="H62">
        <v>112.92</v>
      </c>
      <c r="I62">
        <v>2235.13</v>
      </c>
      <c r="J62">
        <v>1695.64</v>
      </c>
      <c r="K62">
        <v>306.79000000000002</v>
      </c>
      <c r="L62">
        <v>30.36</v>
      </c>
      <c r="M62">
        <v>159.99</v>
      </c>
      <c r="N62">
        <v>22.29</v>
      </c>
      <c r="O62">
        <v>29.65</v>
      </c>
      <c r="P62">
        <v>1.08</v>
      </c>
    </row>
    <row r="63" spans="1:16">
      <c r="A63" s="1" t="s">
        <v>79</v>
      </c>
      <c r="B63" s="1" t="s">
        <v>90</v>
      </c>
      <c r="C63" s="1" t="s">
        <v>18</v>
      </c>
      <c r="D63" s="1" t="s">
        <v>81</v>
      </c>
      <c r="E63" s="1" t="s">
        <v>82</v>
      </c>
      <c r="F63">
        <v>266.64</v>
      </c>
      <c r="G63">
        <v>3728.98</v>
      </c>
      <c r="H63">
        <v>133.31</v>
      </c>
      <c r="I63">
        <v>2298.1999999999998</v>
      </c>
      <c r="J63">
        <v>1603.11</v>
      </c>
      <c r="K63">
        <v>331.88</v>
      </c>
      <c r="L63">
        <v>33.97</v>
      </c>
      <c r="M63">
        <v>147.97</v>
      </c>
      <c r="N63">
        <v>34.04</v>
      </c>
      <c r="O63">
        <v>26.57</v>
      </c>
      <c r="P63">
        <v>1.08</v>
      </c>
    </row>
    <row r="64" spans="1:16">
      <c r="A64" s="1" t="s">
        <v>79</v>
      </c>
      <c r="B64" s="1" t="s">
        <v>91</v>
      </c>
      <c r="C64" s="1" t="s">
        <v>18</v>
      </c>
      <c r="D64" s="1" t="s">
        <v>81</v>
      </c>
      <c r="E64" s="1" t="s">
        <v>82</v>
      </c>
      <c r="F64">
        <v>413.53</v>
      </c>
      <c r="G64">
        <v>3385.36</v>
      </c>
      <c r="H64">
        <v>113.59</v>
      </c>
      <c r="I64">
        <v>2236.1799999999998</v>
      </c>
      <c r="J64">
        <v>1977.98</v>
      </c>
      <c r="K64">
        <v>287.94</v>
      </c>
      <c r="L64">
        <v>33.35</v>
      </c>
      <c r="M64">
        <v>158.6</v>
      </c>
      <c r="N64">
        <v>22.86</v>
      </c>
      <c r="O64">
        <v>20.04</v>
      </c>
      <c r="P64">
        <v>1.08</v>
      </c>
    </row>
    <row r="65" spans="1:16">
      <c r="A65" s="1" t="s">
        <v>79</v>
      </c>
      <c r="B65" s="1" t="s">
        <v>92</v>
      </c>
      <c r="C65" s="1" t="s">
        <v>18</v>
      </c>
      <c r="D65" s="1" t="s">
        <v>81</v>
      </c>
      <c r="E65" s="1" t="s">
        <v>82</v>
      </c>
      <c r="F65">
        <v>94.36</v>
      </c>
      <c r="G65">
        <v>4299.34</v>
      </c>
      <c r="H65">
        <v>127.04</v>
      </c>
      <c r="I65">
        <v>2247.48</v>
      </c>
      <c r="J65">
        <v>2125.13</v>
      </c>
      <c r="K65">
        <v>306.47000000000003</v>
      </c>
      <c r="L65">
        <v>29.63</v>
      </c>
      <c r="M65">
        <v>169.65</v>
      </c>
      <c r="N65">
        <v>17.100000000000001</v>
      </c>
      <c r="O65">
        <v>25.35</v>
      </c>
      <c r="P65">
        <v>1.08</v>
      </c>
    </row>
    <row r="66" spans="1:16">
      <c r="A66" s="1" t="s">
        <v>79</v>
      </c>
      <c r="B66" s="1" t="s">
        <v>93</v>
      </c>
      <c r="C66" s="1" t="s">
        <v>18</v>
      </c>
      <c r="D66" s="1" t="s">
        <v>81</v>
      </c>
      <c r="E66" s="1" t="s">
        <v>82</v>
      </c>
      <c r="F66">
        <v>26.83</v>
      </c>
      <c r="G66">
        <v>3925.17</v>
      </c>
      <c r="H66">
        <v>114.95</v>
      </c>
      <c r="I66">
        <v>2540.61</v>
      </c>
      <c r="J66">
        <v>758.86</v>
      </c>
      <c r="K66">
        <v>302.26</v>
      </c>
      <c r="L66">
        <v>32.35</v>
      </c>
      <c r="M66">
        <v>129.61000000000001</v>
      </c>
      <c r="N66">
        <v>29.05</v>
      </c>
      <c r="O66">
        <v>18.46</v>
      </c>
      <c r="P66">
        <v>1.08</v>
      </c>
    </row>
    <row r="67" spans="1:16">
      <c r="A67" s="1" t="s">
        <v>79</v>
      </c>
      <c r="B67" s="1" t="s">
        <v>94</v>
      </c>
      <c r="C67" s="1" t="s">
        <v>18</v>
      </c>
      <c r="D67" s="1" t="s">
        <v>81</v>
      </c>
      <c r="E67" s="1" t="s">
        <v>82</v>
      </c>
      <c r="F67">
        <v>41.91</v>
      </c>
      <c r="G67">
        <v>3233.75</v>
      </c>
      <c r="H67">
        <v>98.715999999999994</v>
      </c>
      <c r="I67">
        <v>2534.15</v>
      </c>
      <c r="J67">
        <v>802.54</v>
      </c>
      <c r="K67">
        <v>271.29000000000002</v>
      </c>
      <c r="L67">
        <v>31.38</v>
      </c>
      <c r="M67">
        <v>130.57</v>
      </c>
      <c r="N67">
        <v>39.47</v>
      </c>
      <c r="O67">
        <v>24.45</v>
      </c>
      <c r="P67">
        <v>1.08</v>
      </c>
    </row>
    <row r="68" spans="1:16">
      <c r="A68" s="1" t="s">
        <v>79</v>
      </c>
      <c r="B68" s="1" t="s">
        <v>95</v>
      </c>
      <c r="C68" s="1" t="s">
        <v>18</v>
      </c>
      <c r="D68" s="1" t="s">
        <v>81</v>
      </c>
      <c r="E68" s="1" t="s">
        <v>82</v>
      </c>
      <c r="F68">
        <v>43.48</v>
      </c>
      <c r="G68">
        <v>2988.29</v>
      </c>
      <c r="H68">
        <v>120</v>
      </c>
      <c r="I68">
        <v>2441.12</v>
      </c>
      <c r="J68">
        <v>870.85</v>
      </c>
      <c r="K68">
        <v>266.75</v>
      </c>
      <c r="L68">
        <v>29.26</v>
      </c>
      <c r="M68">
        <v>122.55</v>
      </c>
      <c r="N68">
        <v>30.57</v>
      </c>
      <c r="O68">
        <v>14.13</v>
      </c>
      <c r="P68">
        <v>1.08</v>
      </c>
    </row>
    <row r="69" spans="1:16">
      <c r="A69" s="1" t="s">
        <v>79</v>
      </c>
      <c r="B69" s="1" t="s">
        <v>96</v>
      </c>
      <c r="C69" s="1" t="s">
        <v>18</v>
      </c>
      <c r="D69" s="1" t="s">
        <v>81</v>
      </c>
      <c r="E69" s="1" t="s">
        <v>82</v>
      </c>
      <c r="F69">
        <v>74.2</v>
      </c>
      <c r="G69">
        <v>4905.3599999999997</v>
      </c>
      <c r="H69">
        <v>191.93</v>
      </c>
      <c r="I69">
        <v>2361.9499999999998</v>
      </c>
      <c r="J69">
        <v>794.67</v>
      </c>
      <c r="K69">
        <v>279.82</v>
      </c>
      <c r="L69">
        <v>31.36</v>
      </c>
      <c r="M69">
        <v>127.95</v>
      </c>
      <c r="N69">
        <v>38.270000000000003</v>
      </c>
      <c r="O69">
        <v>24</v>
      </c>
      <c r="P69">
        <v>1.08</v>
      </c>
    </row>
    <row r="70" spans="1:16">
      <c r="A70" s="1" t="s">
        <v>79</v>
      </c>
      <c r="B70" s="1" t="s">
        <v>97</v>
      </c>
      <c r="C70" s="1" t="s">
        <v>18</v>
      </c>
      <c r="D70" s="1" t="s">
        <v>81</v>
      </c>
      <c r="E70" s="1" t="s">
        <v>82</v>
      </c>
      <c r="F70">
        <v>83.56</v>
      </c>
      <c r="G70">
        <v>3949.97</v>
      </c>
      <c r="H70">
        <v>98.27</v>
      </c>
      <c r="I70">
        <v>2254.13</v>
      </c>
      <c r="J70">
        <v>2698.44</v>
      </c>
      <c r="K70">
        <v>287.58999999999997</v>
      </c>
      <c r="L70">
        <v>26</v>
      </c>
      <c r="M70">
        <v>181.19</v>
      </c>
      <c r="N70">
        <v>31.49</v>
      </c>
      <c r="O70">
        <v>29.9</v>
      </c>
      <c r="P70">
        <v>1.08</v>
      </c>
    </row>
    <row r="71" spans="1:16">
      <c r="A71" s="1" t="s">
        <v>79</v>
      </c>
      <c r="B71" s="1" t="s">
        <v>98</v>
      </c>
      <c r="C71" s="1" t="s">
        <v>18</v>
      </c>
      <c r="D71" s="1" t="s">
        <v>81</v>
      </c>
      <c r="E71" s="1" t="s">
        <v>82</v>
      </c>
      <c r="F71">
        <v>148.62</v>
      </c>
      <c r="G71">
        <v>3555.1</v>
      </c>
      <c r="H71">
        <v>75.63</v>
      </c>
      <c r="I71">
        <v>2153.2600000000002</v>
      </c>
      <c r="J71">
        <v>2677.33</v>
      </c>
      <c r="K71">
        <v>280.68</v>
      </c>
      <c r="L71">
        <v>21.52</v>
      </c>
      <c r="M71">
        <v>173.38</v>
      </c>
      <c r="N71">
        <v>31.39</v>
      </c>
      <c r="O71">
        <v>25.9</v>
      </c>
      <c r="P71">
        <v>1.08</v>
      </c>
    </row>
    <row r="72" spans="1:16">
      <c r="A72" s="1" t="s">
        <v>79</v>
      </c>
      <c r="B72" s="1" t="s">
        <v>99</v>
      </c>
      <c r="C72" s="1" t="s">
        <v>18</v>
      </c>
      <c r="D72" s="1" t="s">
        <v>81</v>
      </c>
      <c r="E72" s="1" t="s">
        <v>82</v>
      </c>
      <c r="F72">
        <v>330.32</v>
      </c>
      <c r="G72">
        <v>4362.05</v>
      </c>
      <c r="H72">
        <v>62.71</v>
      </c>
      <c r="I72">
        <v>1796.35</v>
      </c>
      <c r="J72">
        <v>1713.83</v>
      </c>
      <c r="K72">
        <v>299.74</v>
      </c>
      <c r="L72">
        <v>27.91</v>
      </c>
      <c r="M72">
        <v>159.83000000000001</v>
      </c>
      <c r="N72">
        <v>112.54</v>
      </c>
      <c r="O72">
        <v>24.34</v>
      </c>
      <c r="P72">
        <v>1.08</v>
      </c>
    </row>
    <row r="73" spans="1:16">
      <c r="A73" s="1" t="s">
        <v>79</v>
      </c>
      <c r="B73" s="1" t="s">
        <v>100</v>
      </c>
      <c r="C73" s="1" t="s">
        <v>18</v>
      </c>
      <c r="D73" s="1" t="s">
        <v>81</v>
      </c>
      <c r="E73" s="1" t="s">
        <v>82</v>
      </c>
      <c r="F73">
        <v>181.81</v>
      </c>
      <c r="G73">
        <v>3189.9</v>
      </c>
      <c r="H73">
        <v>114.99</v>
      </c>
      <c r="I73">
        <v>1989.92</v>
      </c>
      <c r="J73">
        <v>535.45000000000005</v>
      </c>
      <c r="K73">
        <v>277.97000000000003</v>
      </c>
      <c r="L73">
        <v>34.909999999999997</v>
      </c>
      <c r="M73">
        <v>131.41</v>
      </c>
      <c r="N73">
        <v>24.13</v>
      </c>
      <c r="O73">
        <v>27.81</v>
      </c>
      <c r="P73">
        <v>1.08</v>
      </c>
    </row>
    <row r="74" spans="1:16">
      <c r="A74" s="1" t="s">
        <v>79</v>
      </c>
      <c r="B74" s="1" t="s">
        <v>101</v>
      </c>
      <c r="C74" s="1" t="s">
        <v>18</v>
      </c>
      <c r="D74" s="1" t="s">
        <v>81</v>
      </c>
      <c r="E74" s="1" t="s">
        <v>82</v>
      </c>
      <c r="F74">
        <v>331.13</v>
      </c>
      <c r="G74">
        <v>3029.45</v>
      </c>
      <c r="H74">
        <v>92.19</v>
      </c>
      <c r="I74">
        <v>1912.7</v>
      </c>
      <c r="J74">
        <v>470.41</v>
      </c>
      <c r="K74">
        <v>215.37</v>
      </c>
      <c r="L74">
        <v>27.52</v>
      </c>
      <c r="M74">
        <v>104.03</v>
      </c>
      <c r="N74">
        <v>17.350000000000001</v>
      </c>
      <c r="O74">
        <v>7.22</v>
      </c>
      <c r="P74">
        <v>1.08</v>
      </c>
    </row>
    <row r="75" spans="1:16">
      <c r="A75" s="1" t="s">
        <v>79</v>
      </c>
      <c r="B75" s="1" t="s">
        <v>102</v>
      </c>
      <c r="C75" s="1" t="s">
        <v>18</v>
      </c>
      <c r="D75" s="1" t="s">
        <v>81</v>
      </c>
      <c r="E75" s="1" t="s">
        <v>82</v>
      </c>
      <c r="F75">
        <v>33.86</v>
      </c>
      <c r="G75">
        <v>3369.91</v>
      </c>
      <c r="H75">
        <v>119.2</v>
      </c>
      <c r="I75">
        <v>2009.51</v>
      </c>
      <c r="J75">
        <v>543.02</v>
      </c>
      <c r="K75">
        <v>254.84</v>
      </c>
      <c r="L75">
        <v>31.37</v>
      </c>
      <c r="M75">
        <v>116.29</v>
      </c>
      <c r="N75">
        <v>23.36</v>
      </c>
      <c r="O75">
        <v>17.98</v>
      </c>
      <c r="P75">
        <v>1.08</v>
      </c>
    </row>
    <row r="76" spans="1:16">
      <c r="A76" s="1" t="s">
        <v>103</v>
      </c>
      <c r="B76" s="1" t="s">
        <v>104</v>
      </c>
      <c r="C76" s="1" t="s">
        <v>105</v>
      </c>
      <c r="D76" s="1" t="s">
        <v>106</v>
      </c>
      <c r="E76" s="1" t="s">
        <v>107</v>
      </c>
      <c r="F76">
        <v>350.87</v>
      </c>
      <c r="G76">
        <v>548.08000000000004</v>
      </c>
      <c r="H76">
        <v>15.4</v>
      </c>
      <c r="I76">
        <v>10.54</v>
      </c>
      <c r="J76">
        <v>0.57999999999999996</v>
      </c>
      <c r="K76">
        <v>324.55</v>
      </c>
      <c r="L76">
        <v>3.7999999999999999E-2</v>
      </c>
      <c r="M76">
        <v>3.33</v>
      </c>
      <c r="N76">
        <v>15.33</v>
      </c>
      <c r="O76">
        <v>0.38400000000000001</v>
      </c>
      <c r="P76">
        <v>0.245</v>
      </c>
    </row>
    <row r="77" spans="1:16">
      <c r="A77" s="1" t="s">
        <v>103</v>
      </c>
      <c r="B77" s="1" t="s">
        <v>108</v>
      </c>
      <c r="C77" s="1" t="s">
        <v>105</v>
      </c>
      <c r="D77" s="1" t="s">
        <v>106</v>
      </c>
      <c r="E77" s="1" t="s">
        <v>107</v>
      </c>
      <c r="F77">
        <v>167.61</v>
      </c>
      <c r="G77">
        <v>81.96</v>
      </c>
      <c r="H77">
        <v>28.08</v>
      </c>
      <c r="I77">
        <v>14.09</v>
      </c>
      <c r="J77">
        <v>0.6</v>
      </c>
      <c r="K77">
        <v>503.32</v>
      </c>
      <c r="L77">
        <v>0.11</v>
      </c>
      <c r="M77">
        <v>2.73</v>
      </c>
      <c r="N77">
        <v>5.47</v>
      </c>
      <c r="O77">
        <v>0.28199999999999997</v>
      </c>
      <c r="P77">
        <v>0.42</v>
      </c>
    </row>
    <row r="78" spans="1:16">
      <c r="A78" s="1" t="s">
        <v>103</v>
      </c>
      <c r="B78" s="1" t="s">
        <v>109</v>
      </c>
      <c r="C78" s="1" t="s">
        <v>105</v>
      </c>
      <c r="D78" s="1" t="s">
        <v>106</v>
      </c>
      <c r="E78" s="1" t="s">
        <v>107</v>
      </c>
      <c r="F78">
        <v>196.74</v>
      </c>
      <c r="G78">
        <v>168.04</v>
      </c>
      <c r="H78">
        <v>32.72</v>
      </c>
      <c r="I78">
        <v>13.94</v>
      </c>
      <c r="J78">
        <v>0.60499999999999998</v>
      </c>
      <c r="K78">
        <v>467.67</v>
      </c>
      <c r="L78">
        <v>0.64</v>
      </c>
      <c r="M78">
        <v>4.28</v>
      </c>
      <c r="N78">
        <v>8.5500000000000007</v>
      </c>
      <c r="O78">
        <v>0.184</v>
      </c>
      <c r="P78">
        <v>0.57999999999999996</v>
      </c>
    </row>
    <row r="79" spans="1:16">
      <c r="A79" s="1" t="s">
        <v>103</v>
      </c>
      <c r="B79" s="1" t="s">
        <v>110</v>
      </c>
      <c r="C79" s="1" t="s">
        <v>105</v>
      </c>
      <c r="D79" s="1" t="s">
        <v>106</v>
      </c>
      <c r="E79" s="1" t="s">
        <v>107</v>
      </c>
      <c r="F79">
        <v>83.9</v>
      </c>
      <c r="G79">
        <v>327.58999999999997</v>
      </c>
      <c r="H79">
        <v>15.83</v>
      </c>
      <c r="I79">
        <v>13.57</v>
      </c>
      <c r="J79">
        <v>1.21</v>
      </c>
      <c r="K79">
        <v>179.46</v>
      </c>
      <c r="L79">
        <v>1.4E-2</v>
      </c>
      <c r="M79">
        <v>1.8</v>
      </c>
      <c r="N79">
        <v>12.43</v>
      </c>
      <c r="O79">
        <v>0.43099999999999999</v>
      </c>
      <c r="P79">
        <v>0.09</v>
      </c>
    </row>
    <row r="80" spans="1:16">
      <c r="A80" s="1" t="s">
        <v>103</v>
      </c>
      <c r="B80" s="1" t="s">
        <v>111</v>
      </c>
      <c r="C80" s="1" t="s">
        <v>105</v>
      </c>
      <c r="D80" s="1" t="s">
        <v>106</v>
      </c>
      <c r="E80" s="1" t="s">
        <v>107</v>
      </c>
      <c r="F80">
        <v>117.69</v>
      </c>
      <c r="G80">
        <v>143.57</v>
      </c>
      <c r="H80">
        <v>59.85</v>
      </c>
      <c r="I80">
        <v>9.41</v>
      </c>
      <c r="J80">
        <v>0.73</v>
      </c>
      <c r="K80">
        <v>337.59</v>
      </c>
      <c r="L80">
        <v>0.254</v>
      </c>
      <c r="M80">
        <v>3.2</v>
      </c>
      <c r="N80">
        <v>8.76</v>
      </c>
      <c r="O80">
        <v>7.3999999999999996E-2</v>
      </c>
      <c r="P80">
        <v>0.12</v>
      </c>
    </row>
    <row r="81" spans="1:16">
      <c r="A81" s="1" t="s">
        <v>103</v>
      </c>
      <c r="B81" s="1" t="s">
        <v>112</v>
      </c>
      <c r="C81" s="1" t="s">
        <v>105</v>
      </c>
      <c r="D81" s="1" t="s">
        <v>106</v>
      </c>
      <c r="E81" s="1" t="s">
        <v>107</v>
      </c>
      <c r="F81">
        <v>105.36</v>
      </c>
      <c r="G81">
        <v>162.84</v>
      </c>
      <c r="H81">
        <v>101.44</v>
      </c>
      <c r="I81">
        <v>5.74</v>
      </c>
      <c r="J81">
        <v>1.05</v>
      </c>
      <c r="K81">
        <v>488.73</v>
      </c>
      <c r="L81">
        <v>0.34100000000000003</v>
      </c>
      <c r="M81">
        <v>6.22</v>
      </c>
      <c r="N81">
        <v>15.47</v>
      </c>
      <c r="O81">
        <v>0.188</v>
      </c>
      <c r="P81">
        <v>0.1</v>
      </c>
    </row>
    <row r="82" spans="1:16">
      <c r="A82" s="1" t="s">
        <v>103</v>
      </c>
      <c r="B82" s="1" t="s">
        <v>113</v>
      </c>
      <c r="C82" s="1" t="s">
        <v>105</v>
      </c>
      <c r="D82" s="1" t="s">
        <v>106</v>
      </c>
      <c r="E82" s="1" t="s">
        <v>107</v>
      </c>
      <c r="F82">
        <v>33.89</v>
      </c>
      <c r="G82">
        <v>126.48</v>
      </c>
      <c r="H82">
        <v>21.4</v>
      </c>
      <c r="I82">
        <v>10.25</v>
      </c>
      <c r="J82">
        <v>0.52</v>
      </c>
      <c r="K82">
        <v>70.08</v>
      </c>
      <c r="L82">
        <v>2.3E-2</v>
      </c>
      <c r="M82">
        <v>4.09</v>
      </c>
      <c r="N82">
        <v>5.7</v>
      </c>
      <c r="O82">
        <v>0.24</v>
      </c>
      <c r="P82">
        <v>9.1999999999999998E-2</v>
      </c>
    </row>
    <row r="83" spans="1:16">
      <c r="A83" s="1" t="s">
        <v>103</v>
      </c>
      <c r="B83" s="1" t="s">
        <v>114</v>
      </c>
      <c r="C83" s="1" t="s">
        <v>105</v>
      </c>
      <c r="D83" s="1" t="s">
        <v>106</v>
      </c>
      <c r="E83" s="1" t="s">
        <v>107</v>
      </c>
      <c r="F83">
        <v>131.35</v>
      </c>
      <c r="G83">
        <v>193.41</v>
      </c>
      <c r="H83">
        <v>47.39</v>
      </c>
      <c r="I83">
        <v>14.29</v>
      </c>
      <c r="J83">
        <v>1.38</v>
      </c>
      <c r="K83">
        <v>50.44</v>
      </c>
      <c r="L83">
        <v>2.35E-2</v>
      </c>
      <c r="M83">
        <v>2.09</v>
      </c>
      <c r="N83">
        <v>5.94</v>
      </c>
      <c r="O83">
        <v>0.115</v>
      </c>
      <c r="P83">
        <v>0.31</v>
      </c>
    </row>
    <row r="84" spans="1:16">
      <c r="A84" s="1" t="s">
        <v>103</v>
      </c>
      <c r="B84" s="1" t="s">
        <v>115</v>
      </c>
      <c r="C84" s="1" t="s">
        <v>105</v>
      </c>
      <c r="D84" s="1" t="s">
        <v>106</v>
      </c>
      <c r="E84" s="1" t="s">
        <v>107</v>
      </c>
      <c r="F84">
        <v>31.08</v>
      </c>
      <c r="G84">
        <v>176.97</v>
      </c>
      <c r="H84">
        <v>33.76</v>
      </c>
      <c r="I84">
        <v>13.45</v>
      </c>
      <c r="J84">
        <v>0.56000000000000005</v>
      </c>
      <c r="K84">
        <v>94.51</v>
      </c>
      <c r="L84">
        <v>3.5999999999999997E-2</v>
      </c>
      <c r="M84">
        <v>1.36</v>
      </c>
      <c r="N84">
        <v>7.76</v>
      </c>
      <c r="O84">
        <v>0.158</v>
      </c>
      <c r="P84">
        <v>9.35E-2</v>
      </c>
    </row>
    <row r="85" spans="1:16">
      <c r="A85" s="1" t="s">
        <v>103</v>
      </c>
      <c r="B85" s="1" t="s">
        <v>116</v>
      </c>
      <c r="C85" s="1" t="s">
        <v>105</v>
      </c>
      <c r="D85" s="1" t="s">
        <v>106</v>
      </c>
      <c r="E85" s="1" t="s">
        <v>107</v>
      </c>
      <c r="F85">
        <v>570.96</v>
      </c>
      <c r="G85">
        <v>91.02</v>
      </c>
      <c r="H85">
        <v>6.55</v>
      </c>
      <c r="I85">
        <v>4.22</v>
      </c>
      <c r="J85">
        <v>0.53</v>
      </c>
      <c r="K85">
        <v>3780.18</v>
      </c>
      <c r="L85">
        <f>0.033/2</f>
        <v>1.6500000000000001E-2</v>
      </c>
      <c r="M85">
        <v>5.63</v>
      </c>
      <c r="N85">
        <v>7</v>
      </c>
      <c r="O85">
        <f>0.061/2</f>
        <v>3.0499999999999999E-2</v>
      </c>
      <c r="P85">
        <v>0.26200000000000001</v>
      </c>
    </row>
    <row r="86" spans="1:16">
      <c r="A86" s="1" t="s">
        <v>103</v>
      </c>
      <c r="B86" s="1" t="s">
        <v>117</v>
      </c>
      <c r="C86" s="1" t="s">
        <v>105</v>
      </c>
      <c r="D86" s="1" t="s">
        <v>106</v>
      </c>
      <c r="E86" s="1" t="s">
        <v>107</v>
      </c>
      <c r="F86">
        <v>96.44</v>
      </c>
      <c r="G86">
        <v>98.7</v>
      </c>
      <c r="H86">
        <v>7.04</v>
      </c>
      <c r="I86">
        <v>15.26</v>
      </c>
      <c r="J86">
        <f>1.1/2</f>
        <v>0.55000000000000004</v>
      </c>
      <c r="K86">
        <v>270.48</v>
      </c>
      <c r="L86">
        <v>8.6999999999999994E-2</v>
      </c>
      <c r="M86">
        <v>3.24</v>
      </c>
      <c r="N86">
        <v>8.65</v>
      </c>
      <c r="O86">
        <v>0.16</v>
      </c>
      <c r="P86">
        <f>0.177/2</f>
        <v>8.8499999999999995E-2</v>
      </c>
    </row>
    <row r="87" spans="1:16">
      <c r="A87" s="1" t="s">
        <v>103</v>
      </c>
      <c r="B87" s="1" t="s">
        <v>118</v>
      </c>
      <c r="C87" s="1" t="s">
        <v>105</v>
      </c>
      <c r="D87" s="1" t="s">
        <v>106</v>
      </c>
      <c r="E87" s="1" t="s">
        <v>107</v>
      </c>
      <c r="F87">
        <v>9.24</v>
      </c>
      <c r="G87">
        <v>28.52</v>
      </c>
      <c r="H87">
        <v>50.7</v>
      </c>
      <c r="I87">
        <v>1.54</v>
      </c>
      <c r="J87">
        <f>1.26/2</f>
        <v>0.63</v>
      </c>
      <c r="K87">
        <v>109.93</v>
      </c>
      <c r="L87">
        <v>0.156</v>
      </c>
      <c r="M87">
        <f>0.115/2</f>
        <v>5.7500000000000002E-2</v>
      </c>
      <c r="N87">
        <v>1.22</v>
      </c>
      <c r="O87">
        <f>0.032/2</f>
        <v>1.6E-2</v>
      </c>
      <c r="P87">
        <f>0.175/2</f>
        <v>8.7499999999999994E-2</v>
      </c>
    </row>
    <row r="88" spans="1:16">
      <c r="A88" s="1" t="s">
        <v>103</v>
      </c>
      <c r="B88" s="1" t="s">
        <v>119</v>
      </c>
      <c r="C88" s="1" t="s">
        <v>105</v>
      </c>
      <c r="D88" s="1" t="s">
        <v>106</v>
      </c>
      <c r="E88" s="1" t="s">
        <v>107</v>
      </c>
      <c r="F88">
        <v>490.38</v>
      </c>
      <c r="G88">
        <v>34.28</v>
      </c>
      <c r="H88">
        <f>0.66/2</f>
        <v>0.33</v>
      </c>
      <c r="I88">
        <v>0.434</v>
      </c>
      <c r="J88">
        <f>1.31/2</f>
        <v>0.65500000000000003</v>
      </c>
      <c r="K88">
        <v>340.31</v>
      </c>
      <c r="L88">
        <v>0.49</v>
      </c>
      <c r="M88">
        <v>0.84</v>
      </c>
      <c r="N88">
        <v>4.2</v>
      </c>
      <c r="O88">
        <f>0.034/2</f>
        <v>1.7000000000000001E-2</v>
      </c>
      <c r="P88">
        <f>0.211/2</f>
        <v>0.1055</v>
      </c>
    </row>
    <row r="89" spans="1:16">
      <c r="A89" s="1" t="s">
        <v>103</v>
      </c>
      <c r="B89" s="1" t="s">
        <v>120</v>
      </c>
      <c r="C89" s="1" t="s">
        <v>105</v>
      </c>
      <c r="D89" s="1" t="s">
        <v>106</v>
      </c>
      <c r="E89" s="1" t="s">
        <v>107</v>
      </c>
      <c r="F89">
        <v>136.52000000000001</v>
      </c>
      <c r="G89">
        <v>20.6</v>
      </c>
      <c r="H89">
        <v>1.1100000000000001</v>
      </c>
      <c r="I89">
        <v>0.45700000000000002</v>
      </c>
      <c r="J89">
        <f>1.37/2</f>
        <v>0.68500000000000005</v>
      </c>
      <c r="K89">
        <v>332.87</v>
      </c>
      <c r="L89">
        <v>0.57099999999999995</v>
      </c>
      <c r="M89">
        <v>1.04</v>
      </c>
      <c r="N89">
        <v>4.4000000000000004</v>
      </c>
      <c r="O89">
        <v>0.1</v>
      </c>
      <c r="P89">
        <v>0.25</v>
      </c>
    </row>
    <row r="90" spans="1:16">
      <c r="A90" s="1" t="s">
        <v>103</v>
      </c>
      <c r="B90" s="1" t="s">
        <v>121</v>
      </c>
      <c r="C90" s="1" t="s">
        <v>105</v>
      </c>
      <c r="D90" s="1" t="s">
        <v>106</v>
      </c>
      <c r="E90" s="1" t="s">
        <v>107</v>
      </c>
      <c r="F90">
        <v>58.66</v>
      </c>
      <c r="G90">
        <v>24.34</v>
      </c>
      <c r="H90">
        <f>0.64/2</f>
        <v>0.32</v>
      </c>
      <c r="I90">
        <v>0.307</v>
      </c>
      <c r="J90">
        <f>1.2/2</f>
        <v>0.6</v>
      </c>
      <c r="K90">
        <v>318.02</v>
      </c>
      <c r="L90">
        <v>0.61199999999999999</v>
      </c>
      <c r="M90">
        <v>0.81</v>
      </c>
      <c r="N90">
        <v>4.0999999999999996</v>
      </c>
      <c r="O90">
        <v>3.6999999999999998E-2</v>
      </c>
      <c r="P90">
        <f>0.199/2</f>
        <v>9.9500000000000005E-2</v>
      </c>
    </row>
    <row r="91" spans="1:16">
      <c r="A91" s="1" t="s">
        <v>103</v>
      </c>
      <c r="B91" s="1" t="s">
        <v>122</v>
      </c>
      <c r="C91" s="1" t="s">
        <v>105</v>
      </c>
      <c r="D91" s="1" t="s">
        <v>106</v>
      </c>
      <c r="E91" s="1" t="s">
        <v>107</v>
      </c>
      <c r="F91">
        <v>256.11</v>
      </c>
      <c r="G91">
        <v>23.35</v>
      </c>
      <c r="H91">
        <v>0.84</v>
      </c>
      <c r="I91">
        <v>0.496</v>
      </c>
      <c r="J91">
        <v>1.01</v>
      </c>
      <c r="K91">
        <v>334.56</v>
      </c>
      <c r="L91">
        <v>0.53100000000000003</v>
      </c>
      <c r="M91">
        <v>0.66</v>
      </c>
      <c r="N91">
        <v>5.32</v>
      </c>
      <c r="O91">
        <v>5.7000000000000002E-2</v>
      </c>
      <c r="P91">
        <v>0.17399999999999999</v>
      </c>
    </row>
    <row r="92" spans="1:16">
      <c r="A92" s="1" t="s">
        <v>103</v>
      </c>
      <c r="B92" s="1" t="s">
        <v>123</v>
      </c>
      <c r="C92" s="1" t="s">
        <v>105</v>
      </c>
      <c r="D92" s="1" t="s">
        <v>106</v>
      </c>
      <c r="E92" s="1" t="s">
        <v>107</v>
      </c>
      <c r="F92">
        <v>104.69</v>
      </c>
      <c r="G92">
        <v>17.34</v>
      </c>
      <c r="H92">
        <v>0.66</v>
      </c>
      <c r="I92">
        <v>0.43099999999999999</v>
      </c>
      <c r="J92">
        <v>0.94</v>
      </c>
      <c r="K92">
        <v>315.81</v>
      </c>
      <c r="L92">
        <v>0.68100000000000005</v>
      </c>
      <c r="M92">
        <v>0.87</v>
      </c>
      <c r="N92">
        <v>4.8499999999999996</v>
      </c>
      <c r="O92">
        <v>6.6000000000000003E-2</v>
      </c>
      <c r="P92">
        <v>0.17799999999999999</v>
      </c>
    </row>
    <row r="93" spans="1:16">
      <c r="A93" s="1" t="s">
        <v>103</v>
      </c>
      <c r="B93" s="1" t="s">
        <v>124</v>
      </c>
      <c r="C93" s="1" t="s">
        <v>105</v>
      </c>
      <c r="D93" s="1" t="s">
        <v>106</v>
      </c>
      <c r="E93" s="1" t="s">
        <v>107</v>
      </c>
      <c r="F93">
        <v>23.17</v>
      </c>
      <c r="G93">
        <v>23.19</v>
      </c>
      <c r="H93">
        <v>0.66</v>
      </c>
      <c r="I93">
        <v>0.27300000000000002</v>
      </c>
      <c r="J93">
        <v>1.1399999999999999</v>
      </c>
      <c r="K93">
        <v>329.45</v>
      </c>
      <c r="L93">
        <v>0.82</v>
      </c>
      <c r="M93">
        <v>0.9</v>
      </c>
      <c r="N93">
        <v>3.27</v>
      </c>
      <c r="O93">
        <v>3.1E-2</v>
      </c>
      <c r="P93">
        <v>0.185</v>
      </c>
    </row>
    <row r="94" spans="1:16">
      <c r="A94" s="1" t="s">
        <v>103</v>
      </c>
      <c r="B94" s="1" t="s">
        <v>125</v>
      </c>
      <c r="C94" s="1" t="s">
        <v>105</v>
      </c>
      <c r="D94" s="1" t="s">
        <v>106</v>
      </c>
      <c r="E94" s="1" t="s">
        <v>107</v>
      </c>
      <c r="F94">
        <v>71.86</v>
      </c>
      <c r="G94">
        <v>18.38</v>
      </c>
      <c r="H94">
        <v>0.66</v>
      </c>
      <c r="I94">
        <v>0.49399999999999999</v>
      </c>
      <c r="J94">
        <v>1.67</v>
      </c>
      <c r="K94">
        <v>279.74</v>
      </c>
      <c r="L94">
        <v>0.626</v>
      </c>
      <c r="M94">
        <v>0.67</v>
      </c>
      <c r="N94">
        <v>4.5599999999999996</v>
      </c>
      <c r="O94">
        <v>0.128</v>
      </c>
      <c r="P94">
        <v>0.254</v>
      </c>
    </row>
    <row r="95" spans="1:16">
      <c r="A95" s="1" t="s">
        <v>103</v>
      </c>
      <c r="B95" s="1" t="s">
        <v>126</v>
      </c>
      <c r="C95" s="1" t="s">
        <v>105</v>
      </c>
      <c r="D95" s="1" t="s">
        <v>106</v>
      </c>
      <c r="E95" s="1" t="s">
        <v>107</v>
      </c>
      <c r="F95">
        <v>84.72</v>
      </c>
      <c r="G95">
        <v>13.4</v>
      </c>
      <c r="H95">
        <v>1.06</v>
      </c>
      <c r="I95">
        <v>0.68300000000000005</v>
      </c>
      <c r="J95">
        <v>1.33</v>
      </c>
      <c r="K95">
        <v>262.77</v>
      </c>
      <c r="L95">
        <v>0.93400000000000005</v>
      </c>
      <c r="M95">
        <v>0.79</v>
      </c>
      <c r="N95">
        <v>6.55</v>
      </c>
      <c r="O95">
        <v>0.105</v>
      </c>
      <c r="P95">
        <v>0.218</v>
      </c>
    </row>
    <row r="96" spans="1:16">
      <c r="A96" s="1" t="s">
        <v>103</v>
      </c>
      <c r="B96" s="1" t="s">
        <v>127</v>
      </c>
      <c r="C96" s="1" t="s">
        <v>105</v>
      </c>
      <c r="D96" s="1" t="s">
        <v>106</v>
      </c>
      <c r="E96" s="1" t="s">
        <v>107</v>
      </c>
      <c r="F96">
        <v>34.44</v>
      </c>
      <c r="G96">
        <v>22.47</v>
      </c>
      <c r="H96">
        <v>0.4</v>
      </c>
      <c r="I96">
        <v>0.71899999999999997</v>
      </c>
      <c r="J96">
        <v>1.41</v>
      </c>
      <c r="K96">
        <v>296.82</v>
      </c>
      <c r="L96">
        <v>0.61</v>
      </c>
      <c r="M96">
        <v>1.1599999999999999</v>
      </c>
      <c r="N96">
        <v>5.6</v>
      </c>
      <c r="O96">
        <f>0.038/2</f>
        <v>1.9E-2</v>
      </c>
      <c r="P96">
        <f>0.197/2</f>
        <v>9.8500000000000004E-2</v>
      </c>
    </row>
    <row r="97" spans="1:16">
      <c r="A97" s="1" t="s">
        <v>103</v>
      </c>
      <c r="B97" s="1" t="s">
        <v>128</v>
      </c>
      <c r="C97" s="1" t="s">
        <v>105</v>
      </c>
      <c r="D97" s="1" t="s">
        <v>106</v>
      </c>
      <c r="E97" s="1" t="s">
        <v>107</v>
      </c>
      <c r="F97">
        <v>14.8</v>
      </c>
      <c r="G97">
        <v>26.97</v>
      </c>
      <c r="H97">
        <v>2</v>
      </c>
      <c r="I97">
        <v>0.95299999999999996</v>
      </c>
      <c r="J97">
        <f>1.13/2</f>
        <v>0.56499999999999995</v>
      </c>
      <c r="K97">
        <v>215.93</v>
      </c>
      <c r="L97">
        <v>0.14000000000000001</v>
      </c>
      <c r="M97">
        <f>0.13/2</f>
        <v>6.5000000000000002E-2</v>
      </c>
      <c r="N97">
        <v>1.97</v>
      </c>
      <c r="O97">
        <v>2.7E-2</v>
      </c>
      <c r="P97">
        <f>0.166/2</f>
        <v>8.3000000000000004E-2</v>
      </c>
    </row>
    <row r="98" spans="1:16">
      <c r="A98" s="1" t="s">
        <v>103</v>
      </c>
      <c r="B98" s="1" t="s">
        <v>129</v>
      </c>
      <c r="C98" s="1" t="s">
        <v>105</v>
      </c>
      <c r="D98" s="1" t="s">
        <v>106</v>
      </c>
      <c r="E98" s="1" t="s">
        <v>107</v>
      </c>
      <c r="F98">
        <v>325.08</v>
      </c>
      <c r="G98">
        <v>14.96</v>
      </c>
      <c r="H98">
        <f>0.78/2</f>
        <v>0.39</v>
      </c>
      <c r="I98">
        <v>0.40600000000000003</v>
      </c>
      <c r="J98">
        <f>1.26/2</f>
        <v>0.63</v>
      </c>
      <c r="K98">
        <v>311.85000000000002</v>
      </c>
      <c r="L98">
        <v>0.625</v>
      </c>
      <c r="M98">
        <v>1.37</v>
      </c>
      <c r="N98">
        <v>2.69</v>
      </c>
      <c r="O98">
        <v>6.8000000000000005E-2</v>
      </c>
      <c r="P98">
        <f>0.21/2</f>
        <v>0.105</v>
      </c>
    </row>
    <row r="99" spans="1:16">
      <c r="A99" s="1" t="s">
        <v>103</v>
      </c>
      <c r="B99" s="1" t="s">
        <v>130</v>
      </c>
      <c r="C99" s="1" t="s">
        <v>105</v>
      </c>
      <c r="D99" s="1" t="s">
        <v>106</v>
      </c>
      <c r="E99" s="1" t="s">
        <v>107</v>
      </c>
      <c r="F99">
        <v>42.19</v>
      </c>
      <c r="G99">
        <v>18.57</v>
      </c>
      <c r="H99">
        <f>0.77/2</f>
        <v>0.38500000000000001</v>
      </c>
      <c r="I99">
        <v>0.34200000000000003</v>
      </c>
      <c r="J99">
        <f>1.23/2</f>
        <v>0.61499999999999999</v>
      </c>
      <c r="K99">
        <v>339.27</v>
      </c>
      <c r="L99">
        <v>0.64200000000000002</v>
      </c>
      <c r="M99">
        <v>1.17</v>
      </c>
      <c r="N99">
        <v>3.55</v>
      </c>
      <c r="O99">
        <v>7.2999999999999995E-2</v>
      </c>
      <c r="P99">
        <f>0.207/2</f>
        <v>0.10349999999999999</v>
      </c>
    </row>
    <row r="100" spans="1:16">
      <c r="A100" s="1" t="s">
        <v>103</v>
      </c>
      <c r="B100" s="1" t="s">
        <v>131</v>
      </c>
      <c r="C100" s="1" t="s">
        <v>105</v>
      </c>
      <c r="D100" s="1" t="s">
        <v>106</v>
      </c>
      <c r="E100" s="1" t="s">
        <v>107</v>
      </c>
      <c r="F100">
        <v>443.3</v>
      </c>
      <c r="G100">
        <v>26.89</v>
      </c>
      <c r="H100">
        <f>0.9/2</f>
        <v>0.45</v>
      </c>
      <c r="I100">
        <v>0.375</v>
      </c>
      <c r="J100">
        <f>1.47/2</f>
        <v>0.73499999999999999</v>
      </c>
      <c r="K100">
        <v>210.24</v>
      </c>
      <c r="L100">
        <v>0.66600000000000004</v>
      </c>
      <c r="M100">
        <v>0.97</v>
      </c>
      <c r="N100">
        <v>4.46</v>
      </c>
      <c r="O100">
        <v>0.122</v>
      </c>
      <c r="P100">
        <f>0.227/2</f>
        <v>0.1135</v>
      </c>
    </row>
    <row r="101" spans="1:16">
      <c r="A101" s="1" t="s">
        <v>103</v>
      </c>
      <c r="B101" s="1" t="s">
        <v>132</v>
      </c>
      <c r="C101" s="1" t="s">
        <v>105</v>
      </c>
      <c r="D101" s="1" t="s">
        <v>106</v>
      </c>
      <c r="E101" s="1" t="s">
        <v>107</v>
      </c>
      <c r="F101">
        <v>21.82</v>
      </c>
      <c r="G101">
        <v>25.3</v>
      </c>
      <c r="H101">
        <f>0.75/2</f>
        <v>0.375</v>
      </c>
      <c r="I101">
        <v>0.49299999999999999</v>
      </c>
      <c r="J101">
        <f>1.31/2</f>
        <v>0.65500000000000003</v>
      </c>
      <c r="K101">
        <v>283.54000000000002</v>
      </c>
      <c r="L101">
        <v>0.505</v>
      </c>
      <c r="M101">
        <v>1.18</v>
      </c>
      <c r="N101">
        <v>4.55</v>
      </c>
      <c r="O101">
        <f>0.04/2</f>
        <v>0.02</v>
      </c>
      <c r="P101">
        <f>0.197/2</f>
        <v>9.8500000000000004E-2</v>
      </c>
    </row>
    <row r="102" spans="1:16">
      <c r="A102" s="1" t="s">
        <v>103</v>
      </c>
      <c r="B102" s="1" t="s">
        <v>133</v>
      </c>
      <c r="C102" s="1" t="s">
        <v>105</v>
      </c>
      <c r="D102" s="1" t="s">
        <v>106</v>
      </c>
      <c r="E102" s="1" t="s">
        <v>107</v>
      </c>
      <c r="F102">
        <v>43.46</v>
      </c>
      <c r="G102">
        <v>18.88</v>
      </c>
      <c r="H102">
        <f>0.91/2</f>
        <v>0.45500000000000002</v>
      </c>
      <c r="I102">
        <v>0.63100000000000001</v>
      </c>
      <c r="J102">
        <f>1.45/2</f>
        <v>0.72499999999999998</v>
      </c>
      <c r="K102">
        <v>251.87</v>
      </c>
      <c r="L102">
        <v>0.57399999999999995</v>
      </c>
      <c r="M102">
        <v>0.87</v>
      </c>
      <c r="N102">
        <v>3.46</v>
      </c>
      <c r="O102">
        <v>7.2999999999999995E-2</v>
      </c>
      <c r="P102">
        <f>0.219/2</f>
        <v>0.1095</v>
      </c>
    </row>
    <row r="103" spans="1:16">
      <c r="A103" s="1" t="s">
        <v>103</v>
      </c>
      <c r="B103" s="1" t="s">
        <v>134</v>
      </c>
      <c r="C103" s="1" t="s">
        <v>105</v>
      </c>
      <c r="D103" s="1" t="s">
        <v>106</v>
      </c>
      <c r="E103" s="1" t="s">
        <v>107</v>
      </c>
      <c r="F103">
        <v>1817.53</v>
      </c>
      <c r="G103">
        <v>20.27</v>
      </c>
      <c r="H103">
        <f>1.14/2</f>
        <v>0.56999999999999995</v>
      </c>
      <c r="I103">
        <v>0.501</v>
      </c>
      <c r="J103">
        <f>1.43/2</f>
        <v>0.71499999999999997</v>
      </c>
      <c r="K103">
        <v>309.01</v>
      </c>
      <c r="L103">
        <v>0.54700000000000004</v>
      </c>
      <c r="M103">
        <v>0.85</v>
      </c>
      <c r="N103">
        <v>4.95</v>
      </c>
      <c r="O103">
        <v>6.5000000000000002E-2</v>
      </c>
      <c r="P103">
        <f>0.213/2</f>
        <v>0.1065</v>
      </c>
    </row>
    <row r="104" spans="1:16">
      <c r="A104" s="1" t="s">
        <v>103</v>
      </c>
      <c r="B104" s="1" t="s">
        <v>135</v>
      </c>
      <c r="C104" s="1" t="s">
        <v>105</v>
      </c>
      <c r="D104" s="1" t="s">
        <v>106</v>
      </c>
      <c r="E104" s="1" t="s">
        <v>107</v>
      </c>
      <c r="F104">
        <v>988.41</v>
      </c>
      <c r="G104">
        <v>10.01</v>
      </c>
      <c r="H104">
        <v>2.04</v>
      </c>
      <c r="I104">
        <v>0.71899999999999997</v>
      </c>
      <c r="J104">
        <f>0.84/2</f>
        <v>0.42</v>
      </c>
      <c r="K104">
        <v>547.46</v>
      </c>
      <c r="L104">
        <v>0.246</v>
      </c>
      <c r="M104">
        <v>0.59</v>
      </c>
      <c r="N104">
        <v>15.59</v>
      </c>
      <c r="O104">
        <v>4.2999999999999997E-2</v>
      </c>
      <c r="P104">
        <f>0.091/2</f>
        <v>4.5499999999999999E-2</v>
      </c>
    </row>
    <row r="105" spans="1:16">
      <c r="A105" s="1" t="s">
        <v>103</v>
      </c>
      <c r="B105" s="1" t="s">
        <v>136</v>
      </c>
      <c r="C105" s="1" t="s">
        <v>105</v>
      </c>
      <c r="D105" s="1" t="s">
        <v>106</v>
      </c>
      <c r="E105" s="1" t="s">
        <v>107</v>
      </c>
      <c r="F105">
        <v>22.08</v>
      </c>
      <c r="G105">
        <v>25.6</v>
      </c>
      <c r="H105">
        <v>1.26</v>
      </c>
      <c r="I105">
        <v>0.503</v>
      </c>
      <c r="J105">
        <f>0.73/2</f>
        <v>0.36499999999999999</v>
      </c>
      <c r="K105">
        <v>473.5</v>
      </c>
      <c r="L105">
        <v>9.0999999999999998E-2</v>
      </c>
      <c r="M105">
        <v>0.5</v>
      </c>
      <c r="N105">
        <v>11.82</v>
      </c>
      <c r="O105">
        <v>3.4000000000000002E-2</v>
      </c>
      <c r="P105">
        <f>0.098/2</f>
        <v>4.9000000000000002E-2</v>
      </c>
    </row>
    <row r="106" spans="1:16">
      <c r="A106" s="1" t="s">
        <v>103</v>
      </c>
      <c r="B106" s="1" t="s">
        <v>137</v>
      </c>
      <c r="C106" s="1" t="s">
        <v>105</v>
      </c>
      <c r="D106" s="1" t="s">
        <v>106</v>
      </c>
      <c r="E106" s="1" t="s">
        <v>107</v>
      </c>
      <c r="F106">
        <v>16.690000000000001</v>
      </c>
      <c r="G106">
        <v>16.75</v>
      </c>
      <c r="H106">
        <v>1.1000000000000001</v>
      </c>
      <c r="I106">
        <v>0.55400000000000005</v>
      </c>
      <c r="J106">
        <f>0.72/2</f>
        <v>0.36</v>
      </c>
      <c r="K106">
        <v>485.86</v>
      </c>
      <c r="L106">
        <v>0.185</v>
      </c>
      <c r="M106">
        <v>0.64</v>
      </c>
      <c r="N106">
        <v>11.59</v>
      </c>
      <c r="O106">
        <v>4.8000000000000001E-2</v>
      </c>
      <c r="P106">
        <f>0.091/2</f>
        <v>4.5499999999999999E-2</v>
      </c>
    </row>
    <row r="107" spans="1:16">
      <c r="A107" s="1" t="s">
        <v>103</v>
      </c>
      <c r="B107" s="1" t="s">
        <v>138</v>
      </c>
      <c r="C107" s="1" t="s">
        <v>105</v>
      </c>
      <c r="D107" s="1" t="s">
        <v>106</v>
      </c>
      <c r="E107" s="1" t="s">
        <v>107</v>
      </c>
      <c r="F107">
        <v>37.65</v>
      </c>
      <c r="G107">
        <v>14.89</v>
      </c>
      <c r="H107">
        <v>1.34</v>
      </c>
      <c r="I107">
        <v>0.60299999999999998</v>
      </c>
      <c r="J107">
        <f>0.78/2</f>
        <v>0.39</v>
      </c>
      <c r="K107">
        <v>408.46</v>
      </c>
      <c r="L107">
        <v>0.10199999999999999</v>
      </c>
      <c r="M107">
        <v>0.28999999999999998</v>
      </c>
      <c r="N107">
        <v>9.8699999999999992</v>
      </c>
      <c r="O107">
        <f>0.052/2</f>
        <v>2.5999999999999999E-2</v>
      </c>
      <c r="P107">
        <v>0.13500000000000001</v>
      </c>
    </row>
    <row r="108" spans="1:16">
      <c r="A108" s="1" t="s">
        <v>103</v>
      </c>
      <c r="B108" s="1" t="s">
        <v>139</v>
      </c>
      <c r="C108" s="1" t="s">
        <v>105</v>
      </c>
      <c r="D108" s="1" t="s">
        <v>106</v>
      </c>
      <c r="E108" s="1" t="s">
        <v>107</v>
      </c>
      <c r="F108">
        <v>59.05</v>
      </c>
      <c r="G108">
        <v>8.49</v>
      </c>
      <c r="H108">
        <v>2.19</v>
      </c>
      <c r="I108">
        <v>0.61399999999999999</v>
      </c>
      <c r="J108">
        <f>0.53/2</f>
        <v>0.26500000000000001</v>
      </c>
      <c r="K108">
        <v>287.02999999999997</v>
      </c>
      <c r="L108">
        <v>0.113</v>
      </c>
      <c r="M108">
        <v>0.42</v>
      </c>
      <c r="N108">
        <v>4.79</v>
      </c>
      <c r="O108">
        <v>6.3E-2</v>
      </c>
      <c r="P108">
        <v>6.6000000000000003E-2</v>
      </c>
    </row>
    <row r="109" spans="1:16">
      <c r="A109" s="1" t="s">
        <v>103</v>
      </c>
      <c r="B109" s="1" t="s">
        <v>140</v>
      </c>
      <c r="C109" s="1" t="s">
        <v>105</v>
      </c>
      <c r="D109" s="1" t="s">
        <v>106</v>
      </c>
      <c r="E109" s="1" t="s">
        <v>107</v>
      </c>
      <c r="F109">
        <v>113.48</v>
      </c>
      <c r="G109">
        <v>15.54</v>
      </c>
      <c r="H109">
        <v>1.54</v>
      </c>
      <c r="I109">
        <v>0.66200000000000003</v>
      </c>
      <c r="J109">
        <f>0.8/2</f>
        <v>0.4</v>
      </c>
      <c r="K109">
        <v>482.17</v>
      </c>
      <c r="L109">
        <v>0.14399999999999999</v>
      </c>
      <c r="M109">
        <v>0.67</v>
      </c>
      <c r="N109">
        <v>11.16</v>
      </c>
      <c r="O109">
        <v>6.0999999999999999E-2</v>
      </c>
      <c r="P109">
        <f>0.106/2</f>
        <v>5.2999999999999999E-2</v>
      </c>
    </row>
    <row r="110" spans="1:16">
      <c r="A110" s="1" t="s">
        <v>103</v>
      </c>
      <c r="B110" s="1" t="s">
        <v>141</v>
      </c>
      <c r="C110" s="1" t="s">
        <v>105</v>
      </c>
      <c r="D110" s="1" t="s">
        <v>106</v>
      </c>
      <c r="E110" s="1" t="s">
        <v>107</v>
      </c>
      <c r="F110">
        <v>196.49</v>
      </c>
      <c r="G110">
        <v>11.31</v>
      </c>
      <c r="H110">
        <v>1.0900000000000001</v>
      </c>
      <c r="I110">
        <v>0.57399999999999995</v>
      </c>
      <c r="J110">
        <f>0.82/2</f>
        <v>0.41</v>
      </c>
      <c r="K110">
        <v>310.64999999999998</v>
      </c>
      <c r="L110">
        <v>0.219</v>
      </c>
      <c r="M110">
        <v>0.46</v>
      </c>
      <c r="N110">
        <v>11.03</v>
      </c>
      <c r="O110">
        <f>0.056/2</f>
        <v>2.8000000000000001E-2</v>
      </c>
      <c r="P110">
        <v>0.125</v>
      </c>
    </row>
    <row r="111" spans="1:16">
      <c r="A111" s="1" t="s">
        <v>103</v>
      </c>
      <c r="B111" s="1" t="s">
        <v>142</v>
      </c>
      <c r="C111" s="1" t="s">
        <v>105</v>
      </c>
      <c r="D111" s="1" t="s">
        <v>106</v>
      </c>
      <c r="E111" s="1" t="s">
        <v>107</v>
      </c>
      <c r="F111">
        <v>1892.64</v>
      </c>
      <c r="G111">
        <v>14.5</v>
      </c>
      <c r="H111">
        <v>0.82</v>
      </c>
      <c r="I111">
        <v>0.45200000000000001</v>
      </c>
      <c r="J111">
        <f>1.07/2</f>
        <v>0.53500000000000003</v>
      </c>
      <c r="K111">
        <v>305.77</v>
      </c>
      <c r="L111">
        <v>0.32700000000000001</v>
      </c>
      <c r="M111">
        <v>0.28000000000000003</v>
      </c>
      <c r="N111">
        <v>14.88</v>
      </c>
      <c r="O111">
        <f>0.058/2</f>
        <v>2.9000000000000001E-2</v>
      </c>
      <c r="P111">
        <f>0.121/2</f>
        <v>6.0499999999999998E-2</v>
      </c>
    </row>
    <row r="112" spans="1:16">
      <c r="A112" s="1" t="s">
        <v>103</v>
      </c>
      <c r="B112" s="1" t="s">
        <v>143</v>
      </c>
      <c r="C112" s="1" t="s">
        <v>105</v>
      </c>
      <c r="D112" s="1" t="s">
        <v>106</v>
      </c>
      <c r="E112" s="1" t="s">
        <v>107</v>
      </c>
      <c r="F112">
        <v>20.22</v>
      </c>
      <c r="G112">
        <v>20.420000000000002</v>
      </c>
      <c r="H112">
        <v>1.17</v>
      </c>
      <c r="I112">
        <v>0.441</v>
      </c>
      <c r="J112">
        <f>0.81/2</f>
        <v>0.40500000000000003</v>
      </c>
      <c r="K112">
        <v>484.66</v>
      </c>
      <c r="L112">
        <v>8.7999999999999995E-2</v>
      </c>
      <c r="M112">
        <v>0.5</v>
      </c>
      <c r="N112">
        <v>12.5</v>
      </c>
      <c r="O112">
        <f>0.049/2</f>
        <v>2.4500000000000001E-2</v>
      </c>
      <c r="P112">
        <f>0.108/2</f>
        <v>5.3999999999999999E-2</v>
      </c>
    </row>
    <row r="113" spans="1:16">
      <c r="A113" s="1" t="s">
        <v>103</v>
      </c>
      <c r="B113" s="1" t="s">
        <v>144</v>
      </c>
      <c r="C113" s="1" t="s">
        <v>105</v>
      </c>
      <c r="D113" s="1" t="s">
        <v>106</v>
      </c>
      <c r="E113" s="1" t="s">
        <v>107</v>
      </c>
      <c r="F113">
        <v>71.87</v>
      </c>
      <c r="G113">
        <v>25.08</v>
      </c>
      <c r="H113">
        <v>1.28</v>
      </c>
      <c r="I113">
        <v>0.32300000000000001</v>
      </c>
      <c r="J113">
        <f>0.77/2</f>
        <v>0.38500000000000001</v>
      </c>
      <c r="K113">
        <v>569.46</v>
      </c>
      <c r="L113">
        <v>9.6000000000000002E-2</v>
      </c>
      <c r="M113">
        <v>0.53</v>
      </c>
      <c r="N113">
        <v>11.84</v>
      </c>
      <c r="O113">
        <f>0.038/2</f>
        <v>1.9E-2</v>
      </c>
      <c r="P113">
        <v>0.13600000000000001</v>
      </c>
    </row>
    <row r="114" spans="1:16">
      <c r="A114" s="1" t="s">
        <v>103</v>
      </c>
      <c r="B114" s="1" t="s">
        <v>145</v>
      </c>
      <c r="C114" s="1" t="s">
        <v>105</v>
      </c>
      <c r="D114" s="1" t="s">
        <v>106</v>
      </c>
      <c r="E114" s="1" t="s">
        <v>107</v>
      </c>
      <c r="F114">
        <v>143.08000000000001</v>
      </c>
      <c r="G114">
        <v>9.5500000000000007</v>
      </c>
      <c r="H114">
        <v>2.0499999999999998</v>
      </c>
      <c r="I114">
        <v>0.65</v>
      </c>
      <c r="J114">
        <f>0.79/2</f>
        <v>0.39500000000000002</v>
      </c>
      <c r="K114">
        <v>288.58999999999997</v>
      </c>
      <c r="L114">
        <v>0.21099999999999999</v>
      </c>
      <c r="M114">
        <v>0.52</v>
      </c>
      <c r="N114">
        <v>13.03</v>
      </c>
      <c r="O114">
        <v>9.9000000000000005E-2</v>
      </c>
      <c r="P114">
        <v>0.11</v>
      </c>
    </row>
    <row r="115" spans="1:16">
      <c r="A115" s="1" t="s">
        <v>103</v>
      </c>
      <c r="B115" s="1" t="s">
        <v>146</v>
      </c>
      <c r="C115" s="1" t="s">
        <v>105</v>
      </c>
      <c r="D115" s="1" t="s">
        <v>106</v>
      </c>
      <c r="E115" s="1" t="s">
        <v>107</v>
      </c>
      <c r="F115">
        <v>60.68</v>
      </c>
      <c r="G115">
        <v>14.83</v>
      </c>
      <c r="H115">
        <v>0.68</v>
      </c>
      <c r="I115">
        <v>0.29899999999999999</v>
      </c>
      <c r="J115">
        <f>0.6/2</f>
        <v>0.3</v>
      </c>
      <c r="K115">
        <v>438.81</v>
      </c>
      <c r="L115">
        <v>7.0000000000000007E-2</v>
      </c>
      <c r="M115">
        <v>0.7</v>
      </c>
      <c r="N115">
        <v>11.65</v>
      </c>
      <c r="O115">
        <v>4.7E-2</v>
      </c>
      <c r="P115">
        <f>0.104/2</f>
        <v>5.1999999999999998E-2</v>
      </c>
    </row>
    <row r="116" spans="1:16">
      <c r="A116" s="1" t="s">
        <v>103</v>
      </c>
      <c r="B116" s="1" t="s">
        <v>147</v>
      </c>
      <c r="C116" s="1" t="s">
        <v>105</v>
      </c>
      <c r="D116" s="1" t="s">
        <v>106</v>
      </c>
      <c r="E116" s="1" t="s">
        <v>107</v>
      </c>
      <c r="F116">
        <v>21.59</v>
      </c>
      <c r="G116">
        <v>20.399999999999999</v>
      </c>
      <c r="H116">
        <v>0.89</v>
      </c>
      <c r="I116">
        <v>0.44400000000000001</v>
      </c>
      <c r="J116">
        <f>0.87/2</f>
        <v>0.435</v>
      </c>
      <c r="K116">
        <v>488.78</v>
      </c>
      <c r="L116">
        <v>0.11700000000000001</v>
      </c>
      <c r="M116">
        <v>0.41</v>
      </c>
      <c r="N116">
        <v>11.47</v>
      </c>
      <c r="O116">
        <v>7.5999999999999998E-2</v>
      </c>
      <c r="P116">
        <f>0.089/2</f>
        <v>4.4499999999999998E-2</v>
      </c>
    </row>
    <row r="117" spans="1:16">
      <c r="A117" s="1" t="s">
        <v>103</v>
      </c>
      <c r="B117" s="1" t="s">
        <v>148</v>
      </c>
      <c r="C117" s="1" t="s">
        <v>105</v>
      </c>
      <c r="D117" s="1" t="s">
        <v>106</v>
      </c>
      <c r="E117" s="1" t="s">
        <v>107</v>
      </c>
      <c r="F117">
        <v>588.12</v>
      </c>
      <c r="G117">
        <v>14.21</v>
      </c>
      <c r="H117">
        <v>1.98</v>
      </c>
      <c r="I117">
        <v>0.29599999999999999</v>
      </c>
      <c r="J117">
        <f>0.94/2</f>
        <v>0.47</v>
      </c>
      <c r="K117">
        <v>411.17</v>
      </c>
      <c r="L117">
        <v>0.157</v>
      </c>
      <c r="M117">
        <v>0.46</v>
      </c>
      <c r="N117">
        <v>15.59</v>
      </c>
      <c r="O117">
        <v>5.2999999999999999E-2</v>
      </c>
      <c r="P117">
        <v>0.126</v>
      </c>
    </row>
    <row r="118" spans="1:16">
      <c r="A118" s="1" t="s">
        <v>103</v>
      </c>
      <c r="B118" s="1" t="s">
        <v>149</v>
      </c>
      <c r="C118" s="1" t="s">
        <v>105</v>
      </c>
      <c r="D118" s="1" t="s">
        <v>106</v>
      </c>
      <c r="E118" s="1" t="s">
        <v>107</v>
      </c>
      <c r="F118">
        <v>69.19</v>
      </c>
      <c r="G118">
        <v>11.05</v>
      </c>
      <c r="H118">
        <v>0.76</v>
      </c>
      <c r="I118">
        <f>0.409/2</f>
        <v>0.20449999999999999</v>
      </c>
      <c r="J118">
        <v>0.67</v>
      </c>
      <c r="K118">
        <v>259.8</v>
      </c>
      <c r="L118">
        <v>0.215</v>
      </c>
      <c r="M118">
        <v>0.45</v>
      </c>
      <c r="N118">
        <v>7.13</v>
      </c>
      <c r="O118">
        <f>0.028/2</f>
        <v>1.4E-2</v>
      </c>
      <c r="P118">
        <v>0.22</v>
      </c>
    </row>
    <row r="119" spans="1:16">
      <c r="A119" s="1" t="s">
        <v>103</v>
      </c>
      <c r="B119" s="1" t="s">
        <v>150</v>
      </c>
      <c r="C119" s="1" t="s">
        <v>105</v>
      </c>
      <c r="D119" s="1" t="s">
        <v>106</v>
      </c>
      <c r="E119" s="1" t="s">
        <v>107</v>
      </c>
      <c r="F119">
        <v>15.51</v>
      </c>
      <c r="G119">
        <v>16.18</v>
      </c>
      <c r="H119">
        <v>0.97</v>
      </c>
      <c r="I119">
        <v>0.45800000000000002</v>
      </c>
      <c r="J119">
        <v>0.92</v>
      </c>
      <c r="K119">
        <v>490.19</v>
      </c>
      <c r="L119">
        <v>8.1000000000000003E-2</v>
      </c>
      <c r="M119">
        <v>0.32800000000000001</v>
      </c>
      <c r="N119">
        <v>9.92</v>
      </c>
      <c r="O119">
        <v>5.2999999999999999E-2</v>
      </c>
      <c r="P119">
        <f>0.085/2</f>
        <v>4.2500000000000003E-2</v>
      </c>
    </row>
    <row r="120" spans="1:16">
      <c r="A120" s="1" t="s">
        <v>103</v>
      </c>
      <c r="B120" s="1" t="s">
        <v>151</v>
      </c>
      <c r="C120" s="1" t="s">
        <v>105</v>
      </c>
      <c r="D120" s="1" t="s">
        <v>106</v>
      </c>
      <c r="E120" s="1" t="s">
        <v>107</v>
      </c>
      <c r="F120">
        <v>10</v>
      </c>
      <c r="G120">
        <v>12.98</v>
      </c>
      <c r="H120">
        <v>71.95</v>
      </c>
      <c r="I120">
        <v>0.504</v>
      </c>
      <c r="J120">
        <f>0.67/2</f>
        <v>0.33500000000000002</v>
      </c>
      <c r="K120">
        <v>446.66</v>
      </c>
      <c r="L120">
        <v>0.13300000000000001</v>
      </c>
      <c r="M120">
        <v>0.23400000000000001</v>
      </c>
      <c r="N120">
        <v>10.91</v>
      </c>
      <c r="O120">
        <v>3.5999999999999997E-2</v>
      </c>
      <c r="P120">
        <v>0.11600000000000001</v>
      </c>
    </row>
    <row r="121" spans="1:16">
      <c r="A121" s="1" t="s">
        <v>103</v>
      </c>
      <c r="B121" s="1" t="s">
        <v>152</v>
      </c>
      <c r="C121" s="1" t="s">
        <v>105</v>
      </c>
      <c r="D121" s="1" t="s">
        <v>106</v>
      </c>
      <c r="E121" s="1" t="s">
        <v>107</v>
      </c>
      <c r="F121">
        <v>15.56</v>
      </c>
      <c r="G121">
        <v>14.64</v>
      </c>
      <c r="H121">
        <v>1</v>
      </c>
      <c r="I121">
        <v>0.41499999999999998</v>
      </c>
      <c r="J121">
        <f>0.9/2</f>
        <v>0.45</v>
      </c>
      <c r="K121">
        <v>436.11</v>
      </c>
      <c r="L121">
        <v>8.1000000000000003E-2</v>
      </c>
      <c r="M121">
        <v>0.39</v>
      </c>
      <c r="N121">
        <v>12.2</v>
      </c>
      <c r="O121">
        <v>9.0999999999999998E-2</v>
      </c>
      <c r="P121">
        <v>0.15</v>
      </c>
    </row>
    <row r="122" spans="1:16">
      <c r="A122" s="1" t="s">
        <v>103</v>
      </c>
      <c r="B122" s="1" t="s">
        <v>153</v>
      </c>
      <c r="C122" s="1" t="s">
        <v>105</v>
      </c>
      <c r="D122" s="1" t="s">
        <v>106</v>
      </c>
      <c r="E122" s="1" t="s">
        <v>107</v>
      </c>
      <c r="F122">
        <v>63.41</v>
      </c>
      <c r="G122">
        <v>17.48</v>
      </c>
      <c r="H122">
        <v>2.62</v>
      </c>
      <c r="I122">
        <v>0.85799999999999998</v>
      </c>
      <c r="J122">
        <f>0.69/2</f>
        <v>0.34499999999999997</v>
      </c>
      <c r="K122">
        <v>401.4</v>
      </c>
      <c r="L122">
        <v>0.155</v>
      </c>
      <c r="M122">
        <v>0.67</v>
      </c>
      <c r="N122">
        <v>10.61</v>
      </c>
      <c r="O122">
        <v>0.115</v>
      </c>
      <c r="P122">
        <v>9.6000000000000002E-2</v>
      </c>
    </row>
    <row r="123" spans="1:16">
      <c r="A123" s="1" t="s">
        <v>103</v>
      </c>
      <c r="B123" s="1" t="s">
        <v>154</v>
      </c>
      <c r="C123" s="1" t="s">
        <v>105</v>
      </c>
      <c r="D123" s="1" t="s">
        <v>106</v>
      </c>
      <c r="E123" s="1" t="s">
        <v>107</v>
      </c>
      <c r="F123">
        <v>62.3</v>
      </c>
      <c r="G123">
        <v>17.23</v>
      </c>
      <c r="H123">
        <v>22.81</v>
      </c>
      <c r="I123">
        <v>0.43099999999999999</v>
      </c>
      <c r="J123">
        <f>0.75/2</f>
        <v>0.375</v>
      </c>
      <c r="K123">
        <v>343.95</v>
      </c>
      <c r="L123">
        <v>9.6000000000000002E-2</v>
      </c>
      <c r="M123">
        <v>0.42</v>
      </c>
      <c r="N123">
        <v>21.78</v>
      </c>
      <c r="O123">
        <v>3.9E-2</v>
      </c>
      <c r="P123">
        <f>0.112/2</f>
        <v>5.6000000000000001E-2</v>
      </c>
    </row>
    <row r="124" spans="1:16">
      <c r="A124" s="1" t="s">
        <v>103</v>
      </c>
      <c r="B124" s="1" t="s">
        <v>155</v>
      </c>
      <c r="C124" s="1" t="s">
        <v>105</v>
      </c>
      <c r="D124" s="1" t="s">
        <v>106</v>
      </c>
      <c r="E124" s="1" t="s">
        <v>107</v>
      </c>
      <c r="F124">
        <v>25.16</v>
      </c>
      <c r="G124">
        <v>18.13</v>
      </c>
      <c r="H124">
        <v>1.59</v>
      </c>
      <c r="I124">
        <v>0.39800000000000002</v>
      </c>
      <c r="J124">
        <f>0.86/2</f>
        <v>0.43</v>
      </c>
      <c r="K124">
        <v>481.58</v>
      </c>
      <c r="L124">
        <v>0.2</v>
      </c>
      <c r="M124">
        <v>0.27</v>
      </c>
      <c r="N124">
        <v>12.87</v>
      </c>
      <c r="O124">
        <v>5.8000000000000003E-2</v>
      </c>
      <c r="P124">
        <f>0.124/2</f>
        <v>6.2E-2</v>
      </c>
    </row>
    <row r="125" spans="1:16">
      <c r="A125" s="1" t="s">
        <v>103</v>
      </c>
      <c r="B125" s="1" t="s">
        <v>156</v>
      </c>
      <c r="C125" s="1" t="s">
        <v>105</v>
      </c>
      <c r="D125" s="1" t="s">
        <v>106</v>
      </c>
      <c r="E125" s="1" t="s">
        <v>107</v>
      </c>
      <c r="F125">
        <v>21.88</v>
      </c>
      <c r="G125">
        <v>19.77</v>
      </c>
      <c r="H125">
        <v>1.99</v>
      </c>
      <c r="I125">
        <v>0.39500000000000002</v>
      </c>
      <c r="J125">
        <f>0.72/2</f>
        <v>0.36</v>
      </c>
      <c r="K125">
        <v>472.96</v>
      </c>
      <c r="L125">
        <v>0.14199999999999999</v>
      </c>
      <c r="M125">
        <v>1.1599999999999999</v>
      </c>
      <c r="N125">
        <v>11.28</v>
      </c>
      <c r="O125">
        <v>7.2999999999999995E-2</v>
      </c>
      <c r="P125">
        <f>0.104/2</f>
        <v>5.1999999999999998E-2</v>
      </c>
    </row>
    <row r="126" spans="1:16">
      <c r="A126" s="1" t="s">
        <v>103</v>
      </c>
      <c r="B126" s="1" t="s">
        <v>157</v>
      </c>
      <c r="C126" s="1" t="s">
        <v>105</v>
      </c>
      <c r="D126" s="1" t="s">
        <v>106</v>
      </c>
      <c r="E126" s="1" t="s">
        <v>107</v>
      </c>
      <c r="F126">
        <v>14.2</v>
      </c>
      <c r="G126">
        <v>18.47</v>
      </c>
      <c r="H126">
        <v>0.91</v>
      </c>
      <c r="I126">
        <v>0.41699999999999998</v>
      </c>
      <c r="J126">
        <f>0.89/2</f>
        <v>0.44500000000000001</v>
      </c>
      <c r="K126">
        <v>485.07</v>
      </c>
      <c r="L126">
        <v>0.122</v>
      </c>
      <c r="M126">
        <v>0.8</v>
      </c>
      <c r="N126">
        <v>10.039999999999999</v>
      </c>
      <c r="O126">
        <v>9.0999999999999998E-2</v>
      </c>
      <c r="P126">
        <f>0.091/2</f>
        <v>4.5499999999999999E-2</v>
      </c>
    </row>
    <row r="127" spans="1:16">
      <c r="A127" s="1" t="s">
        <v>103</v>
      </c>
      <c r="B127" s="1" t="s">
        <v>158</v>
      </c>
      <c r="C127" s="1" t="s">
        <v>105</v>
      </c>
      <c r="D127" s="1" t="s">
        <v>106</v>
      </c>
      <c r="E127" s="1" t="s">
        <v>107</v>
      </c>
      <c r="F127">
        <v>518.9</v>
      </c>
      <c r="G127">
        <v>13.27</v>
      </c>
      <c r="H127">
        <v>2.2799999999999998</v>
      </c>
      <c r="I127">
        <v>0.74299999999999999</v>
      </c>
      <c r="J127">
        <f>0.84/2</f>
        <v>0.42</v>
      </c>
      <c r="K127">
        <v>333.67</v>
      </c>
      <c r="L127">
        <v>0.18</v>
      </c>
      <c r="M127">
        <v>0.55000000000000004</v>
      </c>
      <c r="N127">
        <v>16.72</v>
      </c>
      <c r="O127">
        <v>5.3999999999999999E-2</v>
      </c>
      <c r="P127">
        <f>0.105/2</f>
        <v>5.2499999999999998E-2</v>
      </c>
    </row>
    <row r="128" spans="1:16">
      <c r="A128" s="1" t="s">
        <v>103</v>
      </c>
      <c r="B128" s="1" t="s">
        <v>159</v>
      </c>
      <c r="C128" s="1" t="s">
        <v>105</v>
      </c>
      <c r="D128" s="1" t="s">
        <v>106</v>
      </c>
      <c r="E128" s="1" t="s">
        <v>107</v>
      </c>
      <c r="F128">
        <v>17.18</v>
      </c>
      <c r="G128">
        <v>20.059999999999999</v>
      </c>
      <c r="H128">
        <v>2.4500000000000002</v>
      </c>
      <c r="I128">
        <v>0.75600000000000001</v>
      </c>
      <c r="J128">
        <f>0.77/2</f>
        <v>0.38500000000000001</v>
      </c>
      <c r="K128">
        <v>451</v>
      </c>
      <c r="L128">
        <v>0.24099999999999999</v>
      </c>
      <c r="M128">
        <v>0.26700000000000002</v>
      </c>
      <c r="N128">
        <v>11.05</v>
      </c>
      <c r="O128">
        <v>7.1999999999999995E-2</v>
      </c>
      <c r="P128">
        <f>0.09/2</f>
        <v>4.4999999999999998E-2</v>
      </c>
    </row>
    <row r="129" spans="1:16">
      <c r="A129" s="1" t="s">
        <v>103</v>
      </c>
      <c r="B129" s="1" t="s">
        <v>160</v>
      </c>
      <c r="C129" s="1" t="s">
        <v>105</v>
      </c>
      <c r="D129" s="1" t="s">
        <v>106</v>
      </c>
      <c r="E129" s="1" t="s">
        <v>107</v>
      </c>
      <c r="F129">
        <v>25.89</v>
      </c>
      <c r="G129">
        <v>26.37</v>
      </c>
      <c r="H129">
        <v>2.56</v>
      </c>
      <c r="I129">
        <v>0.84699999999999998</v>
      </c>
      <c r="J129">
        <f>0.63/2</f>
        <v>0.315</v>
      </c>
      <c r="K129">
        <v>488.33</v>
      </c>
      <c r="L129">
        <v>0.252</v>
      </c>
      <c r="M129">
        <v>0.64</v>
      </c>
      <c r="N129">
        <v>12.56</v>
      </c>
      <c r="O129">
        <v>5.0999999999999997E-2</v>
      </c>
      <c r="P129">
        <f>0.068/2</f>
        <v>3.4000000000000002E-2</v>
      </c>
    </row>
    <row r="130" spans="1:16">
      <c r="A130" s="1" t="s">
        <v>103</v>
      </c>
      <c r="B130" s="1" t="s">
        <v>161</v>
      </c>
      <c r="C130" s="1" t="s">
        <v>105</v>
      </c>
      <c r="D130" s="1" t="s">
        <v>106</v>
      </c>
      <c r="E130" s="1" t="s">
        <v>107</v>
      </c>
      <c r="F130">
        <v>50.19</v>
      </c>
      <c r="G130">
        <v>14.45</v>
      </c>
      <c r="H130">
        <v>2.82</v>
      </c>
      <c r="I130">
        <v>0.54300000000000004</v>
      </c>
      <c r="J130">
        <f>0.7/2</f>
        <v>0.35</v>
      </c>
      <c r="K130">
        <v>460.4</v>
      </c>
      <c r="L130">
        <v>0.19500000000000001</v>
      </c>
      <c r="M130">
        <v>0.76</v>
      </c>
      <c r="N130">
        <v>8.67</v>
      </c>
      <c r="O130">
        <v>0.08</v>
      </c>
      <c r="P130">
        <v>9.2999999999999999E-2</v>
      </c>
    </row>
    <row r="131" spans="1:16">
      <c r="A131" s="1" t="s">
        <v>103</v>
      </c>
      <c r="B131" s="1" t="s">
        <v>162</v>
      </c>
      <c r="C131" s="1" t="s">
        <v>105</v>
      </c>
      <c r="D131" s="1" t="s">
        <v>106</v>
      </c>
      <c r="E131" s="1" t="s">
        <v>107</v>
      </c>
      <c r="F131">
        <v>123.53</v>
      </c>
      <c r="G131">
        <v>12.09</v>
      </c>
      <c r="H131">
        <v>1.31</v>
      </c>
      <c r="I131">
        <v>0.36899999999999999</v>
      </c>
      <c r="J131">
        <f>0.79/2</f>
        <v>0.39500000000000002</v>
      </c>
      <c r="K131">
        <v>453.04</v>
      </c>
      <c r="L131">
        <v>0.14000000000000001</v>
      </c>
      <c r="M131">
        <v>0.72</v>
      </c>
      <c r="N131">
        <v>13.29</v>
      </c>
      <c r="O131">
        <v>3.5999999999999997E-2</v>
      </c>
      <c r="P131">
        <f>0.108/2</f>
        <v>5.3999999999999999E-2</v>
      </c>
    </row>
    <row r="132" spans="1:16">
      <c r="A132" s="1" t="s">
        <v>103</v>
      </c>
      <c r="B132" s="1" t="s">
        <v>163</v>
      </c>
      <c r="C132" s="1" t="s">
        <v>105</v>
      </c>
      <c r="D132" s="1" t="s">
        <v>106</v>
      </c>
      <c r="E132" s="1" t="s">
        <v>107</v>
      </c>
      <c r="F132">
        <v>65.62</v>
      </c>
      <c r="G132">
        <v>11.66</v>
      </c>
      <c r="H132">
        <v>1.02</v>
      </c>
      <c r="I132">
        <v>0.78400000000000003</v>
      </c>
      <c r="J132">
        <f>0.63/2</f>
        <v>0.315</v>
      </c>
      <c r="K132">
        <v>459.86</v>
      </c>
      <c r="L132">
        <v>0.20100000000000001</v>
      </c>
      <c r="M132">
        <v>1.04</v>
      </c>
      <c r="N132">
        <v>11.24</v>
      </c>
      <c r="O132">
        <f>0.027/2</f>
        <v>1.35E-2</v>
      </c>
      <c r="P132">
        <f>0.073/2</f>
        <v>3.6499999999999998E-2</v>
      </c>
    </row>
    <row r="133" spans="1:16">
      <c r="A133" s="1" t="s">
        <v>103</v>
      </c>
      <c r="B133" s="1" t="s">
        <v>164</v>
      </c>
      <c r="C133" s="1" t="s">
        <v>105</v>
      </c>
      <c r="D133" s="1" t="s">
        <v>106</v>
      </c>
      <c r="E133" s="1" t="s">
        <v>107</v>
      </c>
      <c r="F133">
        <v>33.159999999999997</v>
      </c>
      <c r="G133">
        <v>16.07</v>
      </c>
      <c r="H133">
        <v>1.33</v>
      </c>
      <c r="I133">
        <v>0.49199999999999999</v>
      </c>
      <c r="J133">
        <v>1.1200000000000001</v>
      </c>
      <c r="K133">
        <v>429.92</v>
      </c>
      <c r="L133">
        <v>0.18</v>
      </c>
      <c r="M133">
        <v>0.69</v>
      </c>
      <c r="N133">
        <v>10.220000000000001</v>
      </c>
      <c r="O133">
        <v>0.121</v>
      </c>
      <c r="P133">
        <f>0.082/2</f>
        <v>4.1000000000000002E-2</v>
      </c>
    </row>
    <row r="134" spans="1:16">
      <c r="A134" s="1" t="s">
        <v>103</v>
      </c>
      <c r="B134" s="1" t="s">
        <v>165</v>
      </c>
      <c r="C134" s="1" t="s">
        <v>105</v>
      </c>
      <c r="D134" s="1" t="s">
        <v>106</v>
      </c>
      <c r="E134" s="1" t="s">
        <v>107</v>
      </c>
      <c r="F134">
        <v>52.32</v>
      </c>
      <c r="G134">
        <v>13.65</v>
      </c>
      <c r="H134">
        <v>1.97</v>
      </c>
      <c r="I134">
        <v>0.68799999999999994</v>
      </c>
      <c r="J134">
        <f>0.78/2</f>
        <v>0.39</v>
      </c>
      <c r="K134">
        <v>364.42</v>
      </c>
      <c r="L134">
        <v>0.26400000000000001</v>
      </c>
      <c r="M134">
        <v>0.6</v>
      </c>
      <c r="N134">
        <v>11.29</v>
      </c>
      <c r="O134">
        <v>0.106</v>
      </c>
      <c r="P134">
        <f>0.082/2</f>
        <v>4.1000000000000002E-2</v>
      </c>
    </row>
    <row r="135" spans="1:16">
      <c r="A135" s="1" t="s">
        <v>103</v>
      </c>
      <c r="B135" s="1" t="s">
        <v>166</v>
      </c>
      <c r="C135" s="1" t="s">
        <v>105</v>
      </c>
      <c r="D135" s="1" t="s">
        <v>106</v>
      </c>
      <c r="E135" s="1" t="s">
        <v>107</v>
      </c>
      <c r="F135">
        <v>165.8</v>
      </c>
      <c r="G135">
        <v>12.78</v>
      </c>
      <c r="H135">
        <v>21.83</v>
      </c>
      <c r="I135">
        <v>0.69</v>
      </c>
      <c r="J135">
        <v>1.08</v>
      </c>
      <c r="K135">
        <v>522.62</v>
      </c>
      <c r="L135">
        <v>0.19600000000000001</v>
      </c>
      <c r="M135">
        <v>0.53</v>
      </c>
      <c r="N135">
        <v>12.49</v>
      </c>
      <c r="O135">
        <v>8.5999999999999993E-2</v>
      </c>
      <c r="P135">
        <f>0.096/2</f>
        <v>4.8000000000000001E-2</v>
      </c>
    </row>
    <row r="136" spans="1:16">
      <c r="A136" s="1" t="s">
        <v>103</v>
      </c>
      <c r="B136" s="1" t="s">
        <v>167</v>
      </c>
      <c r="C136" s="1" t="s">
        <v>105</v>
      </c>
      <c r="D136" s="1" t="s">
        <v>106</v>
      </c>
      <c r="E136" s="1" t="s">
        <v>107</v>
      </c>
      <c r="F136">
        <v>21.55</v>
      </c>
      <c r="G136">
        <v>14.41</v>
      </c>
      <c r="H136">
        <v>1.43</v>
      </c>
      <c r="I136">
        <v>0.59699999999999998</v>
      </c>
      <c r="J136">
        <f>0.7/2</f>
        <v>0.35</v>
      </c>
      <c r="K136">
        <v>477.51</v>
      </c>
      <c r="L136">
        <v>0.13400000000000001</v>
      </c>
      <c r="M136">
        <v>0.85</v>
      </c>
      <c r="N136">
        <v>15.61</v>
      </c>
      <c r="O136">
        <v>4.2999999999999997E-2</v>
      </c>
      <c r="P136">
        <f>0.094/2</f>
        <v>4.7E-2</v>
      </c>
    </row>
    <row r="137" spans="1:16">
      <c r="A137" s="1" t="s">
        <v>103</v>
      </c>
      <c r="B137" s="1" t="s">
        <v>168</v>
      </c>
      <c r="C137" s="1" t="s">
        <v>105</v>
      </c>
      <c r="D137" s="1" t="s">
        <v>106</v>
      </c>
      <c r="E137" s="1" t="s">
        <v>107</v>
      </c>
      <c r="F137">
        <v>22.01</v>
      </c>
      <c r="G137">
        <v>19.43</v>
      </c>
      <c r="H137">
        <v>1.27</v>
      </c>
      <c r="I137">
        <v>0.753</v>
      </c>
      <c r="J137">
        <f>0.94/2</f>
        <v>0.47</v>
      </c>
      <c r="K137">
        <v>416.21</v>
      </c>
      <c r="L137">
        <v>0.27400000000000002</v>
      </c>
      <c r="M137">
        <v>0.64</v>
      </c>
      <c r="N137">
        <v>10.92</v>
      </c>
      <c r="O137">
        <v>7.5999999999999998E-2</v>
      </c>
      <c r="P137">
        <f>0.11/2</f>
        <v>5.5E-2</v>
      </c>
    </row>
    <row r="138" spans="1:16">
      <c r="A138" s="1" t="s">
        <v>103</v>
      </c>
      <c r="B138" s="1" t="s">
        <v>169</v>
      </c>
      <c r="C138" s="1" t="s">
        <v>105</v>
      </c>
      <c r="D138" s="1" t="s">
        <v>106</v>
      </c>
      <c r="E138" s="1" t="s">
        <v>107</v>
      </c>
      <c r="F138">
        <v>1096.97</v>
      </c>
      <c r="G138">
        <v>304.33999999999997</v>
      </c>
      <c r="H138">
        <v>96.94</v>
      </c>
      <c r="I138">
        <v>8.34</v>
      </c>
      <c r="J138">
        <v>5.98</v>
      </c>
      <c r="K138">
        <v>2637.31</v>
      </c>
      <c r="L138">
        <v>2.41</v>
      </c>
      <c r="M138">
        <v>6.65</v>
      </c>
      <c r="N138">
        <v>22.79</v>
      </c>
      <c r="O138">
        <v>0.253</v>
      </c>
      <c r="P138">
        <v>3.88</v>
      </c>
    </row>
    <row r="139" spans="1:16">
      <c r="A139" s="1" t="s">
        <v>103</v>
      </c>
      <c r="B139" s="1" t="s">
        <v>170</v>
      </c>
      <c r="C139" s="1" t="s">
        <v>105</v>
      </c>
      <c r="D139" s="1" t="s">
        <v>106</v>
      </c>
      <c r="E139" s="1" t="s">
        <v>107</v>
      </c>
      <c r="F139">
        <v>27.19</v>
      </c>
      <c r="G139">
        <v>10.99</v>
      </c>
      <c r="H139">
        <v>5.86</v>
      </c>
      <c r="I139">
        <v>7.3</v>
      </c>
      <c r="J139">
        <f>0.88/2</f>
        <v>0.44</v>
      </c>
      <c r="K139">
        <v>156.27000000000001</v>
      </c>
      <c r="L139">
        <v>0.40799999999999997</v>
      </c>
      <c r="M139">
        <v>2.76</v>
      </c>
      <c r="N139">
        <v>5.62</v>
      </c>
      <c r="O139">
        <v>0.34799999999999998</v>
      </c>
      <c r="P139">
        <v>0.13200000000000001</v>
      </c>
    </row>
    <row r="140" spans="1:16">
      <c r="A140" s="1" t="s">
        <v>103</v>
      </c>
      <c r="B140" s="1" t="s">
        <v>171</v>
      </c>
      <c r="C140" s="1" t="s">
        <v>105</v>
      </c>
      <c r="D140" s="1" t="s">
        <v>106</v>
      </c>
      <c r="E140" s="1" t="s">
        <v>107</v>
      </c>
      <c r="F140">
        <v>126.21</v>
      </c>
      <c r="G140">
        <v>87.22</v>
      </c>
      <c r="H140">
        <v>9.1300000000000008</v>
      </c>
      <c r="I140">
        <v>7.05</v>
      </c>
      <c r="J140">
        <f>0.64/2</f>
        <v>0.32</v>
      </c>
      <c r="K140">
        <v>289.87</v>
      </c>
      <c r="L140">
        <v>0.56699999999999995</v>
      </c>
      <c r="M140">
        <v>2.85</v>
      </c>
      <c r="N140">
        <v>8.66</v>
      </c>
      <c r="O140">
        <v>0.312</v>
      </c>
      <c r="P140">
        <f>0.087/2</f>
        <v>4.3499999999999997E-2</v>
      </c>
    </row>
    <row r="141" spans="1:16">
      <c r="A141" s="1" t="s">
        <v>103</v>
      </c>
      <c r="B141" s="1" t="s">
        <v>172</v>
      </c>
      <c r="C141" s="1" t="s">
        <v>105</v>
      </c>
      <c r="D141" s="1" t="s">
        <v>106</v>
      </c>
      <c r="E141" s="1" t="s">
        <v>107</v>
      </c>
      <c r="F141">
        <v>45.07</v>
      </c>
      <c r="G141">
        <v>66.89</v>
      </c>
      <c r="H141">
        <v>5.86</v>
      </c>
      <c r="I141">
        <v>3.75</v>
      </c>
      <c r="J141">
        <f>0.66/2</f>
        <v>0.33</v>
      </c>
      <c r="K141">
        <v>262.33999999999997</v>
      </c>
      <c r="L141">
        <v>0.55000000000000004</v>
      </c>
      <c r="M141">
        <v>1.44</v>
      </c>
      <c r="N141">
        <v>10.88</v>
      </c>
      <c r="O141">
        <v>0.29899999999999999</v>
      </c>
      <c r="P141">
        <v>0.17799999999999999</v>
      </c>
    </row>
    <row r="142" spans="1:16">
      <c r="A142" s="1" t="s">
        <v>103</v>
      </c>
      <c r="B142" s="1" t="s">
        <v>173</v>
      </c>
      <c r="C142" s="1" t="s">
        <v>105</v>
      </c>
      <c r="D142" s="1" t="s">
        <v>106</v>
      </c>
      <c r="E142" s="1" t="s">
        <v>107</v>
      </c>
      <c r="F142">
        <v>59.27</v>
      </c>
      <c r="G142">
        <v>69.41</v>
      </c>
      <c r="H142">
        <v>8.31</v>
      </c>
      <c r="I142">
        <v>4.8600000000000003</v>
      </c>
      <c r="J142">
        <v>0.71</v>
      </c>
      <c r="K142">
        <v>430.43</v>
      </c>
      <c r="L142">
        <v>0.77900000000000003</v>
      </c>
      <c r="M142">
        <v>1.81</v>
      </c>
      <c r="N142">
        <v>12.77</v>
      </c>
      <c r="O142">
        <v>0.17699999999999999</v>
      </c>
      <c r="P142">
        <v>9.0999999999999998E-2</v>
      </c>
    </row>
    <row r="143" spans="1:16">
      <c r="A143" s="1" t="s">
        <v>103</v>
      </c>
      <c r="B143" s="1" t="s">
        <v>174</v>
      </c>
      <c r="C143" s="1" t="s">
        <v>105</v>
      </c>
      <c r="D143" s="1" t="s">
        <v>106</v>
      </c>
      <c r="E143" s="1" t="s">
        <v>107</v>
      </c>
      <c r="F143">
        <v>149.91</v>
      </c>
      <c r="G143">
        <v>146.84</v>
      </c>
      <c r="H143">
        <v>6.65</v>
      </c>
      <c r="I143">
        <v>2.0299999999999998</v>
      </c>
      <c r="J143">
        <f>0.72/2</f>
        <v>0.36</v>
      </c>
      <c r="K143">
        <v>364.52</v>
      </c>
      <c r="L143">
        <v>0.91200000000000003</v>
      </c>
      <c r="M143">
        <v>1.61</v>
      </c>
      <c r="N143">
        <v>12.01</v>
      </c>
      <c r="O143">
        <v>0.161</v>
      </c>
      <c r="P143">
        <v>8.5000000000000006E-2</v>
      </c>
    </row>
    <row r="144" spans="1:16">
      <c r="A144" s="1" t="s">
        <v>103</v>
      </c>
      <c r="B144" s="1" t="s">
        <v>175</v>
      </c>
      <c r="C144" s="1" t="s">
        <v>105</v>
      </c>
      <c r="D144" s="1" t="s">
        <v>106</v>
      </c>
      <c r="E144" s="1" t="s">
        <v>107</v>
      </c>
      <c r="F144">
        <v>344.44</v>
      </c>
      <c r="G144">
        <v>198.07</v>
      </c>
      <c r="H144">
        <v>6.58</v>
      </c>
      <c r="I144">
        <v>2.0699999999999998</v>
      </c>
      <c r="J144">
        <f>0.61/2</f>
        <v>0.30499999999999999</v>
      </c>
      <c r="K144">
        <v>555.62</v>
      </c>
      <c r="L144">
        <v>1.1459999999999999</v>
      </c>
      <c r="M144">
        <v>0.92</v>
      </c>
      <c r="N144">
        <v>14.51</v>
      </c>
      <c r="O144">
        <v>0.14899999999999999</v>
      </c>
      <c r="P144">
        <v>0.17299999999999999</v>
      </c>
    </row>
    <row r="145" spans="1:16">
      <c r="A145" s="1" t="s">
        <v>103</v>
      </c>
      <c r="B145" s="1" t="s">
        <v>176</v>
      </c>
      <c r="C145" s="1" t="s">
        <v>105</v>
      </c>
      <c r="D145" s="1" t="s">
        <v>106</v>
      </c>
      <c r="E145" s="1" t="s">
        <v>107</v>
      </c>
      <c r="F145">
        <v>268.22000000000003</v>
      </c>
      <c r="G145">
        <v>139.03</v>
      </c>
      <c r="H145">
        <v>7.26</v>
      </c>
      <c r="I145">
        <v>1.8</v>
      </c>
      <c r="J145">
        <f>0.88/2</f>
        <v>0.44</v>
      </c>
      <c r="K145">
        <v>357.15</v>
      </c>
      <c r="L145">
        <v>1.208</v>
      </c>
      <c r="M145">
        <v>1.76</v>
      </c>
      <c r="N145">
        <v>12.92</v>
      </c>
      <c r="O145">
        <v>0.316</v>
      </c>
      <c r="P145">
        <f>0.121/2</f>
        <v>6.0499999999999998E-2</v>
      </c>
    </row>
    <row r="146" spans="1:16">
      <c r="A146" s="1" t="s">
        <v>103</v>
      </c>
      <c r="B146" s="1" t="s">
        <v>177</v>
      </c>
      <c r="C146" s="1" t="s">
        <v>105</v>
      </c>
      <c r="D146" s="1" t="s">
        <v>106</v>
      </c>
      <c r="E146" s="1" t="s">
        <v>107</v>
      </c>
      <c r="F146">
        <v>228.01</v>
      </c>
      <c r="G146">
        <v>99.37</v>
      </c>
      <c r="H146">
        <v>4.63</v>
      </c>
      <c r="I146">
        <v>2.2400000000000002</v>
      </c>
      <c r="J146">
        <f>1.01/2</f>
        <v>0.505</v>
      </c>
      <c r="K146">
        <v>259.72000000000003</v>
      </c>
      <c r="L146">
        <v>0.78400000000000003</v>
      </c>
      <c r="M146">
        <v>1.01</v>
      </c>
      <c r="N146">
        <v>8.65</v>
      </c>
      <c r="O146">
        <v>0.186</v>
      </c>
      <c r="P146">
        <f>0.102/2</f>
        <v>5.0999999999999997E-2</v>
      </c>
    </row>
    <row r="147" spans="1:16">
      <c r="A147" s="1" t="s">
        <v>103</v>
      </c>
      <c r="B147" s="1" t="s">
        <v>178</v>
      </c>
      <c r="C147" s="1" t="s">
        <v>105</v>
      </c>
      <c r="D147" s="1" t="s">
        <v>106</v>
      </c>
      <c r="E147" s="1" t="s">
        <v>107</v>
      </c>
      <c r="F147">
        <v>40.380000000000003</v>
      </c>
      <c r="G147">
        <v>120.34</v>
      </c>
      <c r="H147">
        <v>5.56</v>
      </c>
      <c r="I147">
        <v>1.9</v>
      </c>
      <c r="J147">
        <f>0.62/2</f>
        <v>0.31</v>
      </c>
      <c r="K147">
        <v>359.08</v>
      </c>
      <c r="L147">
        <v>0.83299999999999996</v>
      </c>
      <c r="M147">
        <v>1.23</v>
      </c>
      <c r="N147">
        <v>13.24</v>
      </c>
      <c r="O147">
        <v>0.125</v>
      </c>
      <c r="P147">
        <f>0.098/2</f>
        <v>4.9000000000000002E-2</v>
      </c>
    </row>
    <row r="148" spans="1:16">
      <c r="A148" s="1" t="s">
        <v>103</v>
      </c>
      <c r="B148" s="1" t="s">
        <v>179</v>
      </c>
      <c r="C148" s="1" t="s">
        <v>105</v>
      </c>
      <c r="D148" s="1" t="s">
        <v>106</v>
      </c>
      <c r="E148" s="1" t="s">
        <v>107</v>
      </c>
      <c r="F148">
        <v>37.71</v>
      </c>
      <c r="G148">
        <v>117.74</v>
      </c>
      <c r="H148">
        <v>6.1</v>
      </c>
      <c r="I148">
        <v>1.95</v>
      </c>
      <c r="J148">
        <f>0.98/2</f>
        <v>0.49</v>
      </c>
      <c r="K148">
        <v>361.74</v>
      </c>
      <c r="L148">
        <v>1.07</v>
      </c>
      <c r="M148">
        <v>1.82</v>
      </c>
      <c r="N148">
        <v>13.34</v>
      </c>
      <c r="O148">
        <v>5.8000000000000003E-2</v>
      </c>
      <c r="P148">
        <f>0.105/2</f>
        <v>5.2499999999999998E-2</v>
      </c>
    </row>
    <row r="149" spans="1:16">
      <c r="A149" s="1" t="s">
        <v>103</v>
      </c>
      <c r="B149" s="1" t="s">
        <v>180</v>
      </c>
      <c r="C149" s="1" t="s">
        <v>105</v>
      </c>
      <c r="D149" s="1" t="s">
        <v>106</v>
      </c>
      <c r="E149" s="1" t="s">
        <v>107</v>
      </c>
      <c r="F149">
        <v>71.97</v>
      </c>
      <c r="G149">
        <v>125.75</v>
      </c>
      <c r="H149">
        <v>5.23</v>
      </c>
      <c r="I149">
        <v>1.79</v>
      </c>
      <c r="J149">
        <v>1.81</v>
      </c>
      <c r="K149">
        <v>353.58</v>
      </c>
      <c r="L149">
        <v>0.95099999999999996</v>
      </c>
      <c r="M149">
        <v>1.37</v>
      </c>
      <c r="N149">
        <v>13.47</v>
      </c>
      <c r="O149">
        <v>0.17799999999999999</v>
      </c>
      <c r="P149">
        <f>0.113/2</f>
        <v>5.6500000000000002E-2</v>
      </c>
    </row>
    <row r="150" spans="1:16">
      <c r="A150" s="1" t="s">
        <v>103</v>
      </c>
      <c r="B150" s="1" t="s">
        <v>181</v>
      </c>
      <c r="C150" s="1" t="s">
        <v>105</v>
      </c>
      <c r="D150" s="1" t="s">
        <v>106</v>
      </c>
      <c r="E150" s="1" t="s">
        <v>107</v>
      </c>
      <c r="F150">
        <v>43.81</v>
      </c>
      <c r="G150">
        <v>81.62</v>
      </c>
      <c r="H150">
        <v>4.3600000000000003</v>
      </c>
      <c r="I150">
        <v>1.76</v>
      </c>
      <c r="J150">
        <v>0.71</v>
      </c>
      <c r="K150">
        <v>345.26</v>
      </c>
      <c r="L150">
        <v>0.97699999999999998</v>
      </c>
      <c r="M150">
        <v>1.33</v>
      </c>
      <c r="N150">
        <v>11.19</v>
      </c>
      <c r="O150">
        <v>0.20599999999999999</v>
      </c>
      <c r="P150">
        <v>9.4E-2</v>
      </c>
    </row>
    <row r="151" spans="1:16">
      <c r="A151" s="1" t="s">
        <v>103</v>
      </c>
      <c r="B151" s="1" t="s">
        <v>182</v>
      </c>
      <c r="C151" s="1" t="s">
        <v>105</v>
      </c>
      <c r="D151" s="1" t="s">
        <v>106</v>
      </c>
      <c r="E151" s="1" t="s">
        <v>107</v>
      </c>
      <c r="F151">
        <v>44.62</v>
      </c>
      <c r="G151">
        <v>119.68</v>
      </c>
      <c r="H151">
        <v>5.29</v>
      </c>
      <c r="I151">
        <v>1.85</v>
      </c>
      <c r="J151">
        <f>0.81/2</f>
        <v>0.40500000000000003</v>
      </c>
      <c r="K151">
        <v>363.85</v>
      </c>
      <c r="L151">
        <v>1.071</v>
      </c>
      <c r="M151">
        <v>1.1499999999999999</v>
      </c>
      <c r="N151">
        <v>10.19</v>
      </c>
      <c r="O151">
        <v>0.251</v>
      </c>
      <c r="P151">
        <f>0.101/2</f>
        <v>5.0500000000000003E-2</v>
      </c>
    </row>
    <row r="152" spans="1:16">
      <c r="A152" s="1" t="s">
        <v>103</v>
      </c>
      <c r="B152" s="1" t="s">
        <v>183</v>
      </c>
      <c r="C152" s="1" t="s">
        <v>105</v>
      </c>
      <c r="D152" s="1" t="s">
        <v>106</v>
      </c>
      <c r="E152" s="1" t="s">
        <v>107</v>
      </c>
      <c r="F152">
        <v>188.65</v>
      </c>
      <c r="G152">
        <v>141.24</v>
      </c>
      <c r="H152">
        <v>5.0999999999999996</v>
      </c>
      <c r="I152">
        <v>1.56</v>
      </c>
      <c r="J152">
        <v>0.77</v>
      </c>
      <c r="K152">
        <v>412.85</v>
      </c>
      <c r="L152">
        <v>0.97399999999999998</v>
      </c>
      <c r="M152">
        <v>1.07</v>
      </c>
      <c r="N152">
        <v>13.51</v>
      </c>
      <c r="O152">
        <v>0.09</v>
      </c>
      <c r="P152">
        <v>0.15</v>
      </c>
    </row>
    <row r="153" spans="1:16">
      <c r="A153" s="1" t="s">
        <v>103</v>
      </c>
      <c r="B153" s="1" t="s">
        <v>184</v>
      </c>
      <c r="C153" s="1" t="s">
        <v>105</v>
      </c>
      <c r="D153" s="1" t="s">
        <v>106</v>
      </c>
      <c r="E153" s="1" t="s">
        <v>107</v>
      </c>
      <c r="F153">
        <v>357.26</v>
      </c>
      <c r="G153">
        <v>80.52</v>
      </c>
      <c r="H153">
        <v>19.66</v>
      </c>
      <c r="I153">
        <v>7.4</v>
      </c>
      <c r="J153">
        <f>0.58/2</f>
        <v>0.28999999999999998</v>
      </c>
      <c r="K153">
        <v>321.94</v>
      </c>
      <c r="L153">
        <v>1.32</v>
      </c>
      <c r="M153">
        <v>4.78</v>
      </c>
      <c r="N153">
        <v>10.86</v>
      </c>
      <c r="O153">
        <v>0.28999999999999998</v>
      </c>
      <c r="P153">
        <f>0.086/2</f>
        <v>4.2999999999999997E-2</v>
      </c>
    </row>
    <row r="154" spans="1:16">
      <c r="A154" s="1" t="s">
        <v>103</v>
      </c>
      <c r="B154" s="1" t="s">
        <v>185</v>
      </c>
      <c r="C154" s="1" t="s">
        <v>105</v>
      </c>
      <c r="D154" s="1" t="s">
        <v>106</v>
      </c>
      <c r="E154" s="1" t="s">
        <v>107</v>
      </c>
      <c r="F154">
        <v>80.48</v>
      </c>
      <c r="G154">
        <v>102.74</v>
      </c>
      <c r="H154">
        <v>4.3600000000000003</v>
      </c>
      <c r="I154">
        <v>1.53</v>
      </c>
      <c r="J154">
        <f>0.97/2</f>
        <v>0.48499999999999999</v>
      </c>
      <c r="K154">
        <v>326.5</v>
      </c>
      <c r="L154">
        <v>0.84499999999999997</v>
      </c>
      <c r="M154">
        <v>1.06</v>
      </c>
      <c r="N154">
        <v>12.55</v>
      </c>
      <c r="O154">
        <v>0.18</v>
      </c>
      <c r="P154">
        <v>0.17699999999999999</v>
      </c>
    </row>
    <row r="155" spans="1:16">
      <c r="A155" s="1" t="s">
        <v>103</v>
      </c>
      <c r="B155" s="1" t="s">
        <v>186</v>
      </c>
      <c r="C155" s="1" t="s">
        <v>105</v>
      </c>
      <c r="D155" s="1" t="s">
        <v>106</v>
      </c>
      <c r="E155" s="1" t="s">
        <v>107</v>
      </c>
      <c r="F155">
        <v>35.380000000000003</v>
      </c>
      <c r="G155">
        <v>81.53</v>
      </c>
      <c r="H155">
        <v>4.4400000000000004</v>
      </c>
      <c r="I155">
        <v>1.9</v>
      </c>
      <c r="J155">
        <f>0.77/2</f>
        <v>0.38500000000000001</v>
      </c>
      <c r="K155">
        <v>317.05</v>
      </c>
      <c r="L155">
        <v>0.90400000000000003</v>
      </c>
      <c r="M155">
        <v>1.08</v>
      </c>
      <c r="N155">
        <v>11.01</v>
      </c>
      <c r="O155">
        <v>0.13400000000000001</v>
      </c>
      <c r="P155">
        <v>0.54700000000000004</v>
      </c>
    </row>
    <row r="156" spans="1:16">
      <c r="A156" s="1" t="s">
        <v>103</v>
      </c>
      <c r="B156" s="1" t="s">
        <v>187</v>
      </c>
      <c r="C156" s="1" t="s">
        <v>105</v>
      </c>
      <c r="D156" s="1" t="s">
        <v>106</v>
      </c>
      <c r="E156" s="1" t="s">
        <v>107</v>
      </c>
      <c r="F156">
        <v>68.33</v>
      </c>
      <c r="G156">
        <v>123.63</v>
      </c>
      <c r="H156">
        <v>5.65</v>
      </c>
      <c r="I156">
        <v>1.51</v>
      </c>
      <c r="J156">
        <f>0.56/2</f>
        <v>0.28000000000000003</v>
      </c>
      <c r="K156">
        <v>363.81</v>
      </c>
      <c r="L156">
        <v>1.036</v>
      </c>
      <c r="M156">
        <v>1.23</v>
      </c>
      <c r="N156">
        <v>10.51</v>
      </c>
      <c r="O156">
        <v>0.17</v>
      </c>
      <c r="P156">
        <f>0.103/2</f>
        <v>5.1499999999999997E-2</v>
      </c>
    </row>
    <row r="157" spans="1:16">
      <c r="A157" s="1" t="s">
        <v>103</v>
      </c>
      <c r="B157" s="1" t="s">
        <v>188</v>
      </c>
      <c r="C157" s="1" t="s">
        <v>105</v>
      </c>
      <c r="D157" s="1" t="s">
        <v>106</v>
      </c>
      <c r="E157" s="1" t="s">
        <v>107</v>
      </c>
      <c r="F157">
        <v>43.09</v>
      </c>
      <c r="G157">
        <v>129.49</v>
      </c>
      <c r="H157">
        <v>5.91</v>
      </c>
      <c r="I157">
        <v>1.61</v>
      </c>
      <c r="J157">
        <f>0.93/2</f>
        <v>0.46500000000000002</v>
      </c>
      <c r="K157">
        <v>368.26</v>
      </c>
      <c r="L157">
        <v>1.054</v>
      </c>
      <c r="M157">
        <v>1.36</v>
      </c>
      <c r="N157">
        <v>12.91</v>
      </c>
      <c r="O157">
        <v>0.159</v>
      </c>
      <c r="P157">
        <v>0.14499999999999999</v>
      </c>
    </row>
    <row r="158" spans="1:16">
      <c r="A158" s="1" t="s">
        <v>103</v>
      </c>
      <c r="B158" s="1" t="s">
        <v>189</v>
      </c>
      <c r="C158" s="1" t="s">
        <v>105</v>
      </c>
      <c r="D158" s="1" t="s">
        <v>106</v>
      </c>
      <c r="E158" s="1" t="s">
        <v>107</v>
      </c>
      <c r="F158">
        <v>19.38</v>
      </c>
      <c r="G158">
        <v>72.95</v>
      </c>
      <c r="H158">
        <v>3.52</v>
      </c>
      <c r="I158">
        <v>1.47</v>
      </c>
      <c r="J158">
        <f>0.85/2</f>
        <v>0.42499999999999999</v>
      </c>
      <c r="K158">
        <v>320.23</v>
      </c>
      <c r="L158">
        <v>1.081</v>
      </c>
      <c r="M158">
        <v>1.17</v>
      </c>
      <c r="N158">
        <v>10.16</v>
      </c>
      <c r="O158">
        <v>0.161</v>
      </c>
      <c r="P158">
        <f>0.109/2</f>
        <v>5.45E-2</v>
      </c>
    </row>
    <row r="159" spans="1:16">
      <c r="A159" s="1" t="s">
        <v>103</v>
      </c>
      <c r="B159" s="1" t="s">
        <v>190</v>
      </c>
      <c r="C159" s="1" t="s">
        <v>105</v>
      </c>
      <c r="D159" s="1" t="s">
        <v>106</v>
      </c>
      <c r="E159" s="1" t="s">
        <v>107</v>
      </c>
      <c r="F159">
        <v>184.16</v>
      </c>
      <c r="G159">
        <v>127.47</v>
      </c>
      <c r="H159">
        <v>5.41</v>
      </c>
      <c r="I159">
        <v>1.86</v>
      </c>
      <c r="J159">
        <f>0.76/2</f>
        <v>0.38</v>
      </c>
      <c r="K159">
        <v>352.27</v>
      </c>
      <c r="L159">
        <v>0.98799999999999999</v>
      </c>
      <c r="M159">
        <v>0.79</v>
      </c>
      <c r="N159">
        <v>15.26</v>
      </c>
      <c r="O159">
        <v>0.14699999999999999</v>
      </c>
      <c r="P159">
        <f>0.105/2</f>
        <v>5.2499999999999998E-2</v>
      </c>
    </row>
    <row r="160" spans="1:16">
      <c r="A160" s="1" t="s">
        <v>103</v>
      </c>
      <c r="B160" s="1" t="s">
        <v>191</v>
      </c>
      <c r="C160" s="1" t="s">
        <v>105</v>
      </c>
      <c r="D160" s="1" t="s">
        <v>106</v>
      </c>
      <c r="E160" s="1" t="s">
        <v>107</v>
      </c>
      <c r="F160">
        <v>90.04</v>
      </c>
      <c r="G160">
        <v>99.2</v>
      </c>
      <c r="H160">
        <v>5.74</v>
      </c>
      <c r="I160">
        <v>1.75</v>
      </c>
      <c r="J160">
        <v>1.77</v>
      </c>
      <c r="K160">
        <v>366.09</v>
      </c>
      <c r="L160">
        <v>0.82899999999999996</v>
      </c>
      <c r="M160">
        <v>1.27</v>
      </c>
      <c r="N160">
        <v>11.79</v>
      </c>
      <c r="O160">
        <v>0.218</v>
      </c>
      <c r="P160">
        <v>0.12</v>
      </c>
    </row>
    <row r="161" spans="1:16">
      <c r="A161" s="1" t="s">
        <v>103</v>
      </c>
      <c r="B161" s="1" t="s">
        <v>192</v>
      </c>
      <c r="C161" s="1" t="s">
        <v>105</v>
      </c>
      <c r="D161" s="1" t="s">
        <v>106</v>
      </c>
      <c r="E161" s="1" t="s">
        <v>107</v>
      </c>
      <c r="F161">
        <v>614.30999999999995</v>
      </c>
      <c r="G161">
        <v>177.05</v>
      </c>
      <c r="H161">
        <v>40.74</v>
      </c>
      <c r="I161">
        <v>13.8</v>
      </c>
      <c r="J161">
        <v>1.23</v>
      </c>
      <c r="K161">
        <v>411.97</v>
      </c>
      <c r="L161">
        <v>1.0469999999999999</v>
      </c>
      <c r="M161">
        <v>7.17</v>
      </c>
      <c r="N161">
        <v>11.47</v>
      </c>
      <c r="O161">
        <v>0.13600000000000001</v>
      </c>
      <c r="P161">
        <f>0.098/2</f>
        <v>4.9000000000000002E-2</v>
      </c>
    </row>
    <row r="162" spans="1:16">
      <c r="A162" s="1" t="s">
        <v>103</v>
      </c>
      <c r="B162" s="1" t="s">
        <v>193</v>
      </c>
      <c r="C162" s="1" t="s">
        <v>105</v>
      </c>
      <c r="D162" s="1" t="s">
        <v>106</v>
      </c>
      <c r="E162" s="1" t="s">
        <v>107</v>
      </c>
      <c r="F162">
        <v>54.56</v>
      </c>
      <c r="G162">
        <v>76.03</v>
      </c>
      <c r="H162">
        <v>47.12</v>
      </c>
      <c r="I162">
        <v>18.829999999999998</v>
      </c>
      <c r="J162">
        <v>0.8</v>
      </c>
      <c r="K162">
        <v>453.88</v>
      </c>
      <c r="L162">
        <v>1.0209999999999999</v>
      </c>
      <c r="M162">
        <v>5.28</v>
      </c>
      <c r="N162">
        <v>12.23</v>
      </c>
      <c r="O162">
        <v>0.14799999999999999</v>
      </c>
      <c r="P162">
        <f>0.099/2</f>
        <v>4.9500000000000002E-2</v>
      </c>
    </row>
    <row r="163" spans="1:16">
      <c r="A163" s="1" t="s">
        <v>103</v>
      </c>
      <c r="B163" s="1" t="s">
        <v>194</v>
      </c>
      <c r="C163" s="1" t="s">
        <v>105</v>
      </c>
      <c r="D163" s="1" t="s">
        <v>106</v>
      </c>
      <c r="E163" s="1" t="s">
        <v>107</v>
      </c>
      <c r="F163">
        <v>40.53</v>
      </c>
      <c r="G163">
        <v>84.35</v>
      </c>
      <c r="H163">
        <v>47.02</v>
      </c>
      <c r="I163">
        <v>15.96</v>
      </c>
      <c r="J163">
        <f>0.76/2</f>
        <v>0.38</v>
      </c>
      <c r="K163">
        <v>467.06</v>
      </c>
      <c r="L163">
        <v>1.018</v>
      </c>
      <c r="M163">
        <v>4.2699999999999996</v>
      </c>
      <c r="N163">
        <v>14.56</v>
      </c>
      <c r="O163">
        <v>0.23</v>
      </c>
      <c r="P163">
        <v>9.2999999999999999E-2</v>
      </c>
    </row>
    <row r="164" spans="1:16">
      <c r="A164" s="1" t="s">
        <v>103</v>
      </c>
      <c r="B164" s="1" t="s">
        <v>195</v>
      </c>
      <c r="C164" s="1" t="s">
        <v>105</v>
      </c>
      <c r="D164" s="1" t="s">
        <v>106</v>
      </c>
      <c r="E164" s="1" t="s">
        <v>107</v>
      </c>
      <c r="F164">
        <v>40.18</v>
      </c>
      <c r="G164">
        <v>134.5</v>
      </c>
      <c r="H164">
        <v>22.13</v>
      </c>
      <c r="I164">
        <v>8.17</v>
      </c>
      <c r="J164">
        <v>0.7</v>
      </c>
      <c r="K164">
        <v>350.23</v>
      </c>
      <c r="L164">
        <v>1.155</v>
      </c>
      <c r="M164">
        <v>4.08</v>
      </c>
      <c r="N164">
        <v>14.16</v>
      </c>
      <c r="O164">
        <v>0.29099999999999998</v>
      </c>
      <c r="P164">
        <v>0.14399999999999999</v>
      </c>
    </row>
    <row r="165" spans="1:16">
      <c r="A165" s="1" t="s">
        <v>103</v>
      </c>
      <c r="B165" s="1" t="s">
        <v>196</v>
      </c>
      <c r="C165" s="1" t="s">
        <v>105</v>
      </c>
      <c r="D165" s="1" t="s">
        <v>106</v>
      </c>
      <c r="E165" s="1" t="s">
        <v>107</v>
      </c>
      <c r="F165">
        <v>26.37</v>
      </c>
      <c r="G165">
        <v>37.25</v>
      </c>
      <c r="H165">
        <v>44.61</v>
      </c>
      <c r="I165">
        <v>18.43</v>
      </c>
      <c r="J165">
        <f>0.8/2</f>
        <v>0.4</v>
      </c>
      <c r="K165">
        <v>430.95</v>
      </c>
      <c r="L165">
        <v>1.087</v>
      </c>
      <c r="M165">
        <v>7.35</v>
      </c>
      <c r="N165">
        <v>14.32</v>
      </c>
      <c r="O165">
        <v>0.36599999999999999</v>
      </c>
      <c r="P165">
        <f>0.112/2</f>
        <v>5.6000000000000001E-2</v>
      </c>
    </row>
    <row r="166" spans="1:16">
      <c r="A166" s="1" t="s">
        <v>103</v>
      </c>
      <c r="B166" s="1" t="s">
        <v>197</v>
      </c>
      <c r="C166" s="1" t="s">
        <v>105</v>
      </c>
      <c r="D166" s="1" t="s">
        <v>106</v>
      </c>
      <c r="E166" s="1" t="s">
        <v>107</v>
      </c>
      <c r="F166">
        <v>354.14</v>
      </c>
      <c r="G166">
        <v>78.760000000000005</v>
      </c>
      <c r="H166">
        <v>20.63</v>
      </c>
      <c r="I166">
        <v>8.99</v>
      </c>
      <c r="J166">
        <v>0.89</v>
      </c>
      <c r="K166">
        <v>795.6</v>
      </c>
      <c r="L166">
        <v>0.79800000000000004</v>
      </c>
      <c r="M166">
        <v>4.25</v>
      </c>
      <c r="N166">
        <v>10.01</v>
      </c>
      <c r="O166">
        <v>0.29099999999999998</v>
      </c>
      <c r="P166">
        <f>0.08/2</f>
        <v>0.04</v>
      </c>
    </row>
    <row r="167" spans="1:16">
      <c r="A167" s="1" t="s">
        <v>103</v>
      </c>
      <c r="B167" s="1" t="s">
        <v>198</v>
      </c>
      <c r="C167" s="1" t="s">
        <v>105</v>
      </c>
      <c r="D167" s="1" t="s">
        <v>106</v>
      </c>
      <c r="E167" s="1" t="s">
        <v>107</v>
      </c>
      <c r="F167">
        <v>57.12</v>
      </c>
      <c r="G167">
        <v>84.66</v>
      </c>
      <c r="H167">
        <v>20.93</v>
      </c>
      <c r="I167">
        <v>8.3699999999999992</v>
      </c>
      <c r="J167">
        <v>1.34</v>
      </c>
      <c r="K167">
        <v>344.31</v>
      </c>
      <c r="L167">
        <v>1.27</v>
      </c>
      <c r="M167">
        <v>4.16</v>
      </c>
      <c r="N167">
        <v>12.9</v>
      </c>
      <c r="O167">
        <v>0.25800000000000001</v>
      </c>
      <c r="P167">
        <f>0.088/2</f>
        <v>4.3999999999999997E-2</v>
      </c>
    </row>
    <row r="168" spans="1:16">
      <c r="A168" s="1" t="s">
        <v>103</v>
      </c>
      <c r="B168" s="1" t="s">
        <v>199</v>
      </c>
      <c r="C168" s="1" t="s">
        <v>105</v>
      </c>
      <c r="D168" s="1" t="s">
        <v>106</v>
      </c>
      <c r="E168" s="1" t="s">
        <v>107</v>
      </c>
      <c r="F168">
        <v>20.91</v>
      </c>
      <c r="G168">
        <v>10.51</v>
      </c>
      <c r="H168">
        <f>0.52/2</f>
        <v>0.26</v>
      </c>
      <c r="I168">
        <v>0.48</v>
      </c>
      <c r="J168">
        <f>0.71/2</f>
        <v>0.35499999999999998</v>
      </c>
      <c r="K168">
        <v>1368.01</v>
      </c>
      <c r="L168">
        <v>1.0109999999999999</v>
      </c>
      <c r="M168">
        <v>0.37</v>
      </c>
      <c r="N168">
        <v>8.36</v>
      </c>
      <c r="O168">
        <v>3.3000000000000002E-2</v>
      </c>
      <c r="P168">
        <f>0.087/2</f>
        <v>4.3499999999999997E-2</v>
      </c>
    </row>
    <row r="169" spans="1:16">
      <c r="A169" s="1" t="s">
        <v>103</v>
      </c>
      <c r="B169" s="1" t="s">
        <v>200</v>
      </c>
      <c r="C169" s="1" t="s">
        <v>105</v>
      </c>
      <c r="D169" s="1" t="s">
        <v>106</v>
      </c>
      <c r="E169" s="1" t="s">
        <v>107</v>
      </c>
      <c r="F169">
        <v>16.260000000000002</v>
      </c>
      <c r="G169">
        <v>6.15</v>
      </c>
      <c r="H169">
        <v>24.29</v>
      </c>
      <c r="I169">
        <v>0.63500000000000001</v>
      </c>
      <c r="J169">
        <f>0.7/2</f>
        <v>0.35</v>
      </c>
      <c r="K169">
        <v>1626.27</v>
      </c>
      <c r="L169">
        <v>0.96899999999999997</v>
      </c>
      <c r="M169">
        <v>0.71</v>
      </c>
      <c r="N169">
        <v>10.5</v>
      </c>
      <c r="O169">
        <v>7.6999999999999999E-2</v>
      </c>
      <c r="P169">
        <f>0.084/2</f>
        <v>4.2000000000000003E-2</v>
      </c>
    </row>
    <row r="170" spans="1:16">
      <c r="A170" s="1" t="s">
        <v>103</v>
      </c>
      <c r="B170" s="1" t="s">
        <v>201</v>
      </c>
      <c r="C170" s="1" t="s">
        <v>105</v>
      </c>
      <c r="D170" s="1" t="s">
        <v>106</v>
      </c>
      <c r="E170" s="1" t="s">
        <v>107</v>
      </c>
      <c r="F170">
        <v>13.42</v>
      </c>
      <c r="G170">
        <v>6.54</v>
      </c>
      <c r="H170">
        <f>0.42/2</f>
        <v>0.21</v>
      </c>
      <c r="I170">
        <v>0.38100000000000001</v>
      </c>
      <c r="J170">
        <f>0.63/2</f>
        <v>0.315</v>
      </c>
      <c r="K170">
        <v>1527.99</v>
      </c>
      <c r="L170">
        <v>1.006</v>
      </c>
      <c r="M170">
        <v>0.76</v>
      </c>
      <c r="N170">
        <v>15.07</v>
      </c>
      <c r="O170">
        <f>0.039/2</f>
        <v>1.95E-2</v>
      </c>
      <c r="P170">
        <f>0.083/2</f>
        <v>4.1500000000000002E-2</v>
      </c>
    </row>
    <row r="171" spans="1:16">
      <c r="A171" s="1" t="s">
        <v>103</v>
      </c>
      <c r="B171" s="1" t="s">
        <v>202</v>
      </c>
      <c r="C171" s="1" t="s">
        <v>105</v>
      </c>
      <c r="D171" s="1" t="s">
        <v>106</v>
      </c>
      <c r="E171" s="1" t="s">
        <v>107</v>
      </c>
      <c r="F171">
        <v>11.76</v>
      </c>
      <c r="G171">
        <v>5.49</v>
      </c>
      <c r="H171">
        <f>0.58/2</f>
        <v>0.28999999999999998</v>
      </c>
      <c r="I171">
        <v>1.46</v>
      </c>
      <c r="J171">
        <v>0.78</v>
      </c>
      <c r="K171">
        <v>314.39999999999998</v>
      </c>
      <c r="L171">
        <v>0.61899999999999999</v>
      </c>
      <c r="M171">
        <v>1.3</v>
      </c>
      <c r="N171">
        <v>2.5</v>
      </c>
      <c r="O171">
        <v>6.2E-2</v>
      </c>
      <c r="P171">
        <f>0.082/2</f>
        <v>4.1000000000000002E-2</v>
      </c>
    </row>
    <row r="172" spans="1:16">
      <c r="A172" s="1" t="s">
        <v>103</v>
      </c>
      <c r="B172" s="1" t="s">
        <v>203</v>
      </c>
      <c r="C172" s="1" t="s">
        <v>105</v>
      </c>
      <c r="D172" s="1" t="s">
        <v>106</v>
      </c>
      <c r="E172" s="1" t="s">
        <v>107</v>
      </c>
      <c r="F172">
        <v>13.56</v>
      </c>
      <c r="G172">
        <v>7.24</v>
      </c>
      <c r="H172">
        <f>0.47/2</f>
        <v>0.23499999999999999</v>
      </c>
      <c r="I172">
        <v>0.73599999999999999</v>
      </c>
      <c r="J172">
        <f>0.72/2</f>
        <v>0.36</v>
      </c>
      <c r="K172">
        <v>1285.44</v>
      </c>
      <c r="L172">
        <v>1.2649999999999999</v>
      </c>
      <c r="M172">
        <v>0.93</v>
      </c>
      <c r="N172">
        <v>8.4600000000000009</v>
      </c>
      <c r="O172">
        <f>0.087/2</f>
        <v>4.3499999999999997E-2</v>
      </c>
      <c r="P172">
        <f>0.108/2</f>
        <v>5.3999999999999999E-2</v>
      </c>
    </row>
    <row r="173" spans="1:16">
      <c r="A173" s="1" t="s">
        <v>103</v>
      </c>
      <c r="B173" s="1" t="s">
        <v>204</v>
      </c>
      <c r="C173" s="1" t="s">
        <v>105</v>
      </c>
      <c r="D173" s="1" t="s">
        <v>106</v>
      </c>
      <c r="E173" s="1" t="s">
        <v>107</v>
      </c>
      <c r="F173">
        <v>35.229999999999997</v>
      </c>
      <c r="G173">
        <v>12.76</v>
      </c>
      <c r="H173">
        <v>2.6</v>
      </c>
      <c r="I173">
        <v>0.69299999999999995</v>
      </c>
      <c r="J173">
        <v>1.68</v>
      </c>
      <c r="K173">
        <v>415.96</v>
      </c>
      <c r="L173">
        <v>0.86299999999999999</v>
      </c>
      <c r="M173">
        <f>0.174/2</f>
        <v>8.6999999999999994E-2</v>
      </c>
      <c r="N173">
        <v>9.39</v>
      </c>
      <c r="O173">
        <f>0.037/2</f>
        <v>1.8499999999999999E-2</v>
      </c>
      <c r="P173">
        <f>0.089/2</f>
        <v>4.4499999999999998E-2</v>
      </c>
    </row>
    <row r="174" spans="1:16">
      <c r="A174" s="1" t="s">
        <v>103</v>
      </c>
      <c r="B174" s="1" t="s">
        <v>205</v>
      </c>
      <c r="C174" s="1" t="s">
        <v>105</v>
      </c>
      <c r="D174" s="1" t="s">
        <v>106</v>
      </c>
      <c r="E174" s="1" t="s">
        <v>107</v>
      </c>
      <c r="F174">
        <v>8.24</v>
      </c>
      <c r="G174">
        <v>5.1100000000000003</v>
      </c>
      <c r="H174">
        <v>0.96</v>
      </c>
      <c r="I174">
        <v>1.81</v>
      </c>
      <c r="J174">
        <f>0.89/2</f>
        <v>0.44500000000000001</v>
      </c>
      <c r="K174">
        <v>116.35</v>
      </c>
      <c r="L174">
        <v>0.54400000000000004</v>
      </c>
      <c r="M174">
        <v>0.71</v>
      </c>
      <c r="N174">
        <v>3.92</v>
      </c>
      <c r="O174">
        <v>8.7999999999999995E-2</v>
      </c>
      <c r="P174">
        <f>0.116/2</f>
        <v>5.8000000000000003E-2</v>
      </c>
    </row>
    <row r="175" spans="1:16">
      <c r="A175" s="1" t="s">
        <v>103</v>
      </c>
      <c r="B175" s="1" t="s">
        <v>206</v>
      </c>
      <c r="C175" s="1" t="s">
        <v>105</v>
      </c>
      <c r="D175" s="1" t="s">
        <v>106</v>
      </c>
      <c r="E175" s="1" t="s">
        <v>107</v>
      </c>
      <c r="F175">
        <v>7.4</v>
      </c>
      <c r="G175">
        <v>14.5</v>
      </c>
      <c r="H175">
        <v>36.5</v>
      </c>
      <c r="I175">
        <v>3.56</v>
      </c>
      <c r="J175">
        <f>0.71/2</f>
        <v>0.35499999999999998</v>
      </c>
      <c r="K175">
        <v>1508.79</v>
      </c>
      <c r="L175">
        <v>1.4770000000000001</v>
      </c>
      <c r="M175">
        <v>0.49</v>
      </c>
      <c r="N175">
        <v>7.69</v>
      </c>
      <c r="O175">
        <v>8.2000000000000003E-2</v>
      </c>
      <c r="P175">
        <v>9.1999999999999998E-2</v>
      </c>
    </row>
    <row r="176" spans="1:16">
      <c r="A176" s="1" t="s">
        <v>103</v>
      </c>
      <c r="B176" s="1" t="s">
        <v>207</v>
      </c>
      <c r="C176" s="1" t="s">
        <v>105</v>
      </c>
      <c r="D176" s="1" t="s">
        <v>106</v>
      </c>
      <c r="E176" s="1" t="s">
        <v>107</v>
      </c>
      <c r="F176">
        <v>19.82</v>
      </c>
      <c r="G176">
        <v>5.16</v>
      </c>
      <c r="H176">
        <f>0.37/2</f>
        <v>0.185</v>
      </c>
      <c r="I176">
        <v>1.103</v>
      </c>
      <c r="J176">
        <f>0.71/2</f>
        <v>0.35499999999999998</v>
      </c>
      <c r="K176">
        <v>557.33000000000004</v>
      </c>
      <c r="L176">
        <v>0.79100000000000004</v>
      </c>
      <c r="M176">
        <v>0.49</v>
      </c>
      <c r="N176">
        <v>4.28</v>
      </c>
      <c r="O176">
        <v>4.2000000000000003E-2</v>
      </c>
      <c r="P176">
        <f>0.094/2</f>
        <v>4.7E-2</v>
      </c>
    </row>
    <row r="177" spans="1:16">
      <c r="A177" s="1" t="s">
        <v>103</v>
      </c>
      <c r="B177" s="1" t="s">
        <v>208</v>
      </c>
      <c r="C177" s="1" t="s">
        <v>105</v>
      </c>
      <c r="D177" s="1" t="s">
        <v>106</v>
      </c>
      <c r="E177" s="1" t="s">
        <v>107</v>
      </c>
      <c r="F177">
        <v>66.91</v>
      </c>
      <c r="G177">
        <v>316.19</v>
      </c>
      <c r="H177">
        <v>2.86</v>
      </c>
      <c r="I177">
        <v>1.41</v>
      </c>
      <c r="J177">
        <f>0.63/2</f>
        <v>0.315</v>
      </c>
      <c r="K177">
        <v>313</v>
      </c>
      <c r="L177">
        <v>2.6</v>
      </c>
      <c r="M177">
        <v>11.2</v>
      </c>
      <c r="N177">
        <v>35.229999999999997</v>
      </c>
      <c r="O177">
        <v>0.41</v>
      </c>
      <c r="P177">
        <v>0.32900000000000001</v>
      </c>
    </row>
    <row r="178" spans="1:16">
      <c r="A178" s="1" t="s">
        <v>103</v>
      </c>
      <c r="B178" s="1" t="s">
        <v>209</v>
      </c>
      <c r="C178" s="1" t="s">
        <v>105</v>
      </c>
      <c r="D178" s="1" t="s">
        <v>106</v>
      </c>
      <c r="E178" s="1" t="s">
        <v>107</v>
      </c>
      <c r="F178">
        <v>99.05</v>
      </c>
      <c r="G178">
        <v>351.29</v>
      </c>
      <c r="H178">
        <v>4.25</v>
      </c>
      <c r="I178">
        <v>2.46</v>
      </c>
      <c r="J178">
        <f>0.71/2</f>
        <v>0.35499999999999998</v>
      </c>
      <c r="K178">
        <v>314.94</v>
      </c>
      <c r="L178">
        <v>2.2000000000000002</v>
      </c>
      <c r="M178">
        <v>12.07</v>
      </c>
      <c r="N178">
        <v>23.37</v>
      </c>
      <c r="O178">
        <v>0.53500000000000003</v>
      </c>
      <c r="P178">
        <v>0.30399999999999999</v>
      </c>
    </row>
    <row r="179" spans="1:16">
      <c r="A179" s="1" t="s">
        <v>103</v>
      </c>
      <c r="B179" s="1" t="s">
        <v>210</v>
      </c>
      <c r="C179" s="1" t="s">
        <v>105</v>
      </c>
      <c r="D179" s="1" t="s">
        <v>106</v>
      </c>
      <c r="E179" s="1" t="s">
        <v>107</v>
      </c>
      <c r="F179">
        <v>219.66</v>
      </c>
      <c r="G179">
        <v>347.28</v>
      </c>
      <c r="H179">
        <v>3.22</v>
      </c>
      <c r="I179">
        <v>1.82</v>
      </c>
      <c r="J179">
        <f>0.7/2</f>
        <v>0.35</v>
      </c>
      <c r="K179">
        <v>438.98</v>
      </c>
      <c r="L179">
        <v>2.91</v>
      </c>
      <c r="M179">
        <v>14.21</v>
      </c>
      <c r="N179">
        <v>39.56</v>
      </c>
      <c r="O179">
        <v>0.501</v>
      </c>
      <c r="P179">
        <v>0.40799999999999997</v>
      </c>
    </row>
    <row r="180" spans="1:16">
      <c r="A180" s="1" t="s">
        <v>103</v>
      </c>
      <c r="B180" s="1" t="s">
        <v>211</v>
      </c>
      <c r="C180" s="1" t="s">
        <v>105</v>
      </c>
      <c r="D180" s="1" t="s">
        <v>106</v>
      </c>
      <c r="E180" s="1" t="s">
        <v>107</v>
      </c>
      <c r="F180">
        <v>18.420000000000002</v>
      </c>
      <c r="G180">
        <v>211.32</v>
      </c>
      <c r="H180">
        <v>2.44</v>
      </c>
      <c r="I180">
        <v>1.57</v>
      </c>
      <c r="J180">
        <f>0.85/2</f>
        <v>0.42499999999999999</v>
      </c>
      <c r="K180">
        <v>189.48</v>
      </c>
      <c r="L180">
        <v>2.85</v>
      </c>
      <c r="M180">
        <v>12.37</v>
      </c>
      <c r="N180">
        <v>24.04</v>
      </c>
      <c r="O180">
        <v>0.44500000000000001</v>
      </c>
      <c r="P180">
        <v>0.48599999999999999</v>
      </c>
    </row>
    <row r="181" spans="1:16">
      <c r="A181" s="1" t="s">
        <v>103</v>
      </c>
      <c r="B181" s="1" t="s">
        <v>212</v>
      </c>
      <c r="C181" s="1" t="s">
        <v>105</v>
      </c>
      <c r="D181" s="1" t="s">
        <v>106</v>
      </c>
      <c r="E181" s="1" t="s">
        <v>107</v>
      </c>
      <c r="F181">
        <v>27.16</v>
      </c>
      <c r="G181">
        <v>234.98</v>
      </c>
      <c r="H181">
        <v>3.65</v>
      </c>
      <c r="I181">
        <v>1.59</v>
      </c>
      <c r="J181">
        <f>0.67/2</f>
        <v>0.33500000000000002</v>
      </c>
      <c r="K181">
        <v>252.19</v>
      </c>
      <c r="L181">
        <v>2.63</v>
      </c>
      <c r="M181">
        <v>12.56</v>
      </c>
      <c r="N181">
        <v>23.62</v>
      </c>
      <c r="O181">
        <v>0.50900000000000001</v>
      </c>
      <c r="P181">
        <v>0.123</v>
      </c>
    </row>
    <row r="182" spans="1:16">
      <c r="A182" s="1" t="s">
        <v>103</v>
      </c>
      <c r="B182" s="1" t="s">
        <v>213</v>
      </c>
      <c r="C182" s="1" t="s">
        <v>105</v>
      </c>
      <c r="D182" s="1" t="s">
        <v>106</v>
      </c>
      <c r="E182" s="1" t="s">
        <v>107</v>
      </c>
      <c r="F182">
        <v>24.81</v>
      </c>
      <c r="G182">
        <v>276.91000000000003</v>
      </c>
      <c r="H182">
        <v>2.8</v>
      </c>
      <c r="I182">
        <v>1.58</v>
      </c>
      <c r="J182">
        <f>1.09/2</f>
        <v>0.54500000000000004</v>
      </c>
      <c r="K182">
        <v>288.79000000000002</v>
      </c>
      <c r="L182">
        <v>2.57</v>
      </c>
      <c r="M182">
        <v>12.11</v>
      </c>
      <c r="N182">
        <v>22.11</v>
      </c>
      <c r="O182">
        <v>0.57299999999999995</v>
      </c>
      <c r="P182">
        <v>0.19</v>
      </c>
    </row>
    <row r="183" spans="1:16">
      <c r="A183" s="1" t="s">
        <v>103</v>
      </c>
      <c r="B183" s="1" t="s">
        <v>214</v>
      </c>
      <c r="C183" s="1" t="s">
        <v>105</v>
      </c>
      <c r="D183" s="1" t="s">
        <v>106</v>
      </c>
      <c r="E183" s="1" t="s">
        <v>107</v>
      </c>
      <c r="F183">
        <v>24.35</v>
      </c>
      <c r="G183">
        <v>253.86</v>
      </c>
      <c r="H183">
        <v>3.89</v>
      </c>
      <c r="I183">
        <v>1.61</v>
      </c>
      <c r="J183">
        <f>0.73/2</f>
        <v>0.36499999999999999</v>
      </c>
      <c r="K183">
        <v>279.07</v>
      </c>
      <c r="L183">
        <v>2.4500000000000002</v>
      </c>
      <c r="M183">
        <v>10.57</v>
      </c>
      <c r="N183">
        <v>25.14</v>
      </c>
      <c r="O183">
        <v>0.48499999999999999</v>
      </c>
      <c r="P183">
        <v>0.36599999999999999</v>
      </c>
    </row>
    <row r="184" spans="1:16">
      <c r="A184" s="1" t="s">
        <v>103</v>
      </c>
      <c r="B184" s="1" t="s">
        <v>215</v>
      </c>
      <c r="C184" s="1" t="s">
        <v>105</v>
      </c>
      <c r="D184" s="1" t="s">
        <v>106</v>
      </c>
      <c r="E184" s="1" t="s">
        <v>107</v>
      </c>
      <c r="F184">
        <v>65.81</v>
      </c>
      <c r="G184">
        <v>325.24</v>
      </c>
      <c r="H184">
        <v>2.89</v>
      </c>
      <c r="I184">
        <v>1.33</v>
      </c>
      <c r="J184">
        <f>0.69/2</f>
        <v>0.34499999999999997</v>
      </c>
      <c r="K184">
        <v>284.10000000000002</v>
      </c>
      <c r="L184">
        <v>2.4500000000000002</v>
      </c>
      <c r="M184">
        <v>11.27</v>
      </c>
      <c r="N184">
        <v>26.14</v>
      </c>
      <c r="O184">
        <v>0.53900000000000003</v>
      </c>
      <c r="P184">
        <v>0.246</v>
      </c>
    </row>
    <row r="185" spans="1:16">
      <c r="A185" s="1" t="s">
        <v>103</v>
      </c>
      <c r="B185" s="1" t="s">
        <v>216</v>
      </c>
      <c r="C185" s="1" t="s">
        <v>105</v>
      </c>
      <c r="D185" s="1" t="s">
        <v>106</v>
      </c>
      <c r="E185" s="1" t="s">
        <v>107</v>
      </c>
      <c r="F185">
        <v>25.28</v>
      </c>
      <c r="G185">
        <v>299.24</v>
      </c>
      <c r="H185">
        <v>3.53</v>
      </c>
      <c r="I185">
        <v>1.77</v>
      </c>
      <c r="J185">
        <f>0.72/2</f>
        <v>0.36</v>
      </c>
      <c r="K185">
        <v>319.31</v>
      </c>
      <c r="L185">
        <v>2.23</v>
      </c>
      <c r="M185">
        <v>12.79</v>
      </c>
      <c r="N185">
        <v>24.53</v>
      </c>
      <c r="O185">
        <v>0.42299999999999999</v>
      </c>
      <c r="P185">
        <v>0.23300000000000001</v>
      </c>
    </row>
    <row r="186" spans="1:16">
      <c r="A186" s="1" t="s">
        <v>103</v>
      </c>
      <c r="B186" s="1" t="s">
        <v>217</v>
      </c>
      <c r="C186" s="1" t="s">
        <v>105</v>
      </c>
      <c r="D186" s="1" t="s">
        <v>106</v>
      </c>
      <c r="E186" s="1" t="s">
        <v>107</v>
      </c>
      <c r="F186">
        <v>40.24</v>
      </c>
      <c r="G186">
        <v>308.02999999999997</v>
      </c>
      <c r="H186">
        <v>3.21</v>
      </c>
      <c r="I186">
        <v>1.64</v>
      </c>
      <c r="J186">
        <v>1.62</v>
      </c>
      <c r="K186">
        <v>270.23</v>
      </c>
      <c r="L186">
        <v>2.67</v>
      </c>
      <c r="M186">
        <v>12.37</v>
      </c>
      <c r="N186">
        <v>25.75</v>
      </c>
      <c r="O186">
        <v>0.68600000000000005</v>
      </c>
      <c r="P186">
        <v>0.24299999999999999</v>
      </c>
    </row>
    <row r="187" spans="1:16">
      <c r="A187" s="1" t="s">
        <v>103</v>
      </c>
      <c r="B187" s="1" t="s">
        <v>218</v>
      </c>
      <c r="C187" s="1" t="s">
        <v>105</v>
      </c>
      <c r="D187" s="1" t="s">
        <v>106</v>
      </c>
      <c r="E187" s="1" t="s">
        <v>107</v>
      </c>
      <c r="F187">
        <v>233.78</v>
      </c>
      <c r="G187">
        <v>256.29000000000002</v>
      </c>
      <c r="H187">
        <v>3.31</v>
      </c>
      <c r="I187">
        <v>1.59</v>
      </c>
      <c r="J187">
        <v>1.26</v>
      </c>
      <c r="K187">
        <v>325.75</v>
      </c>
      <c r="L187">
        <v>2.37</v>
      </c>
      <c r="M187">
        <v>12.85</v>
      </c>
      <c r="N187">
        <v>31.95</v>
      </c>
      <c r="O187">
        <v>0.59799999999999998</v>
      </c>
      <c r="P187">
        <v>0.39600000000000002</v>
      </c>
    </row>
    <row r="188" spans="1:16">
      <c r="A188" s="1" t="s">
        <v>103</v>
      </c>
      <c r="B188" s="1" t="s">
        <v>219</v>
      </c>
      <c r="C188" s="1" t="s">
        <v>105</v>
      </c>
      <c r="D188" s="1" t="s">
        <v>106</v>
      </c>
      <c r="E188" s="1" t="s">
        <v>107</v>
      </c>
      <c r="F188">
        <v>25.22</v>
      </c>
      <c r="G188">
        <v>280.73</v>
      </c>
      <c r="H188">
        <v>2.66</v>
      </c>
      <c r="I188">
        <v>1.37</v>
      </c>
      <c r="J188">
        <f>0.52/2</f>
        <v>0.26</v>
      </c>
      <c r="K188">
        <v>292.58</v>
      </c>
      <c r="L188">
        <v>2.69</v>
      </c>
      <c r="M188">
        <v>13.76</v>
      </c>
      <c r="N188">
        <v>25.74</v>
      </c>
      <c r="O188">
        <v>0.63900000000000001</v>
      </c>
      <c r="P188">
        <v>0.27700000000000002</v>
      </c>
    </row>
    <row r="189" spans="1:16">
      <c r="A189" s="1" t="s">
        <v>103</v>
      </c>
      <c r="B189" s="1" t="s">
        <v>220</v>
      </c>
      <c r="C189" s="1" t="s">
        <v>105</v>
      </c>
      <c r="D189" s="1" t="s">
        <v>106</v>
      </c>
      <c r="E189" s="1" t="s">
        <v>107</v>
      </c>
      <c r="F189">
        <v>56.46</v>
      </c>
      <c r="G189">
        <v>335.88</v>
      </c>
      <c r="H189">
        <v>2.96</v>
      </c>
      <c r="I189">
        <v>1.81</v>
      </c>
      <c r="J189">
        <f>0.89/2</f>
        <v>0.44500000000000001</v>
      </c>
      <c r="K189">
        <v>351.83</v>
      </c>
      <c r="L189">
        <v>2.69</v>
      </c>
      <c r="M189">
        <v>13.92</v>
      </c>
      <c r="N189">
        <v>32.67</v>
      </c>
      <c r="O189">
        <v>0.61799999999999999</v>
      </c>
      <c r="P189">
        <v>0.42099999999999999</v>
      </c>
    </row>
    <row r="190" spans="1:16">
      <c r="A190" s="1" t="s">
        <v>103</v>
      </c>
      <c r="B190" s="1" t="s">
        <v>221</v>
      </c>
      <c r="C190" s="1" t="s">
        <v>105</v>
      </c>
      <c r="D190" s="1" t="s">
        <v>106</v>
      </c>
      <c r="E190" s="1" t="s">
        <v>107</v>
      </c>
      <c r="F190">
        <v>442.17</v>
      </c>
      <c r="G190">
        <v>328.46</v>
      </c>
      <c r="H190">
        <v>4.67</v>
      </c>
      <c r="I190">
        <v>1.79</v>
      </c>
      <c r="J190">
        <f>0.71/2</f>
        <v>0.35499999999999998</v>
      </c>
      <c r="K190">
        <v>248.62</v>
      </c>
      <c r="L190">
        <v>2.5499999999999998</v>
      </c>
      <c r="M190">
        <v>12.12</v>
      </c>
      <c r="N190">
        <v>20.72</v>
      </c>
      <c r="O190">
        <v>0.52600000000000002</v>
      </c>
      <c r="P190">
        <v>0.45900000000000002</v>
      </c>
    </row>
    <row r="191" spans="1:16">
      <c r="A191" s="1" t="s">
        <v>103</v>
      </c>
      <c r="B191" s="1" t="s">
        <v>222</v>
      </c>
      <c r="C191" s="1" t="s">
        <v>105</v>
      </c>
      <c r="D191" s="1" t="s">
        <v>106</v>
      </c>
      <c r="E191" s="1" t="s">
        <v>107</v>
      </c>
      <c r="F191">
        <v>44.06</v>
      </c>
      <c r="G191">
        <v>333.08</v>
      </c>
      <c r="H191">
        <v>3.06</v>
      </c>
      <c r="I191">
        <v>1.71</v>
      </c>
      <c r="J191">
        <f>0.7/2</f>
        <v>0.35</v>
      </c>
      <c r="K191">
        <v>318.07</v>
      </c>
      <c r="L191">
        <v>2.76</v>
      </c>
      <c r="M191">
        <v>12.93</v>
      </c>
      <c r="N191">
        <v>33.479999999999997</v>
      </c>
      <c r="O191">
        <v>0.58399999999999996</v>
      </c>
      <c r="P191">
        <v>0.32800000000000001</v>
      </c>
    </row>
    <row r="192" spans="1:16">
      <c r="A192" s="1" t="s">
        <v>103</v>
      </c>
      <c r="B192" s="1" t="s">
        <v>223</v>
      </c>
      <c r="C192" s="1" t="s">
        <v>105</v>
      </c>
      <c r="D192" s="1" t="s">
        <v>106</v>
      </c>
      <c r="E192" s="1" t="s">
        <v>107</v>
      </c>
      <c r="F192">
        <v>16.45</v>
      </c>
      <c r="G192">
        <v>242.81</v>
      </c>
      <c r="H192">
        <v>2.69</v>
      </c>
      <c r="I192">
        <v>1.54</v>
      </c>
      <c r="J192">
        <f>0.78/2</f>
        <v>0.39</v>
      </c>
      <c r="K192">
        <v>195.17</v>
      </c>
      <c r="L192">
        <v>2.62</v>
      </c>
      <c r="M192">
        <v>12.06</v>
      </c>
      <c r="N192">
        <v>17.739999999999998</v>
      </c>
      <c r="O192">
        <v>0.50900000000000001</v>
      </c>
      <c r="P192">
        <v>0.21199999999999999</v>
      </c>
    </row>
    <row r="193" spans="1:16">
      <c r="A193" s="1" t="s">
        <v>103</v>
      </c>
      <c r="B193" s="1" t="s">
        <v>224</v>
      </c>
      <c r="C193" s="1" t="s">
        <v>105</v>
      </c>
      <c r="D193" s="1" t="s">
        <v>106</v>
      </c>
      <c r="E193" s="1" t="s">
        <v>107</v>
      </c>
      <c r="F193">
        <v>29.21</v>
      </c>
      <c r="G193">
        <v>338.57</v>
      </c>
      <c r="H193">
        <v>2.71</v>
      </c>
      <c r="I193">
        <v>1.61</v>
      </c>
      <c r="J193">
        <f>0.63/2</f>
        <v>0.315</v>
      </c>
      <c r="K193">
        <v>328.22</v>
      </c>
      <c r="L193">
        <v>2.41</v>
      </c>
      <c r="M193">
        <v>12.87</v>
      </c>
      <c r="N193">
        <v>39.29</v>
      </c>
      <c r="O193">
        <v>0.627</v>
      </c>
      <c r="P193">
        <v>0.41699999999999998</v>
      </c>
    </row>
    <row r="194" spans="1:16">
      <c r="A194" s="1" t="s">
        <v>103</v>
      </c>
      <c r="B194" s="1" t="s">
        <v>225</v>
      </c>
      <c r="C194" s="1" t="s">
        <v>105</v>
      </c>
      <c r="D194" s="1" t="s">
        <v>106</v>
      </c>
      <c r="E194" s="1" t="s">
        <v>107</v>
      </c>
      <c r="F194">
        <v>954.22</v>
      </c>
      <c r="G194">
        <v>322.97000000000003</v>
      </c>
      <c r="H194">
        <v>3.87</v>
      </c>
      <c r="I194">
        <v>1.72</v>
      </c>
      <c r="J194">
        <f>0.63/2</f>
        <v>0.315</v>
      </c>
      <c r="K194">
        <v>396.31</v>
      </c>
      <c r="L194">
        <v>2.9</v>
      </c>
      <c r="M194">
        <v>15.4</v>
      </c>
      <c r="N194">
        <v>27.33</v>
      </c>
      <c r="O194">
        <v>0.50600000000000001</v>
      </c>
      <c r="P194">
        <v>0.21199999999999999</v>
      </c>
    </row>
    <row r="195" spans="1:16">
      <c r="A195" s="1" t="s">
        <v>103</v>
      </c>
      <c r="B195" s="1" t="s">
        <v>226</v>
      </c>
      <c r="C195" s="1" t="s">
        <v>105</v>
      </c>
      <c r="D195" s="1" t="s">
        <v>106</v>
      </c>
      <c r="E195" s="1" t="s">
        <v>107</v>
      </c>
      <c r="F195">
        <v>25.17</v>
      </c>
      <c r="G195">
        <v>316.58</v>
      </c>
      <c r="H195">
        <v>3.29</v>
      </c>
      <c r="I195">
        <v>1.41</v>
      </c>
      <c r="J195">
        <f>0.7/2</f>
        <v>0.35</v>
      </c>
      <c r="K195">
        <v>294.32</v>
      </c>
      <c r="L195">
        <v>2.74</v>
      </c>
      <c r="M195">
        <v>11.03</v>
      </c>
      <c r="N195">
        <v>32.19</v>
      </c>
      <c r="O195">
        <v>0.49</v>
      </c>
      <c r="P195">
        <v>0.26900000000000002</v>
      </c>
    </row>
    <row r="196" spans="1:16">
      <c r="A196" s="1" t="s">
        <v>103</v>
      </c>
      <c r="B196" s="1" t="s">
        <v>227</v>
      </c>
      <c r="C196" s="1" t="s">
        <v>105</v>
      </c>
      <c r="D196" s="1" t="s">
        <v>106</v>
      </c>
      <c r="E196" s="1" t="s">
        <v>107</v>
      </c>
      <c r="F196">
        <v>179.39</v>
      </c>
      <c r="G196">
        <v>221.11</v>
      </c>
      <c r="H196">
        <v>2</v>
      </c>
      <c r="I196">
        <v>1.73</v>
      </c>
      <c r="J196">
        <f>0.8/2</f>
        <v>0.4</v>
      </c>
      <c r="K196">
        <v>185.56</v>
      </c>
      <c r="L196">
        <v>2.66</v>
      </c>
      <c r="M196">
        <v>13.22</v>
      </c>
      <c r="N196">
        <v>15.67</v>
      </c>
      <c r="O196">
        <v>0.52500000000000002</v>
      </c>
      <c r="P196">
        <v>0.33100000000000002</v>
      </c>
    </row>
    <row r="197" spans="1:16">
      <c r="A197" s="1" t="s">
        <v>103</v>
      </c>
      <c r="B197" s="1" t="s">
        <v>228</v>
      </c>
      <c r="C197" s="1" t="s">
        <v>105</v>
      </c>
      <c r="D197" s="1" t="s">
        <v>106</v>
      </c>
      <c r="E197" s="1" t="s">
        <v>107</v>
      </c>
      <c r="F197">
        <v>35.54</v>
      </c>
      <c r="G197">
        <v>338.76</v>
      </c>
      <c r="H197">
        <v>2.5499999999999998</v>
      </c>
      <c r="I197">
        <v>1.7</v>
      </c>
      <c r="J197">
        <f>0.63/2</f>
        <v>0.315</v>
      </c>
      <c r="K197">
        <v>293.20999999999998</v>
      </c>
      <c r="L197">
        <v>2.59</v>
      </c>
      <c r="M197">
        <v>13.32</v>
      </c>
      <c r="N197">
        <v>28.69</v>
      </c>
      <c r="O197">
        <v>0.76400000000000001</v>
      </c>
      <c r="P197">
        <v>0.42399999999999999</v>
      </c>
    </row>
    <row r="198" spans="1:16">
      <c r="A198" s="1" t="s">
        <v>103</v>
      </c>
      <c r="B198" s="1" t="s">
        <v>229</v>
      </c>
      <c r="C198" s="1" t="s">
        <v>105</v>
      </c>
      <c r="D198" s="1" t="s">
        <v>106</v>
      </c>
      <c r="E198" s="1" t="s">
        <v>107</v>
      </c>
      <c r="F198">
        <v>122.48</v>
      </c>
      <c r="G198">
        <v>303.95999999999998</v>
      </c>
      <c r="H198">
        <v>2.0299999999999998</v>
      </c>
      <c r="I198">
        <v>1.54</v>
      </c>
      <c r="J198">
        <v>1.67</v>
      </c>
      <c r="K198">
        <v>302.74</v>
      </c>
      <c r="L198">
        <v>2.7</v>
      </c>
      <c r="M198">
        <v>11.17</v>
      </c>
      <c r="N198">
        <v>33.57</v>
      </c>
      <c r="O198">
        <v>0.621</v>
      </c>
      <c r="P198">
        <v>0.45800000000000002</v>
      </c>
    </row>
    <row r="199" spans="1:16">
      <c r="A199" s="1" t="s">
        <v>103</v>
      </c>
      <c r="B199" s="1" t="s">
        <v>230</v>
      </c>
      <c r="C199" s="1" t="s">
        <v>105</v>
      </c>
      <c r="D199" s="1" t="s">
        <v>106</v>
      </c>
      <c r="E199" s="1" t="s">
        <v>107</v>
      </c>
      <c r="F199">
        <v>773.59</v>
      </c>
      <c r="G199">
        <v>309.23</v>
      </c>
      <c r="H199">
        <v>3.2</v>
      </c>
      <c r="I199">
        <v>1.94</v>
      </c>
      <c r="J199">
        <f>0.78/2</f>
        <v>0.39</v>
      </c>
      <c r="K199">
        <v>278.14999999999998</v>
      </c>
      <c r="L199">
        <v>3.04</v>
      </c>
      <c r="M199">
        <v>17.66</v>
      </c>
      <c r="N199">
        <v>27.31</v>
      </c>
      <c r="O199">
        <v>0.51400000000000001</v>
      </c>
      <c r="P199">
        <v>0.39</v>
      </c>
    </row>
    <row r="200" spans="1:16">
      <c r="A200" s="1" t="s">
        <v>103</v>
      </c>
      <c r="B200" s="1" t="s">
        <v>231</v>
      </c>
      <c r="C200" s="1" t="s">
        <v>105</v>
      </c>
      <c r="D200" s="1" t="s">
        <v>106</v>
      </c>
      <c r="E200" s="1" t="s">
        <v>107</v>
      </c>
      <c r="F200">
        <v>324.58</v>
      </c>
      <c r="G200">
        <v>432.01</v>
      </c>
      <c r="H200">
        <v>3.69</v>
      </c>
      <c r="I200">
        <v>1.89</v>
      </c>
      <c r="J200">
        <f>0.64/2</f>
        <v>0.32</v>
      </c>
      <c r="K200">
        <v>146.12</v>
      </c>
      <c r="L200">
        <v>2.54</v>
      </c>
      <c r="M200">
        <v>17.77</v>
      </c>
      <c r="N200">
        <v>13.43</v>
      </c>
      <c r="O200">
        <v>0.51800000000000002</v>
      </c>
      <c r="P200">
        <v>0.45700000000000002</v>
      </c>
    </row>
    <row r="201" spans="1:16">
      <c r="A201" s="1" t="s">
        <v>103</v>
      </c>
      <c r="B201" s="1" t="s">
        <v>232</v>
      </c>
      <c r="C201" s="1" t="s">
        <v>105</v>
      </c>
      <c r="D201" s="1" t="s">
        <v>106</v>
      </c>
      <c r="E201" s="1" t="s">
        <v>107</v>
      </c>
      <c r="F201">
        <v>24.29</v>
      </c>
      <c r="G201">
        <v>349.99</v>
      </c>
      <c r="H201">
        <v>4.07</v>
      </c>
      <c r="I201">
        <v>2.38</v>
      </c>
      <c r="J201">
        <v>1.52</v>
      </c>
      <c r="K201">
        <v>252.11</v>
      </c>
      <c r="L201">
        <v>2.3199999999999998</v>
      </c>
      <c r="M201">
        <v>14.71</v>
      </c>
      <c r="N201">
        <v>27.98</v>
      </c>
      <c r="O201">
        <v>0.64800000000000002</v>
      </c>
      <c r="P201">
        <v>0.373</v>
      </c>
    </row>
    <row r="202" spans="1:16">
      <c r="A202" s="1" t="s">
        <v>103</v>
      </c>
      <c r="B202" s="1" t="s">
        <v>233</v>
      </c>
      <c r="C202" s="1" t="s">
        <v>105</v>
      </c>
      <c r="D202" s="1" t="s">
        <v>106</v>
      </c>
      <c r="E202" s="1" t="s">
        <v>107</v>
      </c>
      <c r="F202">
        <v>72.010000000000005</v>
      </c>
      <c r="G202">
        <v>320.38</v>
      </c>
      <c r="H202">
        <v>3.49</v>
      </c>
      <c r="I202">
        <v>2.02</v>
      </c>
      <c r="J202">
        <f>0.61/2</f>
        <v>0.30499999999999999</v>
      </c>
      <c r="K202">
        <v>263.19</v>
      </c>
      <c r="L202">
        <v>2.02</v>
      </c>
      <c r="M202">
        <v>13.45</v>
      </c>
      <c r="N202">
        <v>23.83</v>
      </c>
      <c r="O202">
        <v>0.39400000000000002</v>
      </c>
      <c r="P202">
        <v>0.25600000000000001</v>
      </c>
    </row>
    <row r="203" spans="1:16">
      <c r="A203" s="1" t="s">
        <v>103</v>
      </c>
      <c r="B203" s="1" t="s">
        <v>234</v>
      </c>
      <c r="C203" s="1" t="s">
        <v>105</v>
      </c>
      <c r="D203" s="1" t="s">
        <v>106</v>
      </c>
      <c r="E203" s="1" t="s">
        <v>107</v>
      </c>
      <c r="F203">
        <v>66.010000000000005</v>
      </c>
      <c r="G203">
        <v>334.98</v>
      </c>
      <c r="H203">
        <v>4.0999999999999996</v>
      </c>
      <c r="I203">
        <v>1.68</v>
      </c>
      <c r="J203">
        <f>0.94/2</f>
        <v>0.47</v>
      </c>
      <c r="K203">
        <v>327.24</v>
      </c>
      <c r="L203">
        <v>2.35</v>
      </c>
      <c r="M203">
        <v>13.95</v>
      </c>
      <c r="N203">
        <v>40.85</v>
      </c>
      <c r="O203">
        <v>0.52900000000000003</v>
      </c>
      <c r="P203">
        <v>0.253</v>
      </c>
    </row>
    <row r="204" spans="1:16">
      <c r="A204" s="1" t="s">
        <v>103</v>
      </c>
      <c r="B204" s="1" t="s">
        <v>235</v>
      </c>
      <c r="C204" s="1" t="s">
        <v>105</v>
      </c>
      <c r="D204" s="1" t="s">
        <v>106</v>
      </c>
      <c r="E204" s="1" t="s">
        <v>107</v>
      </c>
      <c r="F204">
        <v>47.35</v>
      </c>
      <c r="G204">
        <v>359.67</v>
      </c>
      <c r="H204">
        <v>3.3</v>
      </c>
      <c r="I204">
        <v>1.78</v>
      </c>
      <c r="J204">
        <f>0.81/2</f>
        <v>0.40500000000000003</v>
      </c>
      <c r="K204">
        <v>330.6</v>
      </c>
      <c r="L204">
        <v>2.68</v>
      </c>
      <c r="M204">
        <v>12.95</v>
      </c>
      <c r="N204">
        <v>34.799999999999997</v>
      </c>
      <c r="O204">
        <v>0.58299999999999996</v>
      </c>
      <c r="P204">
        <v>0.34599999999999997</v>
      </c>
    </row>
    <row r="205" spans="1:16">
      <c r="A205" s="1" t="s">
        <v>103</v>
      </c>
      <c r="B205" s="1" t="s">
        <v>236</v>
      </c>
      <c r="C205" s="1" t="s">
        <v>105</v>
      </c>
      <c r="D205" s="1" t="s">
        <v>106</v>
      </c>
      <c r="E205" s="1" t="s">
        <v>107</v>
      </c>
      <c r="F205">
        <v>77.42</v>
      </c>
      <c r="G205">
        <v>316.64999999999998</v>
      </c>
      <c r="H205">
        <v>3.11</v>
      </c>
      <c r="I205">
        <v>1.87</v>
      </c>
      <c r="J205">
        <f>0.74/2</f>
        <v>0.37</v>
      </c>
      <c r="K205">
        <v>312.95</v>
      </c>
      <c r="L205">
        <v>2.88</v>
      </c>
      <c r="M205">
        <v>13.28</v>
      </c>
      <c r="N205">
        <v>24.62</v>
      </c>
      <c r="O205">
        <v>0.66300000000000003</v>
      </c>
      <c r="P205">
        <v>0.35199999999999998</v>
      </c>
    </row>
    <row r="206" spans="1:16">
      <c r="A206" s="1" t="s">
        <v>103</v>
      </c>
      <c r="B206" s="1" t="s">
        <v>237</v>
      </c>
      <c r="C206" s="1" t="s">
        <v>105</v>
      </c>
      <c r="D206" s="1" t="s">
        <v>106</v>
      </c>
      <c r="E206" s="1" t="s">
        <v>107</v>
      </c>
      <c r="F206">
        <v>20.77</v>
      </c>
      <c r="G206">
        <v>305.99</v>
      </c>
      <c r="H206">
        <v>1.9</v>
      </c>
      <c r="I206">
        <v>1.21</v>
      </c>
      <c r="J206">
        <f>0.64/2</f>
        <v>0.32</v>
      </c>
      <c r="K206">
        <v>325.55</v>
      </c>
      <c r="L206">
        <v>2.68</v>
      </c>
      <c r="M206">
        <v>10.34</v>
      </c>
      <c r="N206">
        <v>27.59</v>
      </c>
      <c r="O206">
        <v>0.54200000000000004</v>
      </c>
      <c r="P206">
        <v>0.29199999999999998</v>
      </c>
    </row>
    <row r="207" spans="1:16">
      <c r="A207" s="1" t="s">
        <v>103</v>
      </c>
      <c r="B207" s="1" t="s">
        <v>238</v>
      </c>
      <c r="C207" s="1" t="s">
        <v>105</v>
      </c>
      <c r="D207" s="1" t="s">
        <v>106</v>
      </c>
      <c r="E207" s="1" t="s">
        <v>107</v>
      </c>
      <c r="F207">
        <v>34.93</v>
      </c>
      <c r="G207">
        <v>309.98</v>
      </c>
      <c r="H207">
        <v>2.87</v>
      </c>
      <c r="I207">
        <v>1.75</v>
      </c>
      <c r="J207">
        <f>0.65/2</f>
        <v>0.32500000000000001</v>
      </c>
      <c r="K207">
        <v>256.14</v>
      </c>
      <c r="L207">
        <v>2.3199999999999998</v>
      </c>
      <c r="M207">
        <v>12.07</v>
      </c>
      <c r="N207">
        <v>21.52</v>
      </c>
      <c r="O207">
        <v>0.54900000000000004</v>
      </c>
      <c r="P207">
        <v>0.23400000000000001</v>
      </c>
    </row>
    <row r="208" spans="1:16">
      <c r="A208" s="1" t="s">
        <v>103</v>
      </c>
      <c r="B208" s="1" t="s">
        <v>239</v>
      </c>
      <c r="C208" s="1" t="s">
        <v>105</v>
      </c>
      <c r="D208" s="1" t="s">
        <v>106</v>
      </c>
      <c r="E208" s="1" t="s">
        <v>107</v>
      </c>
      <c r="F208">
        <v>45.99</v>
      </c>
      <c r="G208">
        <v>332.26</v>
      </c>
      <c r="H208">
        <v>3.46</v>
      </c>
      <c r="I208">
        <v>1.64</v>
      </c>
      <c r="J208">
        <f>0.64/2</f>
        <v>0.32</v>
      </c>
      <c r="K208">
        <v>327.79</v>
      </c>
      <c r="L208">
        <v>2.48</v>
      </c>
      <c r="M208">
        <v>13.57</v>
      </c>
      <c r="N208">
        <v>28.46</v>
      </c>
      <c r="O208">
        <v>0.69699999999999995</v>
      </c>
      <c r="P208">
        <v>0.20599999999999999</v>
      </c>
    </row>
    <row r="209" spans="1:16">
      <c r="A209" s="1" t="s">
        <v>103</v>
      </c>
      <c r="B209" s="1" t="s">
        <v>240</v>
      </c>
      <c r="C209" s="1" t="s">
        <v>105</v>
      </c>
      <c r="D209" s="1" t="s">
        <v>106</v>
      </c>
      <c r="E209" s="1" t="s">
        <v>107</v>
      </c>
      <c r="F209">
        <v>43.48</v>
      </c>
      <c r="G209">
        <v>311.45999999999998</v>
      </c>
      <c r="H209">
        <v>3.28</v>
      </c>
      <c r="I209">
        <v>1.72</v>
      </c>
      <c r="J209">
        <f>0.77/2</f>
        <v>0.38500000000000001</v>
      </c>
      <c r="K209">
        <v>291.33999999999997</v>
      </c>
      <c r="L209">
        <v>2.71</v>
      </c>
      <c r="M209">
        <v>16.32</v>
      </c>
      <c r="N209">
        <v>27.68</v>
      </c>
      <c r="O209">
        <v>0.621</v>
      </c>
      <c r="P209">
        <v>0.23300000000000001</v>
      </c>
    </row>
    <row r="210" spans="1:16">
      <c r="A210" s="1" t="s">
        <v>103</v>
      </c>
      <c r="B210" s="1" t="s">
        <v>241</v>
      </c>
      <c r="C210" s="1" t="s">
        <v>105</v>
      </c>
      <c r="D210" s="1" t="s">
        <v>106</v>
      </c>
      <c r="E210" s="1" t="s">
        <v>107</v>
      </c>
      <c r="F210">
        <v>31.26</v>
      </c>
      <c r="G210">
        <v>310.89</v>
      </c>
      <c r="H210">
        <v>4.0999999999999996</v>
      </c>
      <c r="I210">
        <v>1.62</v>
      </c>
      <c r="J210">
        <f>0.75/2</f>
        <v>0.375</v>
      </c>
      <c r="K210">
        <v>341.79</v>
      </c>
      <c r="L210">
        <v>3.52</v>
      </c>
      <c r="M210">
        <v>14.03</v>
      </c>
      <c r="N210">
        <v>44.13</v>
      </c>
      <c r="O210">
        <v>0.60199999999999998</v>
      </c>
      <c r="P210">
        <v>0.251</v>
      </c>
    </row>
    <row r="211" spans="1:16">
      <c r="A211" s="1" t="s">
        <v>103</v>
      </c>
      <c r="B211" s="1" t="s">
        <v>242</v>
      </c>
      <c r="C211" s="1" t="s">
        <v>105</v>
      </c>
      <c r="D211" s="1" t="s">
        <v>106</v>
      </c>
      <c r="E211" s="1" t="s">
        <v>107</v>
      </c>
      <c r="F211">
        <v>34.57</v>
      </c>
      <c r="G211">
        <v>344.77</v>
      </c>
      <c r="H211">
        <v>2.92</v>
      </c>
      <c r="I211">
        <v>1.77</v>
      </c>
      <c r="J211">
        <f>0.69/2</f>
        <v>0.34499999999999997</v>
      </c>
      <c r="K211">
        <v>331.36</v>
      </c>
      <c r="L211">
        <v>2.66</v>
      </c>
      <c r="M211">
        <v>15.37</v>
      </c>
      <c r="N211">
        <v>46.77</v>
      </c>
      <c r="O211">
        <v>0.497</v>
      </c>
      <c r="P211">
        <v>0.40300000000000002</v>
      </c>
    </row>
    <row r="212" spans="1:16">
      <c r="A212" s="1" t="s">
        <v>103</v>
      </c>
      <c r="B212" s="1" t="s">
        <v>243</v>
      </c>
      <c r="C212" s="1" t="s">
        <v>105</v>
      </c>
      <c r="D212" s="1" t="s">
        <v>106</v>
      </c>
      <c r="E212" s="1" t="s">
        <v>107</v>
      </c>
      <c r="F212">
        <v>429.11</v>
      </c>
      <c r="G212">
        <v>20.239999999999998</v>
      </c>
      <c r="H212">
        <v>5.36</v>
      </c>
      <c r="I212">
        <v>2.44</v>
      </c>
      <c r="J212">
        <v>1.2</v>
      </c>
      <c r="K212">
        <v>220.94</v>
      </c>
      <c r="L212">
        <v>0.16200000000000001</v>
      </c>
      <c r="M212">
        <v>1.22</v>
      </c>
      <c r="N212">
        <v>5.42</v>
      </c>
      <c r="O212">
        <v>0.1</v>
      </c>
      <c r="P212">
        <v>0.16</v>
      </c>
    </row>
    <row r="213" spans="1:16">
      <c r="A213" s="1" t="s">
        <v>103</v>
      </c>
      <c r="B213" s="1" t="s">
        <v>244</v>
      </c>
      <c r="C213" s="1" t="s">
        <v>105</v>
      </c>
      <c r="D213" s="1" t="s">
        <v>106</v>
      </c>
      <c r="E213" s="1" t="s">
        <v>107</v>
      </c>
      <c r="F213">
        <v>43.99</v>
      </c>
      <c r="G213">
        <v>52.41</v>
      </c>
      <c r="H213">
        <v>6.42</v>
      </c>
      <c r="I213">
        <v>1.93</v>
      </c>
      <c r="J213">
        <v>1.1100000000000001</v>
      </c>
      <c r="K213">
        <v>515.65</v>
      </c>
      <c r="L213">
        <v>0.35199999999999998</v>
      </c>
      <c r="M213">
        <v>1.18</v>
      </c>
      <c r="N213">
        <v>9.43</v>
      </c>
      <c r="O213">
        <f>0.028/2</f>
        <v>1.4E-2</v>
      </c>
      <c r="P213">
        <v>0.17799999999999999</v>
      </c>
    </row>
    <row r="214" spans="1:16">
      <c r="A214" s="1" t="s">
        <v>103</v>
      </c>
      <c r="B214" s="1" t="s">
        <v>245</v>
      </c>
      <c r="C214" s="1" t="s">
        <v>105</v>
      </c>
      <c r="D214" s="1" t="s">
        <v>106</v>
      </c>
      <c r="E214" s="1" t="s">
        <v>107</v>
      </c>
      <c r="F214">
        <v>45.08</v>
      </c>
      <c r="G214">
        <v>52.53</v>
      </c>
      <c r="H214">
        <v>6.25</v>
      </c>
      <c r="I214">
        <v>2.4900000000000002</v>
      </c>
      <c r="J214">
        <v>0.56999999999999995</v>
      </c>
      <c r="K214">
        <v>505.11</v>
      </c>
      <c r="L214">
        <v>0.32500000000000001</v>
      </c>
      <c r="M214">
        <v>1.97</v>
      </c>
      <c r="N214">
        <v>8.89</v>
      </c>
      <c r="O214">
        <v>9.7000000000000003E-2</v>
      </c>
      <c r="P214">
        <v>0.14899999999999999</v>
      </c>
    </row>
    <row r="215" spans="1:16">
      <c r="A215" s="1" t="s">
        <v>103</v>
      </c>
      <c r="B215" s="1" t="s">
        <v>246</v>
      </c>
      <c r="C215" s="1" t="s">
        <v>105</v>
      </c>
      <c r="D215" s="1" t="s">
        <v>106</v>
      </c>
      <c r="E215" s="1" t="s">
        <v>107</v>
      </c>
      <c r="F215">
        <v>15.95</v>
      </c>
      <c r="G215">
        <v>17.579999999999998</v>
      </c>
      <c r="H215">
        <v>7.28</v>
      </c>
      <c r="I215">
        <v>2.11</v>
      </c>
      <c r="J215">
        <f>0.68/2</f>
        <v>0.34</v>
      </c>
      <c r="K215">
        <v>249.3</v>
      </c>
      <c r="L215">
        <v>0.40200000000000002</v>
      </c>
      <c r="M215">
        <v>1.34</v>
      </c>
      <c r="N215">
        <v>5.45</v>
      </c>
      <c r="O215">
        <v>0.17199999999999999</v>
      </c>
      <c r="P215">
        <f>0.08/2</f>
        <v>0.04</v>
      </c>
    </row>
    <row r="216" spans="1:16">
      <c r="A216" s="1" t="s">
        <v>103</v>
      </c>
      <c r="B216" s="1" t="s">
        <v>247</v>
      </c>
      <c r="C216" s="1" t="s">
        <v>105</v>
      </c>
      <c r="D216" s="1" t="s">
        <v>106</v>
      </c>
      <c r="E216" s="1" t="s">
        <v>107</v>
      </c>
      <c r="F216">
        <v>33.24</v>
      </c>
      <c r="G216">
        <v>30.86</v>
      </c>
      <c r="H216">
        <v>7.12</v>
      </c>
      <c r="I216">
        <v>2.82</v>
      </c>
      <c r="J216">
        <f>0.76/2</f>
        <v>0.38</v>
      </c>
      <c r="K216">
        <v>175.7</v>
      </c>
      <c r="L216">
        <v>0.32900000000000001</v>
      </c>
      <c r="M216">
        <v>1.83</v>
      </c>
      <c r="N216">
        <v>10.17</v>
      </c>
      <c r="O216">
        <v>0.24099999999999999</v>
      </c>
      <c r="P216">
        <f>0.095/2</f>
        <v>4.7500000000000001E-2</v>
      </c>
    </row>
    <row r="217" spans="1:16">
      <c r="A217" s="1" t="s">
        <v>103</v>
      </c>
      <c r="B217" s="1" t="s">
        <v>248</v>
      </c>
      <c r="C217" s="1" t="s">
        <v>105</v>
      </c>
      <c r="D217" s="1" t="s">
        <v>106</v>
      </c>
      <c r="E217" s="1" t="s">
        <v>107</v>
      </c>
      <c r="F217">
        <v>55.11</v>
      </c>
      <c r="G217">
        <v>64.62</v>
      </c>
      <c r="H217">
        <v>7.73</v>
      </c>
      <c r="I217">
        <v>2.2599999999999998</v>
      </c>
      <c r="J217">
        <f>0.5/2</f>
        <v>0.25</v>
      </c>
      <c r="K217">
        <v>505.09</v>
      </c>
      <c r="L217">
        <v>0.192</v>
      </c>
      <c r="M217">
        <v>2.48</v>
      </c>
      <c r="N217">
        <v>8.74</v>
      </c>
      <c r="O217">
        <v>0.106</v>
      </c>
      <c r="P217">
        <v>0.14299999999999999</v>
      </c>
    </row>
    <row r="218" spans="1:16">
      <c r="A218" s="1" t="s">
        <v>103</v>
      </c>
      <c r="B218" s="1" t="s">
        <v>249</v>
      </c>
      <c r="C218" s="1" t="s">
        <v>105</v>
      </c>
      <c r="D218" s="1" t="s">
        <v>106</v>
      </c>
      <c r="E218" s="1" t="s">
        <v>107</v>
      </c>
      <c r="F218">
        <v>56.8</v>
      </c>
      <c r="G218">
        <v>57.71</v>
      </c>
      <c r="H218">
        <v>6.46</v>
      </c>
      <c r="I218">
        <v>2.19</v>
      </c>
      <c r="J218">
        <f>0.48/2</f>
        <v>0.24</v>
      </c>
      <c r="K218">
        <v>386.11</v>
      </c>
      <c r="L218">
        <v>9.7000000000000003E-2</v>
      </c>
      <c r="M218">
        <v>1.61</v>
      </c>
      <c r="N218">
        <v>6.41</v>
      </c>
      <c r="O218">
        <v>0.114</v>
      </c>
      <c r="P218">
        <v>0.14399999999999999</v>
      </c>
    </row>
    <row r="219" spans="1:16">
      <c r="A219" s="1" t="s">
        <v>103</v>
      </c>
      <c r="B219" s="1" t="s">
        <v>250</v>
      </c>
      <c r="C219" s="1" t="s">
        <v>105</v>
      </c>
      <c r="D219" s="1" t="s">
        <v>106</v>
      </c>
      <c r="E219" s="1" t="s">
        <v>107</v>
      </c>
      <c r="F219">
        <v>55.23</v>
      </c>
      <c r="G219">
        <v>70.540000000000006</v>
      </c>
      <c r="H219">
        <v>6.35</v>
      </c>
      <c r="I219">
        <v>2.21</v>
      </c>
      <c r="J219">
        <f>0.7/2</f>
        <v>0.35</v>
      </c>
      <c r="K219">
        <v>540.35</v>
      </c>
      <c r="L219">
        <v>4.9000000000000002E-2</v>
      </c>
      <c r="M219">
        <v>1.84</v>
      </c>
      <c r="N219">
        <v>8.73</v>
      </c>
      <c r="O219">
        <v>6.2E-2</v>
      </c>
      <c r="P219">
        <f>0.073/2</f>
        <v>3.6499999999999998E-2</v>
      </c>
    </row>
    <row r="220" spans="1:16">
      <c r="A220" s="1" t="s">
        <v>103</v>
      </c>
      <c r="B220" s="1" t="s">
        <v>251</v>
      </c>
      <c r="C220" s="1" t="s">
        <v>105</v>
      </c>
      <c r="D220" s="1" t="s">
        <v>106</v>
      </c>
      <c r="E220" s="1" t="s">
        <v>107</v>
      </c>
      <c r="F220">
        <v>85.68</v>
      </c>
      <c r="G220">
        <v>32.18</v>
      </c>
      <c r="H220">
        <v>6.72</v>
      </c>
      <c r="I220">
        <v>2.11</v>
      </c>
      <c r="J220">
        <f>0.83/2</f>
        <v>0.41499999999999998</v>
      </c>
      <c r="K220">
        <v>303</v>
      </c>
      <c r="L220">
        <v>0.114</v>
      </c>
      <c r="M220">
        <v>1.67</v>
      </c>
      <c r="N220">
        <v>6.09</v>
      </c>
      <c r="O220">
        <v>0.113</v>
      </c>
      <c r="P220">
        <v>0.16200000000000001</v>
      </c>
    </row>
    <row r="221" spans="1:16">
      <c r="A221" s="1" t="s">
        <v>103</v>
      </c>
      <c r="B221" s="1" t="s">
        <v>252</v>
      </c>
      <c r="C221" s="1" t="s">
        <v>105</v>
      </c>
      <c r="D221" s="1" t="s">
        <v>106</v>
      </c>
      <c r="E221" s="1" t="s">
        <v>107</v>
      </c>
      <c r="F221">
        <v>90.89</v>
      </c>
      <c r="G221">
        <v>19.489999999999998</v>
      </c>
      <c r="H221">
        <v>5.38</v>
      </c>
      <c r="I221">
        <v>2.23</v>
      </c>
      <c r="J221">
        <f>0.63/2</f>
        <v>0.315</v>
      </c>
      <c r="K221">
        <v>251.11</v>
      </c>
      <c r="L221">
        <v>0.17</v>
      </c>
      <c r="M221">
        <v>1.52</v>
      </c>
      <c r="N221">
        <v>3.94</v>
      </c>
      <c r="O221">
        <v>6.7000000000000004E-2</v>
      </c>
      <c r="P221">
        <v>8.8999999999999996E-2</v>
      </c>
    </row>
    <row r="222" spans="1:16">
      <c r="A222" s="1" t="s">
        <v>103</v>
      </c>
      <c r="B222" s="1" t="s">
        <v>253</v>
      </c>
      <c r="C222" s="1" t="s">
        <v>105</v>
      </c>
      <c r="D222" s="1" t="s">
        <v>106</v>
      </c>
      <c r="E222" s="1" t="s">
        <v>107</v>
      </c>
      <c r="F222">
        <v>20.73</v>
      </c>
      <c r="G222">
        <v>25.58</v>
      </c>
      <c r="H222">
        <v>5.08</v>
      </c>
      <c r="I222">
        <v>2.14</v>
      </c>
      <c r="J222">
        <f>0.53/2</f>
        <v>0.26500000000000001</v>
      </c>
      <c r="K222">
        <v>240.16</v>
      </c>
      <c r="L222">
        <v>0.14499999999999999</v>
      </c>
      <c r="M222">
        <v>1.03</v>
      </c>
      <c r="N222">
        <v>4.8499999999999996</v>
      </c>
      <c r="O222">
        <v>3.4000000000000002E-2</v>
      </c>
      <c r="P222">
        <f>0.073/2</f>
        <v>3.6499999999999998E-2</v>
      </c>
    </row>
    <row r="223" spans="1:16">
      <c r="A223" s="1" t="s">
        <v>103</v>
      </c>
      <c r="B223" s="1" t="s">
        <v>254</v>
      </c>
      <c r="C223" s="1" t="s">
        <v>105</v>
      </c>
      <c r="D223" s="1" t="s">
        <v>106</v>
      </c>
      <c r="E223" s="1" t="s">
        <v>107</v>
      </c>
      <c r="F223">
        <v>62.5</v>
      </c>
      <c r="G223">
        <v>79.8</v>
      </c>
      <c r="H223">
        <v>7.3</v>
      </c>
      <c r="I223">
        <v>2.29</v>
      </c>
      <c r="J223">
        <f>0.57/2</f>
        <v>0.28499999999999998</v>
      </c>
      <c r="K223">
        <v>517.45000000000005</v>
      </c>
      <c r="L223">
        <v>0.32900000000000001</v>
      </c>
      <c r="M223">
        <v>1.1599999999999999</v>
      </c>
      <c r="N223">
        <v>9.32</v>
      </c>
      <c r="O223">
        <v>0.10100000000000001</v>
      </c>
      <c r="P223">
        <f>0.072/2</f>
        <v>3.5999999999999997E-2</v>
      </c>
    </row>
    <row r="224" spans="1:16">
      <c r="A224" s="1" t="s">
        <v>103</v>
      </c>
      <c r="B224" s="1" t="s">
        <v>255</v>
      </c>
      <c r="C224" s="1" t="s">
        <v>105</v>
      </c>
      <c r="D224" s="1" t="s">
        <v>106</v>
      </c>
      <c r="E224" s="1" t="s">
        <v>107</v>
      </c>
      <c r="F224">
        <v>50.64</v>
      </c>
      <c r="G224">
        <v>56.18</v>
      </c>
      <c r="H224">
        <v>5.99</v>
      </c>
      <c r="I224">
        <v>2.08</v>
      </c>
      <c r="J224">
        <f>0.56/2</f>
        <v>0.28000000000000003</v>
      </c>
      <c r="K224">
        <v>529.41</v>
      </c>
      <c r="L224">
        <v>0.23400000000000001</v>
      </c>
      <c r="M224">
        <v>1.57</v>
      </c>
      <c r="N224">
        <v>8</v>
      </c>
      <c r="O224">
        <v>6.7000000000000004E-2</v>
      </c>
      <c r="P224">
        <f>0.069/2</f>
        <v>3.4500000000000003E-2</v>
      </c>
    </row>
    <row r="225" spans="1:16">
      <c r="A225" s="1" t="s">
        <v>103</v>
      </c>
      <c r="B225" s="1" t="s">
        <v>256</v>
      </c>
      <c r="C225" s="1" t="s">
        <v>105</v>
      </c>
      <c r="D225" s="1" t="s">
        <v>106</v>
      </c>
      <c r="E225" s="1" t="s">
        <v>107</v>
      </c>
      <c r="F225">
        <v>114.18</v>
      </c>
      <c r="G225">
        <v>48.98</v>
      </c>
      <c r="H225">
        <v>5.82</v>
      </c>
      <c r="I225">
        <v>1.52</v>
      </c>
      <c r="J225">
        <v>0.59</v>
      </c>
      <c r="K225">
        <v>275.93</v>
      </c>
      <c r="L225">
        <v>0.36799999999999999</v>
      </c>
      <c r="M225">
        <v>2.7</v>
      </c>
      <c r="N225">
        <v>4.34</v>
      </c>
      <c r="O225">
        <v>9.6000000000000002E-2</v>
      </c>
      <c r="P225">
        <v>0.18099999999999999</v>
      </c>
    </row>
    <row r="226" spans="1:16">
      <c r="A226" s="1" t="s">
        <v>103</v>
      </c>
      <c r="B226" s="1" t="s">
        <v>257</v>
      </c>
      <c r="C226" s="1" t="s">
        <v>105</v>
      </c>
      <c r="D226" s="1" t="s">
        <v>106</v>
      </c>
      <c r="E226" s="1" t="s">
        <v>107</v>
      </c>
      <c r="F226">
        <v>85.29</v>
      </c>
      <c r="G226">
        <v>39.56</v>
      </c>
      <c r="H226">
        <v>2.25</v>
      </c>
      <c r="I226">
        <v>0.79900000000000004</v>
      </c>
      <c r="J226">
        <f>0.61/2</f>
        <v>0.30499999999999999</v>
      </c>
      <c r="K226">
        <v>434.61</v>
      </c>
      <c r="L226">
        <v>0.76900000000000002</v>
      </c>
      <c r="M226">
        <v>1.23</v>
      </c>
      <c r="N226">
        <v>8.02</v>
      </c>
      <c r="O226">
        <v>8.3000000000000004E-2</v>
      </c>
      <c r="P226">
        <v>0.09</v>
      </c>
    </row>
    <row r="227" spans="1:16">
      <c r="A227" s="1" t="s">
        <v>103</v>
      </c>
      <c r="B227" s="1" t="s">
        <v>258</v>
      </c>
      <c r="C227" s="1" t="s">
        <v>105</v>
      </c>
      <c r="D227" s="1" t="s">
        <v>106</v>
      </c>
      <c r="E227" s="1" t="s">
        <v>107</v>
      </c>
      <c r="F227">
        <v>93.42</v>
      </c>
      <c r="G227">
        <v>48.47</v>
      </c>
      <c r="H227">
        <v>3.15</v>
      </c>
      <c r="I227">
        <v>0.72499999999999998</v>
      </c>
      <c r="J227">
        <f>0.52/2</f>
        <v>0.26</v>
      </c>
      <c r="K227">
        <v>497.28</v>
      </c>
      <c r="L227">
        <v>0.78900000000000003</v>
      </c>
      <c r="M227">
        <v>1.37</v>
      </c>
      <c r="N227">
        <v>8.9</v>
      </c>
      <c r="O227">
        <v>0.113</v>
      </c>
      <c r="P227">
        <v>0.129</v>
      </c>
    </row>
    <row r="228" spans="1:16">
      <c r="A228" s="1" t="s">
        <v>103</v>
      </c>
      <c r="B228" s="1" t="s">
        <v>259</v>
      </c>
      <c r="C228" s="1" t="s">
        <v>105</v>
      </c>
      <c r="D228" s="1" t="s">
        <v>106</v>
      </c>
      <c r="E228" s="1" t="s">
        <v>107</v>
      </c>
      <c r="F228">
        <v>56.02</v>
      </c>
      <c r="G228">
        <v>102.77</v>
      </c>
      <c r="H228">
        <v>6.66</v>
      </c>
      <c r="I228">
        <v>1.84</v>
      </c>
      <c r="J228">
        <v>1.1299999999999999</v>
      </c>
      <c r="K228">
        <v>492.45</v>
      </c>
      <c r="L228">
        <v>0.70899999999999996</v>
      </c>
      <c r="M228">
        <v>2.4300000000000002</v>
      </c>
      <c r="N228">
        <v>8.6300000000000008</v>
      </c>
      <c r="O228">
        <v>3.4000000000000002E-2</v>
      </c>
      <c r="P228">
        <v>0.104</v>
      </c>
    </row>
    <row r="229" spans="1:16">
      <c r="A229" s="1" t="s">
        <v>103</v>
      </c>
      <c r="B229" s="1" t="s">
        <v>260</v>
      </c>
      <c r="C229" s="1" t="s">
        <v>105</v>
      </c>
      <c r="D229" s="1" t="s">
        <v>106</v>
      </c>
      <c r="E229" s="1" t="s">
        <v>107</v>
      </c>
      <c r="F229">
        <v>152.03</v>
      </c>
      <c r="G229">
        <v>57.23</v>
      </c>
      <c r="H229">
        <v>4.7</v>
      </c>
      <c r="I229">
        <v>1.74</v>
      </c>
      <c r="J229">
        <f>0.51/2</f>
        <v>0.255</v>
      </c>
      <c r="K229">
        <v>526.02</v>
      </c>
      <c r="L229">
        <v>0.65300000000000002</v>
      </c>
      <c r="M229">
        <v>2.06</v>
      </c>
      <c r="N229">
        <v>8.07</v>
      </c>
      <c r="O229">
        <v>0.11799999999999999</v>
      </c>
      <c r="P229">
        <v>0.13700000000000001</v>
      </c>
    </row>
    <row r="230" spans="1:16">
      <c r="A230" s="1" t="s">
        <v>103</v>
      </c>
      <c r="B230" s="1" t="s">
        <v>261</v>
      </c>
      <c r="C230" s="1" t="s">
        <v>105</v>
      </c>
      <c r="D230" s="1" t="s">
        <v>106</v>
      </c>
      <c r="E230" s="1" t="s">
        <v>107</v>
      </c>
      <c r="F230">
        <v>53.08</v>
      </c>
      <c r="G230">
        <v>65.430000000000007</v>
      </c>
      <c r="H230">
        <v>6.1</v>
      </c>
      <c r="I230">
        <v>2.25</v>
      </c>
      <c r="J230">
        <f>0.49/2</f>
        <v>0.245</v>
      </c>
      <c r="K230">
        <v>520.09</v>
      </c>
      <c r="L230">
        <v>0.34100000000000003</v>
      </c>
      <c r="M230">
        <v>2.25</v>
      </c>
      <c r="N230">
        <v>9.85</v>
      </c>
      <c r="O230">
        <v>9.4E-2</v>
      </c>
      <c r="P230">
        <v>6.8000000000000005E-2</v>
      </c>
    </row>
    <row r="231" spans="1:16">
      <c r="A231" s="1" t="s">
        <v>103</v>
      </c>
      <c r="B231" s="1" t="s">
        <v>262</v>
      </c>
      <c r="C231" s="1" t="s">
        <v>105</v>
      </c>
      <c r="D231" s="1" t="s">
        <v>106</v>
      </c>
      <c r="E231" s="1" t="s">
        <v>107</v>
      </c>
      <c r="F231">
        <v>53.49</v>
      </c>
      <c r="G231">
        <v>87.48</v>
      </c>
      <c r="H231">
        <v>5.23</v>
      </c>
      <c r="I231">
        <v>1.325</v>
      </c>
      <c r="J231">
        <f>0.48/2</f>
        <v>0.24</v>
      </c>
      <c r="K231">
        <v>502.29</v>
      </c>
      <c r="L231">
        <v>0.53400000000000003</v>
      </c>
      <c r="M231">
        <v>3.28</v>
      </c>
      <c r="N231">
        <v>7.84</v>
      </c>
      <c r="O231">
        <v>0.14499999999999999</v>
      </c>
      <c r="P231">
        <v>0.13100000000000001</v>
      </c>
    </row>
    <row r="232" spans="1:16">
      <c r="A232" s="1" t="s">
        <v>103</v>
      </c>
      <c r="B232" s="1" t="s">
        <v>263</v>
      </c>
      <c r="C232" s="1" t="s">
        <v>105</v>
      </c>
      <c r="D232" s="1" t="s">
        <v>106</v>
      </c>
      <c r="E232" s="1" t="s">
        <v>107</v>
      </c>
      <c r="F232">
        <v>93.3</v>
      </c>
      <c r="G232">
        <v>101.29</v>
      </c>
      <c r="H232">
        <v>6.54</v>
      </c>
      <c r="I232">
        <v>1.74</v>
      </c>
      <c r="J232">
        <f>0.55/2</f>
        <v>0.27500000000000002</v>
      </c>
      <c r="K232">
        <v>280.89999999999998</v>
      </c>
      <c r="L232">
        <v>0.51900000000000002</v>
      </c>
      <c r="M232">
        <v>2.59</v>
      </c>
      <c r="N232">
        <v>6.16</v>
      </c>
      <c r="O232">
        <v>0.14099999999999999</v>
      </c>
      <c r="P232">
        <f>0.071/2</f>
        <v>3.5499999999999997E-2</v>
      </c>
    </row>
    <row r="233" spans="1:16">
      <c r="A233" s="1" t="s">
        <v>103</v>
      </c>
      <c r="B233" s="1" t="s">
        <v>264</v>
      </c>
      <c r="C233" s="1" t="s">
        <v>105</v>
      </c>
      <c r="D233" s="1" t="s">
        <v>106</v>
      </c>
      <c r="E233" s="1" t="s">
        <v>107</v>
      </c>
      <c r="F233">
        <v>101.6</v>
      </c>
      <c r="G233">
        <v>28.79</v>
      </c>
      <c r="H233">
        <v>4.9400000000000004</v>
      </c>
      <c r="I233">
        <v>1.97</v>
      </c>
      <c r="J233">
        <f>0.57/2</f>
        <v>0.28499999999999998</v>
      </c>
      <c r="K233">
        <v>312.92</v>
      </c>
      <c r="L233">
        <v>0.39200000000000002</v>
      </c>
      <c r="M233">
        <v>3.58</v>
      </c>
      <c r="N233">
        <v>5.39</v>
      </c>
      <c r="O233">
        <v>0.06</v>
      </c>
      <c r="P233">
        <v>0.155</v>
      </c>
    </row>
    <row r="234" spans="1:16">
      <c r="A234" s="1" t="s">
        <v>103</v>
      </c>
      <c r="B234" s="1" t="s">
        <v>265</v>
      </c>
      <c r="C234" s="1" t="s">
        <v>105</v>
      </c>
      <c r="D234" s="1" t="s">
        <v>106</v>
      </c>
      <c r="E234" s="1" t="s">
        <v>107</v>
      </c>
      <c r="F234">
        <v>189.01</v>
      </c>
      <c r="G234">
        <v>73.64</v>
      </c>
      <c r="H234">
        <v>4.5999999999999996</v>
      </c>
      <c r="I234">
        <v>1.66</v>
      </c>
      <c r="J234">
        <v>0.88</v>
      </c>
      <c r="K234">
        <v>533.32000000000005</v>
      </c>
      <c r="L234">
        <v>0.441</v>
      </c>
      <c r="M234">
        <v>2.31</v>
      </c>
      <c r="N234">
        <v>10.119999999999999</v>
      </c>
      <c r="O234">
        <v>0.09</v>
      </c>
      <c r="P234">
        <v>0.157</v>
      </c>
    </row>
    <row r="235" spans="1:16">
      <c r="A235" s="1" t="s">
        <v>103</v>
      </c>
      <c r="B235" s="1" t="s">
        <v>266</v>
      </c>
      <c r="C235" s="1" t="s">
        <v>105</v>
      </c>
      <c r="D235" s="1" t="s">
        <v>106</v>
      </c>
      <c r="E235" s="1" t="s">
        <v>107</v>
      </c>
      <c r="F235">
        <v>176.53</v>
      </c>
      <c r="G235">
        <v>45.6</v>
      </c>
      <c r="H235">
        <v>5.51</v>
      </c>
      <c r="I235">
        <v>1.88</v>
      </c>
      <c r="J235">
        <v>0.91</v>
      </c>
      <c r="K235">
        <v>405.09</v>
      </c>
      <c r="L235">
        <v>0.30599999999999999</v>
      </c>
      <c r="M235">
        <v>2.2200000000000002</v>
      </c>
      <c r="N235">
        <v>7.08</v>
      </c>
      <c r="O235">
        <v>0.14899999999999999</v>
      </c>
      <c r="P235">
        <v>0.14699999999999999</v>
      </c>
    </row>
    <row r="236" spans="1:16">
      <c r="A236" s="1" t="s">
        <v>103</v>
      </c>
      <c r="B236" s="1" t="s">
        <v>267</v>
      </c>
      <c r="C236" s="1" t="s">
        <v>105</v>
      </c>
      <c r="D236" s="1" t="s">
        <v>106</v>
      </c>
      <c r="E236" s="1" t="s">
        <v>107</v>
      </c>
      <c r="F236">
        <v>24.4</v>
      </c>
      <c r="G236">
        <v>40.79</v>
      </c>
      <c r="H236">
        <v>5.17</v>
      </c>
      <c r="I236">
        <v>1.57</v>
      </c>
      <c r="J236">
        <f>0.7/2</f>
        <v>0.35</v>
      </c>
      <c r="K236">
        <v>257.42</v>
      </c>
      <c r="L236">
        <v>0.35699999999999998</v>
      </c>
      <c r="M236">
        <v>3.58</v>
      </c>
      <c r="N236">
        <v>7.29</v>
      </c>
      <c r="O236">
        <v>0.11899999999999999</v>
      </c>
      <c r="P236">
        <f>0.074/2</f>
        <v>3.6999999999999998E-2</v>
      </c>
    </row>
    <row r="237" spans="1:16">
      <c r="A237" s="1" t="s">
        <v>103</v>
      </c>
      <c r="B237" s="1" t="s">
        <v>268</v>
      </c>
      <c r="C237" s="1" t="s">
        <v>105</v>
      </c>
      <c r="D237" s="1" t="s">
        <v>106</v>
      </c>
      <c r="E237" s="1" t="s">
        <v>107</v>
      </c>
      <c r="F237">
        <v>62.31</v>
      </c>
      <c r="G237">
        <v>96.91</v>
      </c>
      <c r="H237">
        <v>4.97</v>
      </c>
      <c r="I237">
        <v>1.464</v>
      </c>
      <c r="J237">
        <f>0.52/2</f>
        <v>0.26</v>
      </c>
      <c r="K237">
        <v>503.99</v>
      </c>
      <c r="L237">
        <v>0.42699999999999999</v>
      </c>
      <c r="M237">
        <v>2.38</v>
      </c>
      <c r="N237">
        <v>8.89</v>
      </c>
      <c r="O237">
        <v>0.11700000000000001</v>
      </c>
      <c r="P237">
        <v>0.17</v>
      </c>
    </row>
    <row r="238" spans="1:16">
      <c r="A238" s="1" t="s">
        <v>103</v>
      </c>
      <c r="B238" s="1" t="s">
        <v>269</v>
      </c>
      <c r="C238" s="1" t="s">
        <v>105</v>
      </c>
      <c r="D238" s="1" t="s">
        <v>106</v>
      </c>
      <c r="E238" s="1" t="s">
        <v>107</v>
      </c>
      <c r="F238">
        <v>116.32</v>
      </c>
      <c r="G238">
        <v>63.67</v>
      </c>
      <c r="H238">
        <v>5.09</v>
      </c>
      <c r="I238">
        <v>1.71</v>
      </c>
      <c r="J238">
        <f>0.61/2</f>
        <v>0.30499999999999999</v>
      </c>
      <c r="K238">
        <v>468.26</v>
      </c>
      <c r="L238">
        <v>0.54900000000000004</v>
      </c>
      <c r="M238">
        <v>2.83</v>
      </c>
      <c r="N238">
        <v>10.27</v>
      </c>
      <c r="O238">
        <v>8.4000000000000005E-2</v>
      </c>
      <c r="P238">
        <v>7.2999999999999995E-2</v>
      </c>
    </row>
    <row r="239" spans="1:16">
      <c r="A239" s="1" t="s">
        <v>103</v>
      </c>
      <c r="B239" s="1" t="s">
        <v>270</v>
      </c>
      <c r="C239" s="1" t="s">
        <v>105</v>
      </c>
      <c r="D239" s="1" t="s">
        <v>106</v>
      </c>
      <c r="E239" s="1" t="s">
        <v>107</v>
      </c>
      <c r="F239">
        <v>62.08</v>
      </c>
      <c r="G239">
        <v>21.62</v>
      </c>
      <c r="H239">
        <v>4.74</v>
      </c>
      <c r="I239">
        <v>1.65</v>
      </c>
      <c r="J239">
        <f>0.61/2</f>
        <v>0.30499999999999999</v>
      </c>
      <c r="K239">
        <v>286.54000000000002</v>
      </c>
      <c r="L239">
        <v>0.371</v>
      </c>
      <c r="M239">
        <v>2.36</v>
      </c>
      <c r="N239">
        <v>5.36</v>
      </c>
      <c r="O239">
        <v>8.2000000000000003E-2</v>
      </c>
      <c r="P239">
        <v>0.115</v>
      </c>
    </row>
    <row r="240" spans="1:16">
      <c r="A240" s="1" t="s">
        <v>103</v>
      </c>
      <c r="B240" s="1" t="s">
        <v>271</v>
      </c>
      <c r="C240" s="1" t="s">
        <v>105</v>
      </c>
      <c r="D240" s="1" t="s">
        <v>106</v>
      </c>
      <c r="E240" s="1" t="s">
        <v>107</v>
      </c>
      <c r="F240">
        <v>242.74</v>
      </c>
      <c r="G240">
        <v>52.63</v>
      </c>
      <c r="H240">
        <v>7.48</v>
      </c>
      <c r="I240">
        <v>2.4500000000000002</v>
      </c>
      <c r="J240">
        <f>0.71/2</f>
        <v>0.35499999999999998</v>
      </c>
      <c r="K240">
        <v>353.63</v>
      </c>
      <c r="L240">
        <v>0.34300000000000003</v>
      </c>
      <c r="M240">
        <v>2.27</v>
      </c>
      <c r="N240">
        <v>6.99</v>
      </c>
      <c r="O240">
        <v>7.6999999999999999E-2</v>
      </c>
      <c r="P240">
        <v>8.3000000000000004E-2</v>
      </c>
    </row>
    <row r="241" spans="1:16">
      <c r="A241" s="1" t="s">
        <v>103</v>
      </c>
      <c r="B241" s="1" t="s">
        <v>272</v>
      </c>
      <c r="C241" s="1" t="s">
        <v>105</v>
      </c>
      <c r="D241" s="1" t="s">
        <v>106</v>
      </c>
      <c r="E241" s="1" t="s">
        <v>107</v>
      </c>
      <c r="F241">
        <v>86.5</v>
      </c>
      <c r="G241">
        <v>37.909999999999997</v>
      </c>
      <c r="H241">
        <v>3</v>
      </c>
      <c r="I241">
        <v>0.55600000000000005</v>
      </c>
      <c r="J241">
        <f>0.55/2</f>
        <v>0.27500000000000002</v>
      </c>
      <c r="K241">
        <v>504.87</v>
      </c>
      <c r="L241">
        <v>0.54800000000000004</v>
      </c>
      <c r="M241">
        <v>0.94</v>
      </c>
      <c r="N241">
        <v>9.93</v>
      </c>
      <c r="O241">
        <v>9.1999999999999998E-2</v>
      </c>
      <c r="P241">
        <f>0.072/2</f>
        <v>3.5999999999999997E-2</v>
      </c>
    </row>
    <row r="242" spans="1:16">
      <c r="A242" s="1" t="s">
        <v>103</v>
      </c>
      <c r="B242" s="1" t="s">
        <v>273</v>
      </c>
      <c r="C242" s="1" t="s">
        <v>105</v>
      </c>
      <c r="D242" s="1" t="s">
        <v>106</v>
      </c>
      <c r="E242" s="1" t="s">
        <v>107</v>
      </c>
      <c r="F242">
        <v>116.17</v>
      </c>
      <c r="G242">
        <v>31.54</v>
      </c>
      <c r="H242">
        <v>6.96</v>
      </c>
      <c r="I242">
        <f>2.62/2</f>
        <v>1.31</v>
      </c>
      <c r="J242">
        <v>0.64</v>
      </c>
      <c r="K242">
        <v>295.13</v>
      </c>
      <c r="L242">
        <v>0.28699999999999998</v>
      </c>
      <c r="M242">
        <v>1.86</v>
      </c>
      <c r="N242">
        <v>6.14</v>
      </c>
      <c r="O242">
        <v>4.8000000000000001E-2</v>
      </c>
      <c r="P242">
        <f>0.074/2</f>
        <v>3.6999999999999998E-2</v>
      </c>
    </row>
    <row r="243" spans="1:16">
      <c r="A243" s="1" t="s">
        <v>103</v>
      </c>
      <c r="B243" s="1" t="s">
        <v>274</v>
      </c>
      <c r="C243" s="1" t="s">
        <v>105</v>
      </c>
      <c r="D243" s="1" t="s">
        <v>106</v>
      </c>
      <c r="E243" s="1" t="s">
        <v>107</v>
      </c>
      <c r="F243">
        <v>81.38</v>
      </c>
      <c r="G243">
        <v>69.459999999999994</v>
      </c>
      <c r="H243">
        <v>7.33</v>
      </c>
      <c r="I243">
        <v>2.5099999999999998</v>
      </c>
      <c r="J243">
        <f>0.54/2</f>
        <v>0.27</v>
      </c>
      <c r="K243">
        <v>517.94000000000005</v>
      </c>
      <c r="L243">
        <v>0.40300000000000002</v>
      </c>
      <c r="M243">
        <v>1.98</v>
      </c>
      <c r="N243">
        <v>8.33</v>
      </c>
      <c r="O243">
        <v>0.13900000000000001</v>
      </c>
      <c r="P243">
        <v>0.105</v>
      </c>
    </row>
    <row r="244" spans="1:16">
      <c r="A244" s="1" t="s">
        <v>103</v>
      </c>
      <c r="B244" s="1" t="s">
        <v>275</v>
      </c>
      <c r="C244" s="1" t="s">
        <v>105</v>
      </c>
      <c r="D244" s="1" t="s">
        <v>106</v>
      </c>
      <c r="E244" s="1" t="s">
        <v>107</v>
      </c>
      <c r="F244">
        <v>63.09</v>
      </c>
      <c r="G244">
        <v>50.61</v>
      </c>
      <c r="H244">
        <v>6.55</v>
      </c>
      <c r="I244">
        <v>2.39</v>
      </c>
      <c r="J244">
        <v>0.55000000000000004</v>
      </c>
      <c r="K244">
        <v>462.23</v>
      </c>
      <c r="L244">
        <v>0.309</v>
      </c>
      <c r="M244">
        <v>2.2400000000000002</v>
      </c>
      <c r="N244">
        <v>10.49</v>
      </c>
      <c r="O244">
        <v>7.8E-2</v>
      </c>
      <c r="P244">
        <v>0.10199999999999999</v>
      </c>
    </row>
    <row r="245" spans="1:16">
      <c r="A245" s="1" t="s">
        <v>103</v>
      </c>
      <c r="B245" s="1" t="s">
        <v>276</v>
      </c>
      <c r="C245" s="1" t="s">
        <v>105</v>
      </c>
      <c r="D245" s="1" t="s">
        <v>106</v>
      </c>
      <c r="E245" s="1" t="s">
        <v>107</v>
      </c>
      <c r="F245">
        <v>60.87</v>
      </c>
      <c r="G245">
        <v>52.65</v>
      </c>
      <c r="H245">
        <v>6.77</v>
      </c>
      <c r="I245">
        <v>2.15</v>
      </c>
      <c r="J245">
        <f>0.59/2</f>
        <v>0.29499999999999998</v>
      </c>
      <c r="K245">
        <v>536.17999999999995</v>
      </c>
      <c r="L245">
        <v>0.41199999999999998</v>
      </c>
      <c r="M245">
        <v>1.32</v>
      </c>
      <c r="N245">
        <v>8.5</v>
      </c>
      <c r="O245">
        <v>0.108</v>
      </c>
      <c r="P245">
        <f>0.074/2</f>
        <v>3.6999999999999998E-2</v>
      </c>
    </row>
    <row r="246" spans="1:16">
      <c r="A246" s="1" t="s">
        <v>103</v>
      </c>
      <c r="B246" s="1" t="s">
        <v>277</v>
      </c>
      <c r="C246" s="1" t="s">
        <v>105</v>
      </c>
      <c r="D246" s="1" t="s">
        <v>106</v>
      </c>
      <c r="E246" s="1" t="s">
        <v>107</v>
      </c>
      <c r="F246">
        <v>52.13</v>
      </c>
      <c r="G246">
        <v>17.45</v>
      </c>
      <c r="H246">
        <v>5.69</v>
      </c>
      <c r="I246">
        <v>1.94</v>
      </c>
      <c r="J246">
        <f>0.61/2</f>
        <v>0.30499999999999999</v>
      </c>
      <c r="K246">
        <v>211.17</v>
      </c>
      <c r="L246">
        <v>0.251</v>
      </c>
      <c r="M246">
        <v>1.87</v>
      </c>
      <c r="N246">
        <v>5.92</v>
      </c>
      <c r="O246">
        <v>0.156</v>
      </c>
      <c r="P246">
        <v>7.5999999999999998E-2</v>
      </c>
    </row>
    <row r="247" spans="1:16">
      <c r="A247" s="1" t="s">
        <v>103</v>
      </c>
      <c r="B247" s="1" t="s">
        <v>278</v>
      </c>
      <c r="C247" s="1" t="s">
        <v>105</v>
      </c>
      <c r="D247" s="1" t="s">
        <v>106</v>
      </c>
      <c r="E247" s="1" t="s">
        <v>107</v>
      </c>
      <c r="F247">
        <v>1791.56</v>
      </c>
      <c r="G247">
        <v>1394.05</v>
      </c>
      <c r="H247">
        <v>77.180000000000007</v>
      </c>
      <c r="I247">
        <v>4.67</v>
      </c>
      <c r="J247">
        <f>0.51/2</f>
        <v>0.255</v>
      </c>
      <c r="K247">
        <v>878.54</v>
      </c>
      <c r="L247">
        <v>0.84699999999999998</v>
      </c>
      <c r="M247">
        <v>2.83</v>
      </c>
      <c r="N247">
        <v>12.82</v>
      </c>
      <c r="O247">
        <v>1.099</v>
      </c>
      <c r="P247">
        <v>0.69499999999999995</v>
      </c>
    </row>
    <row r="248" spans="1:16">
      <c r="A248" s="1" t="s">
        <v>103</v>
      </c>
      <c r="B248" s="1" t="s">
        <v>279</v>
      </c>
      <c r="C248" s="1" t="s">
        <v>105</v>
      </c>
      <c r="D248" s="1" t="s">
        <v>106</v>
      </c>
      <c r="E248" s="1" t="s">
        <v>107</v>
      </c>
      <c r="F248">
        <v>1667.57</v>
      </c>
      <c r="G248">
        <v>1736</v>
      </c>
      <c r="H248">
        <v>75.66</v>
      </c>
      <c r="I248">
        <v>4.99</v>
      </c>
      <c r="J248">
        <v>0.65</v>
      </c>
      <c r="K248">
        <v>993.89</v>
      </c>
      <c r="L248">
        <v>0.77400000000000002</v>
      </c>
      <c r="M248">
        <v>2.72</v>
      </c>
      <c r="N248">
        <v>15.84</v>
      </c>
      <c r="O248">
        <v>1.355</v>
      </c>
      <c r="P248">
        <v>0.63600000000000001</v>
      </c>
    </row>
    <row r="249" spans="1:16">
      <c r="A249" s="1" t="s">
        <v>103</v>
      </c>
      <c r="B249" s="1" t="s">
        <v>280</v>
      </c>
      <c r="C249" s="1" t="s">
        <v>105</v>
      </c>
      <c r="D249" s="1" t="s">
        <v>106</v>
      </c>
      <c r="E249" s="1" t="s">
        <v>281</v>
      </c>
      <c r="F249">
        <v>2073.7600000000002</v>
      </c>
      <c r="G249">
        <v>1777.78</v>
      </c>
      <c r="H249">
        <v>85.13</v>
      </c>
      <c r="I249">
        <v>6.86</v>
      </c>
      <c r="J249">
        <f>0.66/2</f>
        <v>0.33</v>
      </c>
      <c r="K249">
        <v>1097</v>
      </c>
      <c r="L249">
        <v>0.76800000000000002</v>
      </c>
      <c r="M249">
        <v>3.04</v>
      </c>
      <c r="N249">
        <v>16.61</v>
      </c>
      <c r="O249">
        <v>1.353</v>
      </c>
      <c r="P249">
        <v>0.75700000000000001</v>
      </c>
    </row>
    <row r="250" spans="1:16">
      <c r="A250" s="1" t="s">
        <v>103</v>
      </c>
      <c r="B250" s="1" t="s">
        <v>282</v>
      </c>
      <c r="C250" s="1" t="s">
        <v>105</v>
      </c>
      <c r="D250" s="1" t="s">
        <v>106</v>
      </c>
      <c r="E250" s="1" t="s">
        <v>281</v>
      </c>
      <c r="F250">
        <v>2056.98</v>
      </c>
      <c r="G250">
        <v>1882.35</v>
      </c>
      <c r="H250">
        <v>96.43</v>
      </c>
      <c r="I250">
        <v>6.17</v>
      </c>
      <c r="J250">
        <v>0.67</v>
      </c>
      <c r="K250">
        <v>1220.9000000000001</v>
      </c>
      <c r="L250">
        <v>1.0289999999999999</v>
      </c>
      <c r="M250">
        <v>4.04</v>
      </c>
      <c r="N250">
        <v>16.239999999999998</v>
      </c>
      <c r="O250">
        <v>1.335</v>
      </c>
      <c r="P250">
        <v>0.76500000000000001</v>
      </c>
    </row>
    <row r="251" spans="1:16">
      <c r="A251" s="1" t="s">
        <v>103</v>
      </c>
      <c r="B251" s="1" t="s">
        <v>283</v>
      </c>
      <c r="C251" s="1" t="s">
        <v>105</v>
      </c>
      <c r="D251" s="1" t="s">
        <v>106</v>
      </c>
      <c r="E251" s="1" t="s">
        <v>281</v>
      </c>
      <c r="F251">
        <v>1803.41</v>
      </c>
      <c r="G251">
        <v>1786.77</v>
      </c>
      <c r="H251">
        <v>107.72</v>
      </c>
      <c r="I251">
        <v>7.52</v>
      </c>
      <c r="J251">
        <f>0.46/2</f>
        <v>0.23</v>
      </c>
      <c r="K251">
        <v>1037.31</v>
      </c>
      <c r="L251">
        <v>0.91200000000000003</v>
      </c>
      <c r="M251">
        <v>3.71</v>
      </c>
      <c r="N251">
        <v>21.94</v>
      </c>
      <c r="O251">
        <v>1.0640000000000001</v>
      </c>
      <c r="P251">
        <v>0.79</v>
      </c>
    </row>
    <row r="252" spans="1:16">
      <c r="A252" s="1" t="s">
        <v>103</v>
      </c>
      <c r="B252" s="1" t="s">
        <v>284</v>
      </c>
      <c r="C252" s="1" t="s">
        <v>105</v>
      </c>
      <c r="D252" s="1" t="s">
        <v>106</v>
      </c>
      <c r="E252" s="1" t="s">
        <v>281</v>
      </c>
      <c r="F252">
        <v>2255.4499999999998</v>
      </c>
      <c r="G252">
        <v>1734.74</v>
      </c>
      <c r="H252">
        <v>98.16</v>
      </c>
      <c r="I252">
        <v>4.3600000000000003</v>
      </c>
      <c r="J252">
        <f>0.87/2</f>
        <v>0.435</v>
      </c>
      <c r="K252">
        <v>610.71</v>
      </c>
      <c r="L252">
        <v>0.59499999999999997</v>
      </c>
      <c r="M252">
        <v>2.2400000000000002</v>
      </c>
      <c r="N252">
        <v>12.71</v>
      </c>
      <c r="O252">
        <v>1.3859999999999999</v>
      </c>
      <c r="P252">
        <v>0.56999999999999995</v>
      </c>
    </row>
    <row r="253" spans="1:16">
      <c r="A253" s="1" t="s">
        <v>103</v>
      </c>
      <c r="B253" s="1" t="s">
        <v>285</v>
      </c>
      <c r="C253" s="1" t="s">
        <v>105</v>
      </c>
      <c r="D253" s="1" t="s">
        <v>106</v>
      </c>
      <c r="E253" s="1" t="s">
        <v>281</v>
      </c>
      <c r="F253">
        <v>1319.62</v>
      </c>
      <c r="G253">
        <v>2294.38</v>
      </c>
      <c r="H253">
        <v>118.9</v>
      </c>
      <c r="I253">
        <v>4.32</v>
      </c>
      <c r="J253">
        <f>0.64/2</f>
        <v>0.32</v>
      </c>
      <c r="K253">
        <v>710.33</v>
      </c>
      <c r="L253">
        <v>0.65400000000000003</v>
      </c>
      <c r="M253">
        <v>2.99</v>
      </c>
      <c r="N253">
        <v>15.09</v>
      </c>
      <c r="O253">
        <v>1.399</v>
      </c>
      <c r="P253">
        <v>0.73299999999999998</v>
      </c>
    </row>
    <row r="254" spans="1:16">
      <c r="A254" s="1" t="s">
        <v>103</v>
      </c>
      <c r="B254" s="1" t="s">
        <v>286</v>
      </c>
      <c r="C254" s="1" t="s">
        <v>105</v>
      </c>
      <c r="D254" s="1" t="s">
        <v>106</v>
      </c>
      <c r="E254" s="1" t="s">
        <v>281</v>
      </c>
      <c r="F254">
        <v>849.26</v>
      </c>
      <c r="G254">
        <v>1872.25</v>
      </c>
      <c r="H254">
        <v>127.44</v>
      </c>
      <c r="I254">
        <v>5.17</v>
      </c>
      <c r="J254">
        <f>0.66/2</f>
        <v>0.33</v>
      </c>
      <c r="K254">
        <v>686.65</v>
      </c>
      <c r="L254">
        <v>0.47899999999999998</v>
      </c>
      <c r="M254">
        <v>2.38</v>
      </c>
      <c r="N254">
        <v>7.93</v>
      </c>
      <c r="O254">
        <v>1.1910000000000001</v>
      </c>
      <c r="P254">
        <v>0.67200000000000004</v>
      </c>
    </row>
    <row r="255" spans="1:16">
      <c r="A255" s="1" t="s">
        <v>103</v>
      </c>
      <c r="B255" s="1" t="s">
        <v>287</v>
      </c>
      <c r="C255" s="1" t="s">
        <v>105</v>
      </c>
      <c r="D255" s="1" t="s">
        <v>106</v>
      </c>
      <c r="E255" s="1" t="s">
        <v>281</v>
      </c>
      <c r="F255">
        <v>525.80999999999995</v>
      </c>
      <c r="G255">
        <v>1732.6</v>
      </c>
      <c r="H255">
        <v>108.34</v>
      </c>
      <c r="I255">
        <v>5.27</v>
      </c>
      <c r="J255">
        <f>0.47/2</f>
        <v>0.23499999999999999</v>
      </c>
      <c r="K255">
        <v>705.39</v>
      </c>
      <c r="L255">
        <v>0.57699999999999996</v>
      </c>
      <c r="M255">
        <v>3.57</v>
      </c>
      <c r="N255">
        <v>13.67</v>
      </c>
      <c r="O255">
        <v>1.3340000000000001</v>
      </c>
      <c r="P255">
        <v>0.623</v>
      </c>
    </row>
    <row r="256" spans="1:16">
      <c r="A256" s="1" t="s">
        <v>103</v>
      </c>
      <c r="B256" s="1" t="s">
        <v>288</v>
      </c>
      <c r="C256" s="1" t="s">
        <v>105</v>
      </c>
      <c r="D256" s="1" t="s">
        <v>106</v>
      </c>
      <c r="E256" s="1" t="s">
        <v>281</v>
      </c>
      <c r="F256">
        <v>241.68</v>
      </c>
      <c r="G256">
        <v>1211.95</v>
      </c>
      <c r="H256">
        <v>125.32</v>
      </c>
      <c r="I256">
        <v>7.72</v>
      </c>
      <c r="J256">
        <v>2.15</v>
      </c>
      <c r="K256">
        <v>645.71</v>
      </c>
      <c r="L256">
        <v>0.47299999999999998</v>
      </c>
      <c r="M256">
        <v>3.4</v>
      </c>
      <c r="N256">
        <v>2.67</v>
      </c>
      <c r="O256">
        <v>1.133</v>
      </c>
      <c r="P256">
        <v>0.21299999999999999</v>
      </c>
    </row>
    <row r="257" spans="1:16">
      <c r="A257" s="1" t="s">
        <v>103</v>
      </c>
      <c r="B257" s="1" t="s">
        <v>289</v>
      </c>
      <c r="C257" s="1" t="s">
        <v>105</v>
      </c>
      <c r="D257" s="1" t="s">
        <v>106</v>
      </c>
      <c r="E257" s="1" t="s">
        <v>281</v>
      </c>
      <c r="F257">
        <v>542.51</v>
      </c>
      <c r="G257">
        <v>1284.5899999999999</v>
      </c>
      <c r="H257">
        <v>107.62</v>
      </c>
      <c r="I257">
        <v>5.4</v>
      </c>
      <c r="J257">
        <v>2.5499999999999998</v>
      </c>
      <c r="K257">
        <v>613.98</v>
      </c>
      <c r="L257">
        <v>0.51500000000000001</v>
      </c>
      <c r="M257">
        <v>2.94</v>
      </c>
      <c r="N257">
        <v>4.6900000000000004</v>
      </c>
      <c r="O257">
        <v>1.0820000000000001</v>
      </c>
      <c r="P257">
        <v>0.32100000000000001</v>
      </c>
    </row>
    <row r="258" spans="1:16">
      <c r="A258" s="1" t="s">
        <v>103</v>
      </c>
      <c r="B258" s="1" t="s">
        <v>290</v>
      </c>
      <c r="C258" s="1" t="s">
        <v>105</v>
      </c>
      <c r="D258" s="1" t="s">
        <v>106</v>
      </c>
      <c r="E258" s="1" t="s">
        <v>281</v>
      </c>
      <c r="F258">
        <v>1403.02</v>
      </c>
      <c r="G258">
        <v>1388.41</v>
      </c>
      <c r="H258">
        <v>71.45</v>
      </c>
      <c r="I258">
        <v>3.36</v>
      </c>
      <c r="J258">
        <f>0.45/2</f>
        <v>0.22500000000000001</v>
      </c>
      <c r="K258">
        <v>790.92</v>
      </c>
      <c r="L258">
        <v>0.61899999999999999</v>
      </c>
      <c r="M258">
        <v>3.33</v>
      </c>
      <c r="N258">
        <v>13.29</v>
      </c>
      <c r="O258">
        <v>1.43</v>
      </c>
      <c r="P258">
        <v>0.68100000000000005</v>
      </c>
    </row>
    <row r="259" spans="1:16">
      <c r="A259" s="1" t="s">
        <v>103</v>
      </c>
      <c r="B259" s="1" t="s">
        <v>291</v>
      </c>
      <c r="C259" s="1" t="s">
        <v>105</v>
      </c>
      <c r="D259" s="1" t="s">
        <v>106</v>
      </c>
      <c r="E259" s="1" t="s">
        <v>281</v>
      </c>
      <c r="F259">
        <v>231.14</v>
      </c>
      <c r="G259">
        <v>1458.81</v>
      </c>
      <c r="H259">
        <v>148.05000000000001</v>
      </c>
      <c r="I259">
        <v>8.51</v>
      </c>
      <c r="J259">
        <f>0.47/2</f>
        <v>0.23499999999999999</v>
      </c>
      <c r="K259">
        <v>647.09</v>
      </c>
      <c r="L259">
        <v>0.501</v>
      </c>
      <c r="M259">
        <v>2.98</v>
      </c>
      <c r="N259">
        <v>10.18</v>
      </c>
      <c r="O259">
        <v>1.0980000000000001</v>
      </c>
      <c r="P259">
        <v>0.35099999999999998</v>
      </c>
    </row>
    <row r="260" spans="1:16">
      <c r="A260" s="1" t="s">
        <v>103</v>
      </c>
      <c r="B260" s="1" t="s">
        <v>292</v>
      </c>
      <c r="C260" s="1" t="s">
        <v>105</v>
      </c>
      <c r="D260" s="1" t="s">
        <v>106</v>
      </c>
      <c r="E260" s="1" t="s">
        <v>281</v>
      </c>
      <c r="F260">
        <v>827.17</v>
      </c>
      <c r="G260">
        <v>1330.24</v>
      </c>
      <c r="H260">
        <v>127.82</v>
      </c>
      <c r="I260">
        <v>5.31</v>
      </c>
      <c r="J260">
        <v>10.96</v>
      </c>
      <c r="K260">
        <v>633.58000000000004</v>
      </c>
      <c r="L260">
        <v>0.49</v>
      </c>
      <c r="M260">
        <v>2.64</v>
      </c>
      <c r="N260">
        <v>4.4400000000000004</v>
      </c>
      <c r="O260">
        <v>1.2230000000000001</v>
      </c>
      <c r="P260">
        <v>0.26400000000000001</v>
      </c>
    </row>
    <row r="261" spans="1:16">
      <c r="A261" s="1" t="s">
        <v>103</v>
      </c>
      <c r="B261" s="1" t="s">
        <v>293</v>
      </c>
      <c r="C261" s="1" t="s">
        <v>105</v>
      </c>
      <c r="D261" s="1" t="s">
        <v>106</v>
      </c>
      <c r="E261" s="1" t="s">
        <v>281</v>
      </c>
      <c r="F261">
        <v>569.25</v>
      </c>
      <c r="G261">
        <v>1707.36</v>
      </c>
      <c r="H261">
        <v>129.06</v>
      </c>
      <c r="I261">
        <v>5.08</v>
      </c>
      <c r="J261">
        <f>0.59/2</f>
        <v>0.29499999999999998</v>
      </c>
      <c r="K261">
        <v>699.54</v>
      </c>
      <c r="L261">
        <v>0.495</v>
      </c>
      <c r="M261">
        <v>2.76</v>
      </c>
      <c r="N261">
        <v>5.55</v>
      </c>
      <c r="O261">
        <v>1.3169999999999999</v>
      </c>
      <c r="P261">
        <v>0.627</v>
      </c>
    </row>
    <row r="262" spans="1:16">
      <c r="A262" s="1" t="s">
        <v>103</v>
      </c>
      <c r="B262" s="1" t="s">
        <v>294</v>
      </c>
      <c r="C262" s="1" t="s">
        <v>105</v>
      </c>
      <c r="D262" s="1" t="s">
        <v>106</v>
      </c>
      <c r="E262" s="1" t="s">
        <v>281</v>
      </c>
      <c r="F262">
        <v>482.21</v>
      </c>
      <c r="G262">
        <v>1784.17</v>
      </c>
      <c r="H262">
        <v>180.72</v>
      </c>
      <c r="I262">
        <v>4.47</v>
      </c>
      <c r="J262">
        <v>8.08</v>
      </c>
      <c r="K262">
        <v>650.42999999999995</v>
      </c>
      <c r="L262">
        <v>0.438</v>
      </c>
      <c r="M262">
        <v>2.92</v>
      </c>
      <c r="N262">
        <v>11.14</v>
      </c>
      <c r="O262">
        <v>1.266</v>
      </c>
      <c r="P262">
        <v>0.59699999999999998</v>
      </c>
    </row>
    <row r="263" spans="1:16">
      <c r="A263" s="1" t="s">
        <v>103</v>
      </c>
      <c r="B263" s="1" t="s">
        <v>295</v>
      </c>
      <c r="C263" s="1" t="s">
        <v>105</v>
      </c>
      <c r="D263" s="1" t="s">
        <v>106</v>
      </c>
      <c r="E263" s="1" t="s">
        <v>281</v>
      </c>
      <c r="F263">
        <v>705.87</v>
      </c>
      <c r="G263">
        <v>1351.2</v>
      </c>
      <c r="H263">
        <v>147.47999999999999</v>
      </c>
      <c r="I263">
        <v>8.6199999999999992</v>
      </c>
      <c r="J263">
        <v>10.75</v>
      </c>
      <c r="K263">
        <v>628.51</v>
      </c>
      <c r="L263">
        <v>0.54</v>
      </c>
      <c r="M263">
        <v>3.22</v>
      </c>
      <c r="N263">
        <v>8.32</v>
      </c>
      <c r="O263">
        <v>1.1819999999999999</v>
      </c>
      <c r="P263">
        <v>0.34799999999999998</v>
      </c>
    </row>
    <row r="264" spans="1:16">
      <c r="A264" s="1" t="s">
        <v>103</v>
      </c>
      <c r="B264" s="1" t="s">
        <v>296</v>
      </c>
      <c r="C264" s="1" t="s">
        <v>105</v>
      </c>
      <c r="D264" s="1" t="s">
        <v>106</v>
      </c>
      <c r="E264" s="1" t="s">
        <v>281</v>
      </c>
      <c r="F264">
        <v>795.09</v>
      </c>
      <c r="G264">
        <v>1394.74</v>
      </c>
      <c r="H264">
        <v>194.33</v>
      </c>
      <c r="I264">
        <v>11.3</v>
      </c>
      <c r="J264">
        <v>8.56</v>
      </c>
      <c r="K264">
        <v>659.93</v>
      </c>
      <c r="L264">
        <v>0.629</v>
      </c>
      <c r="M264">
        <v>3.13</v>
      </c>
      <c r="N264">
        <v>4.2</v>
      </c>
      <c r="O264">
        <v>0.97299999999999998</v>
      </c>
      <c r="P264">
        <v>0.35399999999999998</v>
      </c>
    </row>
    <row r="265" spans="1:16">
      <c r="A265" s="1" t="s">
        <v>103</v>
      </c>
      <c r="B265" s="1" t="s">
        <v>297</v>
      </c>
      <c r="C265" s="1" t="s">
        <v>105</v>
      </c>
      <c r="D265" s="1" t="s">
        <v>106</v>
      </c>
      <c r="E265" s="1" t="s">
        <v>281</v>
      </c>
      <c r="F265">
        <v>1039.67</v>
      </c>
      <c r="G265">
        <v>2139.88</v>
      </c>
      <c r="H265">
        <v>211.56</v>
      </c>
      <c r="I265">
        <v>14.35</v>
      </c>
      <c r="J265">
        <v>1.58</v>
      </c>
      <c r="K265">
        <v>886.07</v>
      </c>
      <c r="L265">
        <v>0.85499999999999998</v>
      </c>
      <c r="M265">
        <v>3.21</v>
      </c>
      <c r="N265">
        <v>8.82</v>
      </c>
      <c r="O265">
        <v>1.1319999999999999</v>
      </c>
      <c r="P265">
        <v>0.58699999999999997</v>
      </c>
    </row>
    <row r="266" spans="1:16">
      <c r="A266" s="1" t="s">
        <v>103</v>
      </c>
      <c r="B266" s="1" t="s">
        <v>298</v>
      </c>
      <c r="C266" s="1" t="s">
        <v>105</v>
      </c>
      <c r="D266" s="1" t="s">
        <v>106</v>
      </c>
      <c r="E266" s="1" t="s">
        <v>281</v>
      </c>
      <c r="F266">
        <v>2423.0500000000002</v>
      </c>
      <c r="G266">
        <v>1278.3499999999999</v>
      </c>
      <c r="H266">
        <v>65.13</v>
      </c>
      <c r="I266">
        <v>3.11</v>
      </c>
      <c r="J266">
        <v>0.55000000000000004</v>
      </c>
      <c r="K266">
        <v>1028.97</v>
      </c>
      <c r="L266">
        <v>0.84199999999999997</v>
      </c>
      <c r="M266">
        <v>4.82</v>
      </c>
      <c r="N266">
        <v>5.34</v>
      </c>
      <c r="O266">
        <v>1.173</v>
      </c>
      <c r="P266">
        <v>0.61799999999999999</v>
      </c>
    </row>
    <row r="267" spans="1:16">
      <c r="A267" s="1" t="s">
        <v>103</v>
      </c>
      <c r="B267" s="1" t="s">
        <v>299</v>
      </c>
      <c r="C267" s="1" t="s">
        <v>105</v>
      </c>
      <c r="D267" s="1" t="s">
        <v>106</v>
      </c>
      <c r="E267" s="1" t="s">
        <v>281</v>
      </c>
      <c r="F267">
        <v>1401.87</v>
      </c>
      <c r="G267">
        <v>2609.39</v>
      </c>
      <c r="H267">
        <v>219.38</v>
      </c>
      <c r="I267">
        <v>13.15</v>
      </c>
      <c r="J267">
        <v>3.09</v>
      </c>
      <c r="K267">
        <v>1009.54</v>
      </c>
      <c r="L267">
        <v>0.754</v>
      </c>
      <c r="M267">
        <v>3.27</v>
      </c>
      <c r="N267">
        <v>24.71</v>
      </c>
      <c r="O267">
        <v>1.18</v>
      </c>
      <c r="P267">
        <v>0.88800000000000001</v>
      </c>
    </row>
    <row r="268" spans="1:16">
      <c r="A268" s="1" t="s">
        <v>103</v>
      </c>
      <c r="B268" s="1" t="s">
        <v>300</v>
      </c>
      <c r="C268" s="1" t="s">
        <v>105</v>
      </c>
      <c r="D268" s="1" t="s">
        <v>106</v>
      </c>
      <c r="E268" s="1" t="s">
        <v>281</v>
      </c>
      <c r="F268">
        <v>1718.2</v>
      </c>
      <c r="G268">
        <v>1372.79</v>
      </c>
      <c r="H268">
        <v>65.790000000000006</v>
      </c>
      <c r="I268">
        <v>3.2</v>
      </c>
      <c r="J268">
        <v>1.26</v>
      </c>
      <c r="K268">
        <v>694.68</v>
      </c>
      <c r="L268">
        <v>0.56100000000000005</v>
      </c>
      <c r="M268">
        <v>3.11</v>
      </c>
      <c r="N268">
        <v>11.43</v>
      </c>
      <c r="O268">
        <v>1.2989999999999999</v>
      </c>
      <c r="P268">
        <v>0.71399999999999997</v>
      </c>
    </row>
    <row r="269" spans="1:16">
      <c r="A269" s="1" t="s">
        <v>103</v>
      </c>
      <c r="B269" s="1" t="s">
        <v>301</v>
      </c>
      <c r="C269" s="1" t="s">
        <v>105</v>
      </c>
      <c r="D269" s="1" t="s">
        <v>106</v>
      </c>
      <c r="E269" s="1" t="s">
        <v>281</v>
      </c>
      <c r="F269">
        <v>1596.91</v>
      </c>
      <c r="G269">
        <v>1368.48</v>
      </c>
      <c r="H269">
        <v>70.39</v>
      </c>
      <c r="I269">
        <v>3.21</v>
      </c>
      <c r="J269">
        <f>0.55/2</f>
        <v>0.27500000000000002</v>
      </c>
      <c r="K269">
        <v>600.41999999999996</v>
      </c>
      <c r="L269">
        <v>0.66300000000000003</v>
      </c>
      <c r="M269">
        <v>2.98</v>
      </c>
      <c r="N269">
        <v>6.66</v>
      </c>
      <c r="O269">
        <v>1.44</v>
      </c>
      <c r="P269">
        <v>0.55600000000000005</v>
      </c>
    </row>
    <row r="270" spans="1:16">
      <c r="A270" s="1" t="s">
        <v>103</v>
      </c>
      <c r="B270" s="1" t="s">
        <v>302</v>
      </c>
      <c r="C270" s="1" t="s">
        <v>105</v>
      </c>
      <c r="D270" s="1" t="s">
        <v>106</v>
      </c>
      <c r="E270" s="1" t="s">
        <v>281</v>
      </c>
      <c r="F270">
        <v>1761.43</v>
      </c>
      <c r="G270">
        <v>1473.54</v>
      </c>
      <c r="H270">
        <v>110.05</v>
      </c>
      <c r="I270">
        <v>3.25</v>
      </c>
      <c r="J270">
        <f>0.58/2</f>
        <v>0.28999999999999998</v>
      </c>
      <c r="K270">
        <v>712.32</v>
      </c>
      <c r="L270">
        <v>0.58899999999999997</v>
      </c>
      <c r="M270">
        <v>2.66</v>
      </c>
      <c r="N270">
        <v>11.41</v>
      </c>
      <c r="O270">
        <v>1.2649999999999999</v>
      </c>
      <c r="P270">
        <v>0.55600000000000005</v>
      </c>
    </row>
    <row r="271" spans="1:16">
      <c r="A271" s="1" t="s">
        <v>103</v>
      </c>
      <c r="B271" s="1" t="s">
        <v>303</v>
      </c>
      <c r="C271" s="1" t="s">
        <v>105</v>
      </c>
      <c r="D271" s="1" t="s">
        <v>106</v>
      </c>
      <c r="E271" s="1" t="s">
        <v>281</v>
      </c>
      <c r="F271">
        <v>2051.27</v>
      </c>
      <c r="G271">
        <v>1435.62</v>
      </c>
      <c r="H271">
        <v>69.489999999999995</v>
      </c>
      <c r="I271">
        <v>3.23</v>
      </c>
      <c r="J271">
        <v>0.69</v>
      </c>
      <c r="K271">
        <v>785.98</v>
      </c>
      <c r="L271">
        <v>0.52600000000000002</v>
      </c>
      <c r="M271">
        <v>3.23</v>
      </c>
      <c r="N271">
        <v>11.32</v>
      </c>
      <c r="O271">
        <v>1.347</v>
      </c>
      <c r="P271">
        <v>0.58499999999999996</v>
      </c>
    </row>
    <row r="272" spans="1:16">
      <c r="A272" s="1" t="s">
        <v>103</v>
      </c>
      <c r="B272" s="1" t="s">
        <v>304</v>
      </c>
      <c r="C272" s="1" t="s">
        <v>105</v>
      </c>
      <c r="D272" s="1" t="s">
        <v>106</v>
      </c>
      <c r="E272" s="1" t="s">
        <v>281</v>
      </c>
      <c r="F272">
        <v>1856.47</v>
      </c>
      <c r="G272">
        <v>1345.04</v>
      </c>
      <c r="H272">
        <v>73.3</v>
      </c>
      <c r="I272">
        <v>3.18</v>
      </c>
      <c r="J272">
        <f>0.45/2</f>
        <v>0.22500000000000001</v>
      </c>
      <c r="K272">
        <v>934.65</v>
      </c>
      <c r="L272">
        <v>0.64100000000000001</v>
      </c>
      <c r="M272">
        <v>2.36</v>
      </c>
      <c r="N272">
        <v>15.74</v>
      </c>
      <c r="O272">
        <v>1.2050000000000001</v>
      </c>
      <c r="P272">
        <v>0.79</v>
      </c>
    </row>
    <row r="273" spans="1:16">
      <c r="A273" s="1" t="s">
        <v>103</v>
      </c>
      <c r="B273" s="1" t="s">
        <v>305</v>
      </c>
      <c r="C273" s="1" t="s">
        <v>105</v>
      </c>
      <c r="D273" s="1" t="s">
        <v>106</v>
      </c>
      <c r="E273" s="1" t="s">
        <v>281</v>
      </c>
      <c r="F273">
        <v>1655.29</v>
      </c>
      <c r="G273">
        <v>1232.98</v>
      </c>
      <c r="H273">
        <v>74.36</v>
      </c>
      <c r="I273">
        <v>3.3</v>
      </c>
      <c r="J273">
        <f>0.56/2</f>
        <v>0.28000000000000003</v>
      </c>
      <c r="K273">
        <v>1163.03</v>
      </c>
      <c r="L273">
        <v>0.77</v>
      </c>
      <c r="M273">
        <v>2.99</v>
      </c>
      <c r="N273">
        <v>18.329999999999998</v>
      </c>
      <c r="O273">
        <v>1.3740000000000001</v>
      </c>
      <c r="P273">
        <v>0.623</v>
      </c>
    </row>
    <row r="274" spans="1:16">
      <c r="A274" s="1" t="s">
        <v>103</v>
      </c>
      <c r="B274" s="1" t="s">
        <v>306</v>
      </c>
      <c r="C274" s="1" t="s">
        <v>105</v>
      </c>
      <c r="D274" s="1" t="s">
        <v>106</v>
      </c>
      <c r="E274" s="1" t="s">
        <v>281</v>
      </c>
      <c r="F274">
        <v>1710.35</v>
      </c>
      <c r="G274">
        <v>1569.39</v>
      </c>
      <c r="H274">
        <v>90.91</v>
      </c>
      <c r="I274">
        <v>4.68</v>
      </c>
      <c r="J274">
        <v>2.34</v>
      </c>
      <c r="K274">
        <v>1039.8900000000001</v>
      </c>
      <c r="L274">
        <v>0.65600000000000003</v>
      </c>
      <c r="M274">
        <v>2.93</v>
      </c>
      <c r="N274">
        <v>22.4</v>
      </c>
      <c r="O274">
        <v>1.34</v>
      </c>
      <c r="P274">
        <v>0.77800000000000002</v>
      </c>
    </row>
    <row r="275" spans="1:16">
      <c r="A275" s="1" t="s">
        <v>103</v>
      </c>
      <c r="B275" s="1" t="s">
        <v>307</v>
      </c>
      <c r="C275" s="1" t="s">
        <v>105</v>
      </c>
      <c r="D275" s="1" t="s">
        <v>106</v>
      </c>
      <c r="E275" s="1" t="s">
        <v>281</v>
      </c>
      <c r="F275">
        <v>1247.08</v>
      </c>
      <c r="G275">
        <v>1464.11</v>
      </c>
      <c r="H275">
        <v>92.53</v>
      </c>
      <c r="I275">
        <v>5.14</v>
      </c>
      <c r="J275">
        <f>0.53/2</f>
        <v>0.26500000000000001</v>
      </c>
      <c r="K275">
        <v>676.79</v>
      </c>
      <c r="L275">
        <v>0.56299999999999994</v>
      </c>
      <c r="M275">
        <v>2.83</v>
      </c>
      <c r="N275">
        <v>9.48</v>
      </c>
      <c r="O275">
        <v>1.2130000000000001</v>
      </c>
      <c r="P275">
        <v>0.65700000000000003</v>
      </c>
    </row>
    <row r="276" spans="1:16">
      <c r="A276" s="1" t="s">
        <v>103</v>
      </c>
      <c r="B276" s="1" t="s">
        <v>308</v>
      </c>
      <c r="C276" s="1" t="s">
        <v>105</v>
      </c>
      <c r="D276" s="1" t="s">
        <v>106</v>
      </c>
      <c r="E276" s="1" t="s">
        <v>281</v>
      </c>
      <c r="F276">
        <v>1446.78</v>
      </c>
      <c r="G276">
        <v>1315.61</v>
      </c>
      <c r="H276">
        <v>72.64</v>
      </c>
      <c r="I276">
        <v>5.91</v>
      </c>
      <c r="J276">
        <v>5.38</v>
      </c>
      <c r="K276">
        <v>600.21</v>
      </c>
      <c r="L276">
        <v>0.46100000000000002</v>
      </c>
      <c r="M276">
        <v>2.63</v>
      </c>
      <c r="N276">
        <v>7.78</v>
      </c>
      <c r="O276">
        <v>1.3180000000000001</v>
      </c>
      <c r="P276">
        <v>0.59199999999999997</v>
      </c>
    </row>
    <row r="277" spans="1:16">
      <c r="A277" s="1" t="s">
        <v>103</v>
      </c>
      <c r="B277" s="1" t="s">
        <v>309</v>
      </c>
      <c r="C277" s="1" t="s">
        <v>105</v>
      </c>
      <c r="D277" s="1" t="s">
        <v>106</v>
      </c>
      <c r="E277" s="1" t="s">
        <v>281</v>
      </c>
      <c r="F277">
        <v>1198.33</v>
      </c>
      <c r="G277">
        <v>1392.59</v>
      </c>
      <c r="H277">
        <v>88.06</v>
      </c>
      <c r="I277">
        <v>5.35</v>
      </c>
      <c r="J277">
        <v>1.22</v>
      </c>
      <c r="K277">
        <v>760.54</v>
      </c>
      <c r="L277">
        <v>0.66</v>
      </c>
      <c r="M277">
        <v>2.93</v>
      </c>
      <c r="N277">
        <v>12.32</v>
      </c>
      <c r="O277">
        <v>1.2549999999999999</v>
      </c>
      <c r="P277">
        <v>0.60499999999999998</v>
      </c>
    </row>
    <row r="278" spans="1:16">
      <c r="A278" s="1" t="s">
        <v>103</v>
      </c>
      <c r="B278" s="1" t="s">
        <v>310</v>
      </c>
      <c r="C278" s="1" t="s">
        <v>105</v>
      </c>
      <c r="D278" s="1" t="s">
        <v>106</v>
      </c>
      <c r="E278" s="1" t="s">
        <v>281</v>
      </c>
      <c r="F278">
        <v>1805.93</v>
      </c>
      <c r="G278">
        <v>1370.23</v>
      </c>
      <c r="H278">
        <v>73.12</v>
      </c>
      <c r="I278">
        <v>5.05</v>
      </c>
      <c r="J278">
        <v>1.64</v>
      </c>
      <c r="K278">
        <v>875.3</v>
      </c>
      <c r="L278">
        <v>0.58099999999999996</v>
      </c>
      <c r="M278">
        <v>2.99</v>
      </c>
      <c r="N278">
        <v>16.11</v>
      </c>
      <c r="O278">
        <v>1.163</v>
      </c>
      <c r="P278">
        <v>0.68</v>
      </c>
    </row>
    <row r="279" spans="1:16">
      <c r="A279" s="1" t="s">
        <v>103</v>
      </c>
      <c r="B279" s="1" t="s">
        <v>311</v>
      </c>
      <c r="C279" s="1" t="s">
        <v>105</v>
      </c>
      <c r="D279" s="1" t="s">
        <v>106</v>
      </c>
      <c r="E279" s="1" t="s">
        <v>281</v>
      </c>
      <c r="F279">
        <v>2567.62</v>
      </c>
      <c r="G279">
        <v>1624.24</v>
      </c>
      <c r="H279">
        <v>73.33</v>
      </c>
      <c r="I279">
        <v>5.84</v>
      </c>
      <c r="J279">
        <v>0.99</v>
      </c>
      <c r="K279">
        <v>969.31</v>
      </c>
      <c r="L279">
        <v>0.86199999999999999</v>
      </c>
      <c r="M279">
        <v>3.18</v>
      </c>
      <c r="N279">
        <v>14.33</v>
      </c>
      <c r="O279">
        <v>1.42</v>
      </c>
      <c r="P279">
        <v>0.73799999999999999</v>
      </c>
    </row>
    <row r="280" spans="1:16">
      <c r="A280" s="1" t="s">
        <v>103</v>
      </c>
      <c r="B280" s="1" t="s">
        <v>312</v>
      </c>
      <c r="C280" s="1" t="s">
        <v>105</v>
      </c>
      <c r="D280" s="1" t="s">
        <v>106</v>
      </c>
      <c r="E280" s="1" t="s">
        <v>281</v>
      </c>
      <c r="F280">
        <v>1123.56</v>
      </c>
      <c r="G280">
        <v>1631.66</v>
      </c>
      <c r="H280">
        <v>83.7</v>
      </c>
      <c r="I280">
        <v>4.53</v>
      </c>
      <c r="J280">
        <v>9.1300000000000008</v>
      </c>
      <c r="K280">
        <v>727.45</v>
      </c>
      <c r="L280">
        <v>0.46</v>
      </c>
      <c r="M280">
        <v>2.57</v>
      </c>
      <c r="N280">
        <v>5.93</v>
      </c>
      <c r="O280">
        <v>1.123</v>
      </c>
      <c r="P280">
        <v>0.76700000000000002</v>
      </c>
    </row>
    <row r="281" spans="1:16">
      <c r="A281" s="1" t="s">
        <v>103</v>
      </c>
      <c r="B281" s="1" t="s">
        <v>313</v>
      </c>
      <c r="C281" s="1" t="s">
        <v>105</v>
      </c>
      <c r="D281" s="1" t="s">
        <v>106</v>
      </c>
      <c r="E281" s="1" t="s">
        <v>281</v>
      </c>
      <c r="F281">
        <v>1319.9</v>
      </c>
      <c r="G281">
        <v>1567.18</v>
      </c>
      <c r="H281">
        <v>75.22</v>
      </c>
      <c r="I281">
        <v>4.03</v>
      </c>
      <c r="J281">
        <v>3.15</v>
      </c>
      <c r="K281">
        <v>644.74</v>
      </c>
      <c r="L281">
        <v>0.82399999999999995</v>
      </c>
      <c r="M281">
        <v>4.59</v>
      </c>
      <c r="N281">
        <v>8.14</v>
      </c>
      <c r="O281">
        <v>1.2410000000000001</v>
      </c>
      <c r="P281">
        <v>0.77500000000000002</v>
      </c>
    </row>
    <row r="282" spans="1:16">
      <c r="A282" s="1" t="s">
        <v>103</v>
      </c>
      <c r="B282" s="1" t="s">
        <v>314</v>
      </c>
      <c r="C282" s="1" t="s">
        <v>105</v>
      </c>
      <c r="D282" s="1" t="s">
        <v>106</v>
      </c>
      <c r="E282" s="1" t="s">
        <v>281</v>
      </c>
      <c r="F282">
        <v>31.94</v>
      </c>
      <c r="G282">
        <v>15.8</v>
      </c>
      <c r="H282">
        <v>6.76</v>
      </c>
      <c r="I282">
        <v>1.137</v>
      </c>
      <c r="J282">
        <v>0.47</v>
      </c>
      <c r="K282">
        <v>837.11</v>
      </c>
      <c r="L282">
        <v>0.745</v>
      </c>
      <c r="M282">
        <v>0.98</v>
      </c>
      <c r="N282">
        <v>14.19</v>
      </c>
      <c r="O282">
        <v>0.186</v>
      </c>
      <c r="P282">
        <v>7.6999999999999999E-2</v>
      </c>
    </row>
    <row r="283" spans="1:16">
      <c r="A283" s="1" t="s">
        <v>103</v>
      </c>
      <c r="B283" s="1" t="s">
        <v>315</v>
      </c>
      <c r="C283" s="1" t="s">
        <v>105</v>
      </c>
      <c r="D283" s="1" t="s">
        <v>106</v>
      </c>
      <c r="E283" s="1" t="s">
        <v>281</v>
      </c>
      <c r="F283">
        <v>72.7</v>
      </c>
      <c r="G283">
        <v>15.33</v>
      </c>
      <c r="H283">
        <v>7.97</v>
      </c>
      <c r="I283">
        <v>1.0289999999999999</v>
      </c>
      <c r="J283">
        <v>0.45</v>
      </c>
      <c r="K283">
        <v>1055.3399999999999</v>
      </c>
      <c r="L283">
        <v>0.753</v>
      </c>
      <c r="M283">
        <v>0.96</v>
      </c>
      <c r="N283">
        <v>14.78</v>
      </c>
      <c r="O283">
        <v>0.21</v>
      </c>
      <c r="P283">
        <v>6.7000000000000004E-2</v>
      </c>
    </row>
    <row r="284" spans="1:16">
      <c r="A284" s="1" t="s">
        <v>103</v>
      </c>
      <c r="B284" s="1" t="s">
        <v>316</v>
      </c>
      <c r="C284" s="1" t="s">
        <v>105</v>
      </c>
      <c r="D284" s="1" t="s">
        <v>106</v>
      </c>
      <c r="E284" s="1" t="s">
        <v>281</v>
      </c>
      <c r="F284">
        <v>38.19</v>
      </c>
      <c r="G284">
        <v>18.260000000000002</v>
      </c>
      <c r="H284">
        <v>3.5</v>
      </c>
      <c r="I284">
        <v>0.93600000000000005</v>
      </c>
      <c r="J284">
        <v>0.37</v>
      </c>
      <c r="K284">
        <v>850.34</v>
      </c>
      <c r="L284">
        <v>0.68899999999999995</v>
      </c>
      <c r="M284">
        <v>1</v>
      </c>
      <c r="N284">
        <v>15.51</v>
      </c>
      <c r="O284">
        <v>2.7E-2</v>
      </c>
      <c r="P284">
        <v>0.127</v>
      </c>
    </row>
    <row r="285" spans="1:16">
      <c r="A285" s="1" t="s">
        <v>103</v>
      </c>
      <c r="B285" s="1" t="s">
        <v>317</v>
      </c>
      <c r="C285" s="1" t="s">
        <v>105</v>
      </c>
      <c r="D285" s="1" t="s">
        <v>106</v>
      </c>
      <c r="E285" s="1" t="s">
        <v>281</v>
      </c>
      <c r="F285">
        <v>11.68</v>
      </c>
      <c r="G285">
        <v>334.88</v>
      </c>
      <c r="H285">
        <v>5.31</v>
      </c>
      <c r="I285">
        <v>1.085</v>
      </c>
      <c r="J285">
        <f>0.85/2</f>
        <v>0.42499999999999999</v>
      </c>
      <c r="K285">
        <v>19.37</v>
      </c>
      <c r="L285">
        <v>0.39800000000000002</v>
      </c>
      <c r="M285">
        <v>1.23</v>
      </c>
      <c r="N285">
        <v>4.76</v>
      </c>
      <c r="O285">
        <v>0.33800000000000002</v>
      </c>
      <c r="P285">
        <v>0.192</v>
      </c>
    </row>
    <row r="286" spans="1:16">
      <c r="A286" s="1" t="s">
        <v>103</v>
      </c>
      <c r="B286" s="1" t="s">
        <v>318</v>
      </c>
      <c r="C286" s="1" t="s">
        <v>105</v>
      </c>
      <c r="D286" s="1" t="s">
        <v>106</v>
      </c>
      <c r="E286" s="1" t="s">
        <v>281</v>
      </c>
      <c r="F286">
        <v>13.49</v>
      </c>
      <c r="G286">
        <v>77.010000000000005</v>
      </c>
      <c r="H286">
        <v>9.61</v>
      </c>
      <c r="I286">
        <v>1.1000000000000001</v>
      </c>
      <c r="J286">
        <f>0.78/2</f>
        <v>0.39</v>
      </c>
      <c r="K286">
        <v>23.86</v>
      </c>
      <c r="L286">
        <v>0.74099999999999999</v>
      </c>
      <c r="M286">
        <v>1.36</v>
      </c>
      <c r="N286">
        <v>6.52</v>
      </c>
      <c r="O286">
        <v>4.3999999999999997E-2</v>
      </c>
      <c r="P286">
        <v>0.23799999999999999</v>
      </c>
    </row>
    <row r="287" spans="1:16">
      <c r="A287" s="1" t="s">
        <v>103</v>
      </c>
      <c r="B287" s="1" t="s">
        <v>319</v>
      </c>
      <c r="C287" s="1" t="s">
        <v>105</v>
      </c>
      <c r="D287" s="1" t="s">
        <v>106</v>
      </c>
      <c r="E287" s="1" t="s">
        <v>281</v>
      </c>
      <c r="F287">
        <v>27.05</v>
      </c>
      <c r="G287">
        <v>452.72</v>
      </c>
      <c r="H287">
        <v>5.43</v>
      </c>
      <c r="I287">
        <v>1.76</v>
      </c>
      <c r="J287">
        <f>0.88/2</f>
        <v>0.44</v>
      </c>
      <c r="K287">
        <v>31.43</v>
      </c>
      <c r="L287">
        <v>0.48199999999999998</v>
      </c>
      <c r="M287">
        <v>1.1200000000000001</v>
      </c>
      <c r="N287">
        <v>6.8</v>
      </c>
      <c r="O287">
        <v>0.45800000000000002</v>
      </c>
      <c r="P287">
        <v>0.20899999999999999</v>
      </c>
    </row>
    <row r="288" spans="1:16">
      <c r="A288" s="1" t="s">
        <v>103</v>
      </c>
      <c r="B288" s="1" t="s">
        <v>320</v>
      </c>
      <c r="C288" s="1" t="s">
        <v>105</v>
      </c>
      <c r="D288" s="1" t="s">
        <v>106</v>
      </c>
      <c r="E288" s="1" t="s">
        <v>281</v>
      </c>
      <c r="F288">
        <v>28.42</v>
      </c>
      <c r="G288">
        <v>501.91</v>
      </c>
      <c r="H288">
        <v>12.35</v>
      </c>
      <c r="I288">
        <v>2.12</v>
      </c>
      <c r="J288">
        <v>1.21</v>
      </c>
      <c r="K288">
        <v>59.06</v>
      </c>
      <c r="L288">
        <v>0.45600000000000002</v>
      </c>
      <c r="M288">
        <v>1.1100000000000001</v>
      </c>
      <c r="N288">
        <v>7.05</v>
      </c>
      <c r="O288">
        <v>0.59</v>
      </c>
      <c r="P288">
        <f>0.071/2</f>
        <v>3.5499999999999997E-2</v>
      </c>
    </row>
    <row r="289" spans="1:16">
      <c r="A289" s="1" t="s">
        <v>103</v>
      </c>
      <c r="B289" s="1" t="s">
        <v>321</v>
      </c>
      <c r="C289" s="1" t="s">
        <v>105</v>
      </c>
      <c r="D289" s="1" t="s">
        <v>106</v>
      </c>
      <c r="E289" s="1" t="s">
        <v>281</v>
      </c>
      <c r="F289">
        <v>6064.14</v>
      </c>
      <c r="G289">
        <v>16.149999999999999</v>
      </c>
      <c r="H289">
        <v>1.99</v>
      </c>
      <c r="I289">
        <v>0.189</v>
      </c>
      <c r="J289">
        <f>0.51/2</f>
        <v>0.255</v>
      </c>
      <c r="K289">
        <v>176.93</v>
      </c>
      <c r="L289">
        <v>0.115</v>
      </c>
      <c r="M289">
        <v>8.6999999999999994E-2</v>
      </c>
      <c r="N289">
        <v>2</v>
      </c>
      <c r="O289">
        <f>0.068/2</f>
        <v>3.4000000000000002E-2</v>
      </c>
      <c r="P289">
        <v>0.56000000000000005</v>
      </c>
    </row>
    <row r="290" spans="1:16">
      <c r="A290" s="1" t="s">
        <v>103</v>
      </c>
      <c r="B290" s="1" t="s">
        <v>322</v>
      </c>
      <c r="C290" s="1" t="s">
        <v>105</v>
      </c>
      <c r="D290" s="1" t="s">
        <v>106</v>
      </c>
      <c r="E290" s="1" t="s">
        <v>281</v>
      </c>
      <c r="F290">
        <v>988.59</v>
      </c>
      <c r="G290">
        <v>114.52</v>
      </c>
      <c r="H290">
        <v>13.07</v>
      </c>
      <c r="I290">
        <v>5.0999999999999996</v>
      </c>
      <c r="J290">
        <v>0.71</v>
      </c>
      <c r="K290">
        <v>27.03</v>
      </c>
      <c r="L290">
        <v>0.20399999999999999</v>
      </c>
      <c r="M290">
        <v>0.27</v>
      </c>
      <c r="N290">
        <v>0.66</v>
      </c>
      <c r="O290">
        <v>0.161</v>
      </c>
      <c r="P290">
        <v>0.38</v>
      </c>
    </row>
    <row r="291" spans="1:16">
      <c r="A291" s="1" t="s">
        <v>103</v>
      </c>
      <c r="B291" s="1" t="s">
        <v>323</v>
      </c>
      <c r="C291" s="1" t="s">
        <v>105</v>
      </c>
      <c r="D291" s="1" t="s">
        <v>106</v>
      </c>
      <c r="E291" s="1" t="s">
        <v>281</v>
      </c>
      <c r="F291">
        <v>7318.91</v>
      </c>
      <c r="G291">
        <v>56.95</v>
      </c>
      <c r="H291">
        <v>4.21</v>
      </c>
      <c r="I291">
        <v>1.62</v>
      </c>
      <c r="J291">
        <v>0.59</v>
      </c>
      <c r="K291">
        <v>176.43</v>
      </c>
      <c r="L291">
        <v>0.36299999999999999</v>
      </c>
      <c r="M291">
        <v>9.6000000000000002E-2</v>
      </c>
      <c r="N291">
        <v>1.07</v>
      </c>
      <c r="O291">
        <v>0.08</v>
      </c>
      <c r="P291">
        <v>0.193</v>
      </c>
    </row>
    <row r="292" spans="1:16">
      <c r="A292" s="1" t="s">
        <v>103</v>
      </c>
      <c r="B292" s="1" t="s">
        <v>324</v>
      </c>
      <c r="C292" s="1" t="s">
        <v>105</v>
      </c>
      <c r="D292" s="1" t="s">
        <v>106</v>
      </c>
      <c r="E292" s="1" t="s">
        <v>281</v>
      </c>
      <c r="F292">
        <v>16919.53</v>
      </c>
      <c r="G292">
        <v>88.43</v>
      </c>
      <c r="H292">
        <v>3.09</v>
      </c>
      <c r="I292">
        <v>0.25700000000000001</v>
      </c>
      <c r="J292">
        <f>0.58/2</f>
        <v>0.28999999999999998</v>
      </c>
      <c r="K292">
        <v>155.1</v>
      </c>
      <c r="L292">
        <v>0.59</v>
      </c>
      <c r="M292">
        <f>0.29/2</f>
        <v>0.14499999999999999</v>
      </c>
      <c r="N292">
        <v>2.2799999999999998</v>
      </c>
      <c r="O292">
        <v>4.1000000000000002E-2</v>
      </c>
      <c r="P292">
        <v>0.42</v>
      </c>
    </row>
    <row r="293" spans="1:16">
      <c r="A293" s="1" t="s">
        <v>103</v>
      </c>
      <c r="B293" s="1" t="s">
        <v>325</v>
      </c>
      <c r="C293" s="1" t="s">
        <v>105</v>
      </c>
      <c r="D293" s="1" t="s">
        <v>106</v>
      </c>
      <c r="E293" s="1" t="s">
        <v>281</v>
      </c>
      <c r="F293">
        <v>54.35</v>
      </c>
      <c r="G293">
        <v>173.25</v>
      </c>
      <c r="H293">
        <v>3.69</v>
      </c>
      <c r="I293">
        <v>1.59</v>
      </c>
      <c r="J293">
        <v>0.93</v>
      </c>
      <c r="K293">
        <v>29.28</v>
      </c>
      <c r="L293">
        <v>0.314</v>
      </c>
      <c r="M293">
        <v>0.14000000000000001</v>
      </c>
      <c r="N293">
        <v>0.88</v>
      </c>
      <c r="O293">
        <v>0.17199999999999999</v>
      </c>
      <c r="P293">
        <v>0.68</v>
      </c>
    </row>
    <row r="294" spans="1:16">
      <c r="A294" s="1" t="s">
        <v>103</v>
      </c>
      <c r="B294" s="1" t="s">
        <v>326</v>
      </c>
      <c r="C294" s="1" t="s">
        <v>105</v>
      </c>
      <c r="D294" s="1" t="s">
        <v>106</v>
      </c>
      <c r="E294" s="1" t="s">
        <v>281</v>
      </c>
      <c r="F294">
        <v>471.82</v>
      </c>
      <c r="G294">
        <v>114.78</v>
      </c>
      <c r="H294">
        <v>3.54</v>
      </c>
      <c r="I294">
        <v>1.83</v>
      </c>
      <c r="J294">
        <f>0.58/2</f>
        <v>0.28999999999999998</v>
      </c>
      <c r="K294">
        <v>21.68</v>
      </c>
      <c r="L294">
        <v>0.51</v>
      </c>
      <c r="M294">
        <v>0.21</v>
      </c>
      <c r="N294">
        <v>0.49</v>
      </c>
      <c r="O294">
        <v>0.246</v>
      </c>
      <c r="P294">
        <v>0.4</v>
      </c>
    </row>
    <row r="295" spans="1:16">
      <c r="A295" s="1" t="s">
        <v>103</v>
      </c>
      <c r="B295" s="1" t="s">
        <v>327</v>
      </c>
      <c r="C295" s="1" t="s">
        <v>105</v>
      </c>
      <c r="D295" s="1" t="s">
        <v>106</v>
      </c>
      <c r="E295" s="1" t="s">
        <v>281</v>
      </c>
      <c r="F295">
        <v>701.21</v>
      </c>
      <c r="G295">
        <v>179.36</v>
      </c>
      <c r="H295">
        <v>3.18</v>
      </c>
      <c r="I295">
        <v>1.425</v>
      </c>
      <c r="J295">
        <v>0.66</v>
      </c>
      <c r="K295">
        <v>25.34</v>
      </c>
      <c r="L295">
        <v>0.43</v>
      </c>
      <c r="M295">
        <v>0.3</v>
      </c>
      <c r="N295">
        <v>0.5</v>
      </c>
      <c r="O295">
        <v>0.22600000000000001</v>
      </c>
      <c r="P295">
        <v>0.53</v>
      </c>
    </row>
    <row r="296" spans="1:16">
      <c r="A296" s="1" t="s">
        <v>103</v>
      </c>
      <c r="B296" s="1" t="s">
        <v>328</v>
      </c>
      <c r="C296" s="1" t="s">
        <v>105</v>
      </c>
      <c r="D296" s="1" t="s">
        <v>106</v>
      </c>
      <c r="E296" s="1" t="s">
        <v>281</v>
      </c>
      <c r="F296">
        <v>19.100000000000001</v>
      </c>
      <c r="G296">
        <v>190.8</v>
      </c>
      <c r="H296">
        <v>5.21</v>
      </c>
      <c r="I296">
        <v>1.62</v>
      </c>
      <c r="J296">
        <v>0.74</v>
      </c>
      <c r="K296">
        <v>24.41</v>
      </c>
      <c r="L296">
        <v>0.32500000000000001</v>
      </c>
      <c r="M296">
        <v>0.38</v>
      </c>
      <c r="N296">
        <v>1</v>
      </c>
      <c r="O296">
        <v>0.17100000000000001</v>
      </c>
      <c r="P296">
        <v>0.5</v>
      </c>
    </row>
    <row r="297" spans="1:16">
      <c r="A297" s="1" t="s">
        <v>103</v>
      </c>
      <c r="B297" s="1" t="s">
        <v>329</v>
      </c>
      <c r="C297" s="1" t="s">
        <v>105</v>
      </c>
      <c r="D297" s="1" t="s">
        <v>106</v>
      </c>
      <c r="E297" s="1" t="s">
        <v>281</v>
      </c>
      <c r="F297">
        <v>429.39</v>
      </c>
      <c r="G297">
        <v>107.57</v>
      </c>
      <c r="H297">
        <v>3.06</v>
      </c>
      <c r="I297">
        <v>1.55</v>
      </c>
      <c r="J297">
        <v>0.72</v>
      </c>
      <c r="K297">
        <v>23.15</v>
      </c>
      <c r="L297">
        <v>0.35</v>
      </c>
      <c r="M297">
        <v>0.15</v>
      </c>
      <c r="N297">
        <v>0.7</v>
      </c>
      <c r="O297">
        <v>0.31</v>
      </c>
      <c r="P297">
        <v>0.4</v>
      </c>
    </row>
    <row r="298" spans="1:16">
      <c r="A298" s="1" t="s">
        <v>103</v>
      </c>
      <c r="B298" s="1" t="s">
        <v>330</v>
      </c>
      <c r="C298" s="1" t="s">
        <v>105</v>
      </c>
      <c r="D298" s="1" t="s">
        <v>106</v>
      </c>
      <c r="E298" s="1" t="s">
        <v>281</v>
      </c>
      <c r="F298">
        <v>137.28</v>
      </c>
      <c r="G298">
        <v>178.32</v>
      </c>
      <c r="H298">
        <v>5.24</v>
      </c>
      <c r="I298">
        <v>1.339</v>
      </c>
      <c r="J298">
        <v>0.85</v>
      </c>
      <c r="K298">
        <v>24.08</v>
      </c>
      <c r="L298">
        <v>0.17699999999999999</v>
      </c>
      <c r="M298">
        <v>0.21</v>
      </c>
      <c r="N298">
        <v>0.65</v>
      </c>
      <c r="O298">
        <v>0.26400000000000001</v>
      </c>
      <c r="P298">
        <v>0.45</v>
      </c>
    </row>
    <row r="299" spans="1:16">
      <c r="A299" s="1" t="s">
        <v>103</v>
      </c>
      <c r="B299" s="1" t="s">
        <v>331</v>
      </c>
      <c r="C299" s="1" t="s">
        <v>105</v>
      </c>
      <c r="D299" s="1" t="s">
        <v>106</v>
      </c>
      <c r="E299" s="1" t="s">
        <v>281</v>
      </c>
      <c r="F299">
        <v>628.13</v>
      </c>
      <c r="G299">
        <v>158.75</v>
      </c>
      <c r="H299">
        <v>4.74</v>
      </c>
      <c r="I299">
        <v>1.224</v>
      </c>
      <c r="J299">
        <v>1.02</v>
      </c>
      <c r="K299">
        <v>21</v>
      </c>
      <c r="L299">
        <v>0.26500000000000001</v>
      </c>
      <c r="M299">
        <v>0.17</v>
      </c>
      <c r="N299">
        <v>0.9</v>
      </c>
      <c r="O299">
        <v>0.20899999999999999</v>
      </c>
      <c r="P299">
        <v>0.44</v>
      </c>
    </row>
    <row r="300" spans="1:16">
      <c r="A300" s="1" t="s">
        <v>103</v>
      </c>
      <c r="B300" s="1" t="s">
        <v>332</v>
      </c>
      <c r="C300" s="1" t="s">
        <v>105</v>
      </c>
      <c r="D300" s="1" t="s">
        <v>106</v>
      </c>
      <c r="E300" s="1" t="s">
        <v>281</v>
      </c>
      <c r="F300">
        <v>258.56</v>
      </c>
      <c r="G300">
        <v>209.3</v>
      </c>
      <c r="H300">
        <v>5.35</v>
      </c>
      <c r="I300">
        <v>1.218</v>
      </c>
      <c r="J300">
        <f>0.51/2</f>
        <v>0.255</v>
      </c>
      <c r="K300">
        <v>23.21</v>
      </c>
      <c r="L300">
        <v>0.28000000000000003</v>
      </c>
      <c r="M300">
        <v>0.43</v>
      </c>
      <c r="N300">
        <v>0.72</v>
      </c>
      <c r="O300">
        <v>0.191</v>
      </c>
      <c r="P300">
        <v>0.66</v>
      </c>
    </row>
    <row r="301" spans="1:16">
      <c r="A301" s="1" t="s">
        <v>103</v>
      </c>
      <c r="B301" s="1" t="s">
        <v>333</v>
      </c>
      <c r="C301" s="1" t="s">
        <v>105</v>
      </c>
      <c r="D301" s="1" t="s">
        <v>106</v>
      </c>
      <c r="E301" s="1" t="s">
        <v>281</v>
      </c>
      <c r="F301">
        <v>547.84</v>
      </c>
      <c r="G301">
        <v>198.04</v>
      </c>
      <c r="H301">
        <v>5.65</v>
      </c>
      <c r="I301">
        <v>1.298</v>
      </c>
      <c r="J301">
        <v>0.67</v>
      </c>
      <c r="K301">
        <v>22.85</v>
      </c>
      <c r="L301">
        <v>0.30199999999999999</v>
      </c>
      <c r="M301">
        <f>0.23/2</f>
        <v>0.115</v>
      </c>
      <c r="N301">
        <v>0.92</v>
      </c>
      <c r="O301">
        <v>0.18</v>
      </c>
      <c r="P301">
        <v>0.62</v>
      </c>
    </row>
    <row r="302" spans="1:16">
      <c r="A302" s="1" t="s">
        <v>103</v>
      </c>
      <c r="B302" s="1" t="s">
        <v>334</v>
      </c>
      <c r="C302" s="1" t="s">
        <v>105</v>
      </c>
      <c r="D302" s="1" t="s">
        <v>106</v>
      </c>
      <c r="E302" s="1" t="s">
        <v>281</v>
      </c>
      <c r="F302">
        <v>11.72</v>
      </c>
      <c r="G302">
        <v>5.99</v>
      </c>
      <c r="H302">
        <v>1.47</v>
      </c>
      <c r="I302">
        <v>0.14499999999999999</v>
      </c>
      <c r="J302">
        <v>0.75</v>
      </c>
      <c r="K302">
        <v>13.84</v>
      </c>
      <c r="L302">
        <v>0.13900000000000001</v>
      </c>
      <c r="M302">
        <v>0.59</v>
      </c>
      <c r="N302">
        <v>28.51</v>
      </c>
      <c r="O302">
        <v>0.06</v>
      </c>
      <c r="P302">
        <f>0.115/2</f>
        <v>5.7500000000000002E-2</v>
      </c>
    </row>
    <row r="303" spans="1:16">
      <c r="A303" s="1" t="s">
        <v>103</v>
      </c>
      <c r="B303" s="1" t="s">
        <v>335</v>
      </c>
      <c r="C303" s="1" t="s">
        <v>105</v>
      </c>
      <c r="D303" s="1" t="s">
        <v>106</v>
      </c>
      <c r="E303" s="1" t="s">
        <v>281</v>
      </c>
      <c r="F303">
        <v>21.5</v>
      </c>
      <c r="G303">
        <v>72.790000000000006</v>
      </c>
      <c r="H303">
        <v>0.61</v>
      </c>
      <c r="I303">
        <f>0.026/2</f>
        <v>1.2999999999999999E-2</v>
      </c>
      <c r="J303">
        <v>0.45</v>
      </c>
      <c r="K303">
        <v>4.99</v>
      </c>
      <c r="L303">
        <v>6.8000000000000005E-2</v>
      </c>
      <c r="M303">
        <v>0.114</v>
      </c>
      <c r="N303">
        <v>0.79</v>
      </c>
      <c r="O303">
        <f>0.038/2</f>
        <v>1.9E-2</v>
      </c>
      <c r="P303">
        <f>0.168/2</f>
        <v>8.4000000000000005E-2</v>
      </c>
    </row>
    <row r="304" spans="1:16">
      <c r="A304" s="1" t="s">
        <v>103</v>
      </c>
      <c r="B304" s="1" t="s">
        <v>336</v>
      </c>
      <c r="C304" s="1" t="s">
        <v>105</v>
      </c>
      <c r="D304" s="1" t="s">
        <v>106</v>
      </c>
      <c r="E304" s="1" t="s">
        <v>281</v>
      </c>
      <c r="F304">
        <v>5.65</v>
      </c>
      <c r="G304">
        <v>8.39</v>
      </c>
      <c r="H304">
        <v>0.84</v>
      </c>
      <c r="I304">
        <v>4.7E-2</v>
      </c>
      <c r="J304">
        <v>0.76</v>
      </c>
      <c r="K304">
        <v>11.98</v>
      </c>
      <c r="L304">
        <v>0.10299999999999999</v>
      </c>
      <c r="M304">
        <v>0.11600000000000001</v>
      </c>
      <c r="N304">
        <v>0.8</v>
      </c>
      <c r="O304">
        <v>1.2999999999999999E-2</v>
      </c>
      <c r="P304">
        <f>0.142/2</f>
        <v>7.0999999999999994E-2</v>
      </c>
    </row>
    <row r="305" spans="1:16">
      <c r="A305" s="1" t="s">
        <v>103</v>
      </c>
      <c r="B305" s="1" t="s">
        <v>337</v>
      </c>
      <c r="C305" s="1" t="s">
        <v>105</v>
      </c>
      <c r="D305" s="1" t="s">
        <v>106</v>
      </c>
      <c r="E305" s="1" t="s">
        <v>281</v>
      </c>
      <c r="F305">
        <v>4.8600000000000003</v>
      </c>
      <c r="G305">
        <v>18.149999999999999</v>
      </c>
      <c r="H305">
        <v>1.4</v>
      </c>
      <c r="I305">
        <v>0.02</v>
      </c>
      <c r="J305">
        <v>0.69</v>
      </c>
      <c r="K305">
        <v>23.31</v>
      </c>
      <c r="L305">
        <v>9.4E-2</v>
      </c>
      <c r="M305">
        <v>5.8999999999999997E-2</v>
      </c>
      <c r="N305">
        <v>1</v>
      </c>
      <c r="O305">
        <v>4.1000000000000002E-2</v>
      </c>
      <c r="P305">
        <v>0.17599999999999999</v>
      </c>
    </row>
    <row r="306" spans="1:16">
      <c r="A306" s="1" t="s">
        <v>103</v>
      </c>
      <c r="B306" s="1" t="s">
        <v>338</v>
      </c>
      <c r="C306" s="1" t="s">
        <v>105</v>
      </c>
      <c r="D306" s="1" t="s">
        <v>106</v>
      </c>
      <c r="E306" s="1" t="s">
        <v>281</v>
      </c>
      <c r="F306">
        <v>5.09</v>
      </c>
      <c r="G306">
        <v>22.99</v>
      </c>
      <c r="H306">
        <v>1.18</v>
      </c>
      <c r="I306">
        <f>0.016/2</f>
        <v>8.0000000000000002E-3</v>
      </c>
      <c r="J306">
        <v>0.37</v>
      </c>
      <c r="K306">
        <v>3.45</v>
      </c>
      <c r="L306">
        <v>0.1</v>
      </c>
      <c r="M306">
        <v>0.22</v>
      </c>
      <c r="N306">
        <v>0.44</v>
      </c>
      <c r="O306">
        <v>2.5000000000000001E-2</v>
      </c>
      <c r="P306">
        <f>0.114/2</f>
        <v>5.7000000000000002E-2</v>
      </c>
    </row>
    <row r="307" spans="1:16">
      <c r="A307" s="1" t="s">
        <v>103</v>
      </c>
      <c r="B307" s="1" t="s">
        <v>339</v>
      </c>
      <c r="C307" s="1" t="s">
        <v>105</v>
      </c>
      <c r="D307" s="1" t="s">
        <v>106</v>
      </c>
      <c r="E307" s="1" t="s">
        <v>281</v>
      </c>
      <c r="F307">
        <v>11.24</v>
      </c>
      <c r="G307">
        <v>3.26</v>
      </c>
      <c r="H307">
        <f>0.43/2</f>
        <v>0.215</v>
      </c>
      <c r="I307">
        <v>1.37E-2</v>
      </c>
      <c r="J307">
        <v>0.63</v>
      </c>
      <c r="K307">
        <v>11.27</v>
      </c>
      <c r="L307">
        <v>0.161</v>
      </c>
      <c r="M307">
        <v>6.7000000000000004E-2</v>
      </c>
      <c r="N307">
        <v>0.6</v>
      </c>
      <c r="O307">
        <v>4.4999999999999998E-2</v>
      </c>
      <c r="P307">
        <f>0.132/2</f>
        <v>6.6000000000000003E-2</v>
      </c>
    </row>
    <row r="308" spans="1:16">
      <c r="A308" s="1" t="s">
        <v>103</v>
      </c>
      <c r="B308" s="1" t="s">
        <v>340</v>
      </c>
      <c r="C308" s="1" t="s">
        <v>105</v>
      </c>
      <c r="D308" s="1" t="s">
        <v>106</v>
      </c>
      <c r="E308" s="1" t="s">
        <v>281</v>
      </c>
      <c r="F308">
        <v>5.18</v>
      </c>
      <c r="G308">
        <v>3.49</v>
      </c>
      <c r="H308">
        <f>0.37/2</f>
        <v>0.185</v>
      </c>
      <c r="I308">
        <f>0.022/2</f>
        <v>1.0999999999999999E-2</v>
      </c>
      <c r="J308">
        <v>0.73</v>
      </c>
      <c r="K308">
        <v>9.5299999999999994</v>
      </c>
      <c r="L308">
        <v>0.217</v>
      </c>
      <c r="M308">
        <v>5.3999999999999999E-2</v>
      </c>
      <c r="N308">
        <v>0.27</v>
      </c>
      <c r="O308">
        <v>1.2E-2</v>
      </c>
      <c r="P308">
        <v>0.125</v>
      </c>
    </row>
    <row r="309" spans="1:16">
      <c r="A309" s="1" t="s">
        <v>103</v>
      </c>
      <c r="B309" s="1" t="s">
        <v>341</v>
      </c>
      <c r="C309" s="1" t="s">
        <v>105</v>
      </c>
      <c r="D309" s="1" t="s">
        <v>106</v>
      </c>
      <c r="E309" s="1" t="s">
        <v>281</v>
      </c>
      <c r="F309">
        <v>132.16999999999999</v>
      </c>
      <c r="G309">
        <v>31.59</v>
      </c>
      <c r="H309">
        <v>3.15</v>
      </c>
      <c r="I309">
        <v>0.64500000000000002</v>
      </c>
      <c r="J309">
        <v>0.53800000000000003</v>
      </c>
      <c r="K309">
        <v>489.81</v>
      </c>
      <c r="L309">
        <v>0.16400000000000001</v>
      </c>
      <c r="M309">
        <v>0.71</v>
      </c>
      <c r="N309">
        <v>12.13</v>
      </c>
      <c r="O309">
        <v>0.187</v>
      </c>
      <c r="P309">
        <v>0.23200000000000001</v>
      </c>
    </row>
    <row r="310" spans="1:16">
      <c r="A310" s="1" t="s">
        <v>103</v>
      </c>
      <c r="B310" s="1" t="s">
        <v>342</v>
      </c>
      <c r="C310" s="1" t="s">
        <v>105</v>
      </c>
      <c r="D310" s="1" t="s">
        <v>106</v>
      </c>
      <c r="E310" s="1" t="s">
        <v>281</v>
      </c>
      <c r="F310">
        <v>52.5</v>
      </c>
      <c r="G310">
        <v>24.94</v>
      </c>
      <c r="H310">
        <v>1.23</v>
      </c>
      <c r="I310">
        <v>0.308</v>
      </c>
      <c r="J310">
        <v>0.58099999999999996</v>
      </c>
      <c r="K310">
        <v>483.84</v>
      </c>
      <c r="L310">
        <v>0.16900000000000001</v>
      </c>
      <c r="M310">
        <v>0.24299999999999999</v>
      </c>
      <c r="N310">
        <v>9.0399999999999991</v>
      </c>
      <c r="O310">
        <v>0.14399999999999999</v>
      </c>
      <c r="P310">
        <v>0.113</v>
      </c>
    </row>
    <row r="311" spans="1:16">
      <c r="A311" s="1" t="s">
        <v>103</v>
      </c>
      <c r="B311" s="1" t="s">
        <v>343</v>
      </c>
      <c r="C311" s="1" t="s">
        <v>105</v>
      </c>
      <c r="D311" s="1" t="s">
        <v>106</v>
      </c>
      <c r="E311" s="1" t="s">
        <v>281</v>
      </c>
      <c r="F311">
        <v>2575.5100000000002</v>
      </c>
      <c r="G311">
        <v>28.28</v>
      </c>
      <c r="H311">
        <v>1.75</v>
      </c>
      <c r="I311">
        <v>0.60399999999999998</v>
      </c>
      <c r="J311">
        <v>0.72</v>
      </c>
      <c r="K311">
        <v>3143.74</v>
      </c>
      <c r="L311">
        <v>1.83</v>
      </c>
      <c r="M311">
        <v>3.37</v>
      </c>
      <c r="N311">
        <v>14.16</v>
      </c>
      <c r="O311">
        <v>4.7E-2</v>
      </c>
      <c r="P311">
        <v>0.113</v>
      </c>
    </row>
    <row r="312" spans="1:16">
      <c r="A312" s="1" t="s">
        <v>103</v>
      </c>
      <c r="B312" s="1" t="s">
        <v>344</v>
      </c>
      <c r="C312" s="1" t="s">
        <v>105</v>
      </c>
      <c r="D312" s="1" t="s">
        <v>106</v>
      </c>
      <c r="E312" s="1" t="s">
        <v>281</v>
      </c>
      <c r="F312">
        <v>701.93</v>
      </c>
      <c r="G312">
        <v>25.93</v>
      </c>
      <c r="H312">
        <v>1.56</v>
      </c>
      <c r="I312">
        <v>0.63</v>
      </c>
      <c r="J312">
        <v>0.71399999999999997</v>
      </c>
      <c r="K312">
        <v>2313.71</v>
      </c>
      <c r="L312">
        <v>0.247</v>
      </c>
      <c r="M312">
        <v>0.91</v>
      </c>
      <c r="N312">
        <v>12.1</v>
      </c>
      <c r="O312">
        <v>0.28599999999999998</v>
      </c>
      <c r="P312">
        <v>9.4E-2</v>
      </c>
    </row>
    <row r="313" spans="1:16">
      <c r="A313" s="1" t="s">
        <v>103</v>
      </c>
      <c r="B313" s="1" t="s">
        <v>345</v>
      </c>
      <c r="C313" s="1" t="s">
        <v>105</v>
      </c>
      <c r="D313" s="1" t="s">
        <v>106</v>
      </c>
      <c r="E313" s="1" t="s">
        <v>281</v>
      </c>
      <c r="F313">
        <v>45.82</v>
      </c>
      <c r="G313">
        <v>28.41</v>
      </c>
      <c r="H313">
        <v>4.95</v>
      </c>
      <c r="I313">
        <v>0.71199999999999997</v>
      </c>
      <c r="J313">
        <v>0.73</v>
      </c>
      <c r="K313">
        <v>458.69</v>
      </c>
      <c r="L313">
        <v>0.216</v>
      </c>
      <c r="M313">
        <v>0.59899999999999998</v>
      </c>
      <c r="N313">
        <v>10.27</v>
      </c>
      <c r="O313">
        <v>4.3999999999999997E-2</v>
      </c>
      <c r="P313">
        <f>0.109/2</f>
        <v>5.45E-2</v>
      </c>
    </row>
    <row r="314" spans="1:16">
      <c r="A314" s="1" t="s">
        <v>103</v>
      </c>
      <c r="B314" s="1" t="s">
        <v>346</v>
      </c>
      <c r="C314" s="1" t="s">
        <v>105</v>
      </c>
      <c r="D314" s="1" t="s">
        <v>106</v>
      </c>
      <c r="E314" s="1" t="s">
        <v>281</v>
      </c>
      <c r="F314">
        <v>92.71</v>
      </c>
      <c r="G314">
        <v>33.549999999999997</v>
      </c>
      <c r="H314">
        <v>1.71</v>
      </c>
      <c r="I314">
        <v>0.77300000000000002</v>
      </c>
      <c r="J314">
        <v>0.52</v>
      </c>
      <c r="K314">
        <v>474.29</v>
      </c>
      <c r="L314">
        <v>0.223</v>
      </c>
      <c r="M314">
        <v>0.61099999999999999</v>
      </c>
      <c r="N314">
        <v>8.1999999999999993</v>
      </c>
      <c r="O314">
        <v>4.7E-2</v>
      </c>
      <c r="P314">
        <v>0.12</v>
      </c>
    </row>
    <row r="315" spans="1:16">
      <c r="A315" s="1" t="s">
        <v>103</v>
      </c>
      <c r="B315" s="1" t="s">
        <v>347</v>
      </c>
      <c r="C315" s="1" t="s">
        <v>105</v>
      </c>
      <c r="D315" s="1" t="s">
        <v>106</v>
      </c>
      <c r="E315" s="1" t="s">
        <v>281</v>
      </c>
      <c r="F315">
        <v>210.79</v>
      </c>
      <c r="G315">
        <v>10.45</v>
      </c>
      <c r="H315">
        <v>3.75</v>
      </c>
      <c r="I315">
        <v>0.72199999999999998</v>
      </c>
      <c r="J315">
        <v>0.34699999999999998</v>
      </c>
      <c r="K315">
        <v>129.55000000000001</v>
      </c>
      <c r="L315">
        <v>0.28299999999999997</v>
      </c>
      <c r="M315">
        <v>0.9</v>
      </c>
      <c r="N315">
        <v>7.51</v>
      </c>
      <c r="O315">
        <v>5.8999999999999997E-2</v>
      </c>
      <c r="P315">
        <v>0.14699999999999999</v>
      </c>
    </row>
    <row r="316" spans="1:16">
      <c r="A316" s="1" t="s">
        <v>103</v>
      </c>
      <c r="B316" s="1" t="s">
        <v>348</v>
      </c>
      <c r="C316" s="1" t="s">
        <v>105</v>
      </c>
      <c r="D316" s="1" t="s">
        <v>106</v>
      </c>
      <c r="E316" s="1" t="s">
        <v>281</v>
      </c>
      <c r="F316">
        <v>129.33000000000001</v>
      </c>
      <c r="G316">
        <v>9.27</v>
      </c>
      <c r="H316">
        <v>2.4500000000000002</v>
      </c>
      <c r="I316">
        <v>0.57099999999999995</v>
      </c>
      <c r="J316">
        <v>0.69199999999999995</v>
      </c>
      <c r="K316">
        <v>162.74</v>
      </c>
      <c r="L316">
        <v>0.21</v>
      </c>
      <c r="M316">
        <v>0.96</v>
      </c>
      <c r="N316">
        <v>11.58</v>
      </c>
      <c r="O316">
        <v>0.112</v>
      </c>
      <c r="P316">
        <v>0.09</v>
      </c>
    </row>
    <row r="317" spans="1:16">
      <c r="A317" s="1" t="s">
        <v>103</v>
      </c>
      <c r="B317" s="1" t="s">
        <v>349</v>
      </c>
      <c r="C317" s="1" t="s">
        <v>105</v>
      </c>
      <c r="D317" s="1" t="s">
        <v>106</v>
      </c>
      <c r="E317" s="1" t="s">
        <v>281</v>
      </c>
      <c r="F317">
        <v>75.41</v>
      </c>
      <c r="G317">
        <v>32.409999999999997</v>
      </c>
      <c r="H317">
        <v>1.45</v>
      </c>
      <c r="I317">
        <v>0.33600000000000002</v>
      </c>
      <c r="J317">
        <v>0.53800000000000003</v>
      </c>
      <c r="K317">
        <v>517.16999999999996</v>
      </c>
      <c r="L317">
        <v>4.7E-2</v>
      </c>
      <c r="M317">
        <v>0.4</v>
      </c>
      <c r="N317">
        <v>10.71</v>
      </c>
      <c r="O317">
        <v>8.8999999999999996E-2</v>
      </c>
      <c r="P317">
        <f>0.117/2</f>
        <v>5.8500000000000003E-2</v>
      </c>
    </row>
    <row r="318" spans="1:16">
      <c r="A318" s="1" t="s">
        <v>103</v>
      </c>
      <c r="B318" s="1" t="s">
        <v>350</v>
      </c>
      <c r="C318" s="1" t="s">
        <v>105</v>
      </c>
      <c r="D318" s="1" t="s">
        <v>106</v>
      </c>
      <c r="E318" s="1" t="s">
        <v>281</v>
      </c>
      <c r="F318">
        <v>70.31</v>
      </c>
      <c r="G318">
        <v>23.34</v>
      </c>
      <c r="H318">
        <v>1.61</v>
      </c>
      <c r="I318">
        <v>0.34599999999999997</v>
      </c>
      <c r="J318">
        <v>0.35599999999999998</v>
      </c>
      <c r="K318">
        <v>475.35</v>
      </c>
      <c r="L318">
        <v>0.11</v>
      </c>
      <c r="M318">
        <v>0.33800000000000002</v>
      </c>
      <c r="N318">
        <v>11.27</v>
      </c>
      <c r="O318">
        <v>5.7000000000000002E-2</v>
      </c>
      <c r="P318">
        <v>8.4000000000000005E-2</v>
      </c>
    </row>
    <row r="319" spans="1:16">
      <c r="A319" s="1" t="s">
        <v>103</v>
      </c>
      <c r="B319" s="1" t="s">
        <v>351</v>
      </c>
      <c r="C319" s="1" t="s">
        <v>105</v>
      </c>
      <c r="D319" s="1" t="s">
        <v>106</v>
      </c>
      <c r="E319" s="1" t="s">
        <v>281</v>
      </c>
      <c r="F319">
        <v>87.94</v>
      </c>
      <c r="G319">
        <v>32.97</v>
      </c>
      <c r="H319">
        <v>6.9</v>
      </c>
      <c r="I319">
        <v>0.58199999999999996</v>
      </c>
      <c r="J319">
        <v>0.45300000000000001</v>
      </c>
      <c r="K319">
        <v>403.06</v>
      </c>
      <c r="L319">
        <v>7.1999999999999995E-2</v>
      </c>
      <c r="M319">
        <v>0.77</v>
      </c>
      <c r="N319">
        <v>9.51</v>
      </c>
      <c r="O319">
        <v>4.2000000000000003E-2</v>
      </c>
      <c r="P319">
        <v>0.40699999999999997</v>
      </c>
    </row>
    <row r="320" spans="1:16">
      <c r="A320" s="1" t="s">
        <v>103</v>
      </c>
      <c r="B320" s="1" t="s">
        <v>352</v>
      </c>
      <c r="C320" s="1" t="s">
        <v>105</v>
      </c>
      <c r="D320" s="1" t="s">
        <v>106</v>
      </c>
      <c r="E320" s="1" t="s">
        <v>281</v>
      </c>
      <c r="F320">
        <v>310.83999999999997</v>
      </c>
      <c r="G320">
        <v>13.06</v>
      </c>
      <c r="H320">
        <v>0.92</v>
      </c>
      <c r="I320">
        <v>0.78</v>
      </c>
      <c r="J320">
        <v>1.53</v>
      </c>
      <c r="K320">
        <v>348.14</v>
      </c>
      <c r="L320">
        <v>0.17399999999999999</v>
      </c>
      <c r="M320">
        <v>0.39400000000000002</v>
      </c>
      <c r="N320">
        <v>10.26</v>
      </c>
      <c r="O320">
        <v>8.6999999999999994E-2</v>
      </c>
      <c r="P320">
        <v>0.154</v>
      </c>
    </row>
    <row r="321" spans="1:16">
      <c r="A321" s="1" t="s">
        <v>103</v>
      </c>
      <c r="B321" s="1" t="s">
        <v>353</v>
      </c>
      <c r="C321" s="1" t="s">
        <v>105</v>
      </c>
      <c r="D321" s="1" t="s">
        <v>106</v>
      </c>
      <c r="E321" s="1" t="s">
        <v>281</v>
      </c>
      <c r="F321">
        <v>756.87</v>
      </c>
      <c r="G321">
        <v>17.16</v>
      </c>
      <c r="H321">
        <v>2.0099999999999998</v>
      </c>
      <c r="I321">
        <v>0.71299999999999997</v>
      </c>
      <c r="J321">
        <v>1.33</v>
      </c>
      <c r="K321">
        <v>489.67</v>
      </c>
      <c r="L321">
        <v>0.64500000000000002</v>
      </c>
      <c r="M321">
        <v>0.79</v>
      </c>
      <c r="N321">
        <v>11.36</v>
      </c>
      <c r="O321">
        <v>7.3999999999999996E-2</v>
      </c>
      <c r="P321">
        <v>0.106</v>
      </c>
    </row>
    <row r="322" spans="1:16">
      <c r="A322" s="1" t="s">
        <v>103</v>
      </c>
      <c r="B322" s="1" t="s">
        <v>354</v>
      </c>
      <c r="C322" s="1" t="s">
        <v>105</v>
      </c>
      <c r="D322" s="1" t="s">
        <v>106</v>
      </c>
      <c r="E322" s="1" t="s">
        <v>281</v>
      </c>
      <c r="F322">
        <v>665</v>
      </c>
      <c r="G322">
        <v>11.02</v>
      </c>
      <c r="H322">
        <v>1.76</v>
      </c>
      <c r="I322">
        <v>0.81299999999999994</v>
      </c>
      <c r="J322">
        <v>3.36</v>
      </c>
      <c r="K322">
        <v>1208.06</v>
      </c>
      <c r="L322">
        <v>0.47399999999999998</v>
      </c>
      <c r="M322">
        <v>0.71199999999999997</v>
      </c>
      <c r="N322">
        <v>11.04</v>
      </c>
      <c r="O322">
        <v>6.5000000000000002E-2</v>
      </c>
      <c r="P322">
        <v>8.6999999999999994E-2</v>
      </c>
    </row>
    <row r="323" spans="1:16">
      <c r="A323" s="1" t="s">
        <v>103</v>
      </c>
      <c r="B323" s="1" t="s">
        <v>355</v>
      </c>
      <c r="C323" s="1" t="s">
        <v>105</v>
      </c>
      <c r="D323" s="1" t="s">
        <v>106</v>
      </c>
      <c r="E323" s="1" t="s">
        <v>281</v>
      </c>
      <c r="F323">
        <v>580.03</v>
      </c>
      <c r="G323">
        <v>9.65</v>
      </c>
      <c r="H323">
        <v>1.64</v>
      </c>
      <c r="I323">
        <v>0.66400000000000003</v>
      </c>
      <c r="J323">
        <v>4.72</v>
      </c>
      <c r="K323">
        <v>686.96</v>
      </c>
      <c r="L323">
        <v>0.38200000000000001</v>
      </c>
      <c r="M323">
        <v>0.61</v>
      </c>
      <c r="N323">
        <v>14.41</v>
      </c>
      <c r="O323">
        <v>0.16400000000000001</v>
      </c>
      <c r="P323">
        <v>8.3000000000000004E-2</v>
      </c>
    </row>
    <row r="324" spans="1:16">
      <c r="A324" s="1" t="s">
        <v>103</v>
      </c>
      <c r="B324" s="1" t="s">
        <v>356</v>
      </c>
      <c r="C324" s="1" t="s">
        <v>105</v>
      </c>
      <c r="D324" s="1" t="s">
        <v>106</v>
      </c>
      <c r="E324" s="1" t="s">
        <v>281</v>
      </c>
      <c r="F324">
        <v>349.42</v>
      </c>
      <c r="G324">
        <v>12.52</v>
      </c>
      <c r="H324">
        <v>7.7</v>
      </c>
      <c r="I324">
        <v>0.67300000000000004</v>
      </c>
      <c r="J324">
        <v>2.63</v>
      </c>
      <c r="K324">
        <v>495.06</v>
      </c>
      <c r="L324">
        <v>0.26300000000000001</v>
      </c>
      <c r="M324">
        <v>0.8</v>
      </c>
      <c r="N324">
        <v>11.51</v>
      </c>
      <c r="O324">
        <v>0.13800000000000001</v>
      </c>
      <c r="P324">
        <f>0.081/2</f>
        <v>4.0500000000000001E-2</v>
      </c>
    </row>
    <row r="325" spans="1:16">
      <c r="A325" s="1" t="s">
        <v>103</v>
      </c>
      <c r="B325" s="1" t="s">
        <v>357</v>
      </c>
      <c r="C325" s="1" t="s">
        <v>105</v>
      </c>
      <c r="D325" s="1" t="s">
        <v>106</v>
      </c>
      <c r="E325" s="1" t="s">
        <v>281</v>
      </c>
      <c r="F325">
        <v>1855.74</v>
      </c>
      <c r="G325">
        <v>16.420000000000002</v>
      </c>
      <c r="H325">
        <v>1.54</v>
      </c>
      <c r="I325">
        <v>0.75600000000000001</v>
      </c>
      <c r="J325">
        <v>2.64</v>
      </c>
      <c r="K325">
        <v>510.23</v>
      </c>
      <c r="L325">
        <v>0.42599999999999999</v>
      </c>
      <c r="M325">
        <v>0.74</v>
      </c>
      <c r="N325">
        <v>12.24</v>
      </c>
      <c r="O325">
        <v>0.151</v>
      </c>
      <c r="P325">
        <f>0.073/2</f>
        <v>3.6499999999999998E-2</v>
      </c>
    </row>
    <row r="326" spans="1:16">
      <c r="A326" s="1" t="s">
        <v>103</v>
      </c>
      <c r="B326" s="1" t="s">
        <v>358</v>
      </c>
      <c r="C326" s="1" t="s">
        <v>105</v>
      </c>
      <c r="D326" s="1" t="s">
        <v>106</v>
      </c>
      <c r="E326" s="1" t="s">
        <v>281</v>
      </c>
      <c r="F326">
        <v>3231.03</v>
      </c>
      <c r="G326">
        <v>27.87</v>
      </c>
      <c r="H326">
        <v>8.93</v>
      </c>
      <c r="I326">
        <v>2.65</v>
      </c>
      <c r="J326">
        <v>0.63100000000000001</v>
      </c>
      <c r="K326">
        <v>1490.88</v>
      </c>
      <c r="L326">
        <v>0.96199999999999997</v>
      </c>
      <c r="M326">
        <v>0.36</v>
      </c>
      <c r="N326">
        <v>5.46</v>
      </c>
      <c r="O326">
        <v>5.8000000000000003E-2</v>
      </c>
      <c r="P326">
        <v>0.14399999999999999</v>
      </c>
    </row>
    <row r="327" spans="1:16">
      <c r="A327" s="1" t="s">
        <v>103</v>
      </c>
      <c r="B327" s="1" t="s">
        <v>359</v>
      </c>
      <c r="C327" s="1" t="s">
        <v>105</v>
      </c>
      <c r="D327" s="1" t="s">
        <v>106</v>
      </c>
      <c r="E327" s="1" t="s">
        <v>281</v>
      </c>
      <c r="F327">
        <v>6060.18</v>
      </c>
      <c r="G327">
        <v>6.27</v>
      </c>
      <c r="H327">
        <v>1.38</v>
      </c>
      <c r="I327">
        <v>1.5209999999999999</v>
      </c>
      <c r="J327">
        <v>0.60299999999999998</v>
      </c>
      <c r="K327">
        <v>679.2</v>
      </c>
      <c r="L327">
        <v>0.59599999999999997</v>
      </c>
      <c r="M327">
        <v>0.71499999999999997</v>
      </c>
      <c r="N327">
        <v>1.78</v>
      </c>
      <c r="O327">
        <v>7.2999999999999995E-2</v>
      </c>
      <c r="P327">
        <v>9.7000000000000003E-2</v>
      </c>
    </row>
    <row r="328" spans="1:16">
      <c r="A328" s="1" t="s">
        <v>103</v>
      </c>
      <c r="B328" s="1" t="s">
        <v>360</v>
      </c>
      <c r="C328" s="1" t="s">
        <v>105</v>
      </c>
      <c r="D328" s="1" t="s">
        <v>106</v>
      </c>
      <c r="E328" s="1" t="s">
        <v>281</v>
      </c>
      <c r="F328">
        <v>925.03</v>
      </c>
      <c r="G328">
        <v>10.42</v>
      </c>
      <c r="H328">
        <v>3.88</v>
      </c>
      <c r="I328">
        <v>1.6990000000000001</v>
      </c>
      <c r="J328">
        <v>0.57499999999999996</v>
      </c>
      <c r="K328">
        <v>292.2</v>
      </c>
      <c r="L328">
        <v>0.79700000000000004</v>
      </c>
      <c r="M328">
        <v>0.72199999999999998</v>
      </c>
      <c r="N328">
        <v>2.0699999999999998</v>
      </c>
      <c r="O328">
        <v>7.3999999999999996E-2</v>
      </c>
      <c r="P328">
        <v>0.10100000000000001</v>
      </c>
    </row>
    <row r="329" spans="1:16">
      <c r="A329" s="1" t="s">
        <v>103</v>
      </c>
      <c r="B329" s="1" t="s">
        <v>361</v>
      </c>
      <c r="C329" s="1" t="s">
        <v>105</v>
      </c>
      <c r="D329" s="1" t="s">
        <v>106</v>
      </c>
      <c r="E329" s="1" t="s">
        <v>281</v>
      </c>
      <c r="F329">
        <v>20.93</v>
      </c>
      <c r="G329">
        <v>5.77</v>
      </c>
      <c r="H329">
        <v>1.1000000000000001</v>
      </c>
      <c r="I329">
        <v>1.466</v>
      </c>
      <c r="J329">
        <v>0.49099999999999999</v>
      </c>
      <c r="K329">
        <v>290.19</v>
      </c>
      <c r="L329">
        <v>0.72</v>
      </c>
      <c r="M329">
        <v>0.35299999999999998</v>
      </c>
      <c r="N329">
        <v>2.34</v>
      </c>
      <c r="O329">
        <v>5.6000000000000001E-2</v>
      </c>
      <c r="P329">
        <f>0.068/2</f>
        <v>3.4000000000000002E-2</v>
      </c>
    </row>
    <row r="330" spans="1:16">
      <c r="A330" s="1" t="s">
        <v>103</v>
      </c>
      <c r="B330" s="1" t="s">
        <v>362</v>
      </c>
      <c r="C330" s="1" t="s">
        <v>105</v>
      </c>
      <c r="D330" s="1" t="s">
        <v>106</v>
      </c>
      <c r="E330" s="1" t="s">
        <v>281</v>
      </c>
      <c r="F330">
        <v>9.42</v>
      </c>
      <c r="G330">
        <v>13.06</v>
      </c>
      <c r="H330">
        <v>0.96</v>
      </c>
      <c r="I330">
        <v>1.41</v>
      </c>
      <c r="J330">
        <v>0.37</v>
      </c>
      <c r="K330">
        <v>224.74</v>
      </c>
      <c r="L330">
        <v>0.66900000000000004</v>
      </c>
      <c r="M330">
        <v>0.70199999999999996</v>
      </c>
      <c r="N330">
        <v>2.1800000000000002</v>
      </c>
      <c r="O330">
        <v>6.4000000000000001E-2</v>
      </c>
      <c r="P330">
        <f>0.072/2</f>
        <v>3.5999999999999997E-2</v>
      </c>
    </row>
    <row r="331" spans="1:16">
      <c r="A331" s="1" t="s">
        <v>103</v>
      </c>
      <c r="B331" s="1" t="s">
        <v>363</v>
      </c>
      <c r="C331" s="1" t="s">
        <v>105</v>
      </c>
      <c r="D331" s="1" t="s">
        <v>106</v>
      </c>
      <c r="E331" s="1" t="s">
        <v>281</v>
      </c>
      <c r="F331">
        <v>8.6999999999999993</v>
      </c>
      <c r="G331">
        <v>5.25</v>
      </c>
      <c r="H331">
        <v>5.28</v>
      </c>
      <c r="I331">
        <v>1.655</v>
      </c>
      <c r="J331">
        <v>0.76</v>
      </c>
      <c r="K331">
        <v>172.39</v>
      </c>
      <c r="L331">
        <v>0.69399999999999995</v>
      </c>
      <c r="M331">
        <v>0.71</v>
      </c>
      <c r="N331">
        <v>2.04</v>
      </c>
      <c r="O331">
        <f>0.0145/2</f>
        <v>7.2500000000000004E-3</v>
      </c>
      <c r="P331">
        <f>0.076/2</f>
        <v>3.7999999999999999E-2</v>
      </c>
    </row>
    <row r="332" spans="1:16">
      <c r="A332" s="1" t="s">
        <v>103</v>
      </c>
      <c r="B332" s="1" t="s">
        <v>364</v>
      </c>
      <c r="C332" s="1" t="s">
        <v>105</v>
      </c>
      <c r="D332" s="1" t="s">
        <v>106</v>
      </c>
      <c r="E332" s="1" t="s">
        <v>281</v>
      </c>
      <c r="F332">
        <v>13.71</v>
      </c>
      <c r="G332">
        <v>16.32</v>
      </c>
      <c r="H332">
        <v>1.8</v>
      </c>
      <c r="I332">
        <v>10.74</v>
      </c>
      <c r="J332">
        <v>0.61599999999999999</v>
      </c>
      <c r="K332">
        <v>1915.8</v>
      </c>
      <c r="L332">
        <v>1.78</v>
      </c>
      <c r="M332">
        <v>0.20599999999999999</v>
      </c>
      <c r="N332">
        <v>5.95</v>
      </c>
      <c r="O332">
        <v>0.14299999999999999</v>
      </c>
      <c r="P332">
        <v>1.98</v>
      </c>
    </row>
    <row r="333" spans="1:16">
      <c r="A333" s="1" t="s">
        <v>103</v>
      </c>
      <c r="B333" s="1" t="s">
        <v>365</v>
      </c>
      <c r="C333" s="1" t="s">
        <v>105</v>
      </c>
      <c r="D333" s="1" t="s">
        <v>106</v>
      </c>
      <c r="E333" s="1" t="s">
        <v>281</v>
      </c>
      <c r="F333">
        <v>18.62</v>
      </c>
      <c r="G333">
        <v>20.54</v>
      </c>
      <c r="H333">
        <v>2.23</v>
      </c>
      <c r="I333">
        <v>2.75</v>
      </c>
      <c r="J333">
        <v>0.48299999999999998</v>
      </c>
      <c r="K333">
        <v>1400.99</v>
      </c>
      <c r="L333">
        <v>1.111</v>
      </c>
      <c r="M333">
        <v>0.36099999999999999</v>
      </c>
      <c r="N333">
        <v>7.26</v>
      </c>
      <c r="O333">
        <v>9.8000000000000004E-2</v>
      </c>
      <c r="P333">
        <v>0.13500000000000001</v>
      </c>
    </row>
    <row r="334" spans="1:16">
      <c r="A334" s="1" t="s">
        <v>103</v>
      </c>
      <c r="B334" s="1" t="s">
        <v>366</v>
      </c>
      <c r="C334" s="1" t="s">
        <v>105</v>
      </c>
      <c r="D334" s="1" t="s">
        <v>106</v>
      </c>
      <c r="E334" s="1" t="s">
        <v>281</v>
      </c>
      <c r="F334">
        <v>4853.9399999999996</v>
      </c>
      <c r="G334">
        <v>9.7200000000000006</v>
      </c>
      <c r="H334">
        <v>4.51</v>
      </c>
      <c r="I334">
        <v>0.52500000000000002</v>
      </c>
      <c r="J334">
        <v>0.45600000000000002</v>
      </c>
      <c r="K334">
        <v>1996.34</v>
      </c>
      <c r="L334">
        <v>1.1990000000000001</v>
      </c>
      <c r="M334">
        <v>0.70699999999999996</v>
      </c>
      <c r="N334">
        <v>7.36</v>
      </c>
      <c r="O334">
        <v>9.5000000000000001E-2</v>
      </c>
      <c r="P334">
        <f>0.064/2</f>
        <v>3.2000000000000001E-2</v>
      </c>
    </row>
    <row r="335" spans="1:16">
      <c r="A335" s="1" t="s">
        <v>103</v>
      </c>
      <c r="B335" s="1" t="s">
        <v>367</v>
      </c>
      <c r="C335" s="1" t="s">
        <v>105</v>
      </c>
      <c r="D335" s="1" t="s">
        <v>106</v>
      </c>
      <c r="E335" s="1" t="s">
        <v>281</v>
      </c>
      <c r="F335">
        <v>12073.19</v>
      </c>
      <c r="G335">
        <v>13.43</v>
      </c>
      <c r="H335">
        <v>2.63</v>
      </c>
      <c r="I335">
        <v>3.72</v>
      </c>
      <c r="J335">
        <v>0.61</v>
      </c>
      <c r="K335">
        <v>3164.57</v>
      </c>
      <c r="L335">
        <v>1.161</v>
      </c>
      <c r="M335">
        <v>0.58199999999999996</v>
      </c>
      <c r="N335">
        <v>4.26</v>
      </c>
      <c r="O335">
        <v>0.126</v>
      </c>
      <c r="P335">
        <v>0.104</v>
      </c>
    </row>
    <row r="336" spans="1:16">
      <c r="A336" s="1" t="s">
        <v>103</v>
      </c>
      <c r="B336" s="1" t="s">
        <v>368</v>
      </c>
      <c r="C336" s="1" t="s">
        <v>105</v>
      </c>
      <c r="D336" s="1" t="s">
        <v>106</v>
      </c>
      <c r="E336" s="1" t="s">
        <v>281</v>
      </c>
      <c r="F336">
        <v>1794.35</v>
      </c>
      <c r="G336">
        <v>4.93</v>
      </c>
      <c r="H336">
        <v>0.51</v>
      </c>
      <c r="I336">
        <v>1.5980000000000001</v>
      </c>
      <c r="J336">
        <v>0.42</v>
      </c>
      <c r="K336">
        <v>697.14</v>
      </c>
      <c r="L336">
        <v>0.84399999999999997</v>
      </c>
      <c r="M336">
        <v>0.87</v>
      </c>
      <c r="N336">
        <v>2.69</v>
      </c>
      <c r="O336">
        <v>0.128</v>
      </c>
      <c r="P336">
        <v>5.8999999999999997E-2</v>
      </c>
    </row>
    <row r="337" spans="1:16">
      <c r="A337" s="1" t="s">
        <v>103</v>
      </c>
      <c r="B337" s="1" t="s">
        <v>368</v>
      </c>
      <c r="C337" s="1" t="s">
        <v>105</v>
      </c>
      <c r="D337" s="1" t="s">
        <v>106</v>
      </c>
      <c r="E337" s="1" t="s">
        <v>281</v>
      </c>
      <c r="F337">
        <v>3648.25</v>
      </c>
      <c r="G337">
        <v>11.11</v>
      </c>
      <c r="H337">
        <v>0.71</v>
      </c>
      <c r="I337">
        <v>1.879</v>
      </c>
      <c r="J337">
        <v>0.73399999999999999</v>
      </c>
      <c r="K337">
        <v>791.97</v>
      </c>
      <c r="L337">
        <v>0.64500000000000002</v>
      </c>
      <c r="M337">
        <v>0.64600000000000002</v>
      </c>
      <c r="N337">
        <v>2.54</v>
      </c>
      <c r="O337">
        <v>0.16900000000000001</v>
      </c>
      <c r="P337">
        <f>0.07/2</f>
        <v>3.5000000000000003E-2</v>
      </c>
    </row>
    <row r="338" spans="1:16">
      <c r="A338" s="1" t="s">
        <v>103</v>
      </c>
      <c r="B338" s="1" t="s">
        <v>369</v>
      </c>
      <c r="C338" s="1" t="s">
        <v>105</v>
      </c>
      <c r="D338" s="1" t="s">
        <v>106</v>
      </c>
      <c r="E338" s="1" t="s">
        <v>281</v>
      </c>
      <c r="F338">
        <v>13.81</v>
      </c>
      <c r="G338">
        <v>23.47</v>
      </c>
      <c r="H338">
        <v>1.82</v>
      </c>
      <c r="I338">
        <v>1.8839999999999999</v>
      </c>
      <c r="J338">
        <v>0.34399999999999997</v>
      </c>
      <c r="K338">
        <v>1451.08</v>
      </c>
      <c r="L338">
        <v>1.3069999999999999</v>
      </c>
      <c r="M338">
        <v>9.5000000000000001E-2</v>
      </c>
      <c r="N338">
        <v>5.32</v>
      </c>
      <c r="O338">
        <v>7.8E-2</v>
      </c>
      <c r="P338">
        <v>0.159</v>
      </c>
    </row>
    <row r="339" spans="1:16">
      <c r="A339" s="1" t="s">
        <v>103</v>
      </c>
      <c r="B339" s="1" t="s">
        <v>370</v>
      </c>
      <c r="C339" s="1" t="s">
        <v>105</v>
      </c>
      <c r="D339" s="1" t="s">
        <v>106</v>
      </c>
      <c r="E339" s="1" t="s">
        <v>281</v>
      </c>
      <c r="F339">
        <v>12978.22</v>
      </c>
      <c r="G339">
        <v>18.579999999999998</v>
      </c>
      <c r="H339">
        <v>16.579999999999998</v>
      </c>
      <c r="I339">
        <v>5.57</v>
      </c>
      <c r="J339">
        <v>1.03</v>
      </c>
      <c r="K339">
        <v>2093.48</v>
      </c>
      <c r="L339">
        <v>1.0760000000000001</v>
      </c>
      <c r="M339">
        <v>0.53600000000000003</v>
      </c>
      <c r="N339">
        <v>5.22</v>
      </c>
      <c r="O339">
        <v>0.20200000000000001</v>
      </c>
      <c r="P339">
        <v>9.9000000000000005E-2</v>
      </c>
    </row>
    <row r="340" spans="1:16">
      <c r="A340" s="1" t="s">
        <v>103</v>
      </c>
      <c r="B340" s="1" t="s">
        <v>371</v>
      </c>
      <c r="C340" s="1" t="s">
        <v>105</v>
      </c>
      <c r="D340" s="1" t="s">
        <v>106</v>
      </c>
      <c r="E340" s="1" t="s">
        <v>281</v>
      </c>
      <c r="F340">
        <v>3474.9</v>
      </c>
      <c r="G340">
        <v>19.489999999999998</v>
      </c>
      <c r="H340">
        <v>16.7</v>
      </c>
      <c r="I340">
        <v>2.75</v>
      </c>
      <c r="J340">
        <v>0.61599999999999999</v>
      </c>
      <c r="K340">
        <v>1919.84</v>
      </c>
      <c r="L340">
        <v>1.25</v>
      </c>
      <c r="M340">
        <v>0.27300000000000002</v>
      </c>
      <c r="N340">
        <v>4.1100000000000003</v>
      </c>
      <c r="O340">
        <v>5.0999999999999997E-2</v>
      </c>
      <c r="P340">
        <v>6.3E-2</v>
      </c>
    </row>
    <row r="341" spans="1:16">
      <c r="A341" s="1" t="s">
        <v>103</v>
      </c>
      <c r="B341" s="1" t="s">
        <v>372</v>
      </c>
      <c r="C341" s="1" t="s">
        <v>105</v>
      </c>
      <c r="D341" s="1" t="s">
        <v>106</v>
      </c>
      <c r="E341" s="1" t="s">
        <v>281</v>
      </c>
      <c r="F341">
        <v>3323.46</v>
      </c>
      <c r="G341">
        <v>35.36</v>
      </c>
      <c r="H341">
        <v>17.170000000000002</v>
      </c>
      <c r="I341">
        <v>2.98</v>
      </c>
      <c r="J341">
        <v>0.63300000000000001</v>
      </c>
      <c r="K341">
        <v>1050.69</v>
      </c>
      <c r="L341">
        <v>1.3220000000000001</v>
      </c>
      <c r="M341">
        <v>0.36899999999999999</v>
      </c>
      <c r="N341">
        <v>4.53</v>
      </c>
      <c r="O341">
        <v>6.7000000000000004E-2</v>
      </c>
      <c r="P341">
        <v>0.152</v>
      </c>
    </row>
    <row r="342" spans="1:16">
      <c r="A342" s="1" t="s">
        <v>103</v>
      </c>
      <c r="B342" s="1" t="s">
        <v>373</v>
      </c>
      <c r="C342" s="1" t="s">
        <v>105</v>
      </c>
      <c r="D342" s="1" t="s">
        <v>106</v>
      </c>
      <c r="E342" s="1" t="s">
        <v>281</v>
      </c>
      <c r="F342">
        <v>10.39</v>
      </c>
      <c r="G342">
        <v>5.03</v>
      </c>
      <c r="H342">
        <v>1.19</v>
      </c>
      <c r="I342">
        <v>1.466</v>
      </c>
      <c r="J342">
        <v>0.41799999999999998</v>
      </c>
      <c r="K342">
        <v>282.23</v>
      </c>
      <c r="L342">
        <v>0.75800000000000001</v>
      </c>
      <c r="M342">
        <v>0.30599999999999999</v>
      </c>
      <c r="N342">
        <v>2.04</v>
      </c>
      <c r="O342">
        <v>0.10199999999999999</v>
      </c>
      <c r="P342">
        <f>0.067/2</f>
        <v>3.3500000000000002E-2</v>
      </c>
    </row>
    <row r="343" spans="1:16">
      <c r="A343" s="1" t="s">
        <v>103</v>
      </c>
      <c r="B343" s="1" t="s">
        <v>374</v>
      </c>
      <c r="C343" s="1" t="s">
        <v>105</v>
      </c>
      <c r="D343" s="1" t="s">
        <v>106</v>
      </c>
      <c r="E343" s="1" t="s">
        <v>281</v>
      </c>
      <c r="F343">
        <v>9.33</v>
      </c>
      <c r="G343">
        <v>10.35</v>
      </c>
      <c r="H343">
        <v>9.69</v>
      </c>
      <c r="I343">
        <v>1.409</v>
      </c>
      <c r="J343">
        <v>0.34899999999999998</v>
      </c>
      <c r="K343">
        <v>310.41000000000003</v>
      </c>
      <c r="L343">
        <v>0.65</v>
      </c>
      <c r="M343">
        <v>0.63</v>
      </c>
      <c r="N343">
        <v>1.77</v>
      </c>
      <c r="O343">
        <v>6.4000000000000001E-2</v>
      </c>
      <c r="P343">
        <f>0.049/2</f>
        <v>2.4500000000000001E-2</v>
      </c>
    </row>
    <row r="344" spans="1:16">
      <c r="A344" s="1" t="s">
        <v>103</v>
      </c>
      <c r="B344" s="1" t="s">
        <v>375</v>
      </c>
      <c r="C344" s="1" t="s">
        <v>105</v>
      </c>
      <c r="D344" s="1" t="s">
        <v>106</v>
      </c>
      <c r="E344" s="1" t="s">
        <v>281</v>
      </c>
      <c r="F344">
        <v>31.74</v>
      </c>
      <c r="G344">
        <v>16.53</v>
      </c>
      <c r="H344">
        <v>3.46</v>
      </c>
      <c r="I344">
        <v>0.45700000000000002</v>
      </c>
      <c r="J344">
        <v>0.69699999999999995</v>
      </c>
      <c r="K344">
        <v>594.17999999999995</v>
      </c>
      <c r="L344">
        <v>0.80800000000000005</v>
      </c>
      <c r="M344">
        <v>0.315</v>
      </c>
      <c r="N344">
        <v>7.83</v>
      </c>
      <c r="O344">
        <v>2.63E-2</v>
      </c>
      <c r="P344">
        <f>0.064/2</f>
        <v>3.2000000000000001E-2</v>
      </c>
    </row>
    <row r="345" spans="1:16">
      <c r="A345" s="1" t="s">
        <v>103</v>
      </c>
      <c r="B345" s="1" t="s">
        <v>376</v>
      </c>
      <c r="C345" s="1" t="s">
        <v>105</v>
      </c>
      <c r="D345" s="1" t="s">
        <v>106</v>
      </c>
      <c r="E345" s="1" t="s">
        <v>281</v>
      </c>
      <c r="F345">
        <v>4208.05</v>
      </c>
      <c r="G345">
        <v>14.76</v>
      </c>
      <c r="H345">
        <v>34.54</v>
      </c>
      <c r="I345">
        <v>2.67</v>
      </c>
      <c r="J345">
        <v>0.46</v>
      </c>
      <c r="K345">
        <v>2049.11</v>
      </c>
      <c r="L345">
        <v>1.518</v>
      </c>
      <c r="M345">
        <v>0.26800000000000002</v>
      </c>
      <c r="N345">
        <v>3.83</v>
      </c>
      <c r="O345">
        <v>0.1</v>
      </c>
      <c r="P345">
        <f>0.105/2</f>
        <v>5.2499999999999998E-2</v>
      </c>
    </row>
    <row r="346" spans="1:16">
      <c r="A346" s="1" t="s">
        <v>103</v>
      </c>
      <c r="B346" s="1" t="s">
        <v>377</v>
      </c>
      <c r="C346" s="1" t="s">
        <v>105</v>
      </c>
      <c r="D346" s="1" t="s">
        <v>106</v>
      </c>
      <c r="E346" s="1" t="s">
        <v>281</v>
      </c>
      <c r="F346">
        <v>771.8</v>
      </c>
      <c r="G346">
        <v>76.19</v>
      </c>
      <c r="H346">
        <v>6.93</v>
      </c>
      <c r="I346">
        <v>17.34</v>
      </c>
      <c r="J346">
        <v>4.5</v>
      </c>
      <c r="K346">
        <v>69.040000000000006</v>
      </c>
      <c r="L346">
        <v>8.66</v>
      </c>
      <c r="M346">
        <v>16.28</v>
      </c>
      <c r="N346">
        <v>10.33</v>
      </c>
      <c r="O346">
        <v>1.56</v>
      </c>
      <c r="P346">
        <f>0.076/2</f>
        <v>3.7999999999999999E-2</v>
      </c>
    </row>
    <row r="347" spans="1:16">
      <c r="A347" s="1" t="s">
        <v>103</v>
      </c>
      <c r="B347" s="1" t="s">
        <v>378</v>
      </c>
      <c r="C347" s="1" t="s">
        <v>105</v>
      </c>
      <c r="D347" s="1" t="s">
        <v>106</v>
      </c>
      <c r="E347" s="1" t="s">
        <v>281</v>
      </c>
      <c r="F347">
        <v>643.51</v>
      </c>
      <c r="G347">
        <v>649.20000000000005</v>
      </c>
      <c r="H347">
        <v>13.31</v>
      </c>
      <c r="I347">
        <v>17.670000000000002</v>
      </c>
      <c r="J347">
        <v>5.2</v>
      </c>
      <c r="K347">
        <v>66.510000000000005</v>
      </c>
      <c r="L347">
        <v>8.64</v>
      </c>
      <c r="M347">
        <v>16.43</v>
      </c>
      <c r="N347">
        <v>12.41</v>
      </c>
      <c r="O347">
        <v>1.99</v>
      </c>
      <c r="P347">
        <f>0.079/2</f>
        <v>3.95E-2</v>
      </c>
    </row>
    <row r="348" spans="1:16">
      <c r="A348" s="1" t="s">
        <v>103</v>
      </c>
      <c r="B348" s="1" t="s">
        <v>379</v>
      </c>
      <c r="C348" s="1" t="s">
        <v>105</v>
      </c>
      <c r="D348" s="1" t="s">
        <v>106</v>
      </c>
      <c r="E348" s="1" t="s">
        <v>281</v>
      </c>
      <c r="F348">
        <v>554.79999999999995</v>
      </c>
      <c r="G348">
        <v>138.1</v>
      </c>
      <c r="H348">
        <v>2.2400000000000002</v>
      </c>
      <c r="I348">
        <v>17.78</v>
      </c>
      <c r="J348">
        <v>4.46</v>
      </c>
      <c r="K348">
        <v>56.13</v>
      </c>
      <c r="L348">
        <v>8.32</v>
      </c>
      <c r="M348">
        <v>17.059999999999999</v>
      </c>
      <c r="N348">
        <v>10.23</v>
      </c>
      <c r="O348">
        <v>1.77</v>
      </c>
      <c r="P348">
        <v>0.152</v>
      </c>
    </row>
    <row r="349" spans="1:16">
      <c r="A349" s="1" t="s">
        <v>103</v>
      </c>
      <c r="B349" s="1" t="s">
        <v>380</v>
      </c>
      <c r="C349" s="1" t="s">
        <v>105</v>
      </c>
      <c r="D349" s="1" t="s">
        <v>106</v>
      </c>
      <c r="E349" s="1" t="s">
        <v>281</v>
      </c>
      <c r="F349">
        <v>802.72</v>
      </c>
      <c r="G349">
        <v>97.78</v>
      </c>
      <c r="H349">
        <v>5.14</v>
      </c>
      <c r="I349">
        <v>17.07</v>
      </c>
      <c r="J349">
        <v>4.78</v>
      </c>
      <c r="K349">
        <v>81.540000000000006</v>
      </c>
      <c r="L349">
        <v>8.57</v>
      </c>
      <c r="M349">
        <v>14.62</v>
      </c>
      <c r="N349">
        <v>11.14</v>
      </c>
      <c r="O349">
        <v>1.62</v>
      </c>
      <c r="P349">
        <v>0.104</v>
      </c>
    </row>
    <row r="350" spans="1:16">
      <c r="A350" s="1" t="s">
        <v>103</v>
      </c>
      <c r="B350" s="1" t="s">
        <v>381</v>
      </c>
      <c r="C350" s="1" t="s">
        <v>105</v>
      </c>
      <c r="D350" s="1" t="s">
        <v>106</v>
      </c>
      <c r="E350" s="1" t="s">
        <v>281</v>
      </c>
      <c r="F350">
        <v>907.82</v>
      </c>
      <c r="G350">
        <v>91.23</v>
      </c>
      <c r="H350">
        <v>11.93</v>
      </c>
      <c r="I350">
        <v>17.38</v>
      </c>
      <c r="J350">
        <v>4.79</v>
      </c>
      <c r="K350">
        <v>79.489999999999995</v>
      </c>
      <c r="L350">
        <v>8.6999999999999993</v>
      </c>
      <c r="M350">
        <v>16.22</v>
      </c>
      <c r="N350">
        <v>9.91</v>
      </c>
      <c r="O350">
        <v>1.89</v>
      </c>
      <c r="P350">
        <f>0.077/2</f>
        <v>3.85E-2</v>
      </c>
    </row>
    <row r="351" spans="1:16">
      <c r="A351" s="1" t="s">
        <v>103</v>
      </c>
      <c r="B351" s="1" t="s">
        <v>382</v>
      </c>
      <c r="C351" s="1" t="s">
        <v>105</v>
      </c>
      <c r="D351" s="1" t="s">
        <v>106</v>
      </c>
      <c r="E351" s="1" t="s">
        <v>281</v>
      </c>
      <c r="F351">
        <v>762.59</v>
      </c>
      <c r="G351">
        <v>118.86</v>
      </c>
      <c r="H351">
        <v>22.98</v>
      </c>
      <c r="I351">
        <v>16.73</v>
      </c>
      <c r="J351">
        <v>3.92</v>
      </c>
      <c r="K351">
        <v>81.239999999999995</v>
      </c>
      <c r="L351">
        <v>8.42</v>
      </c>
      <c r="M351">
        <v>15.39</v>
      </c>
      <c r="N351">
        <v>11.69</v>
      </c>
      <c r="O351">
        <v>1.63</v>
      </c>
      <c r="P351">
        <v>0.16200000000000001</v>
      </c>
    </row>
    <row r="352" spans="1:16">
      <c r="A352" s="1" t="s">
        <v>103</v>
      </c>
      <c r="B352" s="1" t="s">
        <v>383</v>
      </c>
      <c r="C352" s="1" t="s">
        <v>105</v>
      </c>
      <c r="D352" s="1" t="s">
        <v>106</v>
      </c>
      <c r="E352" s="1" t="s">
        <v>281</v>
      </c>
      <c r="F352">
        <v>216.61</v>
      </c>
      <c r="G352">
        <v>1339.54</v>
      </c>
      <c r="H352">
        <v>2.11</v>
      </c>
      <c r="I352">
        <v>14.37</v>
      </c>
      <c r="J352">
        <v>10.81</v>
      </c>
      <c r="K352">
        <v>48.95</v>
      </c>
      <c r="L352">
        <v>8.61</v>
      </c>
      <c r="M352">
        <v>13.19</v>
      </c>
      <c r="N352">
        <v>9.59</v>
      </c>
      <c r="O352">
        <v>1.67</v>
      </c>
      <c r="P352">
        <v>0.14299999999999999</v>
      </c>
    </row>
    <row r="353" spans="1:16">
      <c r="A353" s="1" t="s">
        <v>103</v>
      </c>
      <c r="B353" s="1" t="s">
        <v>384</v>
      </c>
      <c r="C353" s="1" t="s">
        <v>105</v>
      </c>
      <c r="D353" s="1" t="s">
        <v>106</v>
      </c>
      <c r="E353" s="1" t="s">
        <v>281</v>
      </c>
      <c r="F353">
        <v>173.83</v>
      </c>
      <c r="G353">
        <v>157.28</v>
      </c>
      <c r="H353">
        <v>2.04</v>
      </c>
      <c r="I353">
        <v>14.26</v>
      </c>
      <c r="J353">
        <v>7.39</v>
      </c>
      <c r="K353">
        <v>46.53</v>
      </c>
      <c r="L353">
        <v>8.19</v>
      </c>
      <c r="M353">
        <v>13.29</v>
      </c>
      <c r="N353">
        <v>6.72</v>
      </c>
      <c r="O353">
        <v>1.67</v>
      </c>
      <c r="P353">
        <f>0.093/2</f>
        <v>4.65E-2</v>
      </c>
    </row>
    <row r="354" spans="1:16">
      <c r="A354" s="1" t="s">
        <v>103</v>
      </c>
      <c r="B354" s="1" t="s">
        <v>385</v>
      </c>
      <c r="C354" s="1" t="s">
        <v>105</v>
      </c>
      <c r="D354" s="1" t="s">
        <v>106</v>
      </c>
      <c r="E354" s="1" t="s">
        <v>281</v>
      </c>
      <c r="F354">
        <v>508.5</v>
      </c>
      <c r="G354">
        <v>277.82</v>
      </c>
      <c r="H354">
        <v>7.15</v>
      </c>
      <c r="I354">
        <v>17.14</v>
      </c>
      <c r="J354">
        <v>4.78</v>
      </c>
      <c r="K354">
        <v>64.47</v>
      </c>
      <c r="L354">
        <v>9.1</v>
      </c>
      <c r="M354">
        <v>14.77</v>
      </c>
      <c r="N354">
        <v>9.2799999999999994</v>
      </c>
      <c r="O354">
        <v>1.81</v>
      </c>
      <c r="P354">
        <v>9.8000000000000004E-2</v>
      </c>
    </row>
    <row r="355" spans="1:16">
      <c r="A355" s="1" t="s">
        <v>103</v>
      </c>
      <c r="B355" s="1" t="s">
        <v>386</v>
      </c>
      <c r="C355" s="1" t="s">
        <v>105</v>
      </c>
      <c r="D355" s="1" t="s">
        <v>106</v>
      </c>
      <c r="E355" s="1" t="s">
        <v>281</v>
      </c>
      <c r="F355">
        <v>28.37</v>
      </c>
      <c r="G355">
        <v>64.260000000000005</v>
      </c>
      <c r="H355">
        <v>2.2599999999999998</v>
      </c>
      <c r="I355">
        <v>1.8320000000000001</v>
      </c>
      <c r="J355">
        <v>0.63</v>
      </c>
      <c r="K355">
        <v>166.18</v>
      </c>
      <c r="L355">
        <v>0.157</v>
      </c>
      <c r="M355">
        <v>0.28999999999999998</v>
      </c>
      <c r="N355">
        <v>6.23</v>
      </c>
      <c r="O355">
        <v>0.28100000000000003</v>
      </c>
      <c r="P355">
        <v>0.50600000000000001</v>
      </c>
    </row>
    <row r="356" spans="1:16">
      <c r="A356" s="1" t="s">
        <v>103</v>
      </c>
      <c r="B356" s="1" t="s">
        <v>387</v>
      </c>
      <c r="C356" s="1" t="s">
        <v>105</v>
      </c>
      <c r="D356" s="1" t="s">
        <v>106</v>
      </c>
      <c r="E356" s="1" t="s">
        <v>281</v>
      </c>
      <c r="F356">
        <v>414.44</v>
      </c>
      <c r="G356">
        <v>57.09</v>
      </c>
      <c r="H356">
        <v>2.82</v>
      </c>
      <c r="I356">
        <v>2.91</v>
      </c>
      <c r="J356">
        <v>0.79</v>
      </c>
      <c r="K356">
        <v>124.04</v>
      </c>
      <c r="L356">
        <v>0.77100000000000002</v>
      </c>
      <c r="M356">
        <v>1.26</v>
      </c>
      <c r="N356">
        <v>7.19</v>
      </c>
      <c r="O356">
        <v>0.17799999999999999</v>
      </c>
      <c r="P356">
        <v>0.34799999999999998</v>
      </c>
    </row>
    <row r="357" spans="1:16">
      <c r="A357" s="1" t="s">
        <v>103</v>
      </c>
      <c r="B357" s="1" t="s">
        <v>388</v>
      </c>
      <c r="C357" s="1" t="s">
        <v>105</v>
      </c>
      <c r="D357" s="1" t="s">
        <v>106</v>
      </c>
      <c r="E357" s="1" t="s">
        <v>281</v>
      </c>
      <c r="F357">
        <v>103.96</v>
      </c>
      <c r="G357">
        <v>70.69</v>
      </c>
      <c r="H357">
        <v>3.45</v>
      </c>
      <c r="I357">
        <v>2.62</v>
      </c>
      <c r="J357">
        <v>0.48</v>
      </c>
      <c r="K357">
        <v>162.54</v>
      </c>
      <c r="L357">
        <v>0.182</v>
      </c>
      <c r="M357">
        <v>0.6</v>
      </c>
      <c r="N357">
        <v>4.0999999999999996</v>
      </c>
      <c r="O357">
        <v>0.19</v>
      </c>
      <c r="P357">
        <v>0.151</v>
      </c>
    </row>
    <row r="358" spans="1:16">
      <c r="A358" s="1" t="s">
        <v>103</v>
      </c>
      <c r="B358" s="1" t="s">
        <v>389</v>
      </c>
      <c r="C358" s="1" t="s">
        <v>105</v>
      </c>
      <c r="D358" s="1" t="s">
        <v>106</v>
      </c>
      <c r="E358" s="1" t="s">
        <v>281</v>
      </c>
      <c r="F358">
        <v>81.48</v>
      </c>
      <c r="G358">
        <v>69.39</v>
      </c>
      <c r="H358">
        <v>3.43</v>
      </c>
      <c r="I358">
        <v>2.54</v>
      </c>
      <c r="J358">
        <v>0.67</v>
      </c>
      <c r="K358">
        <v>160.26</v>
      </c>
      <c r="L358">
        <v>0.16200000000000001</v>
      </c>
      <c r="M358">
        <v>0.63</v>
      </c>
      <c r="N358">
        <v>4.05</v>
      </c>
      <c r="O358">
        <v>0.26</v>
      </c>
      <c r="P358">
        <v>0.22600000000000001</v>
      </c>
    </row>
    <row r="359" spans="1:16">
      <c r="A359" s="1" t="s">
        <v>103</v>
      </c>
      <c r="B359" s="1" t="s">
        <v>390</v>
      </c>
      <c r="C359" s="1" t="s">
        <v>105</v>
      </c>
      <c r="D359" s="1" t="s">
        <v>106</v>
      </c>
      <c r="E359" s="1" t="s">
        <v>281</v>
      </c>
      <c r="F359">
        <v>26.01</v>
      </c>
      <c r="G359">
        <v>81.83</v>
      </c>
      <c r="H359">
        <v>2.2999999999999998</v>
      </c>
      <c r="I359">
        <v>1.8069999999999999</v>
      </c>
      <c r="J359">
        <v>0.99</v>
      </c>
      <c r="K359">
        <v>161.16</v>
      </c>
      <c r="L359">
        <v>0.20100000000000001</v>
      </c>
      <c r="M359">
        <v>0.25</v>
      </c>
      <c r="N359">
        <v>5.59</v>
      </c>
      <c r="O359">
        <v>0.115</v>
      </c>
      <c r="P359">
        <v>0.314</v>
      </c>
    </row>
    <row r="360" spans="1:16">
      <c r="A360" s="1" t="s">
        <v>103</v>
      </c>
      <c r="B360" s="1" t="s">
        <v>391</v>
      </c>
      <c r="C360" s="1" t="s">
        <v>105</v>
      </c>
      <c r="D360" s="1" t="s">
        <v>106</v>
      </c>
      <c r="E360" s="1" t="s">
        <v>281</v>
      </c>
      <c r="F360">
        <v>96.9</v>
      </c>
      <c r="G360">
        <v>75.319999999999993</v>
      </c>
      <c r="H360">
        <v>1.63</v>
      </c>
      <c r="I360">
        <v>1.8979999999999999</v>
      </c>
      <c r="J360">
        <v>0.71</v>
      </c>
      <c r="K360">
        <v>156.03</v>
      </c>
      <c r="L360">
        <v>0.124</v>
      </c>
      <c r="M360">
        <v>0.33</v>
      </c>
      <c r="N360">
        <v>4.92</v>
      </c>
      <c r="O360">
        <v>0.14899999999999999</v>
      </c>
      <c r="P360">
        <v>0.23599999999999999</v>
      </c>
    </row>
    <row r="361" spans="1:16">
      <c r="A361" s="1" t="s">
        <v>103</v>
      </c>
      <c r="B361" s="1" t="s">
        <v>392</v>
      </c>
      <c r="C361" s="1" t="s">
        <v>105</v>
      </c>
      <c r="D361" s="1" t="s">
        <v>106</v>
      </c>
      <c r="E361" s="1" t="s">
        <v>281</v>
      </c>
      <c r="F361">
        <v>55.91</v>
      </c>
      <c r="G361">
        <v>74.349999999999994</v>
      </c>
      <c r="H361">
        <v>2.1800000000000002</v>
      </c>
      <c r="I361">
        <v>1.929</v>
      </c>
      <c r="J361">
        <v>0.94</v>
      </c>
      <c r="K361">
        <v>177.97</v>
      </c>
      <c r="L361">
        <v>0.13300000000000001</v>
      </c>
      <c r="M361">
        <v>0.4</v>
      </c>
      <c r="N361">
        <v>5.57</v>
      </c>
      <c r="O361">
        <v>0.10299999999999999</v>
      </c>
      <c r="P361">
        <v>0.34</v>
      </c>
    </row>
    <row r="362" spans="1:16">
      <c r="A362" s="1" t="s">
        <v>103</v>
      </c>
      <c r="B362" s="1" t="s">
        <v>393</v>
      </c>
      <c r="C362" s="1" t="s">
        <v>105</v>
      </c>
      <c r="D362" s="1" t="s">
        <v>106</v>
      </c>
      <c r="E362" s="1" t="s">
        <v>281</v>
      </c>
      <c r="F362">
        <v>24.07</v>
      </c>
      <c r="G362">
        <v>64.400000000000006</v>
      </c>
      <c r="H362">
        <v>1.75</v>
      </c>
      <c r="I362">
        <v>1.792</v>
      </c>
      <c r="J362">
        <v>1.1499999999999999</v>
      </c>
      <c r="K362">
        <v>142.93</v>
      </c>
      <c r="L362">
        <v>0.33300000000000002</v>
      </c>
      <c r="M362">
        <v>0.89</v>
      </c>
      <c r="N362">
        <v>5.05</v>
      </c>
      <c r="O362">
        <v>6.8000000000000005E-2</v>
      </c>
      <c r="P362">
        <v>0.14599999999999999</v>
      </c>
    </row>
    <row r="363" spans="1:16">
      <c r="A363" s="1" t="s">
        <v>103</v>
      </c>
      <c r="B363" s="1" t="s">
        <v>394</v>
      </c>
      <c r="C363" s="1" t="s">
        <v>105</v>
      </c>
      <c r="D363" s="1" t="s">
        <v>106</v>
      </c>
      <c r="E363" s="1" t="s">
        <v>281</v>
      </c>
      <c r="F363">
        <v>35.89</v>
      </c>
      <c r="G363">
        <v>76.069999999999993</v>
      </c>
      <c r="H363">
        <v>3.57</v>
      </c>
      <c r="I363">
        <v>1.601</v>
      </c>
      <c r="J363">
        <v>0.82</v>
      </c>
      <c r="K363">
        <v>182.85</v>
      </c>
      <c r="L363">
        <v>7.6999999999999999E-2</v>
      </c>
      <c r="M363">
        <v>0.129</v>
      </c>
      <c r="N363">
        <v>6.19</v>
      </c>
      <c r="O363">
        <v>0.17100000000000001</v>
      </c>
      <c r="P363">
        <v>0.311</v>
      </c>
    </row>
    <row r="364" spans="1:16">
      <c r="A364" s="1" t="s">
        <v>103</v>
      </c>
      <c r="B364" s="1" t="s">
        <v>395</v>
      </c>
      <c r="C364" s="1" t="s">
        <v>105</v>
      </c>
      <c r="D364" s="1" t="s">
        <v>106</v>
      </c>
      <c r="E364" s="1" t="s">
        <v>281</v>
      </c>
      <c r="F364">
        <v>32.57</v>
      </c>
      <c r="G364">
        <v>80.33</v>
      </c>
      <c r="H364">
        <v>2.66</v>
      </c>
      <c r="I364">
        <v>1.9370000000000001</v>
      </c>
      <c r="J364">
        <v>1.1100000000000001</v>
      </c>
      <c r="K364">
        <v>173.81</v>
      </c>
      <c r="L364">
        <v>0.14199999999999999</v>
      </c>
      <c r="M364">
        <v>0.36</v>
      </c>
      <c r="N364">
        <v>7.78</v>
      </c>
      <c r="O364">
        <v>6.5000000000000002E-2</v>
      </c>
      <c r="P364">
        <v>0.28100000000000003</v>
      </c>
    </row>
    <row r="365" spans="1:16">
      <c r="A365" s="1" t="s">
        <v>103</v>
      </c>
      <c r="B365" s="1" t="s">
        <v>396</v>
      </c>
      <c r="C365" s="1" t="s">
        <v>105</v>
      </c>
      <c r="D365" s="1" t="s">
        <v>106</v>
      </c>
      <c r="E365" s="1" t="s">
        <v>281</v>
      </c>
      <c r="F365">
        <v>65.84</v>
      </c>
      <c r="G365">
        <v>74.84</v>
      </c>
      <c r="H365">
        <v>1.94</v>
      </c>
      <c r="I365">
        <v>1.831</v>
      </c>
      <c r="J365">
        <v>0.65</v>
      </c>
      <c r="K365">
        <v>169.92</v>
      </c>
      <c r="L365">
        <v>9.2999999999999999E-2</v>
      </c>
      <c r="M365">
        <v>0.14099999999999999</v>
      </c>
      <c r="N365">
        <v>5.35</v>
      </c>
      <c r="O365">
        <v>0.224</v>
      </c>
      <c r="P365">
        <v>0.35799999999999998</v>
      </c>
    </row>
    <row r="366" spans="1:16">
      <c r="A366" s="1" t="s">
        <v>103</v>
      </c>
      <c r="B366" s="1" t="s">
        <v>397</v>
      </c>
      <c r="C366" s="1" t="s">
        <v>105</v>
      </c>
      <c r="D366" s="1" t="s">
        <v>106</v>
      </c>
      <c r="E366" s="1" t="s">
        <v>281</v>
      </c>
      <c r="F366">
        <v>140.16999999999999</v>
      </c>
      <c r="G366">
        <v>60.52</v>
      </c>
      <c r="H366">
        <v>3.87</v>
      </c>
      <c r="I366">
        <v>2.82</v>
      </c>
      <c r="J366">
        <v>1.31</v>
      </c>
      <c r="K366">
        <v>139.9</v>
      </c>
      <c r="L366">
        <v>0.314</v>
      </c>
      <c r="M366">
        <v>0.44</v>
      </c>
      <c r="N366">
        <v>3.74</v>
      </c>
      <c r="O366">
        <v>0.85299999999999998</v>
      </c>
      <c r="P366">
        <v>0.245</v>
      </c>
    </row>
    <row r="367" spans="1:16">
      <c r="A367" s="1" t="s">
        <v>398</v>
      </c>
      <c r="B367" s="1" t="s">
        <v>399</v>
      </c>
      <c r="C367" s="1" t="s">
        <v>105</v>
      </c>
      <c r="D367" s="1" t="s">
        <v>400</v>
      </c>
      <c r="E367" s="1" t="s">
        <v>401</v>
      </c>
      <c r="F367">
        <v>307.50872361931653</v>
      </c>
      <c r="G367">
        <v>372.18485167120349</v>
      </c>
      <c r="H367">
        <v>11.131323139483611</v>
      </c>
      <c r="I367">
        <v>21.443738617726165</v>
      </c>
      <c r="J367">
        <v>6.587192224351802</v>
      </c>
      <c r="K367">
        <v>166.69151422488093</v>
      </c>
      <c r="L367">
        <v>6.4713500531782158</v>
      </c>
      <c r="M367">
        <v>2.3247619857737334</v>
      </c>
      <c r="N367">
        <v>6.2930833593327815</v>
      </c>
      <c r="O367">
        <v>1.4922222932067246</v>
      </c>
      <c r="P367">
        <v>4.5932687626129377E-2</v>
      </c>
    </row>
    <row r="368" spans="1:16">
      <c r="A368" s="1" t="s">
        <v>398</v>
      </c>
      <c r="B368" s="1" t="s">
        <v>402</v>
      </c>
      <c r="C368" s="1" t="s">
        <v>105</v>
      </c>
      <c r="D368" s="1" t="s">
        <v>400</v>
      </c>
      <c r="E368" s="1" t="s">
        <v>401</v>
      </c>
      <c r="F368">
        <v>282.23279413794467</v>
      </c>
      <c r="G368">
        <v>42.899308240749072</v>
      </c>
      <c r="H368">
        <v>94.36225576078354</v>
      </c>
      <c r="I368">
        <v>45.567627260030243</v>
      </c>
      <c r="J368">
        <v>5.9122634416145647</v>
      </c>
      <c r="K368">
        <v>240.98660855476771</v>
      </c>
      <c r="L368">
        <v>1.4489841374965247</v>
      </c>
      <c r="M368">
        <v>0.9831400836466665</v>
      </c>
      <c r="N368">
        <v>2.2099885638479746</v>
      </c>
      <c r="O368">
        <v>0.22383142192002162</v>
      </c>
      <c r="P368">
        <v>0.28322971939647951</v>
      </c>
    </row>
    <row r="369" spans="1:16">
      <c r="A369" s="1" t="s">
        <v>398</v>
      </c>
      <c r="B369" s="1" t="s">
        <v>403</v>
      </c>
      <c r="C369" s="1" t="s">
        <v>105</v>
      </c>
      <c r="D369" s="1" t="s">
        <v>400</v>
      </c>
      <c r="E369" s="1" t="s">
        <v>404</v>
      </c>
      <c r="F369">
        <v>105.97876301800261</v>
      </c>
      <c r="G369">
        <v>246.72646017105498</v>
      </c>
      <c r="H369">
        <v>6.0540733338205568</v>
      </c>
      <c r="I369">
        <v>27.670797877234531</v>
      </c>
      <c r="J369">
        <v>9.0305601544389891</v>
      </c>
      <c r="K369">
        <v>237.31412097229315</v>
      </c>
      <c r="L369">
        <v>6.8956236864974443</v>
      </c>
      <c r="M369">
        <v>3.7970253557430418</v>
      </c>
      <c r="N369">
        <v>7.9337113771836822</v>
      </c>
      <c r="O369">
        <v>1.5835373248731215</v>
      </c>
      <c r="P369">
        <v>0.24252286310225593</v>
      </c>
    </row>
    <row r="370" spans="1:16">
      <c r="A370" s="1" t="s">
        <v>398</v>
      </c>
      <c r="B370" s="1" t="s">
        <v>405</v>
      </c>
      <c r="C370" s="1" t="s">
        <v>105</v>
      </c>
      <c r="D370" s="1" t="s">
        <v>400</v>
      </c>
      <c r="E370" s="1" t="s">
        <v>404</v>
      </c>
      <c r="F370">
        <v>159.55627179236816</v>
      </c>
      <c r="G370">
        <v>276.72369954002772</v>
      </c>
      <c r="H370">
        <v>9.7204191057624278</v>
      </c>
      <c r="I370">
        <v>34.122914215788711</v>
      </c>
      <c r="J370">
        <v>3.3298640136937161</v>
      </c>
      <c r="K370">
        <v>178.08570283627773</v>
      </c>
      <c r="L370">
        <v>7.2436970384886621</v>
      </c>
      <c r="M370">
        <v>3.3285197393081281</v>
      </c>
      <c r="N370">
        <v>7.0719443092588774</v>
      </c>
      <c r="O370">
        <v>1.7012788162675891</v>
      </c>
      <c r="P370">
        <v>0.21607835090560798</v>
      </c>
    </row>
    <row r="371" spans="1:16">
      <c r="A371" s="1" t="s">
        <v>398</v>
      </c>
      <c r="B371" s="1" t="s">
        <v>406</v>
      </c>
      <c r="C371" s="1" t="s">
        <v>105</v>
      </c>
      <c r="D371" s="1" t="s">
        <v>400</v>
      </c>
      <c r="E371" s="1" t="s">
        <v>404</v>
      </c>
      <c r="F371">
        <v>160.58568144346833</v>
      </c>
      <c r="G371">
        <v>58.487875641262207</v>
      </c>
      <c r="H371">
        <v>8.8874637893783639</v>
      </c>
      <c r="I371">
        <v>22.229338698196948</v>
      </c>
      <c r="J371">
        <v>3.6936553534250236</v>
      </c>
      <c r="K371">
        <v>161.05974098441087</v>
      </c>
      <c r="L371">
        <v>7.6282965430386112</v>
      </c>
      <c r="M371">
        <v>1.3843394025792859</v>
      </c>
      <c r="N371">
        <v>7.1248254255883134</v>
      </c>
      <c r="O371">
        <v>2.0051748672835688</v>
      </c>
      <c r="P371">
        <v>0.29495924714668897</v>
      </c>
    </row>
    <row r="372" spans="1:16">
      <c r="A372" s="1" t="s">
        <v>398</v>
      </c>
      <c r="B372" s="1" t="s">
        <v>407</v>
      </c>
      <c r="C372" s="1" t="s">
        <v>105</v>
      </c>
      <c r="D372" s="1" t="s">
        <v>400</v>
      </c>
      <c r="E372" s="1" t="s">
        <v>404</v>
      </c>
      <c r="F372">
        <v>122.79818946305238</v>
      </c>
      <c r="G372">
        <v>261.57577379212671</v>
      </c>
      <c r="H372">
        <v>11.787300520284989</v>
      </c>
      <c r="I372">
        <v>29.937577523138991</v>
      </c>
      <c r="J372">
        <v>9.7055592708834624</v>
      </c>
      <c r="K372">
        <v>201.5230106022297</v>
      </c>
      <c r="L372">
        <v>7.0168605236984369</v>
      </c>
      <c r="M372">
        <v>3.4830312343595158</v>
      </c>
      <c r="N372">
        <v>9.0184774978528317</v>
      </c>
      <c r="O372">
        <v>2.1890393673938906</v>
      </c>
      <c r="P372">
        <v>0.57927967645094458</v>
      </c>
    </row>
    <row r="373" spans="1:16">
      <c r="A373" s="1" t="s">
        <v>398</v>
      </c>
      <c r="B373" s="1" t="s">
        <v>408</v>
      </c>
      <c r="C373" s="1" t="s">
        <v>105</v>
      </c>
      <c r="D373" s="1" t="s">
        <v>400</v>
      </c>
      <c r="E373" s="1" t="s">
        <v>404</v>
      </c>
      <c r="F373">
        <v>77.101860972222198</v>
      </c>
      <c r="G373">
        <v>90.331464955602556</v>
      </c>
      <c r="H373">
        <v>7.0874455158314023</v>
      </c>
      <c r="I373">
        <v>24.595920115552165</v>
      </c>
      <c r="J373">
        <v>4.4139828276266106</v>
      </c>
      <c r="K373">
        <v>182.47184050622039</v>
      </c>
      <c r="L373">
        <v>7.1313282544081726</v>
      </c>
      <c r="M373">
        <v>3.6971813064388428</v>
      </c>
      <c r="N373">
        <v>7.0816201381583506</v>
      </c>
      <c r="O373">
        <v>1.7229202680167994</v>
      </c>
      <c r="P373">
        <v>9.7096634985757296E-2</v>
      </c>
    </row>
    <row r="374" spans="1:16">
      <c r="A374" s="1" t="s">
        <v>398</v>
      </c>
      <c r="B374" s="1" t="s">
        <v>409</v>
      </c>
      <c r="C374" s="1" t="s">
        <v>105</v>
      </c>
      <c r="D374" s="1" t="s">
        <v>400</v>
      </c>
      <c r="E374" s="1" t="s">
        <v>404</v>
      </c>
      <c r="F374">
        <v>60.821452937769983</v>
      </c>
      <c r="G374">
        <v>58.23071963314127</v>
      </c>
      <c r="H374">
        <v>14.130553510005468</v>
      </c>
      <c r="I374">
        <v>21.801340358385723</v>
      </c>
      <c r="J374">
        <v>5.5489896036583115</v>
      </c>
      <c r="K374">
        <v>147.00271692701708</v>
      </c>
      <c r="L374">
        <v>6.8271399486940147</v>
      </c>
      <c r="M374">
        <v>0.1129582074841607</v>
      </c>
      <c r="N374">
        <v>8.0853684970316877</v>
      </c>
      <c r="O374">
        <v>1.9024471934064298</v>
      </c>
      <c r="P374">
        <v>0.29956638760793886</v>
      </c>
    </row>
    <row r="375" spans="1:16">
      <c r="A375" s="1" t="s">
        <v>398</v>
      </c>
      <c r="B375" s="1" t="s">
        <v>410</v>
      </c>
      <c r="C375" s="1" t="s">
        <v>105</v>
      </c>
      <c r="D375" s="1" t="s">
        <v>400</v>
      </c>
      <c r="E375" s="1" t="s">
        <v>404</v>
      </c>
      <c r="F375">
        <v>132.86454745937795</v>
      </c>
      <c r="G375">
        <v>186.47442954662401</v>
      </c>
      <c r="H375">
        <v>8.0396984519887784</v>
      </c>
      <c r="I375">
        <v>25.151120480203804</v>
      </c>
      <c r="J375">
        <v>3.4368680089208721</v>
      </c>
      <c r="K375">
        <v>2359.0004813362548</v>
      </c>
      <c r="L375">
        <v>7.3602352536948343</v>
      </c>
      <c r="M375">
        <v>6.5088761101079681E-2</v>
      </c>
      <c r="N375">
        <v>11.128138374194448</v>
      </c>
      <c r="O375">
        <v>1.970387777597755</v>
      </c>
      <c r="P375">
        <v>0.46420806739862236</v>
      </c>
    </row>
    <row r="376" spans="1:16">
      <c r="A376" s="1" t="s">
        <v>398</v>
      </c>
      <c r="B376" s="1" t="s">
        <v>411</v>
      </c>
      <c r="C376" s="1" t="s">
        <v>105</v>
      </c>
      <c r="D376" s="1" t="s">
        <v>400</v>
      </c>
      <c r="E376" s="1" t="s">
        <v>404</v>
      </c>
      <c r="F376">
        <v>107.30515142547388</v>
      </c>
      <c r="G376">
        <v>151.50889276875589</v>
      </c>
      <c r="H376">
        <v>9.0902522552242093</v>
      </c>
      <c r="I376">
        <v>23.315315478323697</v>
      </c>
      <c r="J376">
        <v>5.3846553545087605</v>
      </c>
      <c r="K376">
        <v>589.74039648272696</v>
      </c>
      <c r="L376">
        <v>6.1570266066524439</v>
      </c>
      <c r="M376">
        <v>0.43012751561373852</v>
      </c>
      <c r="N376">
        <v>8.904823809972866</v>
      </c>
      <c r="O376">
        <v>1.7574427734962079</v>
      </c>
      <c r="P376">
        <v>0.43451295093125958</v>
      </c>
    </row>
    <row r="377" spans="1:16">
      <c r="A377" s="1" t="s">
        <v>398</v>
      </c>
      <c r="B377" s="1" t="s">
        <v>412</v>
      </c>
      <c r="C377" s="1" t="s">
        <v>105</v>
      </c>
      <c r="D377" s="1" t="s">
        <v>400</v>
      </c>
      <c r="E377" s="1" t="s">
        <v>404</v>
      </c>
      <c r="F377">
        <v>166.18314083599958</v>
      </c>
      <c r="G377">
        <v>65.177625497578333</v>
      </c>
      <c r="H377">
        <v>41.037212621469791</v>
      </c>
      <c r="I377">
        <v>17.750153746649275</v>
      </c>
      <c r="J377">
        <v>2.806380337669085</v>
      </c>
      <c r="K377">
        <v>200.68489659404335</v>
      </c>
      <c r="L377">
        <v>18.805296695693226</v>
      </c>
      <c r="M377">
        <v>1.6856760824636647</v>
      </c>
      <c r="N377">
        <v>13.954676489652732</v>
      </c>
      <c r="O377">
        <v>1.83645634175553</v>
      </c>
      <c r="P377">
        <v>0.90718510055256874</v>
      </c>
    </row>
    <row r="378" spans="1:16">
      <c r="A378" s="1" t="s">
        <v>398</v>
      </c>
      <c r="B378" s="1" t="s">
        <v>413</v>
      </c>
      <c r="C378" s="1" t="s">
        <v>105</v>
      </c>
      <c r="D378" s="1" t="s">
        <v>400</v>
      </c>
      <c r="E378" s="1" t="s">
        <v>404</v>
      </c>
      <c r="F378">
        <v>179.15732532006376</v>
      </c>
      <c r="G378">
        <v>118.76601362885769</v>
      </c>
      <c r="H378">
        <v>40.055786308330376</v>
      </c>
      <c r="I378">
        <v>17.545798067938538</v>
      </c>
      <c r="J378">
        <v>17.242316861353245</v>
      </c>
      <c r="K378">
        <v>170.09565912612806</v>
      </c>
      <c r="L378">
        <v>19.6911435445917</v>
      </c>
      <c r="M378">
        <v>2.1766077239920523</v>
      </c>
      <c r="N378">
        <v>16.462874246841704</v>
      </c>
      <c r="O378">
        <v>1.8003120982213043</v>
      </c>
      <c r="P378">
        <v>0.65355785207537886</v>
      </c>
    </row>
    <row r="379" spans="1:16">
      <c r="A379" s="1" t="s">
        <v>398</v>
      </c>
      <c r="B379" s="1" t="s">
        <v>414</v>
      </c>
      <c r="C379" s="1" t="s">
        <v>105</v>
      </c>
      <c r="D379" s="1" t="s">
        <v>400</v>
      </c>
      <c r="E379" s="1" t="s">
        <v>404</v>
      </c>
      <c r="F379">
        <v>184.28591254239419</v>
      </c>
      <c r="G379">
        <v>70.887523692741993</v>
      </c>
      <c r="H379">
        <v>45.522286748563886</v>
      </c>
      <c r="I379">
        <v>19.097280156823413</v>
      </c>
      <c r="J379">
        <v>9.5436919939501887</v>
      </c>
      <c r="K379">
        <v>197.44781296207708</v>
      </c>
      <c r="L379">
        <v>26.708650614197367</v>
      </c>
      <c r="M379">
        <v>0.55426999190766635</v>
      </c>
      <c r="N379">
        <v>13.393545438339583</v>
      </c>
      <c r="O379">
        <v>2.0946343989602627</v>
      </c>
      <c r="P379">
        <v>0.27092627468068348</v>
      </c>
    </row>
    <row r="380" spans="1:16">
      <c r="A380" s="1" t="s">
        <v>398</v>
      </c>
      <c r="B380" s="1" t="s">
        <v>415</v>
      </c>
      <c r="C380" s="1" t="s">
        <v>105</v>
      </c>
      <c r="D380" s="1" t="s">
        <v>400</v>
      </c>
      <c r="E380" s="1" t="s">
        <v>404</v>
      </c>
      <c r="F380">
        <v>174.57028678372313</v>
      </c>
      <c r="G380">
        <v>109.83458403310223</v>
      </c>
      <c r="H380">
        <v>43.383444032552859</v>
      </c>
      <c r="I380">
        <v>19.623478362404562</v>
      </c>
      <c r="J380">
        <v>3.9411737339197304</v>
      </c>
      <c r="K380">
        <v>174.68437694640912</v>
      </c>
      <c r="L380">
        <v>22.714782227287763</v>
      </c>
      <c r="M380">
        <v>1.1194895744319679</v>
      </c>
      <c r="N380">
        <v>10.69437546457387</v>
      </c>
      <c r="O380">
        <v>1.6268869825501822</v>
      </c>
      <c r="P380">
        <v>4.2053819259245777E-2</v>
      </c>
    </row>
    <row r="381" spans="1:16">
      <c r="A381" s="1" t="s">
        <v>398</v>
      </c>
      <c r="B381" s="1" t="s">
        <v>416</v>
      </c>
      <c r="C381" s="1" t="s">
        <v>105</v>
      </c>
      <c r="D381" s="1" t="s">
        <v>400</v>
      </c>
      <c r="E381" s="1" t="s">
        <v>404</v>
      </c>
      <c r="F381">
        <v>141.76946135619806</v>
      </c>
      <c r="G381">
        <v>82.243180080749042</v>
      </c>
      <c r="H381">
        <v>61.55130442212424</v>
      </c>
      <c r="I381">
        <v>23.403792716635124</v>
      </c>
      <c r="J381">
        <v>0.16312932774511152</v>
      </c>
      <c r="K381">
        <v>191.20441936106192</v>
      </c>
      <c r="L381">
        <v>20.378451546401315</v>
      </c>
      <c r="M381">
        <v>1.0525159807870625</v>
      </c>
      <c r="N381">
        <v>10.250363999043378</v>
      </c>
      <c r="O381">
        <v>1.88287656729233</v>
      </c>
      <c r="P381">
        <v>3.7177379869226534E-2</v>
      </c>
    </row>
    <row r="382" spans="1:16">
      <c r="A382" s="1" t="s">
        <v>398</v>
      </c>
      <c r="B382" s="1" t="s">
        <v>417</v>
      </c>
      <c r="C382" s="1" t="s">
        <v>105</v>
      </c>
      <c r="D382" s="1" t="s">
        <v>400</v>
      </c>
      <c r="E382" s="1" t="s">
        <v>404</v>
      </c>
      <c r="F382">
        <v>159.2967632673066</v>
      </c>
      <c r="G382">
        <v>94.182835074833264</v>
      </c>
      <c r="H382">
        <v>38.303244005054481</v>
      </c>
      <c r="I382">
        <v>17.197367516731468</v>
      </c>
      <c r="J382">
        <v>12.270969317747047</v>
      </c>
      <c r="K382">
        <v>183.04092630333182</v>
      </c>
      <c r="L382">
        <v>20.167186694424064</v>
      </c>
      <c r="M382">
        <v>0.98734081356275261</v>
      </c>
      <c r="N382">
        <v>13.58192782068811</v>
      </c>
      <c r="O382">
        <v>1.8614854588316054</v>
      </c>
      <c r="P382">
        <v>0.39224933095106201</v>
      </c>
    </row>
    <row r="383" spans="1:16">
      <c r="A383" s="1" t="s">
        <v>398</v>
      </c>
      <c r="B383" s="1" t="s">
        <v>418</v>
      </c>
      <c r="C383" s="1" t="s">
        <v>105</v>
      </c>
      <c r="D383" s="1" t="s">
        <v>400</v>
      </c>
      <c r="E383" s="1" t="s">
        <v>404</v>
      </c>
      <c r="F383">
        <v>137.87257986465826</v>
      </c>
      <c r="G383">
        <v>75.577774432070441</v>
      </c>
      <c r="H383">
        <v>47.178802084174777</v>
      </c>
      <c r="I383">
        <v>20.917270075341317</v>
      </c>
      <c r="J383">
        <v>9.2506836287576668</v>
      </c>
      <c r="K383">
        <v>193.47599773014824</v>
      </c>
      <c r="L383">
        <v>17.519190467653893</v>
      </c>
      <c r="M383">
        <v>3.0934845106750446</v>
      </c>
      <c r="N383">
        <v>12.752666284741812</v>
      </c>
      <c r="O383">
        <v>1.6420445512644328</v>
      </c>
      <c r="P383">
        <v>0.43721246532976354</v>
      </c>
    </row>
    <row r="384" spans="1:16">
      <c r="A384" s="1" t="s">
        <v>398</v>
      </c>
      <c r="B384" s="1" t="s">
        <v>419</v>
      </c>
      <c r="C384" s="1" t="s">
        <v>38</v>
      </c>
      <c r="D384" s="1" t="s">
        <v>5788</v>
      </c>
      <c r="E384" s="1" t="s">
        <v>404</v>
      </c>
      <c r="F384">
        <v>849.93867118320691</v>
      </c>
      <c r="G384">
        <v>441.29412487037189</v>
      </c>
      <c r="H384">
        <v>472.78666625442747</v>
      </c>
      <c r="I384">
        <v>353.98515845928324</v>
      </c>
      <c r="J384">
        <v>2.8952166616625261</v>
      </c>
      <c r="K384">
        <v>307.58214000146097</v>
      </c>
      <c r="L384">
        <v>12.350733394455792</v>
      </c>
      <c r="M384">
        <v>5.452939393841417</v>
      </c>
      <c r="N384">
        <v>10.972126393982668</v>
      </c>
      <c r="O384">
        <v>1.6685598528687142</v>
      </c>
      <c r="P384">
        <v>0.23120019575780079</v>
      </c>
    </row>
    <row r="385" spans="1:16">
      <c r="A385" s="1" t="s">
        <v>398</v>
      </c>
      <c r="B385" s="1" t="s">
        <v>420</v>
      </c>
      <c r="C385" s="1" t="s">
        <v>38</v>
      </c>
      <c r="D385" s="1" t="s">
        <v>5788</v>
      </c>
      <c r="E385" s="1" t="s">
        <v>404</v>
      </c>
      <c r="F385">
        <v>1725.8777500995998</v>
      </c>
      <c r="G385">
        <v>2235.1534277568039</v>
      </c>
      <c r="H385">
        <v>9492.0561558483114</v>
      </c>
      <c r="I385">
        <v>130.97762208789553</v>
      </c>
      <c r="J385">
        <v>9.4578081649941428</v>
      </c>
      <c r="K385">
        <v>373.57711840115689</v>
      </c>
      <c r="L385">
        <v>11.027273325089938</v>
      </c>
      <c r="M385">
        <v>8.1447911160158579</v>
      </c>
      <c r="N385">
        <v>15.482005878017905</v>
      </c>
      <c r="O385">
        <v>1.5998194332838716</v>
      </c>
      <c r="P385">
        <v>0.74037858954152247</v>
      </c>
    </row>
    <row r="386" spans="1:16">
      <c r="A386" s="1" t="s">
        <v>398</v>
      </c>
      <c r="B386" s="1" t="s">
        <v>421</v>
      </c>
      <c r="C386" s="1" t="s">
        <v>38</v>
      </c>
      <c r="D386" s="1" t="s">
        <v>5788</v>
      </c>
      <c r="E386" s="1" t="s">
        <v>404</v>
      </c>
      <c r="F386">
        <v>685.59943769076926</v>
      </c>
      <c r="G386">
        <v>402.29449550189258</v>
      </c>
      <c r="H386">
        <v>61.726100138241449</v>
      </c>
      <c r="I386">
        <v>60.016519968570648</v>
      </c>
      <c r="J386">
        <v>1.9079204770514442</v>
      </c>
      <c r="K386">
        <v>114.56081922607639</v>
      </c>
      <c r="L386">
        <v>9.683790310783321</v>
      </c>
      <c r="M386">
        <v>4.4651454486685198</v>
      </c>
      <c r="N386">
        <v>5.9399112799991824</v>
      </c>
      <c r="O386">
        <v>1.3306029314889931</v>
      </c>
      <c r="P386">
        <v>0.7071104187385342</v>
      </c>
    </row>
    <row r="387" spans="1:16">
      <c r="A387" s="1" t="s">
        <v>398</v>
      </c>
      <c r="B387" s="1" t="s">
        <v>422</v>
      </c>
      <c r="C387" s="1" t="s">
        <v>38</v>
      </c>
      <c r="D387" s="1" t="s">
        <v>5788</v>
      </c>
      <c r="E387" s="1" t="s">
        <v>404</v>
      </c>
      <c r="F387">
        <v>526.42180541985203</v>
      </c>
      <c r="G387">
        <v>467.34784321924019</v>
      </c>
      <c r="H387">
        <v>170.79978302251217</v>
      </c>
      <c r="I387">
        <v>49.190840975291266</v>
      </c>
      <c r="J387">
        <v>8.3367131319080858</v>
      </c>
      <c r="K387">
        <v>106.33589407472823</v>
      </c>
      <c r="L387">
        <v>10.474174180036551</v>
      </c>
      <c r="M387">
        <v>4.7757364651940595</v>
      </c>
      <c r="N387">
        <v>5.0532021958958317</v>
      </c>
      <c r="O387">
        <v>1.3802647889545712</v>
      </c>
      <c r="P387">
        <v>0.37017090336498853</v>
      </c>
    </row>
    <row r="388" spans="1:16">
      <c r="A388" s="1" t="s">
        <v>398</v>
      </c>
      <c r="B388" s="1" t="s">
        <v>423</v>
      </c>
      <c r="C388" s="1" t="s">
        <v>38</v>
      </c>
      <c r="D388" s="1" t="s">
        <v>5788</v>
      </c>
      <c r="E388" s="1" t="s">
        <v>404</v>
      </c>
      <c r="F388">
        <v>1171.8407885562031</v>
      </c>
      <c r="G388">
        <v>1050.9964285901297</v>
      </c>
      <c r="H388">
        <v>5815.5522538519226</v>
      </c>
      <c r="I388">
        <v>54.13590769793133</v>
      </c>
      <c r="J388">
        <v>3.4607818580970862</v>
      </c>
      <c r="K388">
        <v>248.57017195210304</v>
      </c>
      <c r="L388">
        <v>8.7542732055883015</v>
      </c>
      <c r="M388">
        <v>3.6006045449936392</v>
      </c>
      <c r="N388">
        <v>6.428077217550749</v>
      </c>
      <c r="O388">
        <v>1.6064701009681497</v>
      </c>
      <c r="P388">
        <v>0.88979325246294727</v>
      </c>
    </row>
    <row r="389" spans="1:16">
      <c r="A389" s="1" t="s">
        <v>398</v>
      </c>
      <c r="B389" s="1" t="s">
        <v>424</v>
      </c>
      <c r="C389" s="1" t="s">
        <v>38</v>
      </c>
      <c r="D389" s="1" t="s">
        <v>5788</v>
      </c>
      <c r="E389" s="1" t="s">
        <v>404</v>
      </c>
      <c r="F389">
        <v>1146.1418383390708</v>
      </c>
      <c r="G389">
        <v>1054.6444512676746</v>
      </c>
      <c r="H389">
        <v>9249.2445149898958</v>
      </c>
      <c r="I389">
        <v>286.46115690625373</v>
      </c>
      <c r="J389">
        <v>22.582670700098081</v>
      </c>
      <c r="K389">
        <v>239.53942845008876</v>
      </c>
      <c r="L389">
        <v>8.7748865549488162</v>
      </c>
      <c r="M389">
        <v>1.8889151092305354</v>
      </c>
      <c r="N389">
        <v>7.50259139063263</v>
      </c>
      <c r="O389">
        <v>1.6759362379422327</v>
      </c>
      <c r="P389">
        <v>7.6369018060981897E-2</v>
      </c>
    </row>
    <row r="390" spans="1:16">
      <c r="A390" s="1" t="s">
        <v>398</v>
      </c>
      <c r="B390" s="1" t="s">
        <v>425</v>
      </c>
      <c r="C390" s="1" t="s">
        <v>38</v>
      </c>
      <c r="D390" s="1" t="s">
        <v>5788</v>
      </c>
      <c r="E390" s="1" t="s">
        <v>404</v>
      </c>
      <c r="F390">
        <v>2607.7598457708345</v>
      </c>
      <c r="G390">
        <v>2748.2995508076883</v>
      </c>
      <c r="H390">
        <v>11373.825431506801</v>
      </c>
      <c r="I390">
        <v>887.24309416161714</v>
      </c>
      <c r="J390">
        <v>15.568210396853662</v>
      </c>
      <c r="K390">
        <v>268.53719948451203</v>
      </c>
      <c r="L390">
        <v>7.0631420144064609</v>
      </c>
      <c r="M390">
        <v>12.124170516222248</v>
      </c>
      <c r="N390">
        <v>12.906481801933877</v>
      </c>
      <c r="O390">
        <v>1.8155241950025927</v>
      </c>
      <c r="P390">
        <v>1.3798104024686766</v>
      </c>
    </row>
    <row r="391" spans="1:16">
      <c r="A391" s="1" t="s">
        <v>398</v>
      </c>
      <c r="B391" s="1" t="s">
        <v>426</v>
      </c>
      <c r="C391" s="1" t="s">
        <v>38</v>
      </c>
      <c r="D391" s="1" t="s">
        <v>5788</v>
      </c>
      <c r="E391" s="1" t="s">
        <v>404</v>
      </c>
      <c r="F391">
        <v>618.0446962643706</v>
      </c>
      <c r="G391">
        <v>521.30374542613106</v>
      </c>
      <c r="H391">
        <v>151.09031971678073</v>
      </c>
      <c r="I391">
        <v>36.137226440629689</v>
      </c>
      <c r="J391">
        <v>4.2222076201332088</v>
      </c>
      <c r="K391">
        <v>121.79796007358087</v>
      </c>
      <c r="L391">
        <v>10.152342561434265</v>
      </c>
      <c r="M391">
        <v>5.6032779581179328</v>
      </c>
      <c r="N391">
        <v>5.1608322373435174</v>
      </c>
      <c r="O391">
        <v>1.2759526360328368</v>
      </c>
      <c r="P391">
        <v>4.1422134154859416E-2</v>
      </c>
    </row>
    <row r="392" spans="1:16">
      <c r="A392" s="1" t="s">
        <v>398</v>
      </c>
      <c r="B392" s="1" t="s">
        <v>427</v>
      </c>
      <c r="C392" s="1" t="s">
        <v>38</v>
      </c>
      <c r="D392" s="1" t="s">
        <v>5788</v>
      </c>
      <c r="E392" s="1" t="s">
        <v>404</v>
      </c>
      <c r="F392">
        <v>1090.0801332071931</v>
      </c>
      <c r="G392">
        <v>974.84407931250416</v>
      </c>
      <c r="H392">
        <v>355.07614542352803</v>
      </c>
      <c r="I392">
        <v>43.112659110522415</v>
      </c>
      <c r="J392">
        <v>29.101021300629053</v>
      </c>
      <c r="K392">
        <v>150.90911123509869</v>
      </c>
      <c r="L392">
        <v>10.025650564137008</v>
      </c>
      <c r="M392">
        <v>3.2977269982208526</v>
      </c>
      <c r="N392">
        <v>7.734791901323705</v>
      </c>
      <c r="O392">
        <v>1.9233774717110192</v>
      </c>
      <c r="P392">
        <v>0.56750921062746851</v>
      </c>
    </row>
    <row r="393" spans="1:16">
      <c r="A393" s="1" t="s">
        <v>398</v>
      </c>
      <c r="B393" s="1" t="s">
        <v>428</v>
      </c>
      <c r="C393" s="1" t="s">
        <v>38</v>
      </c>
      <c r="D393" s="1" t="s">
        <v>5788</v>
      </c>
      <c r="E393" s="1" t="s">
        <v>404</v>
      </c>
      <c r="F393">
        <v>549.15669518085576</v>
      </c>
      <c r="G393">
        <v>515.11033946347902</v>
      </c>
      <c r="H393">
        <v>81.701919567169512</v>
      </c>
      <c r="I393">
        <v>51.522542955553902</v>
      </c>
      <c r="J393">
        <v>3.5096017773417052</v>
      </c>
      <c r="K393">
        <v>100.73509737802848</v>
      </c>
      <c r="L393">
        <v>10.521435191747411</v>
      </c>
      <c r="M393">
        <v>6.1541736343967708</v>
      </c>
      <c r="N393">
        <v>5.324984337961717</v>
      </c>
      <c r="O393">
        <v>1.5383489997370974</v>
      </c>
      <c r="P393">
        <v>0.1029681075420187</v>
      </c>
    </row>
    <row r="394" spans="1:16">
      <c r="A394" s="1" t="s">
        <v>398</v>
      </c>
      <c r="B394" s="1" t="s">
        <v>429</v>
      </c>
      <c r="C394" s="1" t="s">
        <v>38</v>
      </c>
      <c r="D394" s="1" t="s">
        <v>5788</v>
      </c>
      <c r="E394" s="1" t="s">
        <v>404</v>
      </c>
      <c r="F394">
        <v>3061.8197756301774</v>
      </c>
      <c r="G394">
        <v>1762.5717404285654</v>
      </c>
      <c r="H394">
        <v>50.47658693579595</v>
      </c>
      <c r="I394">
        <v>73.432854946233704</v>
      </c>
      <c r="J394">
        <v>2.6030599737191142</v>
      </c>
      <c r="K394">
        <v>169.17783061807333</v>
      </c>
      <c r="L394">
        <v>10.182099899063745</v>
      </c>
      <c r="M394">
        <v>4.1319502643794506</v>
      </c>
      <c r="N394">
        <v>10.532271398576547</v>
      </c>
      <c r="O394">
        <v>1.6580163078746486</v>
      </c>
      <c r="P394">
        <v>0.30510997822688335</v>
      </c>
    </row>
    <row r="395" spans="1:16">
      <c r="A395" s="1" t="s">
        <v>398</v>
      </c>
      <c r="B395" s="1" t="s">
        <v>430</v>
      </c>
      <c r="C395" s="1" t="s">
        <v>38</v>
      </c>
      <c r="D395" s="1" t="s">
        <v>5788</v>
      </c>
      <c r="E395" s="1" t="s">
        <v>404</v>
      </c>
      <c r="F395">
        <v>826.36373894742553</v>
      </c>
      <c r="G395">
        <v>626.74330994418233</v>
      </c>
      <c r="H395">
        <v>56556.851212967078</v>
      </c>
      <c r="I395">
        <v>465.93931531886034</v>
      </c>
      <c r="J395">
        <v>22.590076889675952</v>
      </c>
      <c r="K395">
        <v>8291.5774973488496</v>
      </c>
      <c r="L395">
        <v>22.895337302996456</v>
      </c>
      <c r="M395">
        <v>12.507315502899214</v>
      </c>
      <c r="N395">
        <v>27.077727840248119</v>
      </c>
      <c r="O395">
        <v>0.90415499887071604</v>
      </c>
      <c r="P395">
        <v>2.4984714403375716</v>
      </c>
    </row>
    <row r="396" spans="1:16">
      <c r="A396" s="1" t="s">
        <v>398</v>
      </c>
      <c r="B396" s="1" t="s">
        <v>431</v>
      </c>
      <c r="C396" s="1" t="s">
        <v>38</v>
      </c>
      <c r="D396" s="1" t="s">
        <v>5788</v>
      </c>
      <c r="E396" s="1" t="s">
        <v>404</v>
      </c>
      <c r="F396">
        <v>2049.3720118850338</v>
      </c>
      <c r="G396">
        <v>2789.9868474897889</v>
      </c>
      <c r="H396">
        <v>89803.284097079872</v>
      </c>
      <c r="I396">
        <v>384.68665386771875</v>
      </c>
      <c r="J396">
        <v>18.900816627888311</v>
      </c>
      <c r="K396">
        <v>10431.0264377487</v>
      </c>
      <c r="L396">
        <v>24.920465823529906</v>
      </c>
      <c r="M396">
        <v>11.347504099293683</v>
      </c>
      <c r="N396">
        <v>37.368277196076804</v>
      </c>
      <c r="O396">
        <v>0.8128590833264675</v>
      </c>
      <c r="P396">
        <v>3.6878970242880609</v>
      </c>
    </row>
    <row r="397" spans="1:16">
      <c r="A397" s="1" t="s">
        <v>398</v>
      </c>
      <c r="B397" s="1" t="s">
        <v>432</v>
      </c>
      <c r="C397" s="1" t="s">
        <v>38</v>
      </c>
      <c r="D397" s="1" t="s">
        <v>5788</v>
      </c>
      <c r="E397" s="1" t="s">
        <v>404</v>
      </c>
      <c r="F397">
        <v>1164.5828292252049</v>
      </c>
      <c r="G397">
        <v>1704.2767911627063</v>
      </c>
      <c r="H397">
        <v>137660.16665890499</v>
      </c>
      <c r="I397">
        <v>529.02792066608106</v>
      </c>
      <c r="J397">
        <v>61.684281200543097</v>
      </c>
      <c r="K397">
        <v>14479.804633124049</v>
      </c>
      <c r="L397">
        <v>24.55757393802962</v>
      </c>
      <c r="M397">
        <v>6.2016363543860091</v>
      </c>
      <c r="N397">
        <v>54.056450325501487</v>
      </c>
      <c r="O397">
        <v>0.94718448451170334</v>
      </c>
      <c r="P397">
        <v>8.2015675704408082</v>
      </c>
    </row>
    <row r="398" spans="1:16">
      <c r="A398" s="1" t="s">
        <v>398</v>
      </c>
      <c r="B398" s="1" t="s">
        <v>433</v>
      </c>
      <c r="C398" s="1" t="s">
        <v>38</v>
      </c>
      <c r="D398" s="1" t="s">
        <v>5788</v>
      </c>
      <c r="E398" s="1" t="s">
        <v>404</v>
      </c>
      <c r="F398">
        <v>2382.2255194387658</v>
      </c>
      <c r="G398">
        <v>1822.004460864666</v>
      </c>
      <c r="H398">
        <v>99199.091966196051</v>
      </c>
      <c r="I398">
        <v>274.13467847494661</v>
      </c>
      <c r="J398">
        <v>219.37046305252517</v>
      </c>
      <c r="K398">
        <v>18233.953340303884</v>
      </c>
      <c r="L398">
        <v>24.047696411779963</v>
      </c>
      <c r="M398">
        <v>8.4612249734189184</v>
      </c>
      <c r="N398">
        <v>47.227648464923803</v>
      </c>
      <c r="O398">
        <v>1.1350873562222183</v>
      </c>
      <c r="P398">
        <v>1.1177072964625765</v>
      </c>
    </row>
    <row r="399" spans="1:16">
      <c r="A399" s="1" t="s">
        <v>398</v>
      </c>
      <c r="B399" s="1" t="s">
        <v>434</v>
      </c>
      <c r="C399" s="1" t="s">
        <v>38</v>
      </c>
      <c r="D399" s="1" t="s">
        <v>5788</v>
      </c>
      <c r="E399" s="1" t="s">
        <v>404</v>
      </c>
      <c r="F399">
        <v>2520.6240120208136</v>
      </c>
      <c r="G399">
        <v>9056.7321596322327</v>
      </c>
      <c r="H399">
        <v>106189.29666274338</v>
      </c>
      <c r="I399">
        <v>189.30640093444356</v>
      </c>
      <c r="J399">
        <v>3.6992386663087973</v>
      </c>
      <c r="K399">
        <v>15798.939349373857</v>
      </c>
      <c r="L399">
        <v>25.355690131668197</v>
      </c>
      <c r="M399">
        <v>9.8396457247719908</v>
      </c>
      <c r="N399">
        <v>50.627520791774039</v>
      </c>
      <c r="O399">
        <v>0.9775292394517352</v>
      </c>
      <c r="P399">
        <v>2.4172400701194041</v>
      </c>
    </row>
    <row r="400" spans="1:16">
      <c r="A400" s="1" t="s">
        <v>398</v>
      </c>
      <c r="B400" s="1" t="s">
        <v>435</v>
      </c>
      <c r="C400" s="1" t="s">
        <v>38</v>
      </c>
      <c r="D400" s="1" t="s">
        <v>5788</v>
      </c>
      <c r="E400" s="1" t="s">
        <v>404</v>
      </c>
      <c r="F400">
        <v>1338.8698063892689</v>
      </c>
      <c r="G400">
        <v>1031.4464512347108</v>
      </c>
      <c r="H400">
        <v>115619.65529845643</v>
      </c>
      <c r="I400">
        <v>111.24942218946821</v>
      </c>
      <c r="J400">
        <v>130.7373728170403</v>
      </c>
      <c r="K400">
        <v>20789.150000324094</v>
      </c>
      <c r="L400">
        <v>23.115239050277683</v>
      </c>
      <c r="M400">
        <v>8.2817526855393098</v>
      </c>
      <c r="N400">
        <v>37.16042864070198</v>
      </c>
      <c r="O400">
        <v>0.61032771035973854</v>
      </c>
      <c r="P400">
        <v>2.4625742787713856</v>
      </c>
    </row>
    <row r="401" spans="1:16">
      <c r="A401" s="1" t="s">
        <v>398</v>
      </c>
      <c r="B401" s="1" t="s">
        <v>436</v>
      </c>
      <c r="C401" s="1" t="s">
        <v>38</v>
      </c>
      <c r="D401" s="1" t="s">
        <v>5788</v>
      </c>
      <c r="E401" s="1" t="s">
        <v>404</v>
      </c>
      <c r="F401">
        <v>1350.4792472557306</v>
      </c>
      <c r="G401">
        <v>1183.196151928229</v>
      </c>
      <c r="H401">
        <v>26942.894781162733</v>
      </c>
      <c r="I401">
        <v>299.01253610905138</v>
      </c>
      <c r="J401">
        <v>22.211788659684974</v>
      </c>
      <c r="K401">
        <v>3006.9571105520249</v>
      </c>
      <c r="L401">
        <v>21.546792162779656</v>
      </c>
      <c r="M401">
        <v>14.927904351439842</v>
      </c>
      <c r="N401">
        <v>10.808116320803036</v>
      </c>
      <c r="O401">
        <v>1.1932118128337406</v>
      </c>
      <c r="P401">
        <v>1.5187426056561575</v>
      </c>
    </row>
    <row r="402" spans="1:16">
      <c r="A402" s="1" t="s">
        <v>398</v>
      </c>
      <c r="B402" s="1" t="s">
        <v>437</v>
      </c>
      <c r="C402" s="1" t="s">
        <v>38</v>
      </c>
      <c r="D402" s="1" t="s">
        <v>5788</v>
      </c>
      <c r="E402" s="1" t="s">
        <v>404</v>
      </c>
      <c r="F402">
        <v>1750.6049205288648</v>
      </c>
      <c r="G402">
        <v>1468.8988629794319</v>
      </c>
      <c r="H402">
        <v>7989.6778310631207</v>
      </c>
      <c r="I402">
        <v>135.34238741268214</v>
      </c>
      <c r="J402">
        <v>72.130683610945738</v>
      </c>
      <c r="K402">
        <v>976.83748784441582</v>
      </c>
      <c r="L402">
        <v>21.158692634905574</v>
      </c>
      <c r="M402">
        <v>12.919917968671109</v>
      </c>
      <c r="N402">
        <v>7.3787141048644305</v>
      </c>
      <c r="O402">
        <v>1.6587738844381839</v>
      </c>
      <c r="P402">
        <v>1.9193981160681441</v>
      </c>
    </row>
    <row r="403" spans="1:16">
      <c r="A403" s="1" t="s">
        <v>398</v>
      </c>
      <c r="B403" s="1" t="s">
        <v>438</v>
      </c>
      <c r="C403" s="1" t="s">
        <v>38</v>
      </c>
      <c r="D403" s="1" t="s">
        <v>5788</v>
      </c>
      <c r="E403" s="1" t="s">
        <v>404</v>
      </c>
      <c r="F403">
        <v>1000.1935585554569</v>
      </c>
      <c r="G403">
        <v>943.72726451148571</v>
      </c>
      <c r="H403">
        <v>30622.309407246274</v>
      </c>
      <c r="I403">
        <v>393.11376861273135</v>
      </c>
      <c r="J403">
        <v>94.984695249615115</v>
      </c>
      <c r="K403">
        <v>4425.9698272131036</v>
      </c>
      <c r="L403">
        <v>22.894934868683304</v>
      </c>
      <c r="M403">
        <v>14.488421793047431</v>
      </c>
      <c r="N403">
        <v>17.128392696989689</v>
      </c>
      <c r="O403">
        <v>0.82822280531995118</v>
      </c>
      <c r="P403">
        <v>3.1250108013733264</v>
      </c>
    </row>
    <row r="404" spans="1:16">
      <c r="A404" s="1" t="s">
        <v>398</v>
      </c>
      <c r="B404" s="1" t="s">
        <v>439</v>
      </c>
      <c r="C404" s="1" t="s">
        <v>38</v>
      </c>
      <c r="D404" s="1" t="s">
        <v>5788</v>
      </c>
      <c r="E404" s="1" t="s">
        <v>404</v>
      </c>
      <c r="F404">
        <v>4093.5549020722906</v>
      </c>
      <c r="G404">
        <v>5287.5457660431239</v>
      </c>
      <c r="H404">
        <v>24618.874937901168</v>
      </c>
      <c r="I404">
        <v>82.985400722723483</v>
      </c>
      <c r="J404">
        <v>10.03005609080612</v>
      </c>
      <c r="K404">
        <v>3988.5279557050426</v>
      </c>
      <c r="L404">
        <v>17.94082612987204</v>
      </c>
      <c r="M404">
        <v>9.9197599020701048</v>
      </c>
      <c r="N404">
        <v>12.336966727751003</v>
      </c>
      <c r="O404">
        <v>2.0204397084345151</v>
      </c>
      <c r="P404">
        <v>0.88835723898494146</v>
      </c>
    </row>
    <row r="405" spans="1:16">
      <c r="A405" s="1" t="s">
        <v>398</v>
      </c>
      <c r="B405" s="1" t="s">
        <v>440</v>
      </c>
      <c r="C405" s="1" t="s">
        <v>38</v>
      </c>
      <c r="D405" s="1" t="s">
        <v>5788</v>
      </c>
      <c r="E405" s="1" t="s">
        <v>404</v>
      </c>
      <c r="F405">
        <v>3187.406887589088</v>
      </c>
      <c r="G405">
        <v>2092.7209939030436</v>
      </c>
      <c r="H405">
        <v>10467.998355191168</v>
      </c>
      <c r="I405">
        <v>88.316753437226026</v>
      </c>
      <c r="J405">
        <v>7.4617989589344331</v>
      </c>
      <c r="K405">
        <v>1844.3749373061316</v>
      </c>
      <c r="L405">
        <v>21.935591337508903</v>
      </c>
      <c r="M405">
        <v>13.540750689652498</v>
      </c>
      <c r="N405">
        <v>13.864857067927202</v>
      </c>
      <c r="O405">
        <v>1.5856990423601676</v>
      </c>
      <c r="P405">
        <v>0.81431458701655324</v>
      </c>
    </row>
    <row r="406" spans="1:16">
      <c r="A406" s="1" t="s">
        <v>398</v>
      </c>
      <c r="B406" s="1" t="s">
        <v>441</v>
      </c>
      <c r="C406" s="1" t="s">
        <v>38</v>
      </c>
      <c r="D406" s="1" t="s">
        <v>5788</v>
      </c>
      <c r="E406" s="1" t="s">
        <v>404</v>
      </c>
      <c r="F406">
        <v>2143.5151365071251</v>
      </c>
      <c r="G406">
        <v>1959.8631621840498</v>
      </c>
      <c r="H406">
        <v>56180.296998488004</v>
      </c>
      <c r="I406">
        <v>77.717542016172118</v>
      </c>
      <c r="J406">
        <v>2.7849725626924462</v>
      </c>
      <c r="K406">
        <v>10710.457830703419</v>
      </c>
      <c r="L406">
        <v>21.915397357089251</v>
      </c>
      <c r="M406">
        <v>11.740247571082325</v>
      </c>
      <c r="N406">
        <v>26.023630978733731</v>
      </c>
      <c r="O406">
        <v>1.6747747387043666</v>
      </c>
      <c r="P406">
        <v>1.5709045886403628</v>
      </c>
    </row>
    <row r="407" spans="1:16">
      <c r="A407" s="1" t="s">
        <v>398</v>
      </c>
      <c r="B407" s="1" t="s">
        <v>442</v>
      </c>
      <c r="C407" s="1" t="s">
        <v>38</v>
      </c>
      <c r="D407" s="1" t="s">
        <v>5788</v>
      </c>
      <c r="E407" s="1" t="s">
        <v>404</v>
      </c>
      <c r="F407">
        <v>713.86585403862637</v>
      </c>
      <c r="G407">
        <v>1070.5971166603599</v>
      </c>
      <c r="H407">
        <v>81496.747566277831</v>
      </c>
      <c r="I407">
        <v>193.2773457131272</v>
      </c>
      <c r="J407">
        <v>6.5853519590140701</v>
      </c>
      <c r="K407">
        <v>11559.949297857453</v>
      </c>
      <c r="L407">
        <v>24.20980397311536</v>
      </c>
      <c r="M407">
        <v>9.3745904234776241</v>
      </c>
      <c r="N407">
        <v>33.181095239121028</v>
      </c>
      <c r="O407">
        <v>0.94900782695833252</v>
      </c>
      <c r="P407">
        <v>4.5158835093223972</v>
      </c>
    </row>
    <row r="408" spans="1:16">
      <c r="A408" s="1" t="s">
        <v>443</v>
      </c>
      <c r="B408" s="1" t="s">
        <v>444</v>
      </c>
      <c r="C408" s="1" t="s">
        <v>105</v>
      </c>
      <c r="D408" s="1" t="s">
        <v>106</v>
      </c>
      <c r="E408" s="1" t="s">
        <v>445</v>
      </c>
      <c r="F408">
        <v>164.49950168089853</v>
      </c>
      <c r="G408">
        <v>1129.1317674821971</v>
      </c>
      <c r="H408">
        <v>59.251597604671055</v>
      </c>
      <c r="I408">
        <v>9.2118961345269526</v>
      </c>
      <c r="J408">
        <v>17.776667315584834</v>
      </c>
      <c r="K408">
        <v>301.19123201302529</v>
      </c>
      <c r="L408">
        <v>1.509357958676862</v>
      </c>
      <c r="M408">
        <v>12.892377815849811</v>
      </c>
      <c r="N408">
        <v>22.005951186801088</v>
      </c>
      <c r="O408">
        <v>2.9986469529132611</v>
      </c>
      <c r="P408">
        <v>2.1547929450899743</v>
      </c>
    </row>
    <row r="409" spans="1:16">
      <c r="A409" s="1" t="s">
        <v>443</v>
      </c>
      <c r="B409" s="1" t="s">
        <v>446</v>
      </c>
      <c r="C409" s="1" t="s">
        <v>105</v>
      </c>
      <c r="D409" s="1" t="s">
        <v>106</v>
      </c>
      <c r="E409" s="1" t="s">
        <v>445</v>
      </c>
      <c r="F409">
        <v>308.68194337385114</v>
      </c>
      <c r="G409">
        <v>501.35758514281997</v>
      </c>
      <c r="H409">
        <v>31.944092926216999</v>
      </c>
      <c r="I409">
        <v>8.7325668171043063</v>
      </c>
      <c r="J409">
        <v>107.6822555228275</v>
      </c>
      <c r="K409">
        <v>275.73903786288895</v>
      </c>
      <c r="L409">
        <v>2.0549925307527688</v>
      </c>
      <c r="M409">
        <v>9.4701463045658496</v>
      </c>
      <c r="N409">
        <v>19.25021167200477</v>
      </c>
      <c r="O409">
        <v>2.0012306850931889</v>
      </c>
      <c r="P409">
        <v>1.4185003427717109</v>
      </c>
    </row>
    <row r="410" spans="1:16">
      <c r="A410" s="1" t="s">
        <v>443</v>
      </c>
      <c r="B410" s="1" t="s">
        <v>447</v>
      </c>
      <c r="C410" s="1" t="s">
        <v>105</v>
      </c>
      <c r="D410" s="1" t="s">
        <v>106</v>
      </c>
      <c r="E410" s="1" t="s">
        <v>448</v>
      </c>
      <c r="F410">
        <v>121.76825714578182</v>
      </c>
      <c r="G410">
        <v>932.59675136241958</v>
      </c>
      <c r="H410">
        <v>74.02162053642823</v>
      </c>
      <c r="I410">
        <v>8.5168627684969902</v>
      </c>
      <c r="J410">
        <v>33.330160641196443</v>
      </c>
      <c r="K410">
        <v>303.45458631197124</v>
      </c>
      <c r="L410">
        <v>0.45568697329887892</v>
      </c>
      <c r="M410">
        <v>4.3406961039462857</v>
      </c>
      <c r="N410">
        <v>14.593971393936242</v>
      </c>
      <c r="O410">
        <v>2.310175612915943</v>
      </c>
      <c r="P410">
        <v>1.6421688912281991</v>
      </c>
    </row>
    <row r="411" spans="1:16">
      <c r="A411" s="1" t="s">
        <v>443</v>
      </c>
      <c r="B411" s="1" t="s">
        <v>449</v>
      </c>
      <c r="C411" s="1" t="s">
        <v>105</v>
      </c>
      <c r="D411" s="1" t="s">
        <v>106</v>
      </c>
      <c r="E411" s="1" t="s">
        <v>448</v>
      </c>
      <c r="F411">
        <v>71.038694490397248</v>
      </c>
      <c r="G411">
        <v>645.59287502564689</v>
      </c>
      <c r="H411">
        <v>53.690632988089419</v>
      </c>
      <c r="I411">
        <v>9.2444679293226546</v>
      </c>
      <c r="J411">
        <v>25.873902237957154</v>
      </c>
      <c r="K411">
        <v>295.26473884303391</v>
      </c>
      <c r="L411">
        <v>2.6578141448575097</v>
      </c>
      <c r="M411">
        <v>6.9118319149503273</v>
      </c>
      <c r="N411">
        <v>13.145257494638651</v>
      </c>
      <c r="O411">
        <v>2.5933221083034326</v>
      </c>
      <c r="P411">
        <v>0.54573386932000123</v>
      </c>
    </row>
    <row r="412" spans="1:16">
      <c r="A412" s="1" t="s">
        <v>443</v>
      </c>
      <c r="B412" s="1" t="s">
        <v>450</v>
      </c>
      <c r="C412" s="1" t="s">
        <v>105</v>
      </c>
      <c r="D412" s="1" t="s">
        <v>106</v>
      </c>
      <c r="E412" s="1" t="s">
        <v>448</v>
      </c>
      <c r="F412">
        <v>70.614606217083931</v>
      </c>
      <c r="G412">
        <v>765.19439560991043</v>
      </c>
      <c r="H412">
        <v>61.335049268285651</v>
      </c>
      <c r="I412">
        <v>9.0271175109313013</v>
      </c>
      <c r="J412">
        <v>19.063223579946115</v>
      </c>
      <c r="K412">
        <v>285.4810816486704</v>
      </c>
      <c r="L412">
        <v>1.1456561149059432</v>
      </c>
      <c r="M412">
        <v>8.4375993197061696</v>
      </c>
      <c r="N412">
        <v>21.897391175680038</v>
      </c>
      <c r="O412">
        <v>2.8842682155901542</v>
      </c>
      <c r="P412">
        <v>1.1446615208360249</v>
      </c>
    </row>
    <row r="413" spans="1:16">
      <c r="A413" s="1" t="s">
        <v>443</v>
      </c>
      <c r="B413" s="1" t="s">
        <v>451</v>
      </c>
      <c r="C413" s="1" t="s">
        <v>105</v>
      </c>
      <c r="D413" s="1" t="s">
        <v>106</v>
      </c>
      <c r="E413" s="1" t="s">
        <v>448</v>
      </c>
      <c r="F413">
        <v>26.593543847721133</v>
      </c>
      <c r="G413">
        <v>702.30174202760873</v>
      </c>
      <c r="H413">
        <v>49.732903415610807</v>
      </c>
      <c r="I413">
        <v>11.815697218705893</v>
      </c>
      <c r="J413">
        <v>13.318504553095295</v>
      </c>
      <c r="K413">
        <v>296.22047130333766</v>
      </c>
      <c r="L413">
        <v>1.553350719207145</v>
      </c>
      <c r="M413">
        <v>6.1302240630262164</v>
      </c>
      <c r="N413">
        <v>23.870780613665865</v>
      </c>
      <c r="O413">
        <v>1.4112491055712719</v>
      </c>
      <c r="P413">
        <v>0.75378589070725921</v>
      </c>
    </row>
    <row r="414" spans="1:16">
      <c r="A414" s="1" t="s">
        <v>443</v>
      </c>
      <c r="B414" s="1" t="s">
        <v>452</v>
      </c>
      <c r="C414" s="1" t="s">
        <v>105</v>
      </c>
      <c r="D414" s="1" t="s">
        <v>106</v>
      </c>
      <c r="E414" s="1" t="s">
        <v>448</v>
      </c>
      <c r="F414">
        <v>79.156742663117882</v>
      </c>
      <c r="G414">
        <v>1163.6059621244719</v>
      </c>
      <c r="H414">
        <v>52.972107186607133</v>
      </c>
      <c r="I414">
        <v>11.834716129833856</v>
      </c>
      <c r="J414">
        <v>13.098428780269044</v>
      </c>
      <c r="K414">
        <v>307.82473709853912</v>
      </c>
      <c r="L414">
        <v>2.0144863355715135</v>
      </c>
      <c r="M414">
        <v>7.9065178871441368</v>
      </c>
      <c r="N414">
        <v>25.750816050832565</v>
      </c>
      <c r="O414">
        <v>2.6548241369264169</v>
      </c>
      <c r="P414">
        <v>1.5818695315266444</v>
      </c>
    </row>
    <row r="415" spans="1:16">
      <c r="A415" s="1" t="s">
        <v>443</v>
      </c>
      <c r="B415" s="1" t="s">
        <v>453</v>
      </c>
      <c r="C415" s="1" t="s">
        <v>105</v>
      </c>
      <c r="D415" s="1" t="s">
        <v>106</v>
      </c>
      <c r="E415" s="1" t="s">
        <v>448</v>
      </c>
      <c r="F415">
        <v>48.316971655551967</v>
      </c>
      <c r="G415">
        <v>940.35025530054304</v>
      </c>
      <c r="H415">
        <v>50.272807101581016</v>
      </c>
      <c r="I415">
        <v>11.87302975323241</v>
      </c>
      <c r="J415">
        <v>22.324506008747228</v>
      </c>
      <c r="K415">
        <v>296.20129543026292</v>
      </c>
      <c r="L415">
        <v>1.458501844271793</v>
      </c>
      <c r="M415">
        <v>5.6091804132402938</v>
      </c>
      <c r="N415">
        <v>25.786741464215165</v>
      </c>
      <c r="O415">
        <v>1.7848311188209287</v>
      </c>
      <c r="P415">
        <v>1.2169770648034277</v>
      </c>
    </row>
    <row r="416" spans="1:16">
      <c r="A416" s="1" t="s">
        <v>443</v>
      </c>
      <c r="B416" s="1" t="s">
        <v>454</v>
      </c>
      <c r="C416" s="1" t="s">
        <v>105</v>
      </c>
      <c r="D416" s="1" t="s">
        <v>106</v>
      </c>
      <c r="E416" s="1" t="s">
        <v>448</v>
      </c>
      <c r="F416">
        <v>70.331238720310552</v>
      </c>
      <c r="G416">
        <v>1843.8277855497554</v>
      </c>
      <c r="H416">
        <v>88.677269404058677</v>
      </c>
      <c r="I416">
        <v>15.44254747985512</v>
      </c>
      <c r="J416">
        <v>28.054279942924261</v>
      </c>
      <c r="K416">
        <v>384.42516461177519</v>
      </c>
      <c r="L416">
        <v>1.3226796766177378</v>
      </c>
      <c r="M416">
        <v>6.7672548506992216</v>
      </c>
      <c r="N416">
        <v>21.046114207635412</v>
      </c>
      <c r="O416">
        <v>2.2823037913840571</v>
      </c>
      <c r="P416">
        <v>2.0276695669155651</v>
      </c>
    </row>
    <row r="417" spans="1:16">
      <c r="A417" s="1" t="s">
        <v>443</v>
      </c>
      <c r="B417" s="1" t="s">
        <v>455</v>
      </c>
      <c r="C417" s="1" t="s">
        <v>105</v>
      </c>
      <c r="D417" s="1" t="s">
        <v>106</v>
      </c>
      <c r="E417" s="1" t="s">
        <v>448</v>
      </c>
      <c r="F417">
        <v>62.140335046192945</v>
      </c>
      <c r="G417">
        <v>1038.7663173584065</v>
      </c>
      <c r="H417">
        <v>47.405784248231697</v>
      </c>
      <c r="I417">
        <v>12.468404998441139</v>
      </c>
      <c r="J417">
        <v>9.4779718924823566</v>
      </c>
      <c r="K417">
        <v>299.98960169175564</v>
      </c>
      <c r="L417">
        <v>1.669904312586407</v>
      </c>
      <c r="M417">
        <v>8.022880237468744</v>
      </c>
      <c r="N417">
        <v>21.721966576938865</v>
      </c>
      <c r="O417">
        <v>1.8998141402102517</v>
      </c>
      <c r="P417">
        <v>1.1597818005472804</v>
      </c>
    </row>
    <row r="418" spans="1:16">
      <c r="A418" s="1" t="s">
        <v>443</v>
      </c>
      <c r="B418" s="1" t="s">
        <v>456</v>
      </c>
      <c r="C418" s="1" t="s">
        <v>105</v>
      </c>
      <c r="D418" s="1" t="s">
        <v>106</v>
      </c>
      <c r="E418" s="1" t="s">
        <v>448</v>
      </c>
      <c r="F418">
        <v>55.214295973563196</v>
      </c>
      <c r="G418">
        <v>716.37018656976124</v>
      </c>
      <c r="H418">
        <v>62.277674888516451</v>
      </c>
      <c r="I418">
        <v>11.322924995901582</v>
      </c>
      <c r="J418">
        <v>26.225896098845389</v>
      </c>
      <c r="K418">
        <v>306.84691007732351</v>
      </c>
      <c r="L418">
        <v>1.0150986023583102</v>
      </c>
      <c r="M418">
        <v>5.1321358034236368</v>
      </c>
      <c r="N418">
        <v>24.566226745528144</v>
      </c>
      <c r="O418">
        <v>2.199995351828099</v>
      </c>
      <c r="P418">
        <v>1.6932107125308933</v>
      </c>
    </row>
    <row r="419" spans="1:16">
      <c r="A419" s="1" t="s">
        <v>443</v>
      </c>
      <c r="B419" s="1" t="s">
        <v>457</v>
      </c>
      <c r="C419" s="1" t="s">
        <v>105</v>
      </c>
      <c r="D419" s="1" t="s">
        <v>106</v>
      </c>
      <c r="E419" s="1" t="s">
        <v>448</v>
      </c>
      <c r="F419">
        <v>97.950241803513364</v>
      </c>
      <c r="G419">
        <v>1432.6047623985569</v>
      </c>
      <c r="H419">
        <v>47.947726313186372</v>
      </c>
      <c r="I419">
        <v>12.684686744592808</v>
      </c>
      <c r="J419">
        <v>3.925999287906305</v>
      </c>
      <c r="K419">
        <v>308.03759052006126</v>
      </c>
      <c r="L419">
        <v>1.1165086390470798</v>
      </c>
      <c r="M419">
        <v>5.2568290951266921</v>
      </c>
      <c r="N419">
        <v>21.597372999367135</v>
      </c>
      <c r="O419">
        <v>2.9906400184201254</v>
      </c>
      <c r="P419">
        <v>1.1391211054816106</v>
      </c>
    </row>
    <row r="420" spans="1:16">
      <c r="A420" s="1" t="s">
        <v>443</v>
      </c>
      <c r="B420" s="1" t="s">
        <v>458</v>
      </c>
      <c r="C420" s="1" t="s">
        <v>105</v>
      </c>
      <c r="D420" s="1" t="s">
        <v>106</v>
      </c>
      <c r="E420" s="1" t="s">
        <v>448</v>
      </c>
      <c r="F420">
        <v>29.382483182565529</v>
      </c>
      <c r="G420">
        <v>579.2876608077629</v>
      </c>
      <c r="H420">
        <v>433.86704039270455</v>
      </c>
      <c r="I420">
        <v>44.493542452836905</v>
      </c>
      <c r="J420">
        <v>18.026082024532624</v>
      </c>
      <c r="K420">
        <v>48.578806224964943</v>
      </c>
      <c r="L420">
        <v>2.3337934899477624</v>
      </c>
      <c r="M420">
        <v>4.888072257375109</v>
      </c>
      <c r="N420">
        <v>4.329532863800666</v>
      </c>
      <c r="O420">
        <v>3.6759284482493593</v>
      </c>
      <c r="P420">
        <v>0.36617047834078215</v>
      </c>
    </row>
    <row r="421" spans="1:16">
      <c r="A421" s="1" t="s">
        <v>443</v>
      </c>
      <c r="B421" s="1" t="s">
        <v>459</v>
      </c>
      <c r="C421" s="1" t="s">
        <v>105</v>
      </c>
      <c r="D421" s="1" t="s">
        <v>106</v>
      </c>
      <c r="E421" s="1" t="s">
        <v>448</v>
      </c>
      <c r="F421">
        <v>20.796476516376458</v>
      </c>
      <c r="G421">
        <v>509.37347393883658</v>
      </c>
      <c r="H421">
        <v>463.07714180231943</v>
      </c>
      <c r="I421">
        <v>29.317674679367588</v>
      </c>
      <c r="J421">
        <v>27.328807667453304</v>
      </c>
      <c r="K421">
        <v>45.291182753169075</v>
      </c>
      <c r="L421">
        <v>1.8598407424704417</v>
      </c>
      <c r="M421">
        <v>3.274654603415772</v>
      </c>
      <c r="N421">
        <v>6.468583027134672</v>
      </c>
      <c r="O421">
        <v>3.060962828292809</v>
      </c>
      <c r="P421">
        <v>0.14227532598534076</v>
      </c>
    </row>
    <row r="422" spans="1:16">
      <c r="A422" s="1" t="s">
        <v>443</v>
      </c>
      <c r="B422" s="1" t="s">
        <v>460</v>
      </c>
      <c r="C422" s="1" t="s">
        <v>105</v>
      </c>
      <c r="D422" s="1" t="s">
        <v>106</v>
      </c>
      <c r="E422" s="1" t="s">
        <v>448</v>
      </c>
      <c r="F422">
        <v>30.507957040002736</v>
      </c>
      <c r="G422">
        <v>502.10772218196638</v>
      </c>
      <c r="H422">
        <v>368.71341514147804</v>
      </c>
      <c r="I422">
        <v>32.205417438806968</v>
      </c>
      <c r="J422">
        <v>56.591740663496232</v>
      </c>
      <c r="K422">
        <v>41.997729785129501</v>
      </c>
      <c r="L422">
        <v>1.4544954869637396</v>
      </c>
      <c r="M422">
        <v>2.842762273078169</v>
      </c>
      <c r="N422">
        <v>7.0808551766887202</v>
      </c>
      <c r="O422">
        <v>3.0065905240498982</v>
      </c>
      <c r="P422">
        <v>2.5361736164337838</v>
      </c>
    </row>
    <row r="423" spans="1:16">
      <c r="A423" s="1" t="s">
        <v>443</v>
      </c>
      <c r="B423" s="1" t="s">
        <v>461</v>
      </c>
      <c r="C423" s="1" t="s">
        <v>105</v>
      </c>
      <c r="D423" s="1" t="s">
        <v>106</v>
      </c>
      <c r="E423" s="1" t="s">
        <v>448</v>
      </c>
      <c r="F423">
        <v>43.590811289278051</v>
      </c>
      <c r="G423">
        <v>517.19689703902532</v>
      </c>
      <c r="H423">
        <v>420.57416356386079</v>
      </c>
      <c r="I423">
        <v>35.669547170601277</v>
      </c>
      <c r="J423">
        <v>112.1795964502588</v>
      </c>
      <c r="K423">
        <v>47.719619885805606</v>
      </c>
      <c r="L423">
        <v>2.6297299094841984</v>
      </c>
      <c r="M423">
        <v>2.222584561672492</v>
      </c>
      <c r="N423">
        <v>3.5650626156648197</v>
      </c>
      <c r="O423">
        <v>2.6797497669924608</v>
      </c>
      <c r="P423">
        <v>0.14619822159526069</v>
      </c>
    </row>
    <row r="424" spans="1:16">
      <c r="A424" s="1" t="s">
        <v>443</v>
      </c>
      <c r="B424" s="1" t="s">
        <v>462</v>
      </c>
      <c r="C424" s="1" t="s">
        <v>105</v>
      </c>
      <c r="D424" s="1" t="s">
        <v>106</v>
      </c>
      <c r="E424" s="1" t="s">
        <v>448</v>
      </c>
      <c r="F424">
        <v>40.690475329785109</v>
      </c>
      <c r="G424">
        <v>622.27902051650221</v>
      </c>
      <c r="H424">
        <v>424.66950576147218</v>
      </c>
      <c r="I424">
        <v>32.961669994856763</v>
      </c>
      <c r="J424">
        <v>42.228904443812837</v>
      </c>
      <c r="K424">
        <v>43.465166407467571</v>
      </c>
      <c r="L424">
        <v>2.3540616723709786</v>
      </c>
      <c r="M424">
        <v>2.3167112732475275</v>
      </c>
      <c r="N424">
        <v>3.2743431747701237</v>
      </c>
      <c r="O424">
        <v>3.6341415949940412</v>
      </c>
      <c r="P424">
        <v>0.2</v>
      </c>
    </row>
    <row r="425" spans="1:16">
      <c r="A425" s="1" t="s">
        <v>443</v>
      </c>
      <c r="B425" s="1" t="s">
        <v>463</v>
      </c>
      <c r="C425" s="1" t="s">
        <v>105</v>
      </c>
      <c r="D425" s="1" t="s">
        <v>106</v>
      </c>
      <c r="E425" s="1" t="s">
        <v>448</v>
      </c>
      <c r="F425">
        <v>13.032880458539685</v>
      </c>
      <c r="G425">
        <v>540.63179804682977</v>
      </c>
      <c r="H425">
        <v>413.23610390596548</v>
      </c>
      <c r="I425">
        <v>36.961193048999654</v>
      </c>
      <c r="J425">
        <v>98.81855859918474</v>
      </c>
      <c r="K425">
        <v>44.229939888540727</v>
      </c>
      <c r="L425">
        <v>1.776732542801033</v>
      </c>
      <c r="M425">
        <v>2.9142396866046889</v>
      </c>
      <c r="N425">
        <v>3.8048165820172186</v>
      </c>
      <c r="O425">
        <v>3.7962851312822288</v>
      </c>
      <c r="P425">
        <v>0.17522051670172653</v>
      </c>
    </row>
    <row r="426" spans="1:16">
      <c r="A426" s="1" t="s">
        <v>443</v>
      </c>
      <c r="B426" s="1" t="s">
        <v>464</v>
      </c>
      <c r="C426" s="1" t="s">
        <v>105</v>
      </c>
      <c r="D426" s="1" t="s">
        <v>106</v>
      </c>
      <c r="E426" s="1" t="s">
        <v>448</v>
      </c>
      <c r="F426">
        <v>18.510742988491955</v>
      </c>
      <c r="G426">
        <v>517.26785046567488</v>
      </c>
      <c r="H426">
        <v>396.05771604292437</v>
      </c>
      <c r="I426">
        <v>34.724457786634538</v>
      </c>
      <c r="J426">
        <v>14.483744857781355</v>
      </c>
      <c r="K426">
        <v>44.97931808080282</v>
      </c>
      <c r="L426">
        <v>1.7408202320952524</v>
      </c>
      <c r="M426">
        <v>4.9650971909894572</v>
      </c>
      <c r="N426">
        <v>5.8627080177940458</v>
      </c>
      <c r="O426">
        <v>3.9660526535126372</v>
      </c>
      <c r="P426">
        <v>0.71170763587319852</v>
      </c>
    </row>
    <row r="427" spans="1:16">
      <c r="A427" s="1" t="s">
        <v>443</v>
      </c>
      <c r="B427" s="1" t="s">
        <v>465</v>
      </c>
      <c r="C427" s="1" t="s">
        <v>105</v>
      </c>
      <c r="D427" s="1" t="s">
        <v>106</v>
      </c>
      <c r="E427" s="1" t="s">
        <v>448</v>
      </c>
      <c r="F427">
        <v>22.33124738456231</v>
      </c>
      <c r="G427">
        <v>570.21557519733312</v>
      </c>
      <c r="H427">
        <v>393.42408227205817</v>
      </c>
      <c r="I427">
        <v>35.950796294787693</v>
      </c>
      <c r="J427">
        <v>8.7110095256330471</v>
      </c>
      <c r="K427">
        <v>44.853435697792158</v>
      </c>
      <c r="L427">
        <v>2.0516454999043261</v>
      </c>
      <c r="M427">
        <v>2.3930425287484827</v>
      </c>
      <c r="N427">
        <v>3.0520840569221352</v>
      </c>
      <c r="O427">
        <v>3.2564430402932723</v>
      </c>
      <c r="P427">
        <v>0.29529651204280483</v>
      </c>
    </row>
    <row r="428" spans="1:16">
      <c r="A428" s="1" t="s">
        <v>443</v>
      </c>
      <c r="B428" s="1" t="s">
        <v>466</v>
      </c>
      <c r="C428" s="1" t="s">
        <v>105</v>
      </c>
      <c r="D428" s="1" t="s">
        <v>106</v>
      </c>
      <c r="E428" s="1" t="s">
        <v>448</v>
      </c>
      <c r="F428">
        <v>15.049243301259164</v>
      </c>
      <c r="G428">
        <v>464.74129365679806</v>
      </c>
      <c r="H428">
        <v>388.57582100339499</v>
      </c>
      <c r="I428">
        <v>34.471910616413993</v>
      </c>
      <c r="J428">
        <v>5.7112326264077957</v>
      </c>
      <c r="K428">
        <v>42.524980348603684</v>
      </c>
      <c r="L428">
        <v>1.9039918953806805</v>
      </c>
      <c r="M428">
        <v>3.7876548778273373</v>
      </c>
      <c r="N428">
        <v>4.0423181722615142</v>
      </c>
      <c r="O428">
        <v>2.9510684896225712</v>
      </c>
      <c r="P428">
        <v>0.12150094259695714</v>
      </c>
    </row>
    <row r="429" spans="1:16">
      <c r="A429" s="1" t="s">
        <v>443</v>
      </c>
      <c r="B429" s="1" t="s">
        <v>467</v>
      </c>
      <c r="C429" s="1" t="s">
        <v>105</v>
      </c>
      <c r="D429" s="1" t="s">
        <v>106</v>
      </c>
      <c r="E429" s="1" t="s">
        <v>448</v>
      </c>
      <c r="F429">
        <v>28.181094256728983</v>
      </c>
      <c r="G429">
        <v>504.92883425170521</v>
      </c>
      <c r="H429">
        <v>396.90142136482535</v>
      </c>
      <c r="I429">
        <v>36.451453805300758</v>
      </c>
      <c r="J429">
        <v>10.449408525826563</v>
      </c>
      <c r="K429">
        <v>41.384913336067441</v>
      </c>
      <c r="L429">
        <v>2.0760202003184807</v>
      </c>
      <c r="M429">
        <v>4.1022627501029501</v>
      </c>
      <c r="N429">
        <v>3.5842168969855184</v>
      </c>
      <c r="O429">
        <v>3.4802973886779172</v>
      </c>
      <c r="P429">
        <v>0.35325518997187405</v>
      </c>
    </row>
    <row r="430" spans="1:16">
      <c r="A430" s="1" t="s">
        <v>443</v>
      </c>
      <c r="B430" s="1" t="s">
        <v>468</v>
      </c>
      <c r="C430" s="1" t="s">
        <v>105</v>
      </c>
      <c r="D430" s="1" t="s">
        <v>106</v>
      </c>
      <c r="E430" s="1" t="s">
        <v>448</v>
      </c>
      <c r="F430">
        <v>27.218461061820403</v>
      </c>
      <c r="G430">
        <v>532.93867927604958</v>
      </c>
      <c r="H430">
        <v>444.57039572445956</v>
      </c>
      <c r="I430">
        <v>39.861412368415358</v>
      </c>
      <c r="J430">
        <v>18.979133943313325</v>
      </c>
      <c r="K430">
        <v>46.964382582780644</v>
      </c>
      <c r="L430">
        <v>2.327762692069566</v>
      </c>
      <c r="M430">
        <v>3.8795203926233506</v>
      </c>
      <c r="N430">
        <v>4.0019082784968321</v>
      </c>
      <c r="O430">
        <v>3.1570512077577573</v>
      </c>
      <c r="P430">
        <v>0.17698294939230971</v>
      </c>
    </row>
    <row r="431" spans="1:16">
      <c r="A431" s="1" t="s">
        <v>443</v>
      </c>
      <c r="B431" s="1" t="s">
        <v>469</v>
      </c>
      <c r="C431" s="1" t="s">
        <v>105</v>
      </c>
      <c r="D431" s="1" t="s">
        <v>106</v>
      </c>
      <c r="E431" s="1" t="s">
        <v>448</v>
      </c>
      <c r="F431">
        <v>120.23236615948785</v>
      </c>
      <c r="G431">
        <v>526.8132472621885</v>
      </c>
      <c r="H431">
        <v>414.255576143062</v>
      </c>
      <c r="I431">
        <v>37.661075608255267</v>
      </c>
      <c r="J431">
        <v>29.800879842946955</v>
      </c>
      <c r="K431">
        <v>45.864991545970341</v>
      </c>
      <c r="L431">
        <v>1.541864694391349</v>
      </c>
      <c r="M431">
        <v>3.4735714313392512</v>
      </c>
      <c r="N431">
        <v>3.8053984817984783</v>
      </c>
      <c r="O431">
        <v>2.9777048689008989</v>
      </c>
      <c r="P431">
        <v>0.2</v>
      </c>
    </row>
    <row r="432" spans="1:16">
      <c r="A432" s="1" t="s">
        <v>470</v>
      </c>
      <c r="B432" s="1" t="s">
        <v>471</v>
      </c>
      <c r="C432" s="1" t="s">
        <v>105</v>
      </c>
      <c r="D432" s="1" t="s">
        <v>106</v>
      </c>
      <c r="E432" s="1" t="s">
        <v>472</v>
      </c>
      <c r="F432">
        <v>41.566423230611221</v>
      </c>
      <c r="G432">
        <v>89.91425640514241</v>
      </c>
      <c r="H432">
        <v>19.300650026114184</v>
      </c>
      <c r="I432">
        <v>3.5894340328502925</v>
      </c>
      <c r="J432">
        <f>3.035/2</f>
        <v>1.5175000000000001</v>
      </c>
      <c r="K432">
        <v>6.648584733915051</v>
      </c>
      <c r="L432">
        <v>2.6010802581715073</v>
      </c>
      <c r="M432">
        <v>23.022814848432784</v>
      </c>
      <c r="N432">
        <v>25.04229282137867</v>
      </c>
      <c r="O432">
        <v>0.80277891667248458</v>
      </c>
      <c r="P432">
        <f>0.42083/2</f>
        <v>0.21041499999999999</v>
      </c>
    </row>
    <row r="433" spans="1:16">
      <c r="A433" s="1" t="s">
        <v>470</v>
      </c>
      <c r="B433" s="1" t="s">
        <v>473</v>
      </c>
      <c r="C433" s="1" t="s">
        <v>105</v>
      </c>
      <c r="D433" s="1" t="s">
        <v>106</v>
      </c>
      <c r="E433" s="1" t="s">
        <v>472</v>
      </c>
      <c r="F433">
        <v>139.76290173020993</v>
      </c>
      <c r="G433">
        <v>196.68394835943474</v>
      </c>
      <c r="H433">
        <v>14.500125925626556</v>
      </c>
      <c r="I433">
        <v>3.2657766633082783</v>
      </c>
      <c r="J433">
        <f>2.9505/2</f>
        <v>1.47525</v>
      </c>
      <c r="K433">
        <v>6.1603917398537824</v>
      </c>
      <c r="L433">
        <v>2.9079275163835341</v>
      </c>
      <c r="M433">
        <v>23.914307232662733</v>
      </c>
      <c r="N433">
        <v>25.611346413578932</v>
      </c>
      <c r="O433">
        <v>0.74749830232465209</v>
      </c>
      <c r="P433">
        <f>0.3417/2</f>
        <v>0.17085</v>
      </c>
    </row>
    <row r="434" spans="1:16">
      <c r="A434" s="1" t="s">
        <v>470</v>
      </c>
      <c r="B434" s="1" t="s">
        <v>474</v>
      </c>
      <c r="C434" s="1" t="s">
        <v>105</v>
      </c>
      <c r="D434" s="1" t="s">
        <v>106</v>
      </c>
      <c r="E434" s="1" t="s">
        <v>475</v>
      </c>
      <c r="F434">
        <v>176.58744489449572</v>
      </c>
      <c r="G434">
        <v>198.34479792386597</v>
      </c>
      <c r="H434">
        <v>13.055938314367143</v>
      </c>
      <c r="I434">
        <v>3.1863351956350834</v>
      </c>
      <c r="J434">
        <f>2.7982/2</f>
        <v>1.3991</v>
      </c>
      <c r="K434">
        <v>6.6633994750151713</v>
      </c>
      <c r="L434">
        <v>2.8510073303258432</v>
      </c>
      <c r="M434">
        <v>24.96715162849026</v>
      </c>
      <c r="N434">
        <v>27.020538197701438</v>
      </c>
      <c r="O434">
        <v>0.81475188743181071</v>
      </c>
      <c r="P434">
        <f>0.31864/2</f>
        <v>0.15931999999999999</v>
      </c>
    </row>
    <row r="435" spans="1:16">
      <c r="A435" s="1" t="s">
        <v>470</v>
      </c>
      <c r="B435" s="1" t="s">
        <v>476</v>
      </c>
      <c r="C435" s="1" t="s">
        <v>105</v>
      </c>
      <c r="D435" s="1" t="s">
        <v>106</v>
      </c>
      <c r="E435" s="1" t="s">
        <v>475</v>
      </c>
      <c r="F435">
        <v>138.63411831456381</v>
      </c>
      <c r="G435">
        <v>126.07683921997031</v>
      </c>
      <c r="H435">
        <v>15.718031272747297</v>
      </c>
      <c r="I435">
        <v>3.0362940750324592</v>
      </c>
      <c r="J435">
        <f>2.7352/2</f>
        <v>1.3675999999999999</v>
      </c>
      <c r="K435">
        <v>8.2047768228395377</v>
      </c>
      <c r="L435">
        <v>2.95969886280727</v>
      </c>
      <c r="M435">
        <v>24.080043647047763</v>
      </c>
      <c r="N435">
        <v>29.25316272352168</v>
      </c>
      <c r="O435">
        <v>0.76153533563755749</v>
      </c>
      <c r="P435">
        <f>0.37683/2</f>
        <v>0.188415</v>
      </c>
    </row>
    <row r="436" spans="1:16">
      <c r="A436" s="1" t="s">
        <v>470</v>
      </c>
      <c r="B436" s="1" t="s">
        <v>477</v>
      </c>
      <c r="C436" s="1" t="s">
        <v>105</v>
      </c>
      <c r="D436" s="1" t="s">
        <v>106</v>
      </c>
      <c r="E436" s="1" t="s">
        <v>475</v>
      </c>
      <c r="F436">
        <v>56.668984120336994</v>
      </c>
      <c r="G436">
        <v>85.583752499614633</v>
      </c>
      <c r="H436">
        <v>12.681885230360285</v>
      </c>
      <c r="I436">
        <v>2.9331616619856096</v>
      </c>
      <c r="J436">
        <f>2.7991/2</f>
        <v>1.3995500000000001</v>
      </c>
      <c r="K436">
        <v>7.8328998474836107</v>
      </c>
      <c r="L436">
        <v>2.757668061627863</v>
      </c>
      <c r="M436">
        <v>24.185950340263023</v>
      </c>
      <c r="N436">
        <v>28.516003890498993</v>
      </c>
      <c r="O436">
        <v>0.76955889177338999</v>
      </c>
      <c r="P436">
        <f>0.34526/2</f>
        <v>0.17263000000000001</v>
      </c>
    </row>
    <row r="437" spans="1:16">
      <c r="A437" s="1" t="s">
        <v>470</v>
      </c>
      <c r="B437" s="1" t="s">
        <v>478</v>
      </c>
      <c r="C437" s="1" t="s">
        <v>105</v>
      </c>
      <c r="D437" s="1" t="s">
        <v>106</v>
      </c>
      <c r="E437" s="1" t="s">
        <v>475</v>
      </c>
      <c r="F437">
        <v>74.02268607804227</v>
      </c>
      <c r="G437">
        <v>94.33148461943604</v>
      </c>
      <c r="H437">
        <v>13.471733053504588</v>
      </c>
      <c r="I437">
        <v>2.8470567566306446</v>
      </c>
      <c r="J437">
        <f>2.5629/2</f>
        <v>1.28145</v>
      </c>
      <c r="K437">
        <v>7.1550724889779262</v>
      </c>
      <c r="L437">
        <v>2.7186691068067934</v>
      </c>
      <c r="M437">
        <v>23.509658608668282</v>
      </c>
      <c r="N437">
        <v>26.51736185585516</v>
      </c>
      <c r="O437">
        <v>0.72419804347587491</v>
      </c>
      <c r="P437">
        <f>0.35724/2</f>
        <v>0.17862</v>
      </c>
    </row>
    <row r="438" spans="1:16">
      <c r="A438" s="1" t="s">
        <v>470</v>
      </c>
      <c r="B438" s="1" t="s">
        <v>479</v>
      </c>
      <c r="C438" s="1" t="s">
        <v>105</v>
      </c>
      <c r="D438" s="1" t="s">
        <v>106</v>
      </c>
      <c r="E438" s="1" t="s">
        <v>475</v>
      </c>
      <c r="F438">
        <v>64.213510823734865</v>
      </c>
      <c r="G438">
        <v>107.09146544427092</v>
      </c>
      <c r="H438">
        <f>11.9763/2</f>
        <v>5.9881500000000001</v>
      </c>
      <c r="I438">
        <v>2.7476485638873265</v>
      </c>
      <c r="J438">
        <f>4.403/2</f>
        <v>2.2014999999999998</v>
      </c>
      <c r="K438">
        <v>6.8248126341404873</v>
      </c>
      <c r="L438">
        <v>2.9012114807500446</v>
      </c>
      <c r="M438">
        <v>22.529703475471536</v>
      </c>
      <c r="N438">
        <v>25.572460381323058</v>
      </c>
      <c r="O438">
        <f>1.0131/2</f>
        <v>0.50654999999999994</v>
      </c>
      <c r="P438">
        <f>0.88927/2</f>
        <v>0.444635</v>
      </c>
    </row>
    <row r="439" spans="1:16">
      <c r="A439" s="1" t="s">
        <v>470</v>
      </c>
      <c r="B439" s="1" t="s">
        <v>480</v>
      </c>
      <c r="C439" s="1" t="s">
        <v>105</v>
      </c>
      <c r="D439" s="1" t="s">
        <v>106</v>
      </c>
      <c r="E439" s="1" t="s">
        <v>475</v>
      </c>
      <c r="F439">
        <v>89.107069303816672</v>
      </c>
      <c r="G439">
        <v>107.31038555007807</v>
      </c>
      <c r="H439">
        <v>12.388721917138717</v>
      </c>
      <c r="I439">
        <v>2.933339557937177</v>
      </c>
      <c r="J439">
        <v>3.0457761402650489</v>
      </c>
      <c r="K439">
        <v>7.7411939237113652</v>
      </c>
      <c r="L439">
        <v>2.634092301855155</v>
      </c>
      <c r="M439">
        <v>22.691096913334555</v>
      </c>
      <c r="N439">
        <v>26.300034589258765</v>
      </c>
      <c r="O439">
        <v>0.70055684256035566</v>
      </c>
      <c r="P439">
        <f>0.31068/2</f>
        <v>0.15534000000000001</v>
      </c>
    </row>
    <row r="440" spans="1:16">
      <c r="A440" s="1" t="s">
        <v>470</v>
      </c>
      <c r="B440" s="1" t="s">
        <v>481</v>
      </c>
      <c r="C440" s="1" t="s">
        <v>105</v>
      </c>
      <c r="D440" s="1" t="s">
        <v>106</v>
      </c>
      <c r="E440" s="1" t="s">
        <v>475</v>
      </c>
      <c r="F440">
        <v>66.222264893445185</v>
      </c>
      <c r="G440">
        <v>89.899805489636648</v>
      </c>
      <c r="H440">
        <v>13.385827728778397</v>
      </c>
      <c r="I440">
        <v>2.9394069433488439</v>
      </c>
      <c r="J440">
        <f>2.4108/2</f>
        <v>1.2054</v>
      </c>
      <c r="K440">
        <v>7.4320373014414907</v>
      </c>
      <c r="L440">
        <v>2.8388162835512012</v>
      </c>
      <c r="M440">
        <v>23.550059611206922</v>
      </c>
      <c r="N440">
        <v>27.476317611111003</v>
      </c>
      <c r="O440">
        <v>0.75041478026117869</v>
      </c>
      <c r="P440">
        <f>0.27195/2</f>
        <v>0.13597500000000001</v>
      </c>
    </row>
    <row r="441" spans="1:16">
      <c r="A441" s="1" t="s">
        <v>470</v>
      </c>
      <c r="B441" s="1" t="s">
        <v>482</v>
      </c>
      <c r="C441" s="1" t="s">
        <v>105</v>
      </c>
      <c r="D441" s="1" t="s">
        <v>106</v>
      </c>
      <c r="E441" s="1" t="s">
        <v>475</v>
      </c>
      <c r="F441">
        <v>64.112750086411722</v>
      </c>
      <c r="G441">
        <v>86.968778852830326</v>
      </c>
      <c r="H441">
        <v>12.925612293488795</v>
      </c>
      <c r="I441">
        <v>2.893883336131025</v>
      </c>
      <c r="J441">
        <f>2.2463/2</f>
        <v>1.1231500000000001</v>
      </c>
      <c r="K441">
        <v>7.2534078539317832</v>
      </c>
      <c r="L441">
        <v>2.9002484537500401</v>
      </c>
      <c r="M441">
        <v>23.393480794285832</v>
      </c>
      <c r="N441">
        <v>25.250023499466842</v>
      </c>
      <c r="O441">
        <v>0.72004422626565323</v>
      </c>
      <c r="P441">
        <f>0.30327/2</f>
        <v>0.15163499999999999</v>
      </c>
    </row>
    <row r="442" spans="1:16">
      <c r="A442" s="1" t="s">
        <v>470</v>
      </c>
      <c r="B442" s="1" t="s">
        <v>483</v>
      </c>
      <c r="C442" s="1" t="s">
        <v>105</v>
      </c>
      <c r="D442" s="1" t="s">
        <v>106</v>
      </c>
      <c r="E442" s="1" t="s">
        <v>475</v>
      </c>
      <c r="F442">
        <v>65.483948283794291</v>
      </c>
      <c r="G442">
        <v>139.92778015569533</v>
      </c>
      <c r="H442">
        <v>12.901954802300843</v>
      </c>
      <c r="I442">
        <v>3.1594577753407362</v>
      </c>
      <c r="J442">
        <f>2.3231/2</f>
        <v>1.1615500000000001</v>
      </c>
      <c r="K442">
        <v>7.0236860658257845</v>
      </c>
      <c r="L442">
        <v>2.8573984385150371</v>
      </c>
      <c r="M442">
        <v>23.980170719624166</v>
      </c>
      <c r="N442">
        <v>25.188763632773462</v>
      </c>
      <c r="O442">
        <v>0.69836405850791639</v>
      </c>
      <c r="P442">
        <f>0.33868/2</f>
        <v>0.16933999999999999</v>
      </c>
    </row>
    <row r="443" spans="1:16">
      <c r="A443" s="1" t="s">
        <v>470</v>
      </c>
      <c r="B443" s="1" t="s">
        <v>484</v>
      </c>
      <c r="C443" s="1" t="s">
        <v>105</v>
      </c>
      <c r="D443" s="1" t="s">
        <v>106</v>
      </c>
      <c r="E443" s="1" t="s">
        <v>475</v>
      </c>
      <c r="F443">
        <v>120.05032486087099</v>
      </c>
      <c r="G443">
        <v>141.63864594932926</v>
      </c>
      <c r="H443">
        <v>11.619220195157165</v>
      </c>
      <c r="I443">
        <v>3.1139912358814477</v>
      </c>
      <c r="J443">
        <f>3.1455/2</f>
        <v>1.5727500000000001</v>
      </c>
      <c r="K443">
        <v>7.5997288739235707</v>
      </c>
      <c r="L443">
        <v>3.0543313135029977</v>
      </c>
      <c r="M443">
        <v>23.422737741508563</v>
      </c>
      <c r="N443">
        <v>28.151440860753119</v>
      </c>
      <c r="O443">
        <v>0.71432707681964303</v>
      </c>
      <c r="P443">
        <f>0.55312/2</f>
        <v>0.27655999999999997</v>
      </c>
    </row>
    <row r="444" spans="1:16">
      <c r="A444" s="1" t="s">
        <v>470</v>
      </c>
      <c r="B444" s="1" t="s">
        <v>485</v>
      </c>
      <c r="C444" s="1" t="s">
        <v>105</v>
      </c>
      <c r="D444" s="1" t="s">
        <v>106</v>
      </c>
      <c r="E444" s="1" t="s">
        <v>475</v>
      </c>
      <c r="F444">
        <v>137.66379744943896</v>
      </c>
      <c r="G444">
        <v>152.94715231731314</v>
      </c>
      <c r="H444">
        <v>14.304361079883563</v>
      </c>
      <c r="I444">
        <v>2.7624877751062642</v>
      </c>
      <c r="J444">
        <f>2.5919/2</f>
        <v>1.2959499999999999</v>
      </c>
      <c r="K444">
        <v>7.8537421309955997</v>
      </c>
      <c r="L444">
        <v>2.8127753774738808</v>
      </c>
      <c r="M444">
        <v>24.381576357135003</v>
      </c>
      <c r="N444">
        <v>28.329200458981376</v>
      </c>
      <c r="O444">
        <v>0.73796713554062565</v>
      </c>
      <c r="P444">
        <f>0.33234/2</f>
        <v>0.16617000000000001</v>
      </c>
    </row>
    <row r="445" spans="1:16">
      <c r="A445" s="1" t="s">
        <v>470</v>
      </c>
      <c r="B445" s="1" t="s">
        <v>486</v>
      </c>
      <c r="C445" s="1" t="s">
        <v>105</v>
      </c>
      <c r="D445" s="1" t="s">
        <v>106</v>
      </c>
      <c r="E445" s="1" t="s">
        <v>475</v>
      </c>
      <c r="F445">
        <v>57.933737161526992</v>
      </c>
      <c r="G445">
        <v>77.750383049335909</v>
      </c>
      <c r="H445">
        <v>14.646762442762844</v>
      </c>
      <c r="I445">
        <v>2.6080805556433981</v>
      </c>
      <c r="J445">
        <f>2.4711/2</f>
        <v>1.2355499999999999</v>
      </c>
      <c r="K445">
        <v>8.2307165856542142</v>
      </c>
      <c r="L445">
        <v>2.8556604945423576</v>
      </c>
      <c r="M445">
        <v>22.737168922508502</v>
      </c>
      <c r="N445">
        <v>26.68689720365068</v>
      </c>
      <c r="O445">
        <v>0.75383055862968318</v>
      </c>
      <c r="P445">
        <f>0.36573/2</f>
        <v>0.182865</v>
      </c>
    </row>
    <row r="446" spans="1:16">
      <c r="A446" s="1" t="s">
        <v>470</v>
      </c>
      <c r="B446" s="1" t="s">
        <v>487</v>
      </c>
      <c r="C446" s="1" t="s">
        <v>105</v>
      </c>
      <c r="D446" s="1" t="s">
        <v>106</v>
      </c>
      <c r="E446" s="1" t="s">
        <v>475</v>
      </c>
      <c r="F446">
        <v>68.365743053699617</v>
      </c>
      <c r="G446">
        <v>109.35954092928085</v>
      </c>
      <c r="H446">
        <v>12.705293106029902</v>
      </c>
      <c r="I446">
        <v>3.191534190798146</v>
      </c>
      <c r="J446">
        <f>2.6827/2</f>
        <v>1.34135</v>
      </c>
      <c r="K446">
        <v>7.0835657723947758</v>
      </c>
      <c r="L446">
        <v>2.8347546515659232</v>
      </c>
      <c r="M446">
        <v>22.876316292781862</v>
      </c>
      <c r="N446">
        <v>27.094012676597529</v>
      </c>
      <c r="O446">
        <v>0.74382458788297734</v>
      </c>
      <c r="P446">
        <f>0.32416/2</f>
        <v>0.16208</v>
      </c>
    </row>
    <row r="447" spans="1:16">
      <c r="A447" s="1" t="s">
        <v>470</v>
      </c>
      <c r="B447" s="1" t="s">
        <v>488</v>
      </c>
      <c r="C447" s="1" t="s">
        <v>105</v>
      </c>
      <c r="D447" s="1" t="s">
        <v>106</v>
      </c>
      <c r="E447" s="1" t="s">
        <v>475</v>
      </c>
      <c r="F447">
        <v>54.27622712681795</v>
      </c>
      <c r="G447">
        <v>84.001007039169735</v>
      </c>
      <c r="H447">
        <v>11.752286090425402</v>
      </c>
      <c r="I447">
        <v>3.1430897254023602</v>
      </c>
      <c r="J447">
        <f>2.4521/2</f>
        <v>1.2260500000000001</v>
      </c>
      <c r="K447">
        <v>7.7022813962490124</v>
      </c>
      <c r="L447">
        <v>2.8784684767426723</v>
      </c>
      <c r="M447">
        <v>24.763814649321585</v>
      </c>
      <c r="N447">
        <v>27.921827486886826</v>
      </c>
      <c r="O447">
        <v>0.79730230849250072</v>
      </c>
      <c r="P447">
        <f>0.38485/2</f>
        <v>0.19242500000000001</v>
      </c>
    </row>
    <row r="448" spans="1:16">
      <c r="A448" s="1" t="s">
        <v>470</v>
      </c>
      <c r="B448" s="1" t="s">
        <v>489</v>
      </c>
      <c r="C448" s="1" t="s">
        <v>105</v>
      </c>
      <c r="D448" s="1" t="s">
        <v>106</v>
      </c>
      <c r="E448" s="1" t="s">
        <v>475</v>
      </c>
      <c r="F448">
        <v>44.513969325768059</v>
      </c>
      <c r="G448">
        <v>77.246696966116829</v>
      </c>
      <c r="H448">
        <v>11.36252971451653</v>
      </c>
      <c r="I448">
        <v>3.179660958047807</v>
      </c>
      <c r="J448">
        <f>2.2781/2</f>
        <v>1.1390499999999999</v>
      </c>
      <c r="K448">
        <v>7.0500343447274059</v>
      </c>
      <c r="L448">
        <v>2.7589609280662564</v>
      </c>
      <c r="M448">
        <v>23.112774685673561</v>
      </c>
      <c r="N448">
        <v>27.183701787156572</v>
      </c>
      <c r="O448">
        <v>0.72713084525669747</v>
      </c>
      <c r="P448">
        <f>0.25115/2</f>
        <v>0.12557499999999999</v>
      </c>
    </row>
    <row r="449" spans="1:16">
      <c r="A449" s="1" t="s">
        <v>470</v>
      </c>
      <c r="B449" s="1" t="s">
        <v>490</v>
      </c>
      <c r="C449" s="1" t="s">
        <v>105</v>
      </c>
      <c r="D449" s="1" t="s">
        <v>106</v>
      </c>
      <c r="E449" s="1" t="s">
        <v>475</v>
      </c>
      <c r="F449">
        <v>55.351892881108171</v>
      </c>
      <c r="G449">
        <v>116.39580105531822</v>
      </c>
      <c r="H449">
        <v>13.396932982631906</v>
      </c>
      <c r="I449">
        <v>3.0466748322374078</v>
      </c>
      <c r="J449">
        <f>2.3816/2</f>
        <v>1.1908000000000001</v>
      </c>
      <c r="K449">
        <v>7.0203242539102542</v>
      </c>
      <c r="L449">
        <v>2.8424554208368442</v>
      </c>
      <c r="M449">
        <v>23.58431058339746</v>
      </c>
      <c r="N449">
        <v>23.384163143666168</v>
      </c>
      <c r="O449">
        <v>0.70716258385334185</v>
      </c>
      <c r="P449">
        <f>0.32124/2</f>
        <v>0.16062000000000001</v>
      </c>
    </row>
    <row r="450" spans="1:16">
      <c r="A450" s="1" t="s">
        <v>470</v>
      </c>
      <c r="B450" s="1" t="s">
        <v>491</v>
      </c>
      <c r="C450" s="1" t="s">
        <v>105</v>
      </c>
      <c r="D450" s="1" t="s">
        <v>106</v>
      </c>
      <c r="E450" s="1" t="s">
        <v>475</v>
      </c>
      <c r="F450">
        <v>15099.208725417853</v>
      </c>
      <c r="G450">
        <v>275.16301219415624</v>
      </c>
      <c r="H450">
        <v>52.765551479392876</v>
      </c>
      <c r="I450">
        <v>5.6201014575167987</v>
      </c>
      <c r="J450">
        <f>3.1329/2</f>
        <v>1.5664499999999999</v>
      </c>
      <c r="K450">
        <v>274.69132857407612</v>
      </c>
      <c r="L450">
        <v>2.8819585048514083</v>
      </c>
      <c r="M450">
        <v>19.71110340988113</v>
      </c>
      <c r="N450">
        <v>31.590182031464618</v>
      </c>
      <c r="O450">
        <v>0.88440636386622817</v>
      </c>
      <c r="P450">
        <f>0.48149/2</f>
        <v>0.24074499999999999</v>
      </c>
    </row>
    <row r="451" spans="1:16">
      <c r="A451" s="1" t="s">
        <v>470</v>
      </c>
      <c r="B451" s="1" t="s">
        <v>492</v>
      </c>
      <c r="C451" s="1" t="s">
        <v>105</v>
      </c>
      <c r="D451" s="1" t="s">
        <v>106</v>
      </c>
      <c r="E451" s="1" t="s">
        <v>475</v>
      </c>
      <c r="F451">
        <v>11875.841961642127</v>
      </c>
      <c r="G451">
        <v>335.08001480670185</v>
      </c>
      <c r="H451">
        <v>40.207916262217751</v>
      </c>
      <c r="I451">
        <v>5.7290748541618495</v>
      </c>
      <c r="J451">
        <f>2.9608/2</f>
        <v>1.4803999999999999</v>
      </c>
      <c r="K451">
        <v>192.67032456271562</v>
      </c>
      <c r="L451">
        <v>2.7503037069209082</v>
      </c>
      <c r="M451">
        <v>19.05502496427702</v>
      </c>
      <c r="N451">
        <v>27.361299801336003</v>
      </c>
      <c r="O451">
        <v>0.87417090332965419</v>
      </c>
      <c r="P451">
        <f>0.41201/2</f>
        <v>0.20600499999999999</v>
      </c>
    </row>
    <row r="452" spans="1:16">
      <c r="A452" s="1" t="s">
        <v>470</v>
      </c>
      <c r="B452" s="1" t="s">
        <v>493</v>
      </c>
      <c r="C452" s="1" t="s">
        <v>105</v>
      </c>
      <c r="D452" s="1" t="s">
        <v>106</v>
      </c>
      <c r="E452" s="1" t="s">
        <v>475</v>
      </c>
      <c r="F452">
        <v>17884.379362046133</v>
      </c>
      <c r="G452">
        <v>306.06356774809012</v>
      </c>
      <c r="H452">
        <v>60.761523106040549</v>
      </c>
      <c r="I452">
        <v>5.2997844909310743</v>
      </c>
      <c r="J452">
        <f>2.6132/2</f>
        <v>1.3066</v>
      </c>
      <c r="K452">
        <v>287.37595528844059</v>
      </c>
      <c r="L452">
        <v>3.0669722007776099</v>
      </c>
      <c r="M452">
        <v>20.272738430980823</v>
      </c>
      <c r="N452">
        <v>32.325543967697286</v>
      </c>
      <c r="O452">
        <v>0.85425840812273357</v>
      </c>
      <c r="P452">
        <f>0.3184/2</f>
        <v>0.15920000000000001</v>
      </c>
    </row>
    <row r="453" spans="1:16">
      <c r="A453" s="1" t="s">
        <v>470</v>
      </c>
      <c r="B453" s="1" t="s">
        <v>494</v>
      </c>
      <c r="C453" s="1" t="s">
        <v>105</v>
      </c>
      <c r="D453" s="1" t="s">
        <v>106</v>
      </c>
      <c r="E453" s="1" t="s">
        <v>475</v>
      </c>
      <c r="F453">
        <v>11828.15750797186</v>
      </c>
      <c r="G453">
        <v>213.4238503348684</v>
      </c>
      <c r="H453">
        <v>54.500828065856304</v>
      </c>
      <c r="I453">
        <v>6.5901376185720864</v>
      </c>
      <c r="J453">
        <f>3.5598/2</f>
        <v>1.7799</v>
      </c>
      <c r="K453">
        <v>171.45303656717789</v>
      </c>
      <c r="L453">
        <v>2.8948875672714287</v>
      </c>
      <c r="M453">
        <v>19.644470398236141</v>
      </c>
      <c r="N453">
        <v>27.007751681282592</v>
      </c>
      <c r="O453">
        <v>0.88024981328863239</v>
      </c>
      <c r="P453">
        <f>0.62688/2</f>
        <v>0.31344</v>
      </c>
    </row>
    <row r="454" spans="1:16">
      <c r="A454" s="1" t="s">
        <v>470</v>
      </c>
      <c r="B454" s="1" t="s">
        <v>495</v>
      </c>
      <c r="C454" s="1" t="s">
        <v>105</v>
      </c>
      <c r="D454" s="1" t="s">
        <v>106</v>
      </c>
      <c r="E454" s="1" t="s">
        <v>475</v>
      </c>
      <c r="F454">
        <v>14444.309263950563</v>
      </c>
      <c r="G454">
        <v>140.78193736881519</v>
      </c>
      <c r="H454">
        <v>54.988485844043744</v>
      </c>
      <c r="I454">
        <v>5.8488170540847317</v>
      </c>
      <c r="J454">
        <f>4.692/2</f>
        <v>2.3460000000000001</v>
      </c>
      <c r="K454">
        <v>299.75655238781803</v>
      </c>
      <c r="L454">
        <v>2.9467045927538131</v>
      </c>
      <c r="M454">
        <v>18.995948987618966</v>
      </c>
      <c r="N454">
        <v>28.818499772369911</v>
      </c>
      <c r="O454">
        <f>1.2196/2</f>
        <v>0.60980000000000001</v>
      </c>
      <c r="P454">
        <f>1.0608/2</f>
        <v>0.53039999999999998</v>
      </c>
    </row>
    <row r="455" spans="1:16">
      <c r="A455" s="1" t="s">
        <v>470</v>
      </c>
      <c r="B455" s="1" t="s">
        <v>496</v>
      </c>
      <c r="C455" s="1" t="s">
        <v>105</v>
      </c>
      <c r="D455" s="1" t="s">
        <v>106</v>
      </c>
      <c r="E455" s="1" t="s">
        <v>475</v>
      </c>
      <c r="F455">
        <v>13392.842270041459</v>
      </c>
      <c r="G455">
        <v>320.08283046727638</v>
      </c>
      <c r="H455">
        <v>60.249096584271584</v>
      </c>
      <c r="I455">
        <v>6.0910556626111125</v>
      </c>
      <c r="J455">
        <v>4.7601919261317427</v>
      </c>
      <c r="K455">
        <v>319.28405854881481</v>
      </c>
      <c r="L455">
        <v>2.9739712471393052</v>
      </c>
      <c r="M455">
        <v>18.782420952985632</v>
      </c>
      <c r="N455">
        <v>29.277611633353107</v>
      </c>
      <c r="O455">
        <v>0.80867474888047131</v>
      </c>
      <c r="P455">
        <f>0.55809/2</f>
        <v>0.27904499999999999</v>
      </c>
    </row>
    <row r="456" spans="1:16">
      <c r="A456" s="1" t="s">
        <v>470</v>
      </c>
      <c r="B456" s="1" t="s">
        <v>497</v>
      </c>
      <c r="C456" s="1" t="s">
        <v>105</v>
      </c>
      <c r="D456" s="1" t="s">
        <v>106</v>
      </c>
      <c r="E456" s="1" t="s">
        <v>475</v>
      </c>
      <c r="F456">
        <v>11669.748720087258</v>
      </c>
      <c r="G456">
        <v>145.17582602987304</v>
      </c>
      <c r="H456">
        <v>63.226431166766439</v>
      </c>
      <c r="I456">
        <v>6.7465901333466469</v>
      </c>
      <c r="J456">
        <v>5.8794535276993853</v>
      </c>
      <c r="K456">
        <v>170.01687783458129</v>
      </c>
      <c r="L456">
        <v>3.009580961541487</v>
      </c>
      <c r="M456">
        <v>18.815170717446986</v>
      </c>
      <c r="N456">
        <v>25.119105351503329</v>
      </c>
      <c r="O456">
        <f>0.9343/2</f>
        <v>0.46715000000000001</v>
      </c>
      <c r="P456">
        <f>0.83028/2</f>
        <v>0.41514000000000001</v>
      </c>
    </row>
    <row r="457" spans="1:16">
      <c r="A457" s="1" t="s">
        <v>470</v>
      </c>
      <c r="B457" s="1" t="s">
        <v>498</v>
      </c>
      <c r="C457" s="1" t="s">
        <v>105</v>
      </c>
      <c r="D457" s="1" t="s">
        <v>106</v>
      </c>
      <c r="E457" s="1" t="s">
        <v>475</v>
      </c>
      <c r="F457">
        <v>9017.8528944975933</v>
      </c>
      <c r="G457">
        <v>211.22843659188334</v>
      </c>
      <c r="H457">
        <v>56.12402766311348</v>
      </c>
      <c r="I457">
        <v>6.8087425282211482</v>
      </c>
      <c r="J457">
        <v>7.9025905459099395</v>
      </c>
      <c r="K457">
        <v>158.43647181520382</v>
      </c>
      <c r="L457">
        <v>3.1385154704643852</v>
      </c>
      <c r="M457">
        <v>20.175359091576446</v>
      </c>
      <c r="N457">
        <v>25.434244476275182</v>
      </c>
      <c r="O457">
        <v>0.8721272841383273</v>
      </c>
      <c r="P457">
        <f>0.37048/2</f>
        <v>0.18523999999999999</v>
      </c>
    </row>
    <row r="458" spans="1:16">
      <c r="A458" s="1" t="s">
        <v>470</v>
      </c>
      <c r="B458" s="1" t="s">
        <v>499</v>
      </c>
      <c r="C458" s="1" t="s">
        <v>105</v>
      </c>
      <c r="D458" s="1" t="s">
        <v>106</v>
      </c>
      <c r="E458" s="1" t="s">
        <v>475</v>
      </c>
      <c r="F458">
        <v>16468.540235910619</v>
      </c>
      <c r="G458">
        <v>205.99269319300438</v>
      </c>
      <c r="H458">
        <v>57.802701957237417</v>
      </c>
      <c r="I458">
        <v>5.7537317487330668</v>
      </c>
      <c r="J458">
        <f>6.0276/2</f>
        <v>3.0137999999999998</v>
      </c>
      <c r="K458">
        <v>350.58820312477474</v>
      </c>
      <c r="L458">
        <v>4.8304640623974811</v>
      </c>
      <c r="M458">
        <v>25.793270325280197</v>
      </c>
      <c r="N458">
        <v>36.215967235173267</v>
      </c>
      <c r="O458">
        <f>1.7299/2</f>
        <v>0.86495</v>
      </c>
      <c r="P458">
        <f>1.4894/2</f>
        <v>0.74470000000000003</v>
      </c>
    </row>
    <row r="459" spans="1:16">
      <c r="A459" s="1" t="s">
        <v>470</v>
      </c>
      <c r="B459" s="1" t="s">
        <v>500</v>
      </c>
      <c r="C459" s="1" t="s">
        <v>105</v>
      </c>
      <c r="D459" s="1" t="s">
        <v>106</v>
      </c>
      <c r="E459" s="1" t="s">
        <v>475</v>
      </c>
      <c r="F459">
        <v>18325.562777504205</v>
      </c>
      <c r="G459">
        <v>233.83037996543737</v>
      </c>
      <c r="H459">
        <v>57.331538465351692</v>
      </c>
      <c r="I459">
        <v>5.6539511989808942</v>
      </c>
      <c r="J459">
        <v>5.9253784763629485</v>
      </c>
      <c r="K459">
        <v>424.7868166736817</v>
      </c>
      <c r="L459">
        <v>3.1496202991564233</v>
      </c>
      <c r="M459">
        <v>19.834336375018943</v>
      </c>
      <c r="N459">
        <v>35.139784186190724</v>
      </c>
      <c r="O459">
        <v>0.80924816512956788</v>
      </c>
      <c r="P459">
        <f>0.63423/2</f>
        <v>0.31711499999999998</v>
      </c>
    </row>
    <row r="460" spans="1:16">
      <c r="A460" s="1" t="s">
        <v>470</v>
      </c>
      <c r="B460" s="1" t="s">
        <v>501</v>
      </c>
      <c r="C460" s="1" t="s">
        <v>105</v>
      </c>
      <c r="D460" s="1" t="s">
        <v>106</v>
      </c>
      <c r="E460" s="1" t="s">
        <v>475</v>
      </c>
      <c r="F460">
        <v>17628.998412830249</v>
      </c>
      <c r="G460">
        <v>294.67017210439326</v>
      </c>
      <c r="H460">
        <v>60.090423503945836</v>
      </c>
      <c r="I460">
        <v>6.2409310685563861</v>
      </c>
      <c r="J460">
        <f>3.8638/2</f>
        <v>1.9319</v>
      </c>
      <c r="K460">
        <v>358.44070463617379</v>
      </c>
      <c r="L460">
        <v>3.2453248384413684</v>
      </c>
      <c r="M460">
        <v>20.558244581467967</v>
      </c>
      <c r="N460">
        <v>35.833929491179013</v>
      </c>
      <c r="O460">
        <f>0.9275/2</f>
        <v>0.46375</v>
      </c>
      <c r="P460">
        <f>0.73199/2</f>
        <v>0.36599500000000001</v>
      </c>
    </row>
    <row r="461" spans="1:16">
      <c r="A461" s="1" t="s">
        <v>470</v>
      </c>
      <c r="B461" s="1" t="s">
        <v>502</v>
      </c>
      <c r="C461" s="1" t="s">
        <v>105</v>
      </c>
      <c r="D461" s="1" t="s">
        <v>106</v>
      </c>
      <c r="E461" s="1" t="s">
        <v>475</v>
      </c>
      <c r="F461">
        <v>16137.62037435298</v>
      </c>
      <c r="G461">
        <v>118.62405294037255</v>
      </c>
      <c r="H461">
        <v>53.190125585803187</v>
      </c>
      <c r="I461">
        <v>5.6403756332909536</v>
      </c>
      <c r="J461">
        <v>4.2035890829584233</v>
      </c>
      <c r="K461">
        <v>344.43186865837549</v>
      </c>
      <c r="L461">
        <v>3.1234948920992944</v>
      </c>
      <c r="M461">
        <v>19.495902861131238</v>
      </c>
      <c r="N461">
        <v>29.9465467336322</v>
      </c>
      <c r="O461">
        <v>0.91010019113816609</v>
      </c>
      <c r="P461">
        <f>0.72126/2</f>
        <v>0.36063000000000001</v>
      </c>
    </row>
    <row r="462" spans="1:16">
      <c r="A462" s="1" t="s">
        <v>470</v>
      </c>
      <c r="B462" s="1" t="s">
        <v>503</v>
      </c>
      <c r="C462" s="1" t="s">
        <v>105</v>
      </c>
      <c r="D462" s="1" t="s">
        <v>106</v>
      </c>
      <c r="E462" s="1" t="s">
        <v>475</v>
      </c>
      <c r="F462">
        <v>18583.808046373018</v>
      </c>
      <c r="G462">
        <v>201.51077315047749</v>
      </c>
      <c r="H462">
        <v>58.821117609102103</v>
      </c>
      <c r="I462">
        <v>6.2547659022545563</v>
      </c>
      <c r="J462">
        <v>3.6175910565682483</v>
      </c>
      <c r="K462">
        <v>442.31379766912852</v>
      </c>
      <c r="L462">
        <v>3.1361186861107324</v>
      </c>
      <c r="M462">
        <v>19.995244919876956</v>
      </c>
      <c r="N462">
        <v>32.633439456400339</v>
      </c>
      <c r="O462">
        <v>0.8504684962211202</v>
      </c>
      <c r="P462">
        <f>0.42753/2</f>
        <v>0.21376500000000001</v>
      </c>
    </row>
    <row r="463" spans="1:16">
      <c r="A463" s="1" t="s">
        <v>470</v>
      </c>
      <c r="B463" s="1" t="s">
        <v>504</v>
      </c>
      <c r="C463" s="1" t="s">
        <v>105</v>
      </c>
      <c r="D463" s="1" t="s">
        <v>106</v>
      </c>
      <c r="E463" s="1" t="s">
        <v>475</v>
      </c>
      <c r="F463">
        <v>16315.495645047238</v>
      </c>
      <c r="G463">
        <v>136.44329794670753</v>
      </c>
      <c r="H463">
        <v>59.212546960043184</v>
      </c>
      <c r="I463">
        <v>5.9683482886670882</v>
      </c>
      <c r="J463">
        <v>6.1159583889825697</v>
      </c>
      <c r="K463">
        <v>369.1028703490299</v>
      </c>
      <c r="L463">
        <v>3.1974450618892125</v>
      </c>
      <c r="M463">
        <v>21.649870774476383</v>
      </c>
      <c r="N463">
        <v>32.462784030455943</v>
      </c>
      <c r="O463">
        <v>0.85098949241451882</v>
      </c>
      <c r="P463">
        <f>0.38124/2</f>
        <v>0.19062000000000001</v>
      </c>
    </row>
    <row r="464" spans="1:16">
      <c r="A464" s="1" t="s">
        <v>470</v>
      </c>
      <c r="B464" s="1" t="s">
        <v>505</v>
      </c>
      <c r="C464" s="1" t="s">
        <v>105</v>
      </c>
      <c r="D464" s="1" t="s">
        <v>106</v>
      </c>
      <c r="E464" s="1" t="s">
        <v>475</v>
      </c>
      <c r="F464">
        <v>12765.455386140182</v>
      </c>
      <c r="G464">
        <v>274.82042675085427</v>
      </c>
      <c r="H464">
        <v>56.748598643987052</v>
      </c>
      <c r="I464">
        <v>6.2868757820878152</v>
      </c>
      <c r="J464">
        <v>6.0129219721361959</v>
      </c>
      <c r="K464">
        <v>294.61635279159452</v>
      </c>
      <c r="L464">
        <v>2.9584250998479229</v>
      </c>
      <c r="M464">
        <v>21.184689516847737</v>
      </c>
      <c r="N464">
        <v>26.262266064073454</v>
      </c>
      <c r="O464">
        <v>0.84824862329812201</v>
      </c>
      <c r="P464">
        <f>0.28532/2</f>
        <v>0.14266000000000001</v>
      </c>
    </row>
    <row r="465" spans="1:16">
      <c r="A465" s="1" t="s">
        <v>470</v>
      </c>
      <c r="B465" s="1" t="s">
        <v>506</v>
      </c>
      <c r="C465" s="1" t="s">
        <v>105</v>
      </c>
      <c r="D465" s="1" t="s">
        <v>106</v>
      </c>
      <c r="E465" s="1" t="s">
        <v>475</v>
      </c>
      <c r="F465">
        <v>19522.650510038369</v>
      </c>
      <c r="G465">
        <v>217.80476478701405</v>
      </c>
      <c r="H465">
        <v>31.791265264712994</v>
      </c>
      <c r="I465">
        <v>5.3233550287916911</v>
      </c>
      <c r="J465">
        <v>4.2572309269703918</v>
      </c>
      <c r="K465">
        <v>376.4085389705304</v>
      </c>
      <c r="L465">
        <v>2.9853609708009836</v>
      </c>
      <c r="M465">
        <v>19.825465529277121</v>
      </c>
      <c r="N465">
        <v>32.525731152301681</v>
      </c>
      <c r="O465">
        <v>0.72947331319779307</v>
      </c>
      <c r="P465">
        <f>0.39665/2</f>
        <v>0.198325</v>
      </c>
    </row>
    <row r="466" spans="1:16">
      <c r="A466" s="1" t="s">
        <v>470</v>
      </c>
      <c r="B466" s="1" t="s">
        <v>507</v>
      </c>
      <c r="C466" s="1" t="s">
        <v>105</v>
      </c>
      <c r="D466" s="1" t="s">
        <v>106</v>
      </c>
      <c r="E466" s="1" t="s">
        <v>475</v>
      </c>
      <c r="F466">
        <v>9550.3714497476085</v>
      </c>
      <c r="G466">
        <v>255.87246782577947</v>
      </c>
      <c r="H466">
        <v>42.915283750288992</v>
      </c>
      <c r="I466">
        <v>6.0094328906909436</v>
      </c>
      <c r="J466">
        <f>3.8557/2</f>
        <v>1.9278500000000001</v>
      </c>
      <c r="K466">
        <v>141.56561758532209</v>
      </c>
      <c r="L466">
        <v>2.475989811133525</v>
      </c>
      <c r="M466">
        <v>20.952731081786744</v>
      </c>
      <c r="N466">
        <v>24.033124791468275</v>
      </c>
      <c r="O466">
        <v>0.80603429279673189</v>
      </c>
      <c r="P466">
        <f>0.75191/2</f>
        <v>0.37595499999999998</v>
      </c>
    </row>
    <row r="467" spans="1:16">
      <c r="A467" s="1" t="s">
        <v>470</v>
      </c>
      <c r="B467" s="1" t="s">
        <v>508</v>
      </c>
      <c r="C467" s="1" t="s">
        <v>105</v>
      </c>
      <c r="D467" s="1" t="s">
        <v>106</v>
      </c>
      <c r="E467" s="1" t="s">
        <v>475</v>
      </c>
      <c r="F467">
        <v>18406.549837264029</v>
      </c>
      <c r="G467">
        <v>66.940375334119253</v>
      </c>
      <c r="H467">
        <v>55.995393707097314</v>
      </c>
      <c r="I467">
        <v>38.585668650990847</v>
      </c>
      <c r="J467">
        <f>4.149/2</f>
        <v>2.0745</v>
      </c>
      <c r="K467">
        <v>651.0263166312933</v>
      </c>
      <c r="L467">
        <v>4.0488044761235358</v>
      </c>
      <c r="M467">
        <v>160.53783748790539</v>
      </c>
      <c r="N467">
        <v>37.348898273263714</v>
      </c>
      <c r="O467">
        <v>1.4045434144291238</v>
      </c>
      <c r="P467">
        <f>0.78074/2</f>
        <v>0.39036999999999999</v>
      </c>
    </row>
    <row r="468" spans="1:16">
      <c r="A468" s="1" t="s">
        <v>470</v>
      </c>
      <c r="B468" s="1" t="s">
        <v>509</v>
      </c>
      <c r="C468" s="1" t="s">
        <v>105</v>
      </c>
      <c r="D468" s="1" t="s">
        <v>106</v>
      </c>
      <c r="E468" s="1" t="s">
        <v>475</v>
      </c>
      <c r="F468">
        <v>19240.392877881983</v>
      </c>
      <c r="G468">
        <v>145.07398324257105</v>
      </c>
      <c r="H468">
        <v>42.713373287129329</v>
      </c>
      <c r="I468">
        <v>48.492291766774827</v>
      </c>
      <c r="J468">
        <f>3.0224/2</f>
        <v>1.5112000000000001</v>
      </c>
      <c r="K468">
        <v>712.61621435793097</v>
      </c>
      <c r="L468">
        <v>6.4136535766208755</v>
      </c>
      <c r="M468">
        <v>225.50161001005768</v>
      </c>
      <c r="N468">
        <v>40.750446474945704</v>
      </c>
      <c r="O468">
        <v>1.7349588405086878</v>
      </c>
      <c r="P468">
        <f>0.40548/2</f>
        <v>0.20274</v>
      </c>
    </row>
    <row r="469" spans="1:16">
      <c r="A469" s="1" t="s">
        <v>470</v>
      </c>
      <c r="B469" s="1" t="s">
        <v>510</v>
      </c>
      <c r="C469" s="1" t="s">
        <v>105</v>
      </c>
      <c r="D469" s="1" t="s">
        <v>106</v>
      </c>
      <c r="E469" s="1" t="s">
        <v>475</v>
      </c>
      <c r="F469">
        <v>12291.477367534091</v>
      </c>
      <c r="G469">
        <v>24.229822945132554</v>
      </c>
      <c r="H469">
        <v>47.09435227351014</v>
      </c>
      <c r="I469">
        <v>49.143103762946154</v>
      </c>
      <c r="J469">
        <f>3.2783/2</f>
        <v>1.6391500000000001</v>
      </c>
      <c r="K469">
        <v>473.44865881905713</v>
      </c>
      <c r="L469">
        <v>2.1938565953982443</v>
      </c>
      <c r="M469">
        <v>115.33607796167296</v>
      </c>
      <c r="N469">
        <v>26.452573844481702</v>
      </c>
      <c r="O469">
        <v>1.5891013800483909</v>
      </c>
      <c r="P469">
        <f>0.50968/2</f>
        <v>0.25484000000000001</v>
      </c>
    </row>
    <row r="470" spans="1:16">
      <c r="A470" s="1" t="s">
        <v>470</v>
      </c>
      <c r="B470" s="1" t="s">
        <v>511</v>
      </c>
      <c r="C470" s="1" t="s">
        <v>105</v>
      </c>
      <c r="D470" s="1" t="s">
        <v>106</v>
      </c>
      <c r="E470" s="1" t="s">
        <v>475</v>
      </c>
      <c r="F470">
        <v>18859.967119943682</v>
      </c>
      <c r="G470">
        <v>34.020875217350664</v>
      </c>
      <c r="H470">
        <v>39.661278905786681</v>
      </c>
      <c r="I470">
        <v>38.768276833307027</v>
      </c>
      <c r="J470">
        <f>3.4444/2</f>
        <v>1.7222</v>
      </c>
      <c r="K470">
        <v>658.80543274963713</v>
      </c>
      <c r="L470">
        <v>3.9284787457277059</v>
      </c>
      <c r="M470">
        <v>151.79574889566317</v>
      </c>
      <c r="N470">
        <v>39.014167249763922</v>
      </c>
      <c r="O470">
        <v>1.3748393301351036</v>
      </c>
      <c r="P470">
        <f>0.54798/2</f>
        <v>0.27399000000000001</v>
      </c>
    </row>
    <row r="471" spans="1:16">
      <c r="A471" s="1" t="s">
        <v>470</v>
      </c>
      <c r="B471" s="1" t="s">
        <v>512</v>
      </c>
      <c r="C471" s="1" t="s">
        <v>105</v>
      </c>
      <c r="D471" s="1" t="s">
        <v>106</v>
      </c>
      <c r="E471" s="1" t="s">
        <v>475</v>
      </c>
      <c r="F471">
        <v>18494.527054415714</v>
      </c>
      <c r="G471">
        <v>19.844607548776029</v>
      </c>
      <c r="H471">
        <v>40.959704017447017</v>
      </c>
      <c r="I471">
        <v>37.886268102184644</v>
      </c>
      <c r="J471">
        <f>3.0845/2</f>
        <v>1.5422499999999999</v>
      </c>
      <c r="K471">
        <v>742.00826963474992</v>
      </c>
      <c r="L471">
        <v>3.2791487761683906</v>
      </c>
      <c r="M471">
        <v>139.40947618612435</v>
      </c>
      <c r="N471">
        <v>32.343799066323847</v>
      </c>
      <c r="O471">
        <v>1.4831578350402239</v>
      </c>
      <c r="P471">
        <f>0.45306/2</f>
        <v>0.22653000000000001</v>
      </c>
    </row>
    <row r="472" spans="1:16">
      <c r="A472" s="1" t="s">
        <v>470</v>
      </c>
      <c r="B472" s="1" t="s">
        <v>513</v>
      </c>
      <c r="C472" s="1" t="s">
        <v>105</v>
      </c>
      <c r="D472" s="1" t="s">
        <v>106</v>
      </c>
      <c r="E472" s="1" t="s">
        <v>475</v>
      </c>
      <c r="F472">
        <v>1916.314171631717</v>
      </c>
      <c r="G472">
        <v>95.028690840526437</v>
      </c>
      <c r="H472">
        <f>26.4601/2</f>
        <v>13.23005</v>
      </c>
      <c r="I472">
        <v>21.600592320434519</v>
      </c>
      <c r="J472">
        <f>6.9964/2</f>
        <v>3.4982000000000002</v>
      </c>
      <c r="K472">
        <v>17.37524176434648</v>
      </c>
      <c r="L472">
        <v>1.5191230692722242</v>
      </c>
      <c r="M472">
        <f>7.6068/2</f>
        <v>3.8033999999999999</v>
      </c>
      <c r="N472">
        <v>17.28090018776027</v>
      </c>
      <c r="O472">
        <v>1.9837</v>
      </c>
      <c r="P472">
        <f>1.7177/2</f>
        <v>0.85885</v>
      </c>
    </row>
    <row r="473" spans="1:16">
      <c r="A473" s="1" t="s">
        <v>470</v>
      </c>
      <c r="B473" s="1" t="s">
        <v>514</v>
      </c>
      <c r="C473" s="1" t="s">
        <v>105</v>
      </c>
      <c r="D473" s="1" t="s">
        <v>106</v>
      </c>
      <c r="E473" s="1" t="s">
        <v>475</v>
      </c>
      <c r="F473">
        <v>101.08030696426329</v>
      </c>
      <c r="G473">
        <v>321.27451210655084</v>
      </c>
      <c r="H473">
        <f>31.9303/2</f>
        <v>15.96515</v>
      </c>
      <c r="I473">
        <f>1.8747/2</f>
        <v>0.93735000000000002</v>
      </c>
      <c r="J473">
        <f>7.3953/2</f>
        <v>3.6976499999999999</v>
      </c>
      <c r="K473">
        <v>12.39889061965831</v>
      </c>
      <c r="L473">
        <v>1.9117922513134753</v>
      </c>
      <c r="M473">
        <f>9.0104/2</f>
        <v>4.5052000000000003</v>
      </c>
      <c r="N473">
        <f>11.3762/2</f>
        <v>5.6881000000000004</v>
      </c>
      <c r="O473">
        <f>2.5154/2</f>
        <v>1.2577</v>
      </c>
      <c r="P473">
        <f>2.3021/2</f>
        <v>1.1510499999999999</v>
      </c>
    </row>
    <row r="474" spans="1:16">
      <c r="A474" s="1" t="s">
        <v>470</v>
      </c>
      <c r="B474" s="1" t="s">
        <v>515</v>
      </c>
      <c r="C474" s="1" t="s">
        <v>105</v>
      </c>
      <c r="D474" s="1" t="s">
        <v>106</v>
      </c>
      <c r="E474" s="1" t="s">
        <v>475</v>
      </c>
      <c r="F474">
        <v>355.54079132054432</v>
      </c>
      <c r="G474">
        <v>442.17350037466861</v>
      </c>
      <c r="H474">
        <f>24.1099/2</f>
        <v>12.05495</v>
      </c>
      <c r="I474">
        <f>1.4607/2</f>
        <v>0.73035000000000005</v>
      </c>
      <c r="J474">
        <v>16.360843685037022</v>
      </c>
      <c r="K474">
        <v>22.191448376956078</v>
      </c>
      <c r="L474">
        <f>1.2092/2</f>
        <v>0.60460000000000003</v>
      </c>
      <c r="M474">
        <f>6.7115/2</f>
        <v>3.35575</v>
      </c>
      <c r="N474">
        <v>13.837971568126299</v>
      </c>
      <c r="O474">
        <f>1.8296/2</f>
        <v>0.91479999999999995</v>
      </c>
      <c r="P474">
        <f>1.7099/2</f>
        <v>0.85494999999999999</v>
      </c>
    </row>
    <row r="475" spans="1:16">
      <c r="A475" s="1" t="s">
        <v>470</v>
      </c>
      <c r="B475" s="1" t="s">
        <v>516</v>
      </c>
      <c r="C475" s="1" t="s">
        <v>105</v>
      </c>
      <c r="D475" s="1" t="s">
        <v>106</v>
      </c>
      <c r="E475" s="1" t="s">
        <v>475</v>
      </c>
      <c r="F475">
        <v>2102.2622405605334</v>
      </c>
      <c r="G475">
        <v>768.19598153085383</v>
      </c>
      <c r="H475">
        <f>44.4358/2</f>
        <v>22.2179</v>
      </c>
      <c r="I475">
        <f>3.2681/2</f>
        <v>1.63405</v>
      </c>
      <c r="J475">
        <f>9.5566/2</f>
        <v>4.7782999999999998</v>
      </c>
      <c r="K475">
        <v>88.812221978674742</v>
      </c>
      <c r="L475">
        <f>3.1453/2</f>
        <v>1.5726500000000001</v>
      </c>
      <c r="M475">
        <f>8.1724/2</f>
        <v>4.0861999999999998</v>
      </c>
      <c r="N475">
        <f>34.2276/2</f>
        <v>17.113800000000001</v>
      </c>
      <c r="O475">
        <f>5.4714/2</f>
        <v>2.7357</v>
      </c>
      <c r="P475">
        <f>4.65/2</f>
        <v>2.3250000000000002</v>
      </c>
    </row>
    <row r="476" spans="1:16">
      <c r="A476" s="1" t="s">
        <v>470</v>
      </c>
      <c r="B476" s="1" t="s">
        <v>517</v>
      </c>
      <c r="C476" s="1" t="s">
        <v>105</v>
      </c>
      <c r="D476" s="1" t="s">
        <v>106</v>
      </c>
      <c r="E476" s="1" t="s">
        <v>475</v>
      </c>
      <c r="F476">
        <v>469.68692714173835</v>
      </c>
      <c r="G476">
        <v>478.31634505006843</v>
      </c>
      <c r="H476">
        <f>94.7257/2</f>
        <v>47.362850000000002</v>
      </c>
      <c r="I476">
        <f>6.5416/2</f>
        <v>3.2707999999999999</v>
      </c>
      <c r="J476">
        <f>15.9256/2</f>
        <v>7.9627999999999997</v>
      </c>
      <c r="K476">
        <f>29.9971/2</f>
        <v>14.99855</v>
      </c>
      <c r="L476">
        <f>6.1604/2</f>
        <v>3.0802</v>
      </c>
      <c r="M476">
        <f>17.5347/2</f>
        <v>8.7673500000000004</v>
      </c>
      <c r="N476">
        <f>67.7583/2</f>
        <v>33.879150000000003</v>
      </c>
      <c r="O476">
        <f>10.971/2</f>
        <v>5.4855</v>
      </c>
      <c r="P476">
        <f>9.6978/2</f>
        <v>4.8489000000000004</v>
      </c>
    </row>
    <row r="477" spans="1:16">
      <c r="A477" s="1" t="s">
        <v>470</v>
      </c>
      <c r="B477" s="1" t="s">
        <v>518</v>
      </c>
      <c r="C477" s="1" t="s">
        <v>105</v>
      </c>
      <c r="D477" s="1" t="s">
        <v>106</v>
      </c>
      <c r="E477" s="1" t="s">
        <v>475</v>
      </c>
      <c r="F477">
        <v>32.232215896971098</v>
      </c>
      <c r="G477">
        <v>72.882772015299949</v>
      </c>
      <c r="H477">
        <f>4.3201/2</f>
        <v>2.16005</v>
      </c>
      <c r="I477">
        <v>9.2186578605083618</v>
      </c>
      <c r="J477">
        <f>3.1687/2</f>
        <v>1.5843499999999999</v>
      </c>
      <c r="K477">
        <v>4.9059093447659095</v>
      </c>
      <c r="L477">
        <v>2.7153091128887423</v>
      </c>
      <c r="M477">
        <v>12.446893706752286</v>
      </c>
      <c r="N477">
        <v>17.560774612586997</v>
      </c>
      <c r="O477">
        <v>0.58883522929169696</v>
      </c>
      <c r="P477">
        <f>0.33651/2</f>
        <v>0.16825499999999999</v>
      </c>
    </row>
    <row r="478" spans="1:16">
      <c r="A478" s="1" t="s">
        <v>470</v>
      </c>
      <c r="B478" s="1" t="s">
        <v>519</v>
      </c>
      <c r="C478" s="1" t="s">
        <v>105</v>
      </c>
      <c r="D478" s="1" t="s">
        <v>106</v>
      </c>
      <c r="E478" s="1" t="s">
        <v>475</v>
      </c>
      <c r="F478">
        <v>1039.3791664528148</v>
      </c>
      <c r="G478">
        <v>81.176787958859606</v>
      </c>
      <c r="H478">
        <f>25.2013/2</f>
        <v>12.60065</v>
      </c>
      <c r="I478">
        <v>10.559102826980716</v>
      </c>
      <c r="J478">
        <f>6.501/2</f>
        <v>3.2505000000000002</v>
      </c>
      <c r="K478">
        <v>42.560531958311024</v>
      </c>
      <c r="L478">
        <v>2.64100882673613</v>
      </c>
      <c r="M478">
        <v>13.146508200797223</v>
      </c>
      <c r="N478">
        <v>19.44543739803331</v>
      </c>
      <c r="O478">
        <f>1.7791/2</f>
        <v>0.88954999999999995</v>
      </c>
      <c r="P478">
        <f>1.6912/2</f>
        <v>0.84560000000000002</v>
      </c>
    </row>
    <row r="479" spans="1:16">
      <c r="A479" s="1" t="s">
        <v>470</v>
      </c>
      <c r="B479" s="1" t="s">
        <v>520</v>
      </c>
      <c r="C479" s="1" t="s">
        <v>105</v>
      </c>
      <c r="D479" s="1" t="s">
        <v>106</v>
      </c>
      <c r="E479" s="1" t="s">
        <v>475</v>
      </c>
      <c r="F479">
        <v>55.908064885262412</v>
      </c>
      <c r="G479">
        <v>72.797609092255485</v>
      </c>
      <c r="H479">
        <f>19.8807/2</f>
        <v>9.9403500000000005</v>
      </c>
      <c r="I479">
        <v>10.132235966787803</v>
      </c>
      <c r="J479">
        <f>6.1382/2</f>
        <v>3.0691000000000002</v>
      </c>
      <c r="K479">
        <f>8.15/2</f>
        <v>4.0750000000000002</v>
      </c>
      <c r="L479">
        <v>2.5446503655711408</v>
      </c>
      <c r="M479">
        <v>11.506969056980745</v>
      </c>
      <c r="N479">
        <v>19.345667417272036</v>
      </c>
      <c r="O479">
        <f>1.5672/2</f>
        <v>0.78359999999999996</v>
      </c>
      <c r="P479">
        <f>1.2808/2</f>
        <v>0.64039999999999997</v>
      </c>
    </row>
    <row r="480" spans="1:16">
      <c r="A480" s="1" t="s">
        <v>470</v>
      </c>
      <c r="B480" s="1" t="s">
        <v>521</v>
      </c>
      <c r="C480" s="1" t="s">
        <v>105</v>
      </c>
      <c r="D480" s="1" t="s">
        <v>106</v>
      </c>
      <c r="E480" s="1" t="s">
        <v>475</v>
      </c>
      <c r="F480">
        <v>365.07774599047377</v>
      </c>
      <c r="G480">
        <v>76.679040338168207</v>
      </c>
      <c r="H480">
        <f>15.1025/2</f>
        <v>7.5512499999999996</v>
      </c>
      <c r="I480">
        <v>9.7996246896343973</v>
      </c>
      <c r="J480">
        <f>4.964/2</f>
        <v>2.4820000000000002</v>
      </c>
      <c r="K480">
        <v>15.345332503084814</v>
      </c>
      <c r="L480">
        <v>2.6892644046712468</v>
      </c>
      <c r="M480">
        <v>13.494364985229508</v>
      </c>
      <c r="N480">
        <v>28.272157751157163</v>
      </c>
      <c r="O480">
        <f>1.1449/2</f>
        <v>0.57245000000000001</v>
      </c>
      <c r="P480">
        <f>1.0747/2</f>
        <v>0.53734999999999999</v>
      </c>
    </row>
    <row r="481" spans="1:16">
      <c r="A481" s="1" t="s">
        <v>470</v>
      </c>
      <c r="B481" s="1" t="s">
        <v>522</v>
      </c>
      <c r="C481" s="1" t="s">
        <v>105</v>
      </c>
      <c r="D481" s="1" t="s">
        <v>106</v>
      </c>
      <c r="E481" s="1" t="s">
        <v>475</v>
      </c>
      <c r="F481">
        <v>670.81103600164522</v>
      </c>
      <c r="G481">
        <v>65.317543075601861</v>
      </c>
      <c r="H481">
        <f>4.0033/2</f>
        <v>2.0016500000000002</v>
      </c>
      <c r="I481">
        <v>9.6660481720406999</v>
      </c>
      <c r="J481">
        <f>2.2299/2</f>
        <v>1.1149500000000001</v>
      </c>
      <c r="K481">
        <v>20.983429208783939</v>
      </c>
      <c r="L481">
        <v>2.8662011100326663</v>
      </c>
      <c r="M481">
        <v>11.947371764654626</v>
      </c>
      <c r="N481">
        <v>20.548384990099155</v>
      </c>
      <c r="O481">
        <v>0.45854875623326025</v>
      </c>
      <c r="P481">
        <f>0.30812/2</f>
        <v>0.15406</v>
      </c>
    </row>
    <row r="482" spans="1:16">
      <c r="A482" s="1" t="s">
        <v>470</v>
      </c>
      <c r="B482" s="1" t="s">
        <v>523</v>
      </c>
      <c r="C482" s="1" t="s">
        <v>105</v>
      </c>
      <c r="D482" s="1" t="s">
        <v>106</v>
      </c>
      <c r="E482" s="1" t="s">
        <v>475</v>
      </c>
      <c r="F482">
        <v>851.55688801118094</v>
      </c>
      <c r="G482">
        <v>59.341805047945329</v>
      </c>
      <c r="H482">
        <f>20.3397/2</f>
        <v>10.16985</v>
      </c>
      <c r="I482">
        <v>10.412278631328633</v>
      </c>
      <c r="J482">
        <f>4.6974/2</f>
        <v>2.3487</v>
      </c>
      <c r="K482">
        <v>22.304719352150567</v>
      </c>
      <c r="L482">
        <v>2.6009086973089044</v>
      </c>
      <c r="M482">
        <v>12.127589069542005</v>
      </c>
      <c r="N482">
        <v>15.812799210723513</v>
      </c>
      <c r="O482">
        <f>1.5172/2</f>
        <v>0.75860000000000005</v>
      </c>
      <c r="P482">
        <f>1.3672/2</f>
        <v>0.68359999999999999</v>
      </c>
    </row>
    <row r="483" spans="1:16">
      <c r="A483" s="1" t="s">
        <v>470</v>
      </c>
      <c r="B483" s="1" t="s">
        <v>524</v>
      </c>
      <c r="C483" s="1" t="s">
        <v>105</v>
      </c>
      <c r="D483" s="1" t="s">
        <v>106</v>
      </c>
      <c r="E483" s="1" t="s">
        <v>475</v>
      </c>
      <c r="F483">
        <v>1420.0719765589836</v>
      </c>
      <c r="G483">
        <v>64.478482350428081</v>
      </c>
      <c r="H483">
        <f>13.2846/2</f>
        <v>6.6422999999999996</v>
      </c>
      <c r="I483">
        <v>9.1781036013389432</v>
      </c>
      <c r="J483">
        <f>4.9848/2</f>
        <v>2.4923999999999999</v>
      </c>
      <c r="K483">
        <v>36.231739044243795</v>
      </c>
      <c r="L483">
        <v>2.9439553193921535</v>
      </c>
      <c r="M483">
        <v>11.491617758917201</v>
      </c>
      <c r="N483">
        <v>17.655687633384765</v>
      </c>
      <c r="O483">
        <f>1.1247/2</f>
        <v>0.56235000000000002</v>
      </c>
      <c r="P483">
        <f>1.0715/2</f>
        <v>0.53574999999999995</v>
      </c>
    </row>
    <row r="484" spans="1:16">
      <c r="A484" s="1" t="s">
        <v>470</v>
      </c>
      <c r="B484" s="1" t="s">
        <v>525</v>
      </c>
      <c r="C484" s="1" t="s">
        <v>105</v>
      </c>
      <c r="D484" s="1" t="s">
        <v>106</v>
      </c>
      <c r="E484" s="1" t="s">
        <v>475</v>
      </c>
      <c r="F484">
        <v>170.24989814334967</v>
      </c>
      <c r="G484">
        <v>70.703136383321507</v>
      </c>
      <c r="H484">
        <f>4.7965/2</f>
        <v>2.39825</v>
      </c>
      <c r="I484">
        <v>12.392151176081402</v>
      </c>
      <c r="J484">
        <f>2.5761/2</f>
        <v>1.2880499999999999</v>
      </c>
      <c r="K484">
        <v>11.582467261430489</v>
      </c>
      <c r="L484">
        <v>2.7329773900977337</v>
      </c>
      <c r="M484">
        <v>11.568737130967721</v>
      </c>
      <c r="N484">
        <v>17.784618540494346</v>
      </c>
      <c r="O484">
        <v>0.47528820368495578</v>
      </c>
      <c r="P484">
        <f>0.28114/2</f>
        <v>0.14057</v>
      </c>
    </row>
    <row r="485" spans="1:16">
      <c r="A485" s="1" t="s">
        <v>470</v>
      </c>
      <c r="B485" s="1" t="s">
        <v>526</v>
      </c>
      <c r="C485" s="1" t="s">
        <v>105</v>
      </c>
      <c r="D485" s="1" t="s">
        <v>106</v>
      </c>
      <c r="E485" s="1" t="s">
        <v>475</v>
      </c>
      <c r="F485">
        <v>160.19223249991308</v>
      </c>
      <c r="G485">
        <v>79.323775672228209</v>
      </c>
      <c r="H485">
        <v>142.13270669520165</v>
      </c>
      <c r="I485">
        <v>12.665616500475279</v>
      </c>
      <c r="J485">
        <f>3.5246/2</f>
        <v>1.7623</v>
      </c>
      <c r="K485">
        <v>11.406438675642137</v>
      </c>
      <c r="L485">
        <v>1.6831888006926867</v>
      </c>
      <c r="M485">
        <v>16.24360389727158</v>
      </c>
      <c r="N485">
        <v>10.470764999793703</v>
      </c>
      <c r="O485">
        <v>0.9244695951442945</v>
      </c>
      <c r="P485">
        <f>0.58478/2</f>
        <v>0.29238999999999998</v>
      </c>
    </row>
    <row r="486" spans="1:16">
      <c r="A486" s="1" t="s">
        <v>470</v>
      </c>
      <c r="B486" s="1" t="s">
        <v>527</v>
      </c>
      <c r="C486" s="1" t="s">
        <v>105</v>
      </c>
      <c r="D486" s="1" t="s">
        <v>106</v>
      </c>
      <c r="E486" s="1" t="s">
        <v>475</v>
      </c>
      <c r="F486">
        <v>135.46604301189939</v>
      </c>
      <c r="G486">
        <v>111.98534839258546</v>
      </c>
      <c r="H486">
        <v>144.69590911217298</v>
      </c>
      <c r="I486">
        <v>12.220509914758477</v>
      </c>
      <c r="J486">
        <f>2.9352/2</f>
        <v>1.4676</v>
      </c>
      <c r="K486">
        <v>9.8679441533857108</v>
      </c>
      <c r="L486">
        <v>1.6907783948342776</v>
      </c>
      <c r="M486">
        <v>16.425065225843237</v>
      </c>
      <c r="N486">
        <v>11.717787414818147</v>
      </c>
      <c r="O486">
        <v>1.0956767515659604</v>
      </c>
      <c r="P486">
        <f>0.4372/2</f>
        <v>0.21859999999999999</v>
      </c>
    </row>
    <row r="487" spans="1:16">
      <c r="A487" s="1" t="s">
        <v>470</v>
      </c>
      <c r="B487" s="1" t="s">
        <v>528</v>
      </c>
      <c r="C487" s="1" t="s">
        <v>105</v>
      </c>
      <c r="D487" s="1" t="s">
        <v>106</v>
      </c>
      <c r="E487" s="1" t="s">
        <v>475</v>
      </c>
      <c r="F487">
        <v>8175.3526504216698</v>
      </c>
      <c r="G487">
        <v>75.068386779682569</v>
      </c>
      <c r="H487">
        <v>143.67705250010309</v>
      </c>
      <c r="I487">
        <v>12.748984297466372</v>
      </c>
      <c r="J487">
        <f>4.3937/2</f>
        <v>2.19685</v>
      </c>
      <c r="K487">
        <v>168.45231977348482</v>
      </c>
      <c r="L487">
        <v>1.7513527072689403</v>
      </c>
      <c r="M487">
        <v>15.92562872775498</v>
      </c>
      <c r="N487">
        <v>15.256512528909647</v>
      </c>
      <c r="O487">
        <v>1.0483965361068726</v>
      </c>
      <c r="P487">
        <f>0.8002/2</f>
        <v>0.40010000000000001</v>
      </c>
    </row>
    <row r="488" spans="1:16">
      <c r="A488" s="1" t="s">
        <v>470</v>
      </c>
      <c r="B488" s="1" t="s">
        <v>529</v>
      </c>
      <c r="C488" s="1" t="s">
        <v>105</v>
      </c>
      <c r="D488" s="1" t="s">
        <v>106</v>
      </c>
      <c r="E488" s="1" t="s">
        <v>475</v>
      </c>
      <c r="F488">
        <v>4764.4009713228852</v>
      </c>
      <c r="G488">
        <v>77.062883615549509</v>
      </c>
      <c r="H488">
        <v>133.05809613838784</v>
      </c>
      <c r="I488">
        <v>12.933842059243991</v>
      </c>
      <c r="J488">
        <f>3.7088/2</f>
        <v>1.8544</v>
      </c>
      <c r="K488">
        <v>96.9568611963292</v>
      </c>
      <c r="L488">
        <v>1.9756155706985694</v>
      </c>
      <c r="M488">
        <v>14.116856477241662</v>
      </c>
      <c r="N488">
        <v>19.56657724607885</v>
      </c>
      <c r="O488">
        <v>1.0184695697000374</v>
      </c>
      <c r="P488">
        <f>0.65643/2</f>
        <v>0.32821499999999998</v>
      </c>
    </row>
    <row r="489" spans="1:16">
      <c r="A489" s="1" t="s">
        <v>470</v>
      </c>
      <c r="B489" s="1" t="s">
        <v>530</v>
      </c>
      <c r="C489" s="1" t="s">
        <v>105</v>
      </c>
      <c r="D489" s="1" t="s">
        <v>106</v>
      </c>
      <c r="E489" s="1" t="s">
        <v>475</v>
      </c>
      <c r="F489">
        <v>794.15446237471031</v>
      </c>
      <c r="G489">
        <v>55.23466295184582</v>
      </c>
      <c r="H489">
        <v>141.07654366096708</v>
      </c>
      <c r="I489">
        <v>12.066378856483574</v>
      </c>
      <c r="J489">
        <f>9.5731/2</f>
        <v>4.7865500000000001</v>
      </c>
      <c r="K489">
        <v>22.989820091284034</v>
      </c>
      <c r="L489">
        <f>2.1931/2</f>
        <v>1.0965499999999999</v>
      </c>
      <c r="M489">
        <v>16.108748738775517</v>
      </c>
      <c r="N489">
        <f>14.791/2</f>
        <v>7.3955000000000002</v>
      </c>
      <c r="O489">
        <f>3.338/2</f>
        <v>1.669</v>
      </c>
      <c r="P489">
        <f>2.8261/2</f>
        <v>1.4130499999999999</v>
      </c>
    </row>
    <row r="490" spans="1:16">
      <c r="A490" s="1" t="s">
        <v>470</v>
      </c>
      <c r="B490" s="1" t="s">
        <v>531</v>
      </c>
      <c r="C490" s="1" t="s">
        <v>105</v>
      </c>
      <c r="D490" s="1" t="s">
        <v>106</v>
      </c>
      <c r="E490" s="1" t="s">
        <v>475</v>
      </c>
      <c r="F490">
        <v>1751.2423253424031</v>
      </c>
      <c r="G490">
        <v>146.76652065718508</v>
      </c>
      <c r="H490">
        <v>141.24795883187423</v>
      </c>
      <c r="I490">
        <v>12.794192663711492</v>
      </c>
      <c r="J490">
        <f>8.5931/2</f>
        <v>4.2965499999999999</v>
      </c>
      <c r="K490">
        <v>39.217964506893971</v>
      </c>
      <c r="L490">
        <f>1.9283/2</f>
        <v>0.96414999999999995</v>
      </c>
      <c r="M490">
        <v>15.929241687699704</v>
      </c>
      <c r="N490">
        <f>13.7603/2</f>
        <v>6.8801500000000004</v>
      </c>
      <c r="O490">
        <f>2.9108/2</f>
        <v>1.4554</v>
      </c>
      <c r="P490">
        <f>2.4219/2</f>
        <v>1.21095</v>
      </c>
    </row>
    <row r="491" spans="1:16">
      <c r="A491" s="1" t="s">
        <v>470</v>
      </c>
      <c r="B491" s="1" t="s">
        <v>532</v>
      </c>
      <c r="C491" s="1" t="s">
        <v>105</v>
      </c>
      <c r="D491" s="1" t="s">
        <v>106</v>
      </c>
      <c r="E491" s="1" t="s">
        <v>475</v>
      </c>
      <c r="F491">
        <v>209.56926386208787</v>
      </c>
      <c r="G491">
        <v>19.248751437800244</v>
      </c>
      <c r="H491">
        <f>7.1962/2</f>
        <v>3.5981000000000001</v>
      </c>
      <c r="I491">
        <v>1.9015728399648031</v>
      </c>
      <c r="J491">
        <f>3.4718/2</f>
        <v>1.7359</v>
      </c>
      <c r="K491">
        <v>729.73278403422921</v>
      </c>
      <c r="L491">
        <v>0.80729911610439409</v>
      </c>
      <c r="M491">
        <v>9.4767707895612876</v>
      </c>
      <c r="N491">
        <v>6.3769450554133762</v>
      </c>
      <c r="O491">
        <f>0.62939/2</f>
        <v>0.314695</v>
      </c>
      <c r="P491">
        <f>0.47287/2</f>
        <v>0.23643500000000001</v>
      </c>
    </row>
    <row r="492" spans="1:16">
      <c r="A492" s="1" t="s">
        <v>470</v>
      </c>
      <c r="B492" s="1" t="s">
        <v>533</v>
      </c>
      <c r="C492" s="1" t="s">
        <v>105</v>
      </c>
      <c r="D492" s="1" t="s">
        <v>106</v>
      </c>
      <c r="E492" s="1" t="s">
        <v>475</v>
      </c>
      <c r="F492">
        <v>208.27021400948763</v>
      </c>
      <c r="G492">
        <v>24.812004544955027</v>
      </c>
      <c r="H492">
        <f>15.2284/2</f>
        <v>7.6142000000000003</v>
      </c>
      <c r="I492">
        <v>1.8922441604619678</v>
      </c>
      <c r="J492">
        <f>4.7964/2</f>
        <v>2.3982000000000001</v>
      </c>
      <c r="K492">
        <v>796.75909956343264</v>
      </c>
      <c r="L492">
        <f>0.93636/2</f>
        <v>0.46817999999999999</v>
      </c>
      <c r="M492">
        <v>9.8900240514254936</v>
      </c>
      <c r="N492">
        <f>6.7494/2</f>
        <v>3.3746999999999998</v>
      </c>
      <c r="O492">
        <f>1.1867/2</f>
        <v>0.59335000000000004</v>
      </c>
      <c r="P492">
        <f>1.1104/2</f>
        <v>0.55520000000000003</v>
      </c>
    </row>
    <row r="493" spans="1:16">
      <c r="A493" s="1" t="s">
        <v>470</v>
      </c>
      <c r="B493" s="1" t="s">
        <v>534</v>
      </c>
      <c r="C493" s="1" t="s">
        <v>105</v>
      </c>
      <c r="D493" s="1" t="s">
        <v>106</v>
      </c>
      <c r="E493" s="1" t="s">
        <v>475</v>
      </c>
      <c r="F493">
        <v>83.302365219791852</v>
      </c>
      <c r="G493">
        <v>46.275927676116041</v>
      </c>
      <c r="H493">
        <v>14.479677494561988</v>
      </c>
      <c r="I493">
        <v>12.465293573666896</v>
      </c>
      <c r="J493">
        <f>3.2652/2</f>
        <v>1.6326000000000001</v>
      </c>
      <c r="K493">
        <v>65.142257678890687</v>
      </c>
      <c r="L493">
        <v>0.79620370167570143</v>
      </c>
      <c r="M493">
        <v>7.7792078699790315</v>
      </c>
      <c r="N493">
        <v>2.9136412153109785</v>
      </c>
      <c r="O493">
        <f>0.5994/2</f>
        <v>0.29970000000000002</v>
      </c>
      <c r="P493">
        <f>0.46604/2</f>
        <v>0.23302</v>
      </c>
    </row>
    <row r="494" spans="1:16">
      <c r="A494" s="1" t="s">
        <v>470</v>
      </c>
      <c r="B494" s="1" t="s">
        <v>535</v>
      </c>
      <c r="C494" s="1" t="s">
        <v>105</v>
      </c>
      <c r="D494" s="1" t="s">
        <v>106</v>
      </c>
      <c r="E494" s="1" t="s">
        <v>475</v>
      </c>
      <c r="F494">
        <v>34.137273040873346</v>
      </c>
      <c r="G494">
        <v>19.077905040831268</v>
      </c>
      <c r="H494">
        <v>13.108506402205574</v>
      </c>
      <c r="I494">
        <v>12.032516592581334</v>
      </c>
      <c r="J494">
        <f>3.8736/2</f>
        <v>1.9368000000000001</v>
      </c>
      <c r="K494">
        <v>39.455678205674559</v>
      </c>
      <c r="L494">
        <v>0.68976265999829678</v>
      </c>
      <c r="M494">
        <v>5.0209625660975972</v>
      </c>
      <c r="N494">
        <v>3.1587753603954662</v>
      </c>
      <c r="O494">
        <f>0.59369/2</f>
        <v>0.29684500000000003</v>
      </c>
      <c r="P494">
        <f>0.532/2</f>
        <v>0.26600000000000001</v>
      </c>
    </row>
    <row r="495" spans="1:16">
      <c r="A495" s="1" t="s">
        <v>470</v>
      </c>
      <c r="B495" s="1" t="s">
        <v>536</v>
      </c>
      <c r="C495" s="1" t="s">
        <v>105</v>
      </c>
      <c r="D495" s="1" t="s">
        <v>106</v>
      </c>
      <c r="E495" s="1" t="s">
        <v>475</v>
      </c>
      <c r="F495">
        <v>40.99798364223625</v>
      </c>
      <c r="G495">
        <v>19.538719672659319</v>
      </c>
      <c r="H495">
        <v>13.818478483911505</v>
      </c>
      <c r="I495">
        <v>12.358370184719217</v>
      </c>
      <c r="J495">
        <f>2.8637/2</f>
        <v>1.4318500000000001</v>
      </c>
      <c r="K495">
        <v>46.16557194893015</v>
      </c>
      <c r="L495">
        <v>0.67168815817776295</v>
      </c>
      <c r="M495">
        <v>5.6061593649690877</v>
      </c>
      <c r="N495">
        <v>3.0963155719206301</v>
      </c>
      <c r="O495">
        <v>0.506090402951757</v>
      </c>
      <c r="P495">
        <f>0.40186/2</f>
        <v>0.20093</v>
      </c>
    </row>
    <row r="496" spans="1:16">
      <c r="A496" s="1" t="s">
        <v>470</v>
      </c>
      <c r="B496" s="1" t="s">
        <v>537</v>
      </c>
      <c r="C496" s="1" t="s">
        <v>105</v>
      </c>
      <c r="D496" s="1" t="s">
        <v>106</v>
      </c>
      <c r="E496" s="1" t="s">
        <v>475</v>
      </c>
      <c r="F496">
        <v>62.933453229093622</v>
      </c>
      <c r="G496">
        <v>30.358446157207339</v>
      </c>
      <c r="H496">
        <f>21.5469/2</f>
        <v>10.77345</v>
      </c>
      <c r="I496">
        <v>13.283913658734884</v>
      </c>
      <c r="J496">
        <f>5.5386/2</f>
        <v>2.7692999999999999</v>
      </c>
      <c r="K496">
        <v>70.890324466189426</v>
      </c>
      <c r="L496">
        <v>1.0656091583814353</v>
      </c>
      <c r="M496">
        <v>8.8742619357820569</v>
      </c>
      <c r="N496">
        <f>7.832/2</f>
        <v>3.9159999999999999</v>
      </c>
      <c r="O496">
        <f>1.6629/2</f>
        <v>0.83145000000000002</v>
      </c>
      <c r="P496">
        <f>1.4346/2</f>
        <v>0.71730000000000005</v>
      </c>
    </row>
    <row r="497" spans="1:16">
      <c r="A497" s="1" t="s">
        <v>470</v>
      </c>
      <c r="B497" s="1" t="s">
        <v>538</v>
      </c>
      <c r="C497" s="1" t="s">
        <v>105</v>
      </c>
      <c r="D497" s="1" t="s">
        <v>106</v>
      </c>
      <c r="E497" s="1" t="s">
        <v>475</v>
      </c>
      <c r="F497">
        <v>83.461289257192078</v>
      </c>
      <c r="G497">
        <v>24.501164346420179</v>
      </c>
      <c r="H497">
        <f>14.0442/2</f>
        <v>7.0221</v>
      </c>
      <c r="I497">
        <v>11.641742746685745</v>
      </c>
      <c r="J497">
        <f>4.1161/2</f>
        <v>2.0580500000000002</v>
      </c>
      <c r="K497">
        <v>65.299927725453415</v>
      </c>
      <c r="L497">
        <v>0.77082541717870012</v>
      </c>
      <c r="M497">
        <v>7.2496055005551456</v>
      </c>
      <c r="N497">
        <f>4.7505/2</f>
        <v>2.3752499999999999</v>
      </c>
      <c r="O497">
        <f>1.0741/2</f>
        <v>0.53705000000000003</v>
      </c>
      <c r="P497">
        <f>0.90434/2</f>
        <v>0.45217000000000002</v>
      </c>
    </row>
    <row r="498" spans="1:16">
      <c r="A498" s="1" t="s">
        <v>470</v>
      </c>
      <c r="B498" s="1" t="s">
        <v>539</v>
      </c>
      <c r="C498" s="1" t="s">
        <v>105</v>
      </c>
      <c r="D498" s="1" t="s">
        <v>106</v>
      </c>
      <c r="E498" s="1" t="s">
        <v>475</v>
      </c>
      <c r="F498">
        <v>93.65513347110128</v>
      </c>
      <c r="G498">
        <v>39.676476727775636</v>
      </c>
      <c r="H498">
        <v>10.84699544168147</v>
      </c>
      <c r="I498">
        <v>13.333549292854666</v>
      </c>
      <c r="J498">
        <f>2.6378/2</f>
        <v>1.3189</v>
      </c>
      <c r="K498">
        <v>99.205723467846283</v>
      </c>
      <c r="L498">
        <v>1.0479144476912814</v>
      </c>
      <c r="M498">
        <v>12.061378694760077</v>
      </c>
      <c r="N498">
        <v>6.2590283246514469</v>
      </c>
      <c r="O498">
        <v>0.58072211256614181</v>
      </c>
      <c r="P498">
        <f>0.38011/2</f>
        <v>0.190055</v>
      </c>
    </row>
    <row r="499" spans="1:16">
      <c r="A499" s="1" t="s">
        <v>470</v>
      </c>
      <c r="B499" s="1" t="s">
        <v>540</v>
      </c>
      <c r="C499" s="1" t="s">
        <v>105</v>
      </c>
      <c r="D499" s="1" t="s">
        <v>106</v>
      </c>
      <c r="E499" s="1" t="s">
        <v>475</v>
      </c>
      <c r="F499">
        <v>30.907633200161339</v>
      </c>
      <c r="G499">
        <v>18.712870744719996</v>
      </c>
      <c r="H499">
        <v>11.712722341809288</v>
      </c>
      <c r="I499">
        <v>12.205893817185922</v>
      </c>
      <c r="J499">
        <f>2.6526/2</f>
        <v>1.3263</v>
      </c>
      <c r="K499">
        <v>46.428627344502686</v>
      </c>
      <c r="L499">
        <v>0.77592253419964086</v>
      </c>
      <c r="M499">
        <v>5.7785818350795175</v>
      </c>
      <c r="N499">
        <v>3.0561332523255289</v>
      </c>
      <c r="O499">
        <v>0.49653299316958899</v>
      </c>
      <c r="P499">
        <f>0.32498/2</f>
        <v>0.16249</v>
      </c>
    </row>
    <row r="500" spans="1:16">
      <c r="A500" s="1" t="s">
        <v>470</v>
      </c>
      <c r="B500" s="1" t="s">
        <v>541</v>
      </c>
      <c r="C500" s="1" t="s">
        <v>105</v>
      </c>
      <c r="D500" s="1" t="s">
        <v>106</v>
      </c>
      <c r="E500" s="1" t="s">
        <v>475</v>
      </c>
      <c r="F500">
        <v>61.229787150101295</v>
      </c>
      <c r="G500">
        <v>26.644649093159135</v>
      </c>
      <c r="H500">
        <v>13.95029763290289</v>
      </c>
      <c r="I500">
        <v>12.863303451248287</v>
      </c>
      <c r="J500">
        <f>3.8426/2</f>
        <v>1.9213</v>
      </c>
      <c r="K500">
        <v>70.002836874735522</v>
      </c>
      <c r="L500">
        <v>0.87195335922829154</v>
      </c>
      <c r="M500">
        <v>9.1890229602422835</v>
      </c>
      <c r="N500">
        <v>5.2825164414047512</v>
      </c>
      <c r="O500">
        <f>0.80717/2</f>
        <v>0.40358500000000003</v>
      </c>
      <c r="P500">
        <f>0.67778/2</f>
        <v>0.33889000000000002</v>
      </c>
    </row>
    <row r="501" spans="1:16">
      <c r="A501" s="1" t="s">
        <v>470</v>
      </c>
      <c r="B501" s="1" t="s">
        <v>542</v>
      </c>
      <c r="C501" s="1" t="s">
        <v>105</v>
      </c>
      <c r="D501" s="1" t="s">
        <v>106</v>
      </c>
      <c r="E501" s="1" t="s">
        <v>475</v>
      </c>
      <c r="F501">
        <v>135.08071856961524</v>
      </c>
      <c r="G501">
        <v>38.111587744662465</v>
      </c>
      <c r="H501">
        <v>12.8946788619806</v>
      </c>
      <c r="I501">
        <v>12.342532812208457</v>
      </c>
      <c r="J501">
        <f>2.7847/2</f>
        <v>1.39235</v>
      </c>
      <c r="K501">
        <v>78.491917541530654</v>
      </c>
      <c r="L501">
        <v>0.66611480530839906</v>
      </c>
      <c r="M501">
        <v>6.0285305001789942</v>
      </c>
      <c r="N501">
        <v>3.4196719722916322</v>
      </c>
      <c r="O501">
        <f>0.52797/2</f>
        <v>0.26398500000000003</v>
      </c>
      <c r="P501">
        <f>0.41909/2</f>
        <v>0.20954500000000001</v>
      </c>
    </row>
    <row r="502" spans="1:16">
      <c r="A502" s="1" t="s">
        <v>470</v>
      </c>
      <c r="B502" s="1" t="s">
        <v>543</v>
      </c>
      <c r="C502" s="1" t="s">
        <v>105</v>
      </c>
      <c r="D502" s="1" t="s">
        <v>106</v>
      </c>
      <c r="E502" s="1" t="s">
        <v>475</v>
      </c>
      <c r="F502">
        <v>411.77597629186005</v>
      </c>
      <c r="G502">
        <v>30.062295500866281</v>
      </c>
      <c r="H502">
        <v>13.497259439897658</v>
      </c>
      <c r="I502">
        <v>12.080145109571465</v>
      </c>
      <c r="J502">
        <f>2.7805/2</f>
        <v>1.39025</v>
      </c>
      <c r="K502">
        <v>109.1238546631907</v>
      </c>
      <c r="L502">
        <v>0.76016737190117256</v>
      </c>
      <c r="M502">
        <v>7.282498494094912</v>
      </c>
      <c r="N502">
        <v>5.7854578291321035</v>
      </c>
      <c r="O502">
        <v>0.53971030473132109</v>
      </c>
      <c r="P502">
        <f>0.46934/2</f>
        <v>0.23466999999999999</v>
      </c>
    </row>
    <row r="503" spans="1:16">
      <c r="A503" s="1" t="s">
        <v>470</v>
      </c>
      <c r="B503" s="1" t="s">
        <v>544</v>
      </c>
      <c r="C503" s="1" t="s">
        <v>105</v>
      </c>
      <c r="D503" s="1" t="s">
        <v>106</v>
      </c>
      <c r="E503" s="1" t="s">
        <v>475</v>
      </c>
      <c r="F503">
        <v>83.118154528544665</v>
      </c>
      <c r="G503">
        <v>28.664099847663884</v>
      </c>
      <c r="H503">
        <v>12.786500120223051</v>
      </c>
      <c r="I503">
        <v>12.872972587604185</v>
      </c>
      <c r="J503">
        <f>2.3161/2</f>
        <v>1.15805</v>
      </c>
      <c r="K503">
        <v>67.133543584417765</v>
      </c>
      <c r="L503">
        <v>0.89235333784099102</v>
      </c>
      <c r="M503">
        <v>8.60941208029314</v>
      </c>
      <c r="N503">
        <v>5.005174579036523</v>
      </c>
      <c r="O503">
        <v>0.52637364464774061</v>
      </c>
      <c r="P503">
        <f>0.28601/2</f>
        <v>0.14300499999999999</v>
      </c>
    </row>
    <row r="504" spans="1:16">
      <c r="A504" s="1" t="s">
        <v>470</v>
      </c>
      <c r="B504" s="1" t="s">
        <v>545</v>
      </c>
      <c r="C504" s="1" t="s">
        <v>105</v>
      </c>
      <c r="D504" s="1" t="s">
        <v>106</v>
      </c>
      <c r="E504" s="1" t="s">
        <v>475</v>
      </c>
      <c r="F504">
        <v>81.106533621510579</v>
      </c>
      <c r="G504">
        <v>35.456614523645058</v>
      </c>
      <c r="H504">
        <v>11.205545008634633</v>
      </c>
      <c r="I504">
        <v>11.881145171243325</v>
      </c>
      <c r="J504">
        <f>2.1814/2</f>
        <v>1.0907</v>
      </c>
      <c r="K504">
        <v>100.7386101594271</v>
      </c>
      <c r="L504">
        <v>0.94930591611483039</v>
      </c>
      <c r="M504">
        <v>11.93274418846924</v>
      </c>
      <c r="N504">
        <v>5.8798408795663581</v>
      </c>
      <c r="O504">
        <v>0.50581261796403343</v>
      </c>
      <c r="P504">
        <f>0.26691/2</f>
        <v>0.13345499999999999</v>
      </c>
    </row>
    <row r="505" spans="1:16">
      <c r="A505" s="1" t="s">
        <v>470</v>
      </c>
      <c r="B505" s="1" t="s">
        <v>546</v>
      </c>
      <c r="C505" s="1" t="s">
        <v>105</v>
      </c>
      <c r="D505" s="1" t="s">
        <v>106</v>
      </c>
      <c r="E505" s="1" t="s">
        <v>475</v>
      </c>
      <c r="F505">
        <v>70.157798451876204</v>
      </c>
      <c r="G505">
        <v>26.501543496037076</v>
      </c>
      <c r="H505">
        <v>12.708654793582548</v>
      </c>
      <c r="I505">
        <v>12.246669657915216</v>
      </c>
      <c r="J505">
        <f>2.5517/2</f>
        <v>1.2758499999999999</v>
      </c>
      <c r="K505">
        <v>63.188474398052044</v>
      </c>
      <c r="L505">
        <v>0.77651779271479027</v>
      </c>
      <c r="M505">
        <v>8.8206407691730391</v>
      </c>
      <c r="N505">
        <v>4.2300829860092923</v>
      </c>
      <c r="O505">
        <v>0.53428818135656531</v>
      </c>
      <c r="P505">
        <f>0.38797/2</f>
        <v>0.19398499999999999</v>
      </c>
    </row>
    <row r="506" spans="1:16">
      <c r="A506" s="1" t="s">
        <v>470</v>
      </c>
      <c r="B506" s="1" t="s">
        <v>547</v>
      </c>
      <c r="C506" s="1" t="s">
        <v>105</v>
      </c>
      <c r="D506" s="1" t="s">
        <v>106</v>
      </c>
      <c r="E506" s="1" t="s">
        <v>475</v>
      </c>
      <c r="F506">
        <v>66.320513610814217</v>
      </c>
      <c r="G506">
        <v>22.83966824534102</v>
      </c>
      <c r="H506">
        <v>10.797400984834667</v>
      </c>
      <c r="I506">
        <v>11.722130324199718</v>
      </c>
      <c r="J506">
        <f>3.5048/2</f>
        <v>1.7524</v>
      </c>
      <c r="K506">
        <v>74.049437826229649</v>
      </c>
      <c r="L506">
        <v>0.9112869902879045</v>
      </c>
      <c r="M506">
        <v>6.0184231750412964</v>
      </c>
      <c r="N506">
        <f>3.5845/2</f>
        <v>1.7922499999999999</v>
      </c>
      <c r="O506">
        <f>0.69846/2</f>
        <v>0.34922999999999998</v>
      </c>
      <c r="P506">
        <f>0.67783/2</f>
        <v>0.33891500000000002</v>
      </c>
    </row>
    <row r="507" spans="1:16">
      <c r="A507" s="1" t="s">
        <v>470</v>
      </c>
      <c r="B507" s="1" t="s">
        <v>548</v>
      </c>
      <c r="C507" s="1" t="s">
        <v>105</v>
      </c>
      <c r="D507" s="1" t="s">
        <v>106</v>
      </c>
      <c r="E507" s="1" t="s">
        <v>475</v>
      </c>
      <c r="F507">
        <v>98.840195866968955</v>
      </c>
      <c r="G507">
        <v>33.322123106247048</v>
      </c>
      <c r="H507">
        <v>12.058311610888762</v>
      </c>
      <c r="I507">
        <v>12.720364037091063</v>
      </c>
      <c r="J507">
        <f>2.4771/2</f>
        <v>1.23855</v>
      </c>
      <c r="K507">
        <v>93.176698563314915</v>
      </c>
      <c r="L507">
        <v>0.98286912332498422</v>
      </c>
      <c r="M507">
        <v>11.45748565975488</v>
      </c>
      <c r="N507">
        <v>5.4381357515495869</v>
      </c>
      <c r="O507">
        <v>0.51494634458568345</v>
      </c>
      <c r="P507">
        <f>0.31531/2</f>
        <v>0.15765499999999999</v>
      </c>
    </row>
    <row r="508" spans="1:16">
      <c r="A508" s="1" t="s">
        <v>470</v>
      </c>
      <c r="B508" s="1" t="s">
        <v>549</v>
      </c>
      <c r="C508" s="1" t="s">
        <v>105</v>
      </c>
      <c r="D508" s="1" t="s">
        <v>106</v>
      </c>
      <c r="E508" s="1" t="s">
        <v>475</v>
      </c>
      <c r="F508">
        <v>44.713822438133896</v>
      </c>
      <c r="G508">
        <v>20.651873830270205</v>
      </c>
      <c r="H508">
        <v>13.040914224797273</v>
      </c>
      <c r="I508">
        <v>11.936717694872296</v>
      </c>
      <c r="J508">
        <f>2.294/2</f>
        <v>1.147</v>
      </c>
      <c r="K508">
        <v>55.431904023443181</v>
      </c>
      <c r="L508">
        <v>0.71693698617564849</v>
      </c>
      <c r="M508">
        <v>6.1084928182719924</v>
      </c>
      <c r="N508">
        <v>2.742024595224263</v>
      </c>
      <c r="O508">
        <v>0.46829081962742014</v>
      </c>
      <c r="P508">
        <f>0.29117/2</f>
        <v>0.14558499999999999</v>
      </c>
    </row>
    <row r="509" spans="1:16">
      <c r="A509" s="1" t="s">
        <v>470</v>
      </c>
      <c r="B509" s="1" t="s">
        <v>550</v>
      </c>
      <c r="C509" s="1" t="s">
        <v>105</v>
      </c>
      <c r="D509" s="1" t="s">
        <v>106</v>
      </c>
      <c r="E509" s="1" t="s">
        <v>475</v>
      </c>
      <c r="F509">
        <v>59.626824384942651</v>
      </c>
      <c r="G509">
        <v>27.20951058324842</v>
      </c>
      <c r="H509">
        <v>11.345107705451165</v>
      </c>
      <c r="I509">
        <v>12.852009254965635</v>
      </c>
      <c r="J509">
        <f>2.0232/2</f>
        <v>1.0116000000000001</v>
      </c>
      <c r="K509">
        <v>66.653043513505423</v>
      </c>
      <c r="L509">
        <v>0.83276013609313826</v>
      </c>
      <c r="M509">
        <v>9.503798615364035</v>
      </c>
      <c r="N509">
        <v>4.8378914731309237</v>
      </c>
      <c r="O509">
        <v>0.51301470002771399</v>
      </c>
      <c r="P509">
        <f>0.25353/2</f>
        <v>0.12676499999999999</v>
      </c>
    </row>
    <row r="510" spans="1:16">
      <c r="A510" s="1" t="s">
        <v>470</v>
      </c>
      <c r="B510" s="1" t="s">
        <v>551</v>
      </c>
      <c r="C510" s="1" t="s">
        <v>105</v>
      </c>
      <c r="D510" s="1" t="s">
        <v>106</v>
      </c>
      <c r="E510" s="1" t="s">
        <v>475</v>
      </c>
      <c r="F510">
        <v>131.24114860109262</v>
      </c>
      <c r="G510">
        <v>53.526745353901589</v>
      </c>
      <c r="H510">
        <v>12.334478909452086</v>
      </c>
      <c r="I510">
        <v>8.4024604985162945</v>
      </c>
      <c r="J510">
        <f>4.0284/2</f>
        <v>2.0142000000000002</v>
      </c>
      <c r="K510">
        <v>95.188207040994129</v>
      </c>
      <c r="L510">
        <v>1.054078664318034</v>
      </c>
      <c r="M510">
        <v>26.09424435541079</v>
      </c>
      <c r="N510">
        <v>26.004262260267446</v>
      </c>
      <c r="O510">
        <v>7.1108650421052335</v>
      </c>
      <c r="P510">
        <f>0.75879/2</f>
        <v>0.37939499999999998</v>
      </c>
    </row>
    <row r="511" spans="1:16">
      <c r="A511" s="1" t="s">
        <v>470</v>
      </c>
      <c r="B511" s="1" t="s">
        <v>552</v>
      </c>
      <c r="C511" s="1" t="s">
        <v>105</v>
      </c>
      <c r="D511" s="1" t="s">
        <v>106</v>
      </c>
      <c r="E511" s="1" t="s">
        <v>475</v>
      </c>
      <c r="F511">
        <v>197.17223486995806</v>
      </c>
      <c r="G511">
        <v>97.576820125627648</v>
      </c>
      <c r="H511">
        <v>22.981993286068867</v>
      </c>
      <c r="I511">
        <v>8.7833912402402152</v>
      </c>
      <c r="J511">
        <f>3.5426/2</f>
        <v>1.7713000000000001</v>
      </c>
      <c r="K511">
        <v>77.870370447725151</v>
      </c>
      <c r="L511">
        <v>2.1376538413451831</v>
      </c>
      <c r="M511">
        <v>27.336591580029044</v>
      </c>
      <c r="N511">
        <v>34.242963136296126</v>
      </c>
      <c r="O511">
        <v>8.2618007288194288</v>
      </c>
      <c r="P511">
        <f>0.48675/2</f>
        <v>0.24337500000000001</v>
      </c>
    </row>
    <row r="512" spans="1:16">
      <c r="A512" s="1" t="s">
        <v>470</v>
      </c>
      <c r="B512" s="1" t="s">
        <v>553</v>
      </c>
      <c r="C512" s="1" t="s">
        <v>105</v>
      </c>
      <c r="D512" s="1" t="s">
        <v>106</v>
      </c>
      <c r="E512" s="1" t="s">
        <v>475</v>
      </c>
      <c r="F512">
        <v>508.98550080349401</v>
      </c>
      <c r="G512">
        <v>408.10113418710995</v>
      </c>
      <c r="H512">
        <v>24.914768187051873</v>
      </c>
      <c r="I512">
        <v>8.5975022515349853</v>
      </c>
      <c r="J512">
        <f>5.1014/2</f>
        <v>2.5507</v>
      </c>
      <c r="K512">
        <v>78.43727437300079</v>
      </c>
      <c r="L512">
        <v>3.4095836449564438</v>
      </c>
      <c r="M512">
        <v>28.895615128703412</v>
      </c>
      <c r="N512">
        <v>76.883547550511821</v>
      </c>
      <c r="O512">
        <v>8.8901113677462931</v>
      </c>
      <c r="P512">
        <f>1.159/2</f>
        <v>0.57950000000000002</v>
      </c>
    </row>
    <row r="513" spans="1:16">
      <c r="A513" s="1" t="s">
        <v>470</v>
      </c>
      <c r="B513" s="1" t="s">
        <v>554</v>
      </c>
      <c r="C513" s="1" t="s">
        <v>105</v>
      </c>
      <c r="D513" s="1" t="s">
        <v>106</v>
      </c>
      <c r="E513" s="1" t="s">
        <v>475</v>
      </c>
      <c r="F513">
        <v>177.23875175333922</v>
      </c>
      <c r="G513">
        <v>89.254085757380594</v>
      </c>
      <c r="H513">
        <v>25.895788576204705</v>
      </c>
      <c r="I513">
        <v>8.7885412268996088</v>
      </c>
      <c r="J513">
        <f>5.8907/2</f>
        <v>2.9453499999999999</v>
      </c>
      <c r="K513">
        <v>76.696489892185909</v>
      </c>
      <c r="L513">
        <v>3.0620440529455988</v>
      </c>
      <c r="M513">
        <v>31.576026090140203</v>
      </c>
      <c r="N513">
        <v>50.418634563186977</v>
      </c>
      <c r="O513">
        <v>8.4233801968683828</v>
      </c>
      <c r="P513">
        <f>1.3871/2</f>
        <v>0.69355</v>
      </c>
    </row>
    <row r="514" spans="1:16">
      <c r="A514" s="1" t="s">
        <v>470</v>
      </c>
      <c r="B514" s="1" t="s">
        <v>555</v>
      </c>
      <c r="C514" s="1" t="s">
        <v>105</v>
      </c>
      <c r="D514" s="1" t="s">
        <v>106</v>
      </c>
      <c r="E514" s="1" t="s">
        <v>475</v>
      </c>
      <c r="F514">
        <v>178.62463044432181</v>
      </c>
      <c r="G514">
        <v>96.663240329652979</v>
      </c>
      <c r="H514">
        <v>16.389773784127897</v>
      </c>
      <c r="I514">
        <v>3.5000814044898068</v>
      </c>
      <c r="J514">
        <f>3.6297/2</f>
        <v>1.8148500000000001</v>
      </c>
      <c r="K514">
        <v>44.440876393771809</v>
      </c>
      <c r="L514">
        <f>0.35101/2</f>
        <v>0.17550499999999999</v>
      </c>
      <c r="M514">
        <v>8.5181115060570711</v>
      </c>
      <c r="N514">
        <v>5.7545565619430361</v>
      </c>
      <c r="O514">
        <v>1.2274523298103976</v>
      </c>
      <c r="P514">
        <f>0.45446/2</f>
        <v>0.22722999999999999</v>
      </c>
    </row>
    <row r="515" spans="1:16">
      <c r="A515" s="1" t="s">
        <v>470</v>
      </c>
      <c r="B515" s="1" t="s">
        <v>556</v>
      </c>
      <c r="C515" s="1" t="s">
        <v>105</v>
      </c>
      <c r="D515" s="1" t="s">
        <v>106</v>
      </c>
      <c r="E515" s="1" t="s">
        <v>475</v>
      </c>
      <c r="F515">
        <v>119.60844569405508</v>
      </c>
      <c r="G515">
        <v>84.406449712811451</v>
      </c>
      <c r="H515">
        <v>17.095608205068803</v>
      </c>
      <c r="I515">
        <v>3.0037303545071201</v>
      </c>
      <c r="J515">
        <f>4.9328/2</f>
        <v>2.4664000000000001</v>
      </c>
      <c r="K515">
        <v>48.566883461340012</v>
      </c>
      <c r="L515">
        <f>0.66719/2</f>
        <v>0.33359499999999997</v>
      </c>
      <c r="M515">
        <v>7.2584705767341928</v>
      </c>
      <c r="N515">
        <v>11.251868991197989</v>
      </c>
      <c r="O515">
        <v>1.3213620177900685</v>
      </c>
      <c r="P515">
        <f>0.64317/2</f>
        <v>0.32158500000000001</v>
      </c>
    </row>
    <row r="516" spans="1:16">
      <c r="A516" s="1" t="s">
        <v>470</v>
      </c>
      <c r="B516" s="1" t="s">
        <v>557</v>
      </c>
      <c r="C516" s="1" t="s">
        <v>105</v>
      </c>
      <c r="D516" s="1" t="s">
        <v>106</v>
      </c>
      <c r="E516" s="1" t="s">
        <v>475</v>
      </c>
      <c r="F516">
        <v>250.4514895808185</v>
      </c>
      <c r="G516">
        <v>152.2803284259777</v>
      </c>
      <c r="H516">
        <v>16.350396363317667</v>
      </c>
      <c r="I516">
        <v>4.0462458172517337</v>
      </c>
      <c r="J516">
        <f>4.92/2</f>
        <v>2.46</v>
      </c>
      <c r="K516">
        <v>62.1553138367345</v>
      </c>
      <c r="L516">
        <f>0.70554/2</f>
        <v>0.35276999999999997</v>
      </c>
      <c r="M516">
        <v>9.497087518697553</v>
      </c>
      <c r="N516">
        <v>9.7153290417531366</v>
      </c>
      <c r="O516">
        <v>1.2239284927073475</v>
      </c>
      <c r="P516">
        <f>0.82642/2</f>
        <v>0.41321000000000002</v>
      </c>
    </row>
    <row r="517" spans="1:16">
      <c r="A517" s="1" t="s">
        <v>470</v>
      </c>
      <c r="B517" s="1" t="s">
        <v>558</v>
      </c>
      <c r="C517" s="1" t="s">
        <v>105</v>
      </c>
      <c r="D517" s="1" t="s">
        <v>106</v>
      </c>
      <c r="E517" s="1" t="s">
        <v>475</v>
      </c>
      <c r="F517">
        <v>245.08961573197996</v>
      </c>
      <c r="G517">
        <v>102.74513443067343</v>
      </c>
      <c r="H517">
        <v>17.997336616247171</v>
      </c>
      <c r="I517">
        <v>3.8230300052046373</v>
      </c>
      <c r="J517">
        <f>5.0368/2</f>
        <v>2.5184000000000002</v>
      </c>
      <c r="K517">
        <v>62.460644548592889</v>
      </c>
      <c r="L517">
        <f>0.82449/2</f>
        <v>0.41224499999999997</v>
      </c>
      <c r="M517">
        <v>9.523918692765081</v>
      </c>
      <c r="N517">
        <v>8.7013432515919948</v>
      </c>
      <c r="O517">
        <v>1.2769169963527602</v>
      </c>
      <c r="P517">
        <f>0.95067/2</f>
        <v>0.47533500000000001</v>
      </c>
    </row>
    <row r="518" spans="1:16">
      <c r="A518" s="1" t="s">
        <v>470</v>
      </c>
      <c r="B518" s="1" t="s">
        <v>559</v>
      </c>
      <c r="C518" s="1" t="s">
        <v>105</v>
      </c>
      <c r="D518" s="1" t="s">
        <v>106</v>
      </c>
      <c r="E518" s="1" t="s">
        <v>475</v>
      </c>
      <c r="F518">
        <v>155.79399307912863</v>
      </c>
      <c r="G518">
        <v>78.272113051458263</v>
      </c>
      <c r="H518">
        <v>16.733513035999568</v>
      </c>
      <c r="I518">
        <v>5.090126941471639</v>
      </c>
      <c r="J518">
        <f>4.8828/2</f>
        <v>2.4413999999999998</v>
      </c>
      <c r="K518">
        <v>56.261858853013202</v>
      </c>
      <c r="L518">
        <f>0.59722/2</f>
        <v>0.29860999999999999</v>
      </c>
      <c r="M518">
        <v>7.1855049565710338</v>
      </c>
      <c r="N518">
        <v>10.226179410823244</v>
      </c>
      <c r="O518">
        <v>1.2559571332335568</v>
      </c>
      <c r="P518">
        <f>0.78729/2</f>
        <v>0.39364500000000002</v>
      </c>
    </row>
    <row r="519" spans="1:16">
      <c r="A519" s="1" t="s">
        <v>470</v>
      </c>
      <c r="B519" s="1" t="s">
        <v>560</v>
      </c>
      <c r="C519" s="1" t="s">
        <v>105</v>
      </c>
      <c r="D519" s="1" t="s">
        <v>106</v>
      </c>
      <c r="E519" s="1" t="s">
        <v>475</v>
      </c>
      <c r="F519">
        <v>158.46751388143505</v>
      </c>
      <c r="G519">
        <v>64.743709585603725</v>
      </c>
      <c r="H519">
        <v>15.241787000398757</v>
      </c>
      <c r="I519">
        <v>3.180232453912319</v>
      </c>
      <c r="J519">
        <f>3.0219/2</f>
        <v>1.51095</v>
      </c>
      <c r="K519">
        <v>68.762786449694119</v>
      </c>
      <c r="L519">
        <f>0.40263/2</f>
        <v>0.20131499999999999</v>
      </c>
      <c r="M519">
        <v>7.2030102357907033</v>
      </c>
      <c r="N519">
        <v>6.4619725651941282</v>
      </c>
      <c r="O519">
        <v>1.1597978827388913</v>
      </c>
      <c r="P519">
        <f>0.50956/2</f>
        <v>0.25478000000000001</v>
      </c>
    </row>
    <row r="520" spans="1:16">
      <c r="A520" s="1" t="s">
        <v>470</v>
      </c>
      <c r="B520" s="1" t="s">
        <v>561</v>
      </c>
      <c r="C520" s="1" t="s">
        <v>105</v>
      </c>
      <c r="D520" s="1" t="s">
        <v>106</v>
      </c>
      <c r="E520" s="1" t="s">
        <v>475</v>
      </c>
      <c r="F520">
        <v>79.297020402084769</v>
      </c>
      <c r="G520">
        <v>34.285331094098098</v>
      </c>
      <c r="H520">
        <v>13.768303457959966</v>
      </c>
      <c r="I520">
        <v>4.0987237606661786</v>
      </c>
      <c r="J520">
        <f>3.5526/2</f>
        <v>1.7763</v>
      </c>
      <c r="K520">
        <v>37.092296842196241</v>
      </c>
      <c r="L520">
        <f>0.40029/2</f>
        <v>0.20014499999999999</v>
      </c>
      <c r="M520">
        <v>10.168754621716664</v>
      </c>
      <c r="N520">
        <v>12.338642606914503</v>
      </c>
      <c r="O520">
        <v>1.0823022809322811</v>
      </c>
      <c r="P520">
        <f>0.53916/2</f>
        <v>0.26957999999999999</v>
      </c>
    </row>
    <row r="521" spans="1:16">
      <c r="A521" s="1" t="s">
        <v>470</v>
      </c>
      <c r="B521" s="1" t="s">
        <v>562</v>
      </c>
      <c r="C521" s="1" t="s">
        <v>105</v>
      </c>
      <c r="D521" s="1" t="s">
        <v>106</v>
      </c>
      <c r="E521" s="1" t="s">
        <v>475</v>
      </c>
      <c r="F521">
        <v>410.49401299385801</v>
      </c>
      <c r="G521">
        <v>250.61379983907818</v>
      </c>
      <c r="H521">
        <v>14.770084910365041</v>
      </c>
      <c r="I521">
        <v>3.3190426991018982</v>
      </c>
      <c r="J521">
        <f>2.9087/2</f>
        <v>1.45435</v>
      </c>
      <c r="K521">
        <v>56.381939235029982</v>
      </c>
      <c r="L521">
        <f>0.35776/2</f>
        <v>0.17888000000000001</v>
      </c>
      <c r="M521">
        <v>9.1775183292938678</v>
      </c>
      <c r="N521">
        <v>6.4559745108681037</v>
      </c>
      <c r="O521">
        <v>1.3758894696097925</v>
      </c>
      <c r="P521">
        <f>0.40194/2</f>
        <v>0.20097000000000001</v>
      </c>
    </row>
    <row r="522" spans="1:16">
      <c r="A522" s="1" t="s">
        <v>470</v>
      </c>
      <c r="B522" s="1" t="s">
        <v>563</v>
      </c>
      <c r="C522" s="1" t="s">
        <v>105</v>
      </c>
      <c r="D522" s="1" t="s">
        <v>106</v>
      </c>
      <c r="E522" s="1" t="s">
        <v>475</v>
      </c>
      <c r="F522">
        <v>542.8126996474673</v>
      </c>
      <c r="G522">
        <v>296.40626733343959</v>
      </c>
      <c r="H522">
        <v>14.476901803113421</v>
      </c>
      <c r="I522">
        <v>3.9931364549541297</v>
      </c>
      <c r="J522">
        <f>2.7869/2</f>
        <v>1.3934500000000001</v>
      </c>
      <c r="K522">
        <v>62.472775716433205</v>
      </c>
      <c r="L522">
        <f>0.31576/2</f>
        <v>0.15787999999999999</v>
      </c>
      <c r="M522">
        <v>10.64623551281025</v>
      </c>
      <c r="N522">
        <v>7.048052137237268</v>
      </c>
      <c r="O522">
        <v>1.3576817133309518</v>
      </c>
      <c r="P522">
        <f>0.35472/2</f>
        <v>0.17735999999999999</v>
      </c>
    </row>
    <row r="523" spans="1:16">
      <c r="A523" s="1" t="s">
        <v>470</v>
      </c>
      <c r="B523" s="1" t="s">
        <v>564</v>
      </c>
      <c r="C523" s="1" t="s">
        <v>105</v>
      </c>
      <c r="D523" s="1" t="s">
        <v>106</v>
      </c>
      <c r="E523" s="1" t="s">
        <v>475</v>
      </c>
      <c r="F523">
        <v>125.12290576387157</v>
      </c>
      <c r="G523">
        <v>68.299287437792842</v>
      </c>
      <c r="H523">
        <v>16.128536762076671</v>
      </c>
      <c r="I523">
        <v>5.1905485842390551</v>
      </c>
      <c r="J523">
        <f>3.2417/2</f>
        <v>1.6208499999999999</v>
      </c>
      <c r="K523">
        <v>52.529808063338116</v>
      </c>
      <c r="L523">
        <f>0.44228/2</f>
        <v>0.22114</v>
      </c>
      <c r="M523">
        <v>8.3317288076590454</v>
      </c>
      <c r="N523">
        <v>6.5264865816689968</v>
      </c>
      <c r="O523">
        <v>1.3088331368368302</v>
      </c>
      <c r="P523">
        <f>0.5396/2</f>
        <v>0.26979999999999998</v>
      </c>
    </row>
    <row r="524" spans="1:16">
      <c r="A524" s="1" t="s">
        <v>470</v>
      </c>
      <c r="B524" s="1" t="s">
        <v>565</v>
      </c>
      <c r="C524" s="1" t="s">
        <v>105</v>
      </c>
      <c r="D524" s="1" t="s">
        <v>106</v>
      </c>
      <c r="E524" s="1" t="s">
        <v>475</v>
      </c>
      <c r="F524">
        <v>241.0693194586508</v>
      </c>
      <c r="G524">
        <v>94.041586545246261</v>
      </c>
      <c r="H524">
        <v>16.67849512170158</v>
      </c>
      <c r="I524">
        <v>3.710050514839863</v>
      </c>
      <c r="J524">
        <f>2.6747/2</f>
        <v>1.33735</v>
      </c>
      <c r="K524">
        <v>50.899085862619692</v>
      </c>
      <c r="L524">
        <f>0.31302/2</f>
        <v>0.15651000000000001</v>
      </c>
      <c r="M524">
        <v>9.0872534883846736</v>
      </c>
      <c r="N524">
        <v>5.7113806187038794</v>
      </c>
      <c r="O524">
        <v>1.2800396631568327</v>
      </c>
      <c r="P524">
        <f>0.31655/2</f>
        <v>0.158275</v>
      </c>
    </row>
    <row r="525" spans="1:16">
      <c r="A525" s="1" t="s">
        <v>470</v>
      </c>
      <c r="B525" s="1" t="s">
        <v>566</v>
      </c>
      <c r="C525" s="1" t="s">
        <v>105</v>
      </c>
      <c r="D525" s="1" t="s">
        <v>106</v>
      </c>
      <c r="E525" s="1" t="s">
        <v>475</v>
      </c>
      <c r="F525">
        <v>303.55390912499871</v>
      </c>
      <c r="G525">
        <v>151.57756017599382</v>
      </c>
      <c r="H525">
        <v>16.981686294961186</v>
      </c>
      <c r="I525">
        <v>3.2126320786449143</v>
      </c>
      <c r="J525">
        <f>3.9279/2</f>
        <v>1.9639500000000001</v>
      </c>
      <c r="K525">
        <v>60.284047667438784</v>
      </c>
      <c r="L525">
        <f>0.59412/2</f>
        <v>0.29705999999999999</v>
      </c>
      <c r="M525">
        <v>7.6525409945703409</v>
      </c>
      <c r="N525">
        <v>10.257674825023418</v>
      </c>
      <c r="O525">
        <v>1.2737894110766419</v>
      </c>
      <c r="P525">
        <f>0.81504/2</f>
        <v>0.40751999999999999</v>
      </c>
    </row>
    <row r="526" spans="1:16">
      <c r="A526" s="1" t="s">
        <v>567</v>
      </c>
      <c r="B526" s="3" t="s">
        <v>568</v>
      </c>
      <c r="C526" s="1" t="s">
        <v>38</v>
      </c>
      <c r="D526" s="1" t="s">
        <v>5593</v>
      </c>
      <c r="E526" s="1" t="s">
        <v>570</v>
      </c>
      <c r="F526">
        <v>36.33</v>
      </c>
      <c r="G526">
        <v>226.63</v>
      </c>
      <c r="H526">
        <v>114.82</v>
      </c>
      <c r="I526">
        <v>1904.64</v>
      </c>
      <c r="J526">
        <v>536.66999999999996</v>
      </c>
      <c r="K526">
        <v>549.42999999999995</v>
      </c>
      <c r="L526">
        <v>20.97</v>
      </c>
      <c r="M526">
        <v>8.6199999999999992</v>
      </c>
      <c r="N526">
        <v>41.08</v>
      </c>
      <c r="O526">
        <v>3.92</v>
      </c>
      <c r="P526">
        <f>0.053/2</f>
        <v>2.6499999999999999E-2</v>
      </c>
    </row>
    <row r="527" spans="1:16">
      <c r="A527" s="1" t="s">
        <v>567</v>
      </c>
      <c r="B527" s="3" t="s">
        <v>571</v>
      </c>
      <c r="C527" s="1" t="s">
        <v>38</v>
      </c>
      <c r="D527" s="1" t="s">
        <v>5593</v>
      </c>
      <c r="E527" s="1" t="s">
        <v>570</v>
      </c>
      <c r="F527">
        <v>40.1</v>
      </c>
      <c r="G527">
        <v>304.01</v>
      </c>
      <c r="H527">
        <v>124.27</v>
      </c>
      <c r="I527">
        <v>2231.21</v>
      </c>
      <c r="J527">
        <v>1035.6400000000001</v>
      </c>
      <c r="K527">
        <v>591.39</v>
      </c>
      <c r="L527">
        <v>22.41</v>
      </c>
      <c r="M527">
        <v>8.5299999999999994</v>
      </c>
      <c r="N527">
        <v>43.64</v>
      </c>
      <c r="O527">
        <v>7.35</v>
      </c>
      <c r="P527">
        <f>0.088/2</f>
        <v>4.3999999999999997E-2</v>
      </c>
    </row>
    <row r="528" spans="1:16">
      <c r="A528" s="1" t="s">
        <v>567</v>
      </c>
      <c r="B528" s="3" t="s">
        <v>572</v>
      </c>
      <c r="C528" s="1" t="s">
        <v>38</v>
      </c>
      <c r="D528" s="1" t="s">
        <v>5593</v>
      </c>
      <c r="E528" s="1" t="s">
        <v>573</v>
      </c>
      <c r="F528">
        <v>89.21</v>
      </c>
      <c r="G528">
        <v>929.34</v>
      </c>
      <c r="H528">
        <v>396.93</v>
      </c>
      <c r="I528">
        <v>3919.31</v>
      </c>
      <c r="J528">
        <v>572.16</v>
      </c>
      <c r="K528">
        <v>735.7</v>
      </c>
      <c r="L528">
        <v>25.72</v>
      </c>
      <c r="M528">
        <v>9.8699999999999992</v>
      </c>
      <c r="N528">
        <v>83.47</v>
      </c>
      <c r="O528">
        <v>29.51</v>
      </c>
      <c r="P528">
        <v>0.27800000000000002</v>
      </c>
    </row>
    <row r="529" spans="1:16">
      <c r="A529" s="1" t="s">
        <v>567</v>
      </c>
      <c r="B529" s="3" t="s">
        <v>574</v>
      </c>
      <c r="C529" s="1" t="s">
        <v>38</v>
      </c>
      <c r="D529" s="1" t="s">
        <v>5593</v>
      </c>
      <c r="E529" s="1" t="s">
        <v>573</v>
      </c>
      <c r="F529">
        <v>68.739999999999995</v>
      </c>
      <c r="G529">
        <v>829.75</v>
      </c>
      <c r="H529">
        <v>274.52</v>
      </c>
      <c r="I529">
        <v>3922.05</v>
      </c>
      <c r="J529">
        <v>466.32</v>
      </c>
      <c r="K529">
        <v>806.02</v>
      </c>
      <c r="L529">
        <v>26.74</v>
      </c>
      <c r="M529">
        <v>9.16</v>
      </c>
      <c r="N529">
        <v>109.6</v>
      </c>
      <c r="O529">
        <v>32.26</v>
      </c>
      <c r="P529">
        <v>8.3000000000000004E-2</v>
      </c>
    </row>
    <row r="530" spans="1:16">
      <c r="A530" s="1" t="s">
        <v>567</v>
      </c>
      <c r="B530" s="3" t="s">
        <v>575</v>
      </c>
      <c r="C530" s="1" t="s">
        <v>38</v>
      </c>
      <c r="D530" s="1" t="s">
        <v>5593</v>
      </c>
      <c r="E530" s="1" t="s">
        <v>573</v>
      </c>
      <c r="F530">
        <v>127.35</v>
      </c>
      <c r="G530">
        <v>353.38</v>
      </c>
      <c r="H530">
        <v>355.04</v>
      </c>
      <c r="I530">
        <v>3416.24</v>
      </c>
      <c r="J530">
        <v>511.61</v>
      </c>
      <c r="K530">
        <v>582.52</v>
      </c>
      <c r="L530">
        <v>20.99</v>
      </c>
      <c r="M530">
        <v>8.6999999999999993</v>
      </c>
      <c r="N530">
        <v>42.26</v>
      </c>
      <c r="O530">
        <v>10.36</v>
      </c>
      <c r="P530">
        <f>0.057/2</f>
        <v>2.8500000000000001E-2</v>
      </c>
    </row>
    <row r="531" spans="1:16">
      <c r="A531" s="1" t="s">
        <v>567</v>
      </c>
      <c r="B531" s="3" t="s">
        <v>576</v>
      </c>
      <c r="C531" s="1" t="s">
        <v>38</v>
      </c>
      <c r="D531" s="1" t="s">
        <v>5593</v>
      </c>
      <c r="E531" s="1" t="s">
        <v>573</v>
      </c>
      <c r="F531">
        <v>68.67</v>
      </c>
      <c r="G531">
        <v>937.6</v>
      </c>
      <c r="H531">
        <v>308.95999999999998</v>
      </c>
      <c r="I531">
        <v>3601.21</v>
      </c>
      <c r="J531">
        <v>458.7</v>
      </c>
      <c r="K531">
        <v>826</v>
      </c>
      <c r="L531">
        <v>24.91</v>
      </c>
      <c r="M531">
        <v>9.0299999999999994</v>
      </c>
      <c r="N531">
        <v>125.21</v>
      </c>
      <c r="O531">
        <v>31.66</v>
      </c>
      <c r="P531">
        <v>0.13200000000000001</v>
      </c>
    </row>
    <row r="532" spans="1:16">
      <c r="A532" s="1" t="s">
        <v>567</v>
      </c>
      <c r="B532" s="3" t="s">
        <v>577</v>
      </c>
      <c r="C532" s="1" t="s">
        <v>38</v>
      </c>
      <c r="D532" s="1" t="s">
        <v>5593</v>
      </c>
      <c r="E532" s="1" t="s">
        <v>573</v>
      </c>
      <c r="F532">
        <v>61.58</v>
      </c>
      <c r="G532">
        <v>303.61</v>
      </c>
      <c r="H532">
        <v>156.34</v>
      </c>
      <c r="I532">
        <v>1551.67</v>
      </c>
      <c r="J532">
        <v>475.93</v>
      </c>
      <c r="K532">
        <v>490.04</v>
      </c>
      <c r="L532">
        <v>57.79</v>
      </c>
      <c r="M532">
        <v>7.77</v>
      </c>
      <c r="N532">
        <v>41.55</v>
      </c>
      <c r="O532">
        <v>7.58</v>
      </c>
      <c r="P532">
        <f>0.044/2</f>
        <v>2.1999999999999999E-2</v>
      </c>
    </row>
    <row r="533" spans="1:16">
      <c r="A533" s="1" t="s">
        <v>567</v>
      </c>
      <c r="B533" s="3" t="s">
        <v>578</v>
      </c>
      <c r="C533" s="1" t="s">
        <v>38</v>
      </c>
      <c r="D533" s="1" t="s">
        <v>5593</v>
      </c>
      <c r="E533" s="1" t="s">
        <v>573</v>
      </c>
      <c r="F533">
        <v>29.18</v>
      </c>
      <c r="G533">
        <v>308.98</v>
      </c>
      <c r="H533">
        <v>115.07</v>
      </c>
      <c r="I533">
        <v>1756.46</v>
      </c>
      <c r="J533">
        <v>452.74</v>
      </c>
      <c r="K533">
        <v>537.73</v>
      </c>
      <c r="L533">
        <v>40.520000000000003</v>
      </c>
      <c r="M533">
        <v>8.77</v>
      </c>
      <c r="N533">
        <v>46.93</v>
      </c>
      <c r="O533">
        <v>9.59</v>
      </c>
      <c r="P533">
        <v>7.2999999999999995E-2</v>
      </c>
    </row>
    <row r="534" spans="1:16">
      <c r="A534" s="1" t="s">
        <v>567</v>
      </c>
      <c r="B534" s="3" t="s">
        <v>579</v>
      </c>
      <c r="C534" s="1" t="s">
        <v>38</v>
      </c>
      <c r="D534" s="1" t="s">
        <v>5593</v>
      </c>
      <c r="E534" s="1" t="s">
        <v>573</v>
      </c>
      <c r="F534">
        <v>36.770000000000003</v>
      </c>
      <c r="G534">
        <v>284.43</v>
      </c>
      <c r="H534">
        <v>163.87</v>
      </c>
      <c r="I534">
        <v>2680.88</v>
      </c>
      <c r="J534">
        <v>401.06</v>
      </c>
      <c r="K534">
        <v>543.02</v>
      </c>
      <c r="L534">
        <v>116.41</v>
      </c>
      <c r="M534">
        <v>12.18</v>
      </c>
      <c r="N534">
        <v>71.040000000000006</v>
      </c>
      <c r="O534">
        <v>10.27</v>
      </c>
      <c r="P534">
        <f>0.033/2</f>
        <v>1.6500000000000001E-2</v>
      </c>
    </row>
    <row r="535" spans="1:16">
      <c r="A535" s="1" t="s">
        <v>567</v>
      </c>
      <c r="B535" s="3" t="s">
        <v>580</v>
      </c>
      <c r="C535" s="1" t="s">
        <v>38</v>
      </c>
      <c r="D535" s="1" t="s">
        <v>5593</v>
      </c>
      <c r="E535" s="1" t="s">
        <v>573</v>
      </c>
      <c r="F535">
        <v>40.89</v>
      </c>
      <c r="G535">
        <v>317</v>
      </c>
      <c r="H535">
        <v>256.11</v>
      </c>
      <c r="I535">
        <v>2746.19</v>
      </c>
      <c r="J535">
        <v>438.86</v>
      </c>
      <c r="K535">
        <v>571.54</v>
      </c>
      <c r="L535">
        <v>46.14</v>
      </c>
      <c r="M535">
        <v>7.48</v>
      </c>
      <c r="N535">
        <v>52.75</v>
      </c>
      <c r="O535">
        <v>9.52</v>
      </c>
      <c r="P535">
        <v>4.4999999999999998E-2</v>
      </c>
    </row>
    <row r="536" spans="1:16">
      <c r="A536" s="1" t="s">
        <v>567</v>
      </c>
      <c r="B536" s="3" t="s">
        <v>581</v>
      </c>
      <c r="C536" s="1" t="s">
        <v>38</v>
      </c>
      <c r="D536" s="1" t="s">
        <v>5593</v>
      </c>
      <c r="E536" s="1" t="s">
        <v>573</v>
      </c>
      <c r="F536">
        <v>37.979999999999997</v>
      </c>
      <c r="G536">
        <v>253.97</v>
      </c>
      <c r="H536">
        <v>144.88999999999999</v>
      </c>
      <c r="I536">
        <v>1960.03</v>
      </c>
      <c r="J536">
        <v>295.8</v>
      </c>
      <c r="K536">
        <v>513.03</v>
      </c>
      <c r="L536">
        <v>20.96</v>
      </c>
      <c r="M536">
        <v>8.4600000000000009</v>
      </c>
      <c r="N536">
        <v>35.04</v>
      </c>
      <c r="O536">
        <v>5.84</v>
      </c>
      <c r="P536">
        <f>0.107/2</f>
        <v>5.3499999999999999E-2</v>
      </c>
    </row>
    <row r="537" spans="1:16">
      <c r="A537" s="1" t="s">
        <v>567</v>
      </c>
      <c r="B537" s="3" t="s">
        <v>582</v>
      </c>
      <c r="C537" s="1" t="s">
        <v>38</v>
      </c>
      <c r="D537" s="1" t="s">
        <v>5593</v>
      </c>
      <c r="E537" s="1" t="s">
        <v>573</v>
      </c>
      <c r="F537">
        <v>27.66</v>
      </c>
      <c r="G537">
        <v>226.97</v>
      </c>
      <c r="H537">
        <v>105.63</v>
      </c>
      <c r="I537">
        <v>1571.29</v>
      </c>
      <c r="J537">
        <v>326.17</v>
      </c>
      <c r="K537">
        <v>494.78</v>
      </c>
      <c r="L537">
        <v>19.57</v>
      </c>
      <c r="M537">
        <v>8.42</v>
      </c>
      <c r="N537">
        <v>35.5</v>
      </c>
      <c r="O537">
        <v>4.58</v>
      </c>
      <c r="P537">
        <v>2.8000000000000001E-2</v>
      </c>
    </row>
    <row r="538" spans="1:16">
      <c r="A538" s="1" t="s">
        <v>567</v>
      </c>
      <c r="B538" s="3" t="s">
        <v>583</v>
      </c>
      <c r="C538" s="1" t="s">
        <v>38</v>
      </c>
      <c r="D538" s="1" t="s">
        <v>5593</v>
      </c>
      <c r="E538" s="1" t="s">
        <v>573</v>
      </c>
      <c r="F538">
        <v>33.22</v>
      </c>
      <c r="G538">
        <v>314.04000000000002</v>
      </c>
      <c r="H538">
        <v>226.46</v>
      </c>
      <c r="I538">
        <v>2127.94</v>
      </c>
      <c r="J538">
        <v>316.10000000000002</v>
      </c>
      <c r="K538">
        <v>540.96</v>
      </c>
      <c r="L538">
        <v>20.99</v>
      </c>
      <c r="M538">
        <v>8.2200000000000006</v>
      </c>
      <c r="N538">
        <v>57.05</v>
      </c>
      <c r="O538">
        <v>11.21</v>
      </c>
      <c r="P538">
        <v>8.2000000000000003E-2</v>
      </c>
    </row>
    <row r="539" spans="1:16">
      <c r="A539" s="1" t="s">
        <v>567</v>
      </c>
      <c r="B539" s="3" t="s">
        <v>584</v>
      </c>
      <c r="C539" s="1" t="s">
        <v>38</v>
      </c>
      <c r="D539" s="1" t="s">
        <v>5593</v>
      </c>
      <c r="E539" s="1" t="s">
        <v>573</v>
      </c>
      <c r="F539">
        <v>74.88</v>
      </c>
      <c r="G539">
        <v>371.03</v>
      </c>
      <c r="H539">
        <v>353.74</v>
      </c>
      <c r="I539">
        <v>2683.1</v>
      </c>
      <c r="J539">
        <v>503.94</v>
      </c>
      <c r="K539">
        <v>677.92</v>
      </c>
      <c r="L539">
        <v>22.78</v>
      </c>
      <c r="M539">
        <v>6.42</v>
      </c>
      <c r="N539">
        <v>66.16</v>
      </c>
      <c r="O539">
        <v>11.91</v>
      </c>
      <c r="P539">
        <v>7.2999999999999995E-2</v>
      </c>
    </row>
    <row r="540" spans="1:16">
      <c r="A540" s="1" t="s">
        <v>567</v>
      </c>
      <c r="B540" s="3" t="s">
        <v>585</v>
      </c>
      <c r="C540" s="1" t="s">
        <v>38</v>
      </c>
      <c r="D540" s="1" t="s">
        <v>5593</v>
      </c>
      <c r="E540" s="1" t="s">
        <v>573</v>
      </c>
      <c r="F540">
        <v>46.23</v>
      </c>
      <c r="G540">
        <v>430.62</v>
      </c>
      <c r="H540">
        <v>254.29</v>
      </c>
      <c r="I540">
        <v>2987.36</v>
      </c>
      <c r="J540">
        <v>461.04</v>
      </c>
      <c r="K540">
        <v>848.61</v>
      </c>
      <c r="L540">
        <v>35.53</v>
      </c>
      <c r="M540">
        <v>8.06</v>
      </c>
      <c r="N540">
        <v>115.56</v>
      </c>
      <c r="O540">
        <v>13.67</v>
      </c>
      <c r="P540">
        <v>0.31</v>
      </c>
    </row>
    <row r="541" spans="1:16">
      <c r="A541" s="1" t="s">
        <v>567</v>
      </c>
      <c r="B541" s="3" t="s">
        <v>586</v>
      </c>
      <c r="C541" s="1" t="s">
        <v>38</v>
      </c>
      <c r="D541" s="1" t="s">
        <v>5593</v>
      </c>
      <c r="E541" s="1" t="s">
        <v>573</v>
      </c>
      <c r="F541">
        <v>54.35</v>
      </c>
      <c r="G541">
        <v>362.24</v>
      </c>
      <c r="H541">
        <v>262.02</v>
      </c>
      <c r="I541">
        <v>2804.53</v>
      </c>
      <c r="J541">
        <v>493.83</v>
      </c>
      <c r="K541">
        <v>781.96</v>
      </c>
      <c r="L541">
        <v>24.3</v>
      </c>
      <c r="M541">
        <v>8.66</v>
      </c>
      <c r="N541">
        <v>65.650000000000006</v>
      </c>
      <c r="O541">
        <v>12.5</v>
      </c>
      <c r="P541">
        <f>0.05/2</f>
        <v>2.5000000000000001E-2</v>
      </c>
    </row>
    <row r="542" spans="1:16">
      <c r="A542" s="1" t="s">
        <v>567</v>
      </c>
      <c r="B542" s="3" t="s">
        <v>587</v>
      </c>
      <c r="C542" s="1" t="s">
        <v>38</v>
      </c>
      <c r="D542" s="1" t="s">
        <v>5593</v>
      </c>
      <c r="E542" s="1" t="s">
        <v>573</v>
      </c>
      <c r="F542">
        <v>44.25</v>
      </c>
      <c r="G542">
        <v>298.54000000000002</v>
      </c>
      <c r="H542">
        <v>318.85000000000002</v>
      </c>
      <c r="I542">
        <v>2371.5100000000002</v>
      </c>
      <c r="J542">
        <v>409.63</v>
      </c>
      <c r="K542">
        <v>579.41</v>
      </c>
      <c r="L542">
        <v>20.97</v>
      </c>
      <c r="M542">
        <v>9</v>
      </c>
      <c r="N542">
        <v>52.88</v>
      </c>
      <c r="O542">
        <v>10.86</v>
      </c>
      <c r="P542">
        <f>0.024/2</f>
        <v>1.2E-2</v>
      </c>
    </row>
    <row r="543" spans="1:16">
      <c r="A543" s="1" t="s">
        <v>567</v>
      </c>
      <c r="B543" s="3" t="s">
        <v>588</v>
      </c>
      <c r="C543" s="1" t="s">
        <v>38</v>
      </c>
      <c r="D543" s="1" t="s">
        <v>5593</v>
      </c>
      <c r="E543" s="1" t="s">
        <v>573</v>
      </c>
      <c r="F543">
        <v>28.49</v>
      </c>
      <c r="G543">
        <v>236.36</v>
      </c>
      <c r="H543">
        <v>146.94999999999999</v>
      </c>
      <c r="I543">
        <v>1599.31</v>
      </c>
      <c r="J543">
        <v>175.53</v>
      </c>
      <c r="K543">
        <v>527.62</v>
      </c>
      <c r="L543">
        <v>20.39</v>
      </c>
      <c r="M543">
        <v>8.76</v>
      </c>
      <c r="N543">
        <v>36.08</v>
      </c>
      <c r="O543">
        <v>5.52</v>
      </c>
      <c r="P543">
        <f>0.037/2</f>
        <v>1.8499999999999999E-2</v>
      </c>
    </row>
    <row r="544" spans="1:16">
      <c r="A544" s="1" t="s">
        <v>567</v>
      </c>
      <c r="B544" s="3" t="s">
        <v>589</v>
      </c>
      <c r="C544" s="1" t="s">
        <v>38</v>
      </c>
      <c r="D544" s="1" t="s">
        <v>5593</v>
      </c>
      <c r="E544" s="1" t="s">
        <v>573</v>
      </c>
      <c r="F544">
        <v>139.75</v>
      </c>
      <c r="G544">
        <v>461.07</v>
      </c>
      <c r="H544">
        <v>248.17</v>
      </c>
      <c r="I544">
        <v>3390.11</v>
      </c>
      <c r="J544">
        <v>610.96</v>
      </c>
      <c r="K544">
        <v>519.1</v>
      </c>
      <c r="L544">
        <v>18.989999999999998</v>
      </c>
      <c r="M544">
        <v>9.9600000000000009</v>
      </c>
      <c r="N544">
        <v>43.56</v>
      </c>
      <c r="O544">
        <v>9.34</v>
      </c>
      <c r="P544">
        <f>0.087/2</f>
        <v>4.3499999999999997E-2</v>
      </c>
    </row>
    <row r="545" spans="1:16">
      <c r="A545" s="1" t="s">
        <v>567</v>
      </c>
      <c r="B545" s="3" t="s">
        <v>590</v>
      </c>
      <c r="C545" s="1" t="s">
        <v>38</v>
      </c>
      <c r="D545" s="1" t="s">
        <v>5593</v>
      </c>
      <c r="E545" s="1" t="s">
        <v>573</v>
      </c>
      <c r="F545">
        <v>57.6</v>
      </c>
      <c r="G545">
        <v>386.73</v>
      </c>
      <c r="H545">
        <v>248.18</v>
      </c>
      <c r="I545">
        <v>2745.72</v>
      </c>
      <c r="J545">
        <v>456.7</v>
      </c>
      <c r="K545">
        <v>604.08000000000004</v>
      </c>
      <c r="L545">
        <v>22.09</v>
      </c>
      <c r="M545">
        <v>10.039999999999999</v>
      </c>
      <c r="N545">
        <v>62.79</v>
      </c>
      <c r="O545">
        <v>11.99</v>
      </c>
      <c r="P545">
        <f>0.053/2</f>
        <v>2.6499999999999999E-2</v>
      </c>
    </row>
    <row r="546" spans="1:16">
      <c r="A546" s="1" t="s">
        <v>567</v>
      </c>
      <c r="B546" s="3" t="s">
        <v>591</v>
      </c>
      <c r="C546" s="1" t="s">
        <v>38</v>
      </c>
      <c r="D546" s="1" t="s">
        <v>5593</v>
      </c>
      <c r="E546" s="1" t="s">
        <v>573</v>
      </c>
      <c r="F546">
        <v>37.94</v>
      </c>
      <c r="G546">
        <v>314.12</v>
      </c>
      <c r="H546">
        <v>180.96</v>
      </c>
      <c r="I546">
        <v>2925.02</v>
      </c>
      <c r="J546">
        <v>408.24</v>
      </c>
      <c r="K546">
        <v>542.87</v>
      </c>
      <c r="L546">
        <v>20.86</v>
      </c>
      <c r="M546">
        <v>8.6999999999999993</v>
      </c>
      <c r="N546">
        <v>43.59</v>
      </c>
      <c r="O546">
        <v>8.07</v>
      </c>
      <c r="P546">
        <f>0.056/2</f>
        <v>2.8000000000000001E-2</v>
      </c>
    </row>
    <row r="547" spans="1:16">
      <c r="A547" s="1" t="s">
        <v>567</v>
      </c>
      <c r="B547" s="3" t="s">
        <v>592</v>
      </c>
      <c r="C547" s="1" t="s">
        <v>38</v>
      </c>
      <c r="D547" s="1" t="s">
        <v>5593</v>
      </c>
      <c r="E547" s="1" t="s">
        <v>573</v>
      </c>
      <c r="F547">
        <v>31.89</v>
      </c>
      <c r="G547">
        <v>250.23</v>
      </c>
      <c r="H547">
        <v>143.08000000000001</v>
      </c>
      <c r="I547">
        <v>2755.58</v>
      </c>
      <c r="J547">
        <v>412.85</v>
      </c>
      <c r="K547">
        <v>510.1</v>
      </c>
      <c r="L547">
        <v>19.03</v>
      </c>
      <c r="M547">
        <v>8.5299999999999994</v>
      </c>
      <c r="N547">
        <v>36.39</v>
      </c>
      <c r="O547">
        <v>5.8</v>
      </c>
      <c r="P547">
        <f>0.036/2</f>
        <v>1.7999999999999999E-2</v>
      </c>
    </row>
    <row r="548" spans="1:16">
      <c r="A548" s="1" t="s">
        <v>567</v>
      </c>
      <c r="B548" s="3" t="s">
        <v>593</v>
      </c>
      <c r="C548" s="1" t="s">
        <v>38</v>
      </c>
      <c r="D548" s="1" t="s">
        <v>5593</v>
      </c>
      <c r="E548" s="1" t="s">
        <v>573</v>
      </c>
      <c r="F548">
        <v>52.99</v>
      </c>
      <c r="G548">
        <v>509.17</v>
      </c>
      <c r="H548">
        <v>458.33</v>
      </c>
      <c r="I548">
        <v>3415.06</v>
      </c>
      <c r="J548">
        <v>391.86</v>
      </c>
      <c r="K548">
        <v>782.4</v>
      </c>
      <c r="L548">
        <v>23.99</v>
      </c>
      <c r="M548">
        <v>8.1300000000000008</v>
      </c>
      <c r="N548">
        <v>104.38</v>
      </c>
      <c r="O548">
        <v>21.57</v>
      </c>
      <c r="P548">
        <v>0.311</v>
      </c>
    </row>
    <row r="549" spans="1:16">
      <c r="A549" s="1" t="s">
        <v>567</v>
      </c>
      <c r="B549" s="3" t="s">
        <v>594</v>
      </c>
      <c r="C549" s="1" t="s">
        <v>38</v>
      </c>
      <c r="D549" s="1" t="s">
        <v>5593</v>
      </c>
      <c r="E549" s="1" t="s">
        <v>573</v>
      </c>
      <c r="F549">
        <v>29.84</v>
      </c>
      <c r="G549">
        <v>252.16</v>
      </c>
      <c r="H549">
        <v>134.72999999999999</v>
      </c>
      <c r="I549">
        <v>1850.56</v>
      </c>
      <c r="J549">
        <v>369.96</v>
      </c>
      <c r="K549">
        <v>509.43</v>
      </c>
      <c r="L549">
        <v>23.69</v>
      </c>
      <c r="M549">
        <v>8.3800000000000008</v>
      </c>
      <c r="N549">
        <v>46.21</v>
      </c>
      <c r="O549">
        <v>8.4</v>
      </c>
      <c r="P549">
        <f>0.046/2</f>
        <v>2.3E-2</v>
      </c>
    </row>
    <row r="550" spans="1:16">
      <c r="A550" s="1" t="s">
        <v>567</v>
      </c>
      <c r="B550" s="3" t="s">
        <v>595</v>
      </c>
      <c r="C550" s="1" t="s">
        <v>38</v>
      </c>
      <c r="D550" s="1" t="s">
        <v>5593</v>
      </c>
      <c r="E550" s="1" t="s">
        <v>573</v>
      </c>
      <c r="F550">
        <v>59.72</v>
      </c>
      <c r="G550">
        <v>343.64</v>
      </c>
      <c r="H550">
        <v>211.57</v>
      </c>
      <c r="I550">
        <v>2152.9699999999998</v>
      </c>
      <c r="J550">
        <v>390.03</v>
      </c>
      <c r="K550">
        <v>578.5</v>
      </c>
      <c r="L550">
        <v>28.1</v>
      </c>
      <c r="M550">
        <v>8.86</v>
      </c>
      <c r="N550">
        <v>57.43</v>
      </c>
      <c r="O550">
        <v>11.64</v>
      </c>
      <c r="P550">
        <f>0.176/2</f>
        <v>8.7999999999999995E-2</v>
      </c>
    </row>
    <row r="551" spans="1:16">
      <c r="A551" s="1" t="s">
        <v>567</v>
      </c>
      <c r="B551" s="3" t="s">
        <v>596</v>
      </c>
      <c r="C551" s="1" t="s">
        <v>38</v>
      </c>
      <c r="D551" s="1" t="s">
        <v>5593</v>
      </c>
      <c r="E551" s="1" t="s">
        <v>573</v>
      </c>
      <c r="F551">
        <v>14.21</v>
      </c>
      <c r="G551">
        <v>260.83</v>
      </c>
      <c r="H551">
        <v>160.37</v>
      </c>
      <c r="I551">
        <v>1788.55</v>
      </c>
      <c r="J551">
        <v>433.89</v>
      </c>
      <c r="K551">
        <v>533.04</v>
      </c>
      <c r="L551">
        <v>24.18</v>
      </c>
      <c r="M551">
        <v>7.17</v>
      </c>
      <c r="N551">
        <v>43.83</v>
      </c>
      <c r="O551">
        <v>9.39</v>
      </c>
      <c r="P551">
        <v>9.7000000000000003E-2</v>
      </c>
    </row>
    <row r="552" spans="1:16">
      <c r="A552" s="1" t="s">
        <v>567</v>
      </c>
      <c r="B552" s="3" t="s">
        <v>597</v>
      </c>
      <c r="C552" s="1" t="s">
        <v>38</v>
      </c>
      <c r="D552" s="1" t="s">
        <v>5593</v>
      </c>
      <c r="E552" s="1" t="s">
        <v>573</v>
      </c>
      <c r="F552">
        <v>42.36</v>
      </c>
      <c r="G552">
        <v>332.35</v>
      </c>
      <c r="H552">
        <v>265.87</v>
      </c>
      <c r="I552">
        <v>3563.22</v>
      </c>
      <c r="J552">
        <v>529.36</v>
      </c>
      <c r="K552">
        <v>739.5</v>
      </c>
      <c r="L552">
        <v>25.91</v>
      </c>
      <c r="M552">
        <v>8.35</v>
      </c>
      <c r="N552">
        <v>71.13</v>
      </c>
      <c r="O552">
        <v>17.63</v>
      </c>
      <c r="P552">
        <v>2.3E-2</v>
      </c>
    </row>
    <row r="553" spans="1:16">
      <c r="A553" s="1" t="s">
        <v>567</v>
      </c>
      <c r="B553" s="3" t="s">
        <v>598</v>
      </c>
      <c r="C553" s="1" t="s">
        <v>38</v>
      </c>
      <c r="D553" s="1" t="s">
        <v>5593</v>
      </c>
      <c r="E553" s="1" t="s">
        <v>573</v>
      </c>
      <c r="F553">
        <v>46.16</v>
      </c>
      <c r="G553">
        <v>305.02999999999997</v>
      </c>
      <c r="H553">
        <v>126.84</v>
      </c>
      <c r="I553">
        <v>2211.91</v>
      </c>
      <c r="J553">
        <v>463.18</v>
      </c>
      <c r="K553">
        <v>992.66</v>
      </c>
      <c r="L553">
        <v>23.75</v>
      </c>
      <c r="M553">
        <v>7.42</v>
      </c>
      <c r="N553">
        <v>88.23</v>
      </c>
      <c r="O553">
        <v>17.36</v>
      </c>
      <c r="P553">
        <v>7.4999999999999997E-2</v>
      </c>
    </row>
    <row r="554" spans="1:16">
      <c r="A554" s="1" t="s">
        <v>567</v>
      </c>
      <c r="B554" s="3" t="s">
        <v>599</v>
      </c>
      <c r="C554" s="1" t="s">
        <v>38</v>
      </c>
      <c r="D554" s="1" t="s">
        <v>5593</v>
      </c>
      <c r="E554" s="1" t="s">
        <v>573</v>
      </c>
      <c r="F554">
        <v>53.87</v>
      </c>
      <c r="G554">
        <v>603.54</v>
      </c>
      <c r="H554">
        <v>541.49</v>
      </c>
      <c r="I554">
        <v>3204.41</v>
      </c>
      <c r="J554">
        <v>542.64</v>
      </c>
      <c r="K554">
        <v>900.91</v>
      </c>
      <c r="L554">
        <v>31.34</v>
      </c>
      <c r="M554">
        <v>8.82</v>
      </c>
      <c r="N554">
        <v>126.72</v>
      </c>
      <c r="O554">
        <v>20.75</v>
      </c>
      <c r="P554">
        <f>0.051/2</f>
        <v>2.5499999999999998E-2</v>
      </c>
    </row>
    <row r="555" spans="1:16">
      <c r="A555" s="1" t="s">
        <v>567</v>
      </c>
      <c r="B555" s="3" t="s">
        <v>600</v>
      </c>
      <c r="C555" s="1" t="s">
        <v>38</v>
      </c>
      <c r="D555" s="1" t="s">
        <v>5593</v>
      </c>
      <c r="E555" s="1" t="s">
        <v>573</v>
      </c>
      <c r="F555">
        <v>29.95</v>
      </c>
      <c r="G555">
        <v>368.32</v>
      </c>
      <c r="H555">
        <v>358.55</v>
      </c>
      <c r="I555">
        <v>2569.2399999999998</v>
      </c>
      <c r="J555">
        <v>468.24</v>
      </c>
      <c r="K555">
        <v>457.84</v>
      </c>
      <c r="L555">
        <v>20.27</v>
      </c>
      <c r="M555">
        <v>8.15</v>
      </c>
      <c r="N555">
        <v>48.1</v>
      </c>
      <c r="O555">
        <v>11.49</v>
      </c>
      <c r="P555">
        <f>0.052/2</f>
        <v>2.5999999999999999E-2</v>
      </c>
    </row>
    <row r="556" spans="1:16">
      <c r="A556" s="1" t="s">
        <v>567</v>
      </c>
      <c r="B556" s="3" t="s">
        <v>601</v>
      </c>
      <c r="C556" s="1" t="s">
        <v>38</v>
      </c>
      <c r="D556" s="1" t="s">
        <v>5593</v>
      </c>
      <c r="E556" s="1" t="s">
        <v>573</v>
      </c>
      <c r="F556">
        <v>33.06</v>
      </c>
      <c r="G556">
        <v>288.05</v>
      </c>
      <c r="H556">
        <v>242.72</v>
      </c>
      <c r="I556">
        <v>1985.24</v>
      </c>
      <c r="J556">
        <v>591.84</v>
      </c>
      <c r="K556">
        <v>576.37</v>
      </c>
      <c r="L556">
        <v>22.48</v>
      </c>
      <c r="M556">
        <v>8.82</v>
      </c>
      <c r="N556">
        <v>46.09</v>
      </c>
      <c r="O556">
        <v>10.039999999999999</v>
      </c>
      <c r="P556">
        <f>0.027/2</f>
        <v>1.35E-2</v>
      </c>
    </row>
    <row r="557" spans="1:16">
      <c r="A557" s="1" t="s">
        <v>567</v>
      </c>
      <c r="B557" s="3" t="s">
        <v>602</v>
      </c>
      <c r="C557" s="1" t="s">
        <v>38</v>
      </c>
      <c r="D557" s="1" t="s">
        <v>5593</v>
      </c>
      <c r="E557" s="1" t="s">
        <v>573</v>
      </c>
      <c r="F557">
        <v>42.71</v>
      </c>
      <c r="G557">
        <v>283.63</v>
      </c>
      <c r="H557">
        <v>206.13</v>
      </c>
      <c r="I557">
        <v>2078.5</v>
      </c>
      <c r="J557">
        <v>520.12</v>
      </c>
      <c r="K557">
        <v>608.07000000000005</v>
      </c>
      <c r="L557">
        <v>22.42</v>
      </c>
      <c r="M557">
        <v>8.92</v>
      </c>
      <c r="N557">
        <v>43.36</v>
      </c>
      <c r="O557">
        <v>10.5</v>
      </c>
      <c r="P557">
        <f>0.022/2</f>
        <v>1.0999999999999999E-2</v>
      </c>
    </row>
    <row r="558" spans="1:16">
      <c r="A558" s="1" t="s">
        <v>567</v>
      </c>
      <c r="B558" s="3" t="s">
        <v>603</v>
      </c>
      <c r="C558" s="1" t="s">
        <v>38</v>
      </c>
      <c r="D558" s="1" t="s">
        <v>5593</v>
      </c>
      <c r="E558" s="1" t="s">
        <v>573</v>
      </c>
      <c r="F558">
        <v>34.01</v>
      </c>
      <c r="G558">
        <v>313.17</v>
      </c>
      <c r="H558">
        <v>273.93</v>
      </c>
      <c r="I558">
        <v>2031.09</v>
      </c>
      <c r="J558">
        <v>496.07</v>
      </c>
      <c r="K558">
        <v>595.36</v>
      </c>
      <c r="L558">
        <v>25.28</v>
      </c>
      <c r="M558">
        <v>8.2899999999999991</v>
      </c>
      <c r="N558">
        <v>54.64</v>
      </c>
      <c r="O558">
        <v>13.15</v>
      </c>
      <c r="P558">
        <f>0.06/2</f>
        <v>0.03</v>
      </c>
    </row>
    <row r="559" spans="1:16">
      <c r="A559" s="1" t="s">
        <v>567</v>
      </c>
      <c r="B559" s="3" t="s">
        <v>604</v>
      </c>
      <c r="C559" s="1" t="s">
        <v>38</v>
      </c>
      <c r="D559" s="1" t="s">
        <v>5593</v>
      </c>
      <c r="E559" s="1" t="s">
        <v>573</v>
      </c>
      <c r="F559">
        <v>57.81</v>
      </c>
      <c r="G559">
        <v>359.05</v>
      </c>
      <c r="H559">
        <v>226.95</v>
      </c>
      <c r="I559">
        <v>2196.69</v>
      </c>
      <c r="J559">
        <v>660.25</v>
      </c>
      <c r="K559">
        <v>584.86</v>
      </c>
      <c r="L559">
        <v>21.98</v>
      </c>
      <c r="M559">
        <v>8.77</v>
      </c>
      <c r="N559">
        <v>58.45</v>
      </c>
      <c r="O559">
        <v>14.29</v>
      </c>
      <c r="P559">
        <v>8.6999999999999994E-2</v>
      </c>
    </row>
    <row r="560" spans="1:16">
      <c r="A560" s="1" t="s">
        <v>567</v>
      </c>
      <c r="B560" s="3" t="s">
        <v>605</v>
      </c>
      <c r="C560" s="1" t="s">
        <v>38</v>
      </c>
      <c r="D560" s="1" t="s">
        <v>5593</v>
      </c>
      <c r="E560" s="1" t="s">
        <v>573</v>
      </c>
      <c r="F560">
        <v>33.47</v>
      </c>
      <c r="G560">
        <v>326.07</v>
      </c>
      <c r="H560">
        <v>387.24</v>
      </c>
      <c r="I560">
        <v>2247.4899999999998</v>
      </c>
      <c r="J560">
        <v>595.19000000000005</v>
      </c>
      <c r="K560">
        <v>946.61</v>
      </c>
      <c r="L560">
        <v>23.46</v>
      </c>
      <c r="M560">
        <v>8.6</v>
      </c>
      <c r="N560">
        <v>93.85</v>
      </c>
      <c r="O560">
        <v>17.8</v>
      </c>
      <c r="P560">
        <v>6.5000000000000002E-2</v>
      </c>
    </row>
    <row r="561" spans="1:16">
      <c r="A561" s="1" t="s">
        <v>567</v>
      </c>
      <c r="B561" s="3" t="s">
        <v>606</v>
      </c>
      <c r="C561" s="1" t="s">
        <v>38</v>
      </c>
      <c r="D561" s="1" t="s">
        <v>5593</v>
      </c>
      <c r="E561" s="1" t="s">
        <v>573</v>
      </c>
      <c r="F561">
        <v>42.12</v>
      </c>
      <c r="G561">
        <v>329.17</v>
      </c>
      <c r="H561">
        <v>273.49</v>
      </c>
      <c r="I561">
        <v>2202.85</v>
      </c>
      <c r="J561">
        <v>592.69000000000005</v>
      </c>
      <c r="K561">
        <v>623.21</v>
      </c>
      <c r="L561">
        <v>22.15</v>
      </c>
      <c r="M561">
        <v>9.0399999999999991</v>
      </c>
      <c r="N561">
        <v>56.15</v>
      </c>
      <c r="O561">
        <v>13.73</v>
      </c>
      <c r="P561">
        <v>5.5E-2</v>
      </c>
    </row>
    <row r="562" spans="1:16">
      <c r="A562" s="1" t="s">
        <v>567</v>
      </c>
      <c r="B562" s="3" t="s">
        <v>607</v>
      </c>
      <c r="C562" s="1" t="s">
        <v>38</v>
      </c>
      <c r="D562" s="1" t="s">
        <v>5593</v>
      </c>
      <c r="E562" s="1" t="s">
        <v>573</v>
      </c>
      <c r="F562">
        <v>37.9</v>
      </c>
      <c r="G562">
        <v>322.08999999999997</v>
      </c>
      <c r="H562">
        <v>201.25</v>
      </c>
      <c r="I562">
        <v>2283.9899999999998</v>
      </c>
      <c r="J562">
        <v>632.95000000000005</v>
      </c>
      <c r="K562">
        <v>611.03</v>
      </c>
      <c r="L562">
        <v>20.67</v>
      </c>
      <c r="M562">
        <v>9.4600000000000009</v>
      </c>
      <c r="N562">
        <v>52.99</v>
      </c>
      <c r="O562">
        <v>12.66</v>
      </c>
      <c r="P562">
        <f>0.034/2</f>
        <v>1.7000000000000001E-2</v>
      </c>
    </row>
    <row r="563" spans="1:16">
      <c r="A563" s="1" t="s">
        <v>567</v>
      </c>
      <c r="B563" s="3" t="s">
        <v>608</v>
      </c>
      <c r="C563" s="1" t="s">
        <v>38</v>
      </c>
      <c r="D563" s="1" t="s">
        <v>5593</v>
      </c>
      <c r="E563" s="1" t="s">
        <v>573</v>
      </c>
      <c r="F563">
        <v>33.159999999999997</v>
      </c>
      <c r="G563">
        <v>269.79000000000002</v>
      </c>
      <c r="H563">
        <v>300.83</v>
      </c>
      <c r="I563">
        <v>2068.7600000000002</v>
      </c>
      <c r="J563">
        <v>729.1</v>
      </c>
      <c r="K563">
        <v>587.04</v>
      </c>
      <c r="L563">
        <v>22.14</v>
      </c>
      <c r="M563">
        <v>10.15</v>
      </c>
      <c r="N563">
        <v>53.98</v>
      </c>
      <c r="O563">
        <v>13.78</v>
      </c>
      <c r="P563">
        <v>0.53300000000000003</v>
      </c>
    </row>
    <row r="564" spans="1:16">
      <c r="A564" s="1" t="s">
        <v>567</v>
      </c>
      <c r="B564" s="3" t="s">
        <v>609</v>
      </c>
      <c r="C564" s="1" t="s">
        <v>38</v>
      </c>
      <c r="D564" s="1" t="s">
        <v>5593</v>
      </c>
      <c r="E564" s="1" t="s">
        <v>573</v>
      </c>
      <c r="F564">
        <v>41.15</v>
      </c>
      <c r="G564">
        <v>293.42</v>
      </c>
      <c r="H564">
        <v>158.11000000000001</v>
      </c>
      <c r="I564">
        <v>1853.56</v>
      </c>
      <c r="J564">
        <v>680.09</v>
      </c>
      <c r="K564">
        <v>558.5</v>
      </c>
      <c r="L564">
        <v>23.69</v>
      </c>
      <c r="M564">
        <v>9.16</v>
      </c>
      <c r="N564">
        <v>50.11</v>
      </c>
      <c r="O564">
        <v>11.18</v>
      </c>
      <c r="P564">
        <v>5.7000000000000002E-2</v>
      </c>
    </row>
    <row r="565" spans="1:16">
      <c r="A565" s="1" t="s">
        <v>567</v>
      </c>
      <c r="B565" s="3" t="s">
        <v>610</v>
      </c>
      <c r="C565" s="1" t="s">
        <v>38</v>
      </c>
      <c r="D565" s="1" t="s">
        <v>5593</v>
      </c>
      <c r="E565" s="1" t="s">
        <v>573</v>
      </c>
      <c r="F565">
        <v>35.26</v>
      </c>
      <c r="G565">
        <v>319.27</v>
      </c>
      <c r="H565">
        <v>267.33</v>
      </c>
      <c r="I565">
        <v>2261.0100000000002</v>
      </c>
      <c r="J565">
        <v>634.45000000000005</v>
      </c>
      <c r="K565">
        <v>758.36</v>
      </c>
      <c r="L565">
        <v>24.65</v>
      </c>
      <c r="M565">
        <v>9.5500000000000007</v>
      </c>
      <c r="N565">
        <v>75.8</v>
      </c>
      <c r="O565">
        <v>14.83</v>
      </c>
      <c r="P565">
        <f>0.069/2</f>
        <v>3.4500000000000003E-2</v>
      </c>
    </row>
    <row r="566" spans="1:16">
      <c r="A566" s="1" t="s">
        <v>567</v>
      </c>
      <c r="B566" s="3" t="s">
        <v>611</v>
      </c>
      <c r="C566" s="1" t="s">
        <v>38</v>
      </c>
      <c r="D566" s="1" t="s">
        <v>5593</v>
      </c>
      <c r="E566" s="1" t="s">
        <v>573</v>
      </c>
      <c r="F566">
        <v>24.67</v>
      </c>
      <c r="G566">
        <v>335.59</v>
      </c>
      <c r="H566">
        <v>315.3</v>
      </c>
      <c r="I566">
        <v>2100.31</v>
      </c>
      <c r="J566">
        <v>568.05999999999995</v>
      </c>
      <c r="K566">
        <v>660.11</v>
      </c>
      <c r="L566">
        <v>23.27</v>
      </c>
      <c r="M566">
        <v>10.65</v>
      </c>
      <c r="N566">
        <v>87.3</v>
      </c>
      <c r="O566">
        <v>15.72</v>
      </c>
      <c r="P566">
        <f>0.157/2</f>
        <v>7.85E-2</v>
      </c>
    </row>
    <row r="567" spans="1:16">
      <c r="A567" s="1" t="s">
        <v>567</v>
      </c>
      <c r="B567" s="3" t="s">
        <v>612</v>
      </c>
      <c r="C567" s="1" t="s">
        <v>38</v>
      </c>
      <c r="D567" s="1" t="s">
        <v>5593</v>
      </c>
      <c r="E567" s="1" t="s">
        <v>573</v>
      </c>
      <c r="F567">
        <v>527.79</v>
      </c>
      <c r="G567">
        <v>752.7</v>
      </c>
      <c r="H567">
        <v>275.35000000000002</v>
      </c>
      <c r="I567">
        <v>2948.76</v>
      </c>
      <c r="J567">
        <v>502.73</v>
      </c>
      <c r="K567">
        <v>528.5</v>
      </c>
      <c r="L567">
        <v>25.17</v>
      </c>
      <c r="M567">
        <v>8.5</v>
      </c>
      <c r="N567">
        <v>44.03</v>
      </c>
      <c r="O567">
        <v>6.73</v>
      </c>
      <c r="P567">
        <v>6.7000000000000004E-2</v>
      </c>
    </row>
    <row r="568" spans="1:16">
      <c r="A568" s="1" t="s">
        <v>567</v>
      </c>
      <c r="B568" s="3" t="s">
        <v>613</v>
      </c>
      <c r="C568" s="1" t="s">
        <v>38</v>
      </c>
      <c r="D568" s="1" t="s">
        <v>5593</v>
      </c>
      <c r="E568" s="1" t="s">
        <v>573</v>
      </c>
      <c r="F568">
        <v>59.71</v>
      </c>
      <c r="G568">
        <v>495.73</v>
      </c>
      <c r="H568">
        <v>402.02</v>
      </c>
      <c r="I568">
        <v>2656.03</v>
      </c>
      <c r="J568">
        <v>529.45000000000005</v>
      </c>
      <c r="K568">
        <v>676.46</v>
      </c>
      <c r="L568">
        <v>28.61</v>
      </c>
      <c r="M568">
        <v>7.92</v>
      </c>
      <c r="N568">
        <v>93.48</v>
      </c>
      <c r="O568">
        <v>12.15</v>
      </c>
      <c r="P568">
        <v>0.14399999999999999</v>
      </c>
    </row>
    <row r="569" spans="1:16">
      <c r="A569" s="1" t="s">
        <v>567</v>
      </c>
      <c r="B569" s="3" t="s">
        <v>614</v>
      </c>
      <c r="C569" s="1" t="s">
        <v>38</v>
      </c>
      <c r="D569" s="1" t="s">
        <v>5593</v>
      </c>
      <c r="E569" s="1" t="s">
        <v>573</v>
      </c>
      <c r="F569">
        <v>52.15</v>
      </c>
      <c r="G569">
        <v>505.25</v>
      </c>
      <c r="H569">
        <v>680.04</v>
      </c>
      <c r="I569">
        <v>2530.06</v>
      </c>
      <c r="J569">
        <v>478.73</v>
      </c>
      <c r="K569">
        <v>739.76</v>
      </c>
      <c r="L569">
        <v>24.32</v>
      </c>
      <c r="M569">
        <v>8.75</v>
      </c>
      <c r="N569">
        <v>111.23</v>
      </c>
      <c r="O569">
        <v>18.47</v>
      </c>
      <c r="P569">
        <v>0.19400000000000001</v>
      </c>
    </row>
    <row r="570" spans="1:16">
      <c r="A570" s="1" t="s">
        <v>567</v>
      </c>
      <c r="B570" s="3" t="s">
        <v>615</v>
      </c>
      <c r="C570" s="1" t="s">
        <v>38</v>
      </c>
      <c r="D570" s="1" t="s">
        <v>5593</v>
      </c>
      <c r="E570" s="1" t="s">
        <v>573</v>
      </c>
      <c r="F570">
        <v>45.25</v>
      </c>
      <c r="G570">
        <v>770.52</v>
      </c>
      <c r="H570">
        <v>434.71</v>
      </c>
      <c r="I570">
        <v>3508.03</v>
      </c>
      <c r="J570">
        <v>492.99</v>
      </c>
      <c r="K570">
        <v>850.64</v>
      </c>
      <c r="L570">
        <v>31.25</v>
      </c>
      <c r="M570">
        <v>9.08</v>
      </c>
      <c r="N570">
        <v>269.24</v>
      </c>
      <c r="O570">
        <v>30.17</v>
      </c>
      <c r="P570">
        <v>0.11799999999999999</v>
      </c>
    </row>
    <row r="571" spans="1:16">
      <c r="A571" s="1" t="s">
        <v>567</v>
      </c>
      <c r="B571" s="3" t="s">
        <v>616</v>
      </c>
      <c r="C571" s="1" t="s">
        <v>38</v>
      </c>
      <c r="D571" s="1" t="s">
        <v>5593</v>
      </c>
      <c r="E571" s="1" t="s">
        <v>573</v>
      </c>
      <c r="F571">
        <v>47.26</v>
      </c>
      <c r="G571">
        <v>397.3</v>
      </c>
      <c r="H571">
        <v>320.31</v>
      </c>
      <c r="I571">
        <v>3270.54</v>
      </c>
      <c r="J571">
        <v>351.24</v>
      </c>
      <c r="K571">
        <v>524.29</v>
      </c>
      <c r="L571">
        <v>21.47</v>
      </c>
      <c r="M571">
        <v>8.1</v>
      </c>
      <c r="N571">
        <v>50.33</v>
      </c>
      <c r="O571">
        <v>10.7</v>
      </c>
      <c r="P571">
        <v>0.17499999999999999</v>
      </c>
    </row>
    <row r="572" spans="1:16">
      <c r="A572" s="1" t="s">
        <v>567</v>
      </c>
      <c r="B572" s="3" t="s">
        <v>617</v>
      </c>
      <c r="C572" s="1" t="s">
        <v>38</v>
      </c>
      <c r="D572" s="1" t="s">
        <v>5593</v>
      </c>
      <c r="E572" s="1" t="s">
        <v>573</v>
      </c>
      <c r="F572">
        <v>299.91000000000003</v>
      </c>
      <c r="G572">
        <v>3246.41</v>
      </c>
      <c r="H572">
        <v>2333.64</v>
      </c>
      <c r="I572">
        <v>1905.09</v>
      </c>
      <c r="J572">
        <v>53.87</v>
      </c>
      <c r="K572">
        <v>1491.93</v>
      </c>
      <c r="L572">
        <v>98.75</v>
      </c>
      <c r="M572">
        <v>36.58</v>
      </c>
      <c r="N572">
        <v>544.74</v>
      </c>
      <c r="O572">
        <v>36.93</v>
      </c>
      <c r="P572">
        <v>0.82699999999999996</v>
      </c>
    </row>
    <row r="573" spans="1:16">
      <c r="A573" s="1" t="s">
        <v>567</v>
      </c>
      <c r="B573" s="3" t="s">
        <v>618</v>
      </c>
      <c r="C573" s="1" t="s">
        <v>38</v>
      </c>
      <c r="D573" s="1" t="s">
        <v>5593</v>
      </c>
      <c r="E573" s="1" t="s">
        <v>573</v>
      </c>
      <c r="F573">
        <v>40.44</v>
      </c>
      <c r="G573">
        <v>119.02</v>
      </c>
      <c r="H573">
        <v>88.71</v>
      </c>
      <c r="I573">
        <v>1322.01</v>
      </c>
      <c r="J573">
        <v>512.91999999999996</v>
      </c>
      <c r="K573">
        <v>279.72000000000003</v>
      </c>
      <c r="L573">
        <v>18.12</v>
      </c>
      <c r="M573">
        <v>12.3</v>
      </c>
      <c r="N573">
        <v>35.29</v>
      </c>
      <c r="O573">
        <v>2.58</v>
      </c>
      <c r="P573">
        <f>0.034/2</f>
        <v>1.7000000000000001E-2</v>
      </c>
    </row>
    <row r="574" spans="1:16">
      <c r="A574" s="1" t="s">
        <v>567</v>
      </c>
      <c r="B574" s="3" t="s">
        <v>619</v>
      </c>
      <c r="C574" s="1" t="s">
        <v>38</v>
      </c>
      <c r="D574" s="1" t="s">
        <v>5593</v>
      </c>
      <c r="E574" s="1" t="s">
        <v>573</v>
      </c>
      <c r="F574">
        <v>47.16</v>
      </c>
      <c r="G574">
        <v>520.87</v>
      </c>
      <c r="H574">
        <v>426.7</v>
      </c>
      <c r="I574">
        <v>3790.89</v>
      </c>
      <c r="J574">
        <v>451.47</v>
      </c>
      <c r="K574">
        <v>682.04</v>
      </c>
      <c r="L574">
        <v>31.81</v>
      </c>
      <c r="M574">
        <v>8.7200000000000006</v>
      </c>
      <c r="N574">
        <v>227.34</v>
      </c>
      <c r="O574">
        <v>42.82</v>
      </c>
      <c r="P574">
        <v>2.29</v>
      </c>
    </row>
    <row r="575" spans="1:16">
      <c r="A575" s="1" t="s">
        <v>567</v>
      </c>
      <c r="B575" s="3" t="s">
        <v>620</v>
      </c>
      <c r="C575" s="1" t="s">
        <v>38</v>
      </c>
      <c r="D575" s="1" t="s">
        <v>5593</v>
      </c>
      <c r="E575" s="1" t="s">
        <v>573</v>
      </c>
      <c r="F575">
        <v>41.28</v>
      </c>
      <c r="G575">
        <v>331.32</v>
      </c>
      <c r="H575">
        <v>220.52</v>
      </c>
      <c r="I575">
        <v>2305.61</v>
      </c>
      <c r="J575">
        <v>501.17</v>
      </c>
      <c r="K575">
        <v>598.94000000000005</v>
      </c>
      <c r="L575">
        <v>36.729999999999997</v>
      </c>
      <c r="M575">
        <v>9.61</v>
      </c>
      <c r="N575">
        <v>211.36</v>
      </c>
      <c r="O575">
        <v>11.22</v>
      </c>
      <c r="P575">
        <v>0.14199999999999999</v>
      </c>
    </row>
    <row r="576" spans="1:16">
      <c r="A576" s="1" t="s">
        <v>567</v>
      </c>
      <c r="B576" s="3" t="s">
        <v>621</v>
      </c>
      <c r="C576" s="1" t="s">
        <v>38</v>
      </c>
      <c r="D576" s="1" t="s">
        <v>5593</v>
      </c>
      <c r="E576" s="1" t="s">
        <v>573</v>
      </c>
      <c r="F576">
        <v>31.24</v>
      </c>
      <c r="G576">
        <v>337.19</v>
      </c>
      <c r="H576">
        <v>328.53</v>
      </c>
      <c r="I576">
        <v>1623.77</v>
      </c>
      <c r="J576">
        <v>371.58</v>
      </c>
      <c r="K576">
        <v>536.36</v>
      </c>
      <c r="L576">
        <v>21.52</v>
      </c>
      <c r="M576">
        <v>7.55</v>
      </c>
      <c r="N576">
        <v>43.83</v>
      </c>
      <c r="O576">
        <v>7.06</v>
      </c>
      <c r="P576">
        <f>0.037/2</f>
        <v>1.8499999999999999E-2</v>
      </c>
    </row>
    <row r="577" spans="1:16">
      <c r="A577" s="1" t="s">
        <v>567</v>
      </c>
      <c r="B577" s="3" t="s">
        <v>622</v>
      </c>
      <c r="C577" s="1" t="s">
        <v>38</v>
      </c>
      <c r="D577" s="1" t="s">
        <v>5593</v>
      </c>
      <c r="E577" s="1" t="s">
        <v>573</v>
      </c>
      <c r="F577">
        <v>34.85</v>
      </c>
      <c r="G577">
        <v>298.68</v>
      </c>
      <c r="H577">
        <v>244.83</v>
      </c>
      <c r="I577">
        <v>2068.5500000000002</v>
      </c>
      <c r="J577">
        <v>491.82</v>
      </c>
      <c r="K577">
        <v>567.55999999999995</v>
      </c>
      <c r="L577">
        <v>23.9</v>
      </c>
      <c r="M577">
        <v>6.8</v>
      </c>
      <c r="N577">
        <v>44.16</v>
      </c>
      <c r="O577">
        <v>8.19</v>
      </c>
      <c r="P577">
        <v>2.4E-2</v>
      </c>
    </row>
    <row r="578" spans="1:16">
      <c r="A578" s="1" t="s">
        <v>567</v>
      </c>
      <c r="B578" s="3" t="s">
        <v>623</v>
      </c>
      <c r="C578" s="1" t="s">
        <v>38</v>
      </c>
      <c r="D578" s="1" t="s">
        <v>5593</v>
      </c>
      <c r="E578" s="1" t="s">
        <v>573</v>
      </c>
      <c r="F578">
        <v>72.53</v>
      </c>
      <c r="G578">
        <v>465.15</v>
      </c>
      <c r="H578">
        <v>700.74</v>
      </c>
      <c r="I578">
        <v>2234.23</v>
      </c>
      <c r="J578">
        <v>475.49</v>
      </c>
      <c r="K578">
        <v>783.03</v>
      </c>
      <c r="L578">
        <v>25.08</v>
      </c>
      <c r="M578">
        <v>7.44</v>
      </c>
      <c r="N578">
        <v>90.51</v>
      </c>
      <c r="O578">
        <v>15.97</v>
      </c>
      <c r="P578">
        <f>0.074/2</f>
        <v>3.6999999999999998E-2</v>
      </c>
    </row>
    <row r="579" spans="1:16">
      <c r="A579" s="1" t="s">
        <v>567</v>
      </c>
      <c r="B579" s="3" t="s">
        <v>624</v>
      </c>
      <c r="C579" s="1" t="s">
        <v>38</v>
      </c>
      <c r="D579" s="1" t="s">
        <v>5593</v>
      </c>
      <c r="E579" s="1" t="s">
        <v>573</v>
      </c>
      <c r="F579">
        <v>42.86</v>
      </c>
      <c r="G579">
        <v>347.65</v>
      </c>
      <c r="H579">
        <v>216.56</v>
      </c>
      <c r="I579">
        <v>2076.19</v>
      </c>
      <c r="J579">
        <v>296.37</v>
      </c>
      <c r="K579">
        <v>664.79</v>
      </c>
      <c r="L579">
        <v>21.04</v>
      </c>
      <c r="M579">
        <v>9.09</v>
      </c>
      <c r="N579">
        <v>68.209999999999994</v>
      </c>
      <c r="O579">
        <v>12.44</v>
      </c>
      <c r="P579">
        <f>0.055/2</f>
        <v>2.75E-2</v>
      </c>
    </row>
    <row r="580" spans="1:16">
      <c r="A580" s="1" t="s">
        <v>567</v>
      </c>
      <c r="B580" s="3" t="s">
        <v>625</v>
      </c>
      <c r="C580" s="1" t="s">
        <v>38</v>
      </c>
      <c r="D580" s="1" t="s">
        <v>5593</v>
      </c>
      <c r="E580" s="1" t="s">
        <v>573</v>
      </c>
      <c r="F580">
        <v>29.26</v>
      </c>
      <c r="G580">
        <v>419.03</v>
      </c>
      <c r="H580">
        <v>264.76</v>
      </c>
      <c r="I580">
        <v>3212.86</v>
      </c>
      <c r="J580">
        <v>404.94</v>
      </c>
      <c r="K580">
        <v>556.11</v>
      </c>
      <c r="L580">
        <v>23.58</v>
      </c>
      <c r="M580">
        <v>7.4</v>
      </c>
      <c r="N580">
        <v>55.58</v>
      </c>
      <c r="O580">
        <v>14.99</v>
      </c>
      <c r="P580">
        <v>0.193</v>
      </c>
    </row>
    <row r="581" spans="1:16">
      <c r="A581" s="1" t="s">
        <v>567</v>
      </c>
      <c r="B581" s="3" t="s">
        <v>626</v>
      </c>
      <c r="C581" s="1" t="s">
        <v>38</v>
      </c>
      <c r="D581" s="1" t="s">
        <v>5593</v>
      </c>
      <c r="E581" s="1" t="s">
        <v>573</v>
      </c>
      <c r="F581">
        <v>42.99</v>
      </c>
      <c r="G581">
        <v>374.3</v>
      </c>
      <c r="H581">
        <v>315.19</v>
      </c>
      <c r="I581">
        <v>3181.41</v>
      </c>
      <c r="J581">
        <v>631.48</v>
      </c>
      <c r="K581">
        <v>956.92</v>
      </c>
      <c r="L581">
        <v>23.92</v>
      </c>
      <c r="M581">
        <v>9.5299999999999994</v>
      </c>
      <c r="N581">
        <v>103.5</v>
      </c>
      <c r="O581">
        <v>16.420000000000002</v>
      </c>
      <c r="P581">
        <v>8.5999999999999993E-2</v>
      </c>
    </row>
    <row r="582" spans="1:16">
      <c r="A582" s="1" t="s">
        <v>567</v>
      </c>
      <c r="B582" s="3" t="s">
        <v>627</v>
      </c>
      <c r="C582" s="1" t="s">
        <v>38</v>
      </c>
      <c r="D582" s="1" t="s">
        <v>5593</v>
      </c>
      <c r="E582" s="1" t="s">
        <v>573</v>
      </c>
      <c r="F582">
        <v>49.57</v>
      </c>
      <c r="G582">
        <v>572.5</v>
      </c>
      <c r="H582">
        <v>503.36</v>
      </c>
      <c r="I582">
        <v>3446.15</v>
      </c>
      <c r="J582">
        <v>884.25</v>
      </c>
      <c r="K582">
        <v>848.65</v>
      </c>
      <c r="L582">
        <v>24.18</v>
      </c>
      <c r="M582">
        <v>9.2799999999999994</v>
      </c>
      <c r="N582">
        <v>213.16</v>
      </c>
      <c r="O582">
        <v>22.45</v>
      </c>
      <c r="P582">
        <v>8.6999999999999994E-2</v>
      </c>
    </row>
    <row r="583" spans="1:16">
      <c r="A583" s="1" t="s">
        <v>567</v>
      </c>
      <c r="B583" s="3" t="s">
        <v>628</v>
      </c>
      <c r="C583" s="1" t="s">
        <v>38</v>
      </c>
      <c r="D583" s="1" t="s">
        <v>5593</v>
      </c>
      <c r="E583" s="1" t="s">
        <v>573</v>
      </c>
      <c r="F583">
        <v>30.77</v>
      </c>
      <c r="G583">
        <v>312.22000000000003</v>
      </c>
      <c r="H583">
        <v>278.17</v>
      </c>
      <c r="I583">
        <v>2767.31</v>
      </c>
      <c r="J583">
        <v>568.47</v>
      </c>
      <c r="K583">
        <v>619.91</v>
      </c>
      <c r="L583">
        <v>21.23</v>
      </c>
      <c r="M583">
        <v>7.32</v>
      </c>
      <c r="N583">
        <v>68.94</v>
      </c>
      <c r="O583">
        <v>13.2</v>
      </c>
      <c r="P583">
        <v>0.16700000000000001</v>
      </c>
    </row>
    <row r="584" spans="1:16">
      <c r="A584" s="1" t="s">
        <v>567</v>
      </c>
      <c r="B584" s="3" t="s">
        <v>629</v>
      </c>
      <c r="C584" s="1" t="s">
        <v>38</v>
      </c>
      <c r="D584" s="1" t="s">
        <v>5593</v>
      </c>
      <c r="E584" s="1" t="s">
        <v>573</v>
      </c>
      <c r="F584">
        <v>32.68</v>
      </c>
      <c r="G584">
        <v>398.23</v>
      </c>
      <c r="H584">
        <v>279.10000000000002</v>
      </c>
      <c r="I584">
        <v>2352.75</v>
      </c>
      <c r="J584">
        <v>452.49</v>
      </c>
      <c r="K584">
        <v>580.57000000000005</v>
      </c>
      <c r="L584">
        <v>20.12</v>
      </c>
      <c r="M584">
        <v>9.24</v>
      </c>
      <c r="N584">
        <v>67.650000000000006</v>
      </c>
      <c r="O584">
        <v>12.27</v>
      </c>
      <c r="P584">
        <v>7.5999999999999998E-2</v>
      </c>
    </row>
    <row r="585" spans="1:16">
      <c r="A585" s="1" t="s">
        <v>567</v>
      </c>
      <c r="B585" s="3" t="s">
        <v>630</v>
      </c>
      <c r="C585" s="1" t="s">
        <v>38</v>
      </c>
      <c r="D585" s="1" t="s">
        <v>5593</v>
      </c>
      <c r="E585" s="1" t="s">
        <v>573</v>
      </c>
      <c r="F585">
        <v>29.42</v>
      </c>
      <c r="G585">
        <v>345.45</v>
      </c>
      <c r="H585">
        <v>315.83999999999997</v>
      </c>
      <c r="I585">
        <v>2468.5100000000002</v>
      </c>
      <c r="J585">
        <v>401.92</v>
      </c>
      <c r="K585">
        <v>640.75</v>
      </c>
      <c r="L585">
        <v>25.52</v>
      </c>
      <c r="M585">
        <v>11.41</v>
      </c>
      <c r="N585">
        <v>73.319999999999993</v>
      </c>
      <c r="O585">
        <v>14.12</v>
      </c>
      <c r="P585">
        <f>0.031/2</f>
        <v>1.55E-2</v>
      </c>
    </row>
    <row r="586" spans="1:16">
      <c r="A586" s="1" t="s">
        <v>567</v>
      </c>
      <c r="B586" s="3" t="s">
        <v>631</v>
      </c>
      <c r="C586" s="1" t="s">
        <v>38</v>
      </c>
      <c r="D586" s="1" t="s">
        <v>5593</v>
      </c>
      <c r="E586" s="1" t="s">
        <v>573</v>
      </c>
      <c r="F586">
        <v>46.43</v>
      </c>
      <c r="G586">
        <v>404.35</v>
      </c>
      <c r="H586">
        <v>335.52</v>
      </c>
      <c r="I586">
        <v>3159.33</v>
      </c>
      <c r="J586">
        <v>462.39</v>
      </c>
      <c r="K586">
        <v>790.91</v>
      </c>
      <c r="L586">
        <v>133.88999999999999</v>
      </c>
      <c r="M586">
        <v>7.79</v>
      </c>
      <c r="N586">
        <v>96.86</v>
      </c>
      <c r="O586">
        <v>17.37</v>
      </c>
      <c r="P586">
        <v>0.106</v>
      </c>
    </row>
    <row r="587" spans="1:16">
      <c r="A587" s="1" t="s">
        <v>567</v>
      </c>
      <c r="B587" s="3" t="s">
        <v>632</v>
      </c>
      <c r="C587" s="1" t="s">
        <v>38</v>
      </c>
      <c r="D587" s="1" t="s">
        <v>5593</v>
      </c>
      <c r="E587" s="1" t="s">
        <v>573</v>
      </c>
      <c r="F587">
        <v>49.35</v>
      </c>
      <c r="G587">
        <v>428.49</v>
      </c>
      <c r="H587">
        <v>348.03</v>
      </c>
      <c r="I587">
        <v>2903.62</v>
      </c>
      <c r="J587">
        <v>449.38</v>
      </c>
      <c r="K587">
        <v>809.57</v>
      </c>
      <c r="L587">
        <v>142.43</v>
      </c>
      <c r="M587">
        <v>8.4600000000000009</v>
      </c>
      <c r="N587">
        <v>99.95</v>
      </c>
      <c r="O587">
        <v>16.43</v>
      </c>
      <c r="P587">
        <f>0.077/2</f>
        <v>3.85E-2</v>
      </c>
    </row>
    <row r="588" spans="1:16">
      <c r="A588" s="1" t="s">
        <v>567</v>
      </c>
      <c r="B588" s="3" t="s">
        <v>633</v>
      </c>
      <c r="C588" s="1" t="s">
        <v>38</v>
      </c>
      <c r="D588" s="1" t="s">
        <v>5593</v>
      </c>
      <c r="E588" s="1" t="s">
        <v>573</v>
      </c>
      <c r="F588">
        <v>85.7</v>
      </c>
      <c r="G588">
        <v>393.41</v>
      </c>
      <c r="H588">
        <v>397.12</v>
      </c>
      <c r="I588">
        <v>3678.36</v>
      </c>
      <c r="J588">
        <v>453.69</v>
      </c>
      <c r="K588">
        <v>401.59</v>
      </c>
      <c r="L588">
        <v>19.28</v>
      </c>
      <c r="M588">
        <v>9.23</v>
      </c>
      <c r="N588">
        <v>60.38</v>
      </c>
      <c r="O588">
        <v>14.31</v>
      </c>
      <c r="P588">
        <f>0.026/2</f>
        <v>1.2999999999999999E-2</v>
      </c>
    </row>
    <row r="589" spans="1:16">
      <c r="A589" s="1" t="s">
        <v>567</v>
      </c>
      <c r="B589" s="3" t="s">
        <v>634</v>
      </c>
      <c r="C589" s="1" t="s">
        <v>38</v>
      </c>
      <c r="D589" s="1" t="s">
        <v>5593</v>
      </c>
      <c r="E589" s="1" t="s">
        <v>573</v>
      </c>
      <c r="F589">
        <v>49.48</v>
      </c>
      <c r="G589">
        <v>1017.56</v>
      </c>
      <c r="H589">
        <v>539.15</v>
      </c>
      <c r="I589">
        <v>3711.24</v>
      </c>
      <c r="J589">
        <v>444.4</v>
      </c>
      <c r="K589">
        <v>843.41</v>
      </c>
      <c r="L589">
        <v>37.94</v>
      </c>
      <c r="M589">
        <v>11.83</v>
      </c>
      <c r="N589">
        <v>467.88</v>
      </c>
      <c r="O589">
        <v>24.57</v>
      </c>
      <c r="P589">
        <v>0.28799999999999998</v>
      </c>
    </row>
    <row r="590" spans="1:16">
      <c r="A590" s="1" t="s">
        <v>567</v>
      </c>
      <c r="B590" s="3" t="s">
        <v>635</v>
      </c>
      <c r="C590" s="1" t="s">
        <v>38</v>
      </c>
      <c r="D590" s="1" t="s">
        <v>5593</v>
      </c>
      <c r="E590" s="1" t="s">
        <v>573</v>
      </c>
      <c r="F590">
        <v>35.93</v>
      </c>
      <c r="G590">
        <v>357.53</v>
      </c>
      <c r="H590">
        <v>382.95</v>
      </c>
      <c r="I590">
        <v>3391.45</v>
      </c>
      <c r="J590">
        <v>1122.06</v>
      </c>
      <c r="K590">
        <v>927.61</v>
      </c>
      <c r="L590">
        <v>23.85</v>
      </c>
      <c r="M590">
        <v>7.85</v>
      </c>
      <c r="N590">
        <v>108.39</v>
      </c>
      <c r="O590">
        <v>14.74</v>
      </c>
      <c r="P590">
        <v>0.08</v>
      </c>
    </row>
    <row r="591" spans="1:16">
      <c r="A591" s="1" t="s">
        <v>567</v>
      </c>
      <c r="B591" s="3" t="s">
        <v>636</v>
      </c>
      <c r="C591" s="1" t="s">
        <v>38</v>
      </c>
      <c r="D591" s="1" t="s">
        <v>5593</v>
      </c>
      <c r="E591" s="1" t="s">
        <v>573</v>
      </c>
      <c r="F591">
        <v>95.45</v>
      </c>
      <c r="G591">
        <v>354.43</v>
      </c>
      <c r="H591">
        <v>220.74</v>
      </c>
      <c r="I591">
        <v>3999.63</v>
      </c>
      <c r="J591">
        <v>518.14</v>
      </c>
      <c r="K591">
        <v>507.3</v>
      </c>
      <c r="L591">
        <v>26.06</v>
      </c>
      <c r="M591">
        <v>7.99</v>
      </c>
      <c r="N591">
        <v>61.31</v>
      </c>
      <c r="O591">
        <v>23.91</v>
      </c>
      <c r="P591">
        <v>0.66</v>
      </c>
    </row>
    <row r="592" spans="1:16">
      <c r="A592" s="1" t="s">
        <v>567</v>
      </c>
      <c r="B592" s="3" t="s">
        <v>637</v>
      </c>
      <c r="C592" s="1" t="s">
        <v>38</v>
      </c>
      <c r="D592" s="1" t="s">
        <v>5593</v>
      </c>
      <c r="E592" s="1" t="s">
        <v>573</v>
      </c>
      <c r="F592">
        <v>57.96</v>
      </c>
      <c r="G592">
        <v>505.99</v>
      </c>
      <c r="H592">
        <v>539.16</v>
      </c>
      <c r="I592">
        <v>3555.13</v>
      </c>
      <c r="J592">
        <v>816.61</v>
      </c>
      <c r="K592">
        <v>877.7</v>
      </c>
      <c r="L592">
        <v>23.93</v>
      </c>
      <c r="M592">
        <v>9.08</v>
      </c>
      <c r="N592">
        <v>222.29</v>
      </c>
      <c r="O592">
        <v>17.25</v>
      </c>
      <c r="P592">
        <v>8.2000000000000003E-2</v>
      </c>
    </row>
    <row r="593" spans="1:16">
      <c r="A593" s="1" t="s">
        <v>567</v>
      </c>
      <c r="B593" s="3" t="s">
        <v>638</v>
      </c>
      <c r="C593" s="1" t="s">
        <v>38</v>
      </c>
      <c r="D593" s="1" t="s">
        <v>5593</v>
      </c>
      <c r="E593" s="1" t="s">
        <v>573</v>
      </c>
      <c r="F593">
        <v>22.17</v>
      </c>
      <c r="G593">
        <v>233.78</v>
      </c>
      <c r="H593">
        <v>228.76</v>
      </c>
      <c r="I593">
        <v>2227.98</v>
      </c>
      <c r="J593">
        <v>395.86</v>
      </c>
      <c r="K593">
        <v>511.52</v>
      </c>
      <c r="L593">
        <v>17.32</v>
      </c>
      <c r="M593">
        <v>8.81</v>
      </c>
      <c r="N593">
        <v>38.869999999999997</v>
      </c>
      <c r="O593">
        <v>3.96</v>
      </c>
      <c r="P593">
        <v>9.4E-2</v>
      </c>
    </row>
    <row r="594" spans="1:16">
      <c r="A594" s="1" t="s">
        <v>567</v>
      </c>
      <c r="B594" s="3" t="s">
        <v>639</v>
      </c>
      <c r="C594" s="1" t="s">
        <v>38</v>
      </c>
      <c r="D594" s="1" t="s">
        <v>5593</v>
      </c>
      <c r="E594" s="1" t="s">
        <v>573</v>
      </c>
      <c r="F594">
        <v>37.659999999999997</v>
      </c>
      <c r="G594">
        <v>321.45</v>
      </c>
      <c r="H594">
        <v>243.47</v>
      </c>
      <c r="I594">
        <v>2493.1799999999998</v>
      </c>
      <c r="J594">
        <v>425.12</v>
      </c>
      <c r="K594">
        <v>602.9</v>
      </c>
      <c r="L594">
        <v>21.37</v>
      </c>
      <c r="M594">
        <v>6.87</v>
      </c>
      <c r="N594">
        <v>66.38</v>
      </c>
      <c r="O594">
        <v>14.35</v>
      </c>
      <c r="P594">
        <v>4.9000000000000002E-2</v>
      </c>
    </row>
    <row r="595" spans="1:16">
      <c r="A595" s="1" t="s">
        <v>567</v>
      </c>
      <c r="B595" s="3" t="s">
        <v>640</v>
      </c>
      <c r="C595" s="1" t="s">
        <v>38</v>
      </c>
      <c r="D595" s="1" t="s">
        <v>5593</v>
      </c>
      <c r="E595" s="1" t="s">
        <v>573</v>
      </c>
      <c r="F595">
        <v>47.25</v>
      </c>
      <c r="G595">
        <v>354.84</v>
      </c>
      <c r="H595">
        <v>292.39999999999998</v>
      </c>
      <c r="I595">
        <v>3146.73</v>
      </c>
      <c r="J595">
        <v>515.14</v>
      </c>
      <c r="K595">
        <v>733.06</v>
      </c>
      <c r="L595">
        <v>22.71</v>
      </c>
      <c r="M595">
        <v>6.64</v>
      </c>
      <c r="N595">
        <v>59.83</v>
      </c>
      <c r="O595">
        <v>12.22</v>
      </c>
      <c r="P595">
        <v>0.114</v>
      </c>
    </row>
    <row r="596" spans="1:16">
      <c r="A596" s="1" t="s">
        <v>567</v>
      </c>
      <c r="B596" s="3" t="s">
        <v>641</v>
      </c>
      <c r="C596" s="1" t="s">
        <v>38</v>
      </c>
      <c r="D596" s="1" t="s">
        <v>5593</v>
      </c>
      <c r="E596" s="1" t="s">
        <v>573</v>
      </c>
      <c r="F596">
        <v>51.05</v>
      </c>
      <c r="G596">
        <v>314.12</v>
      </c>
      <c r="H596">
        <v>90.11</v>
      </c>
      <c r="I596">
        <v>1260.79</v>
      </c>
      <c r="J596">
        <v>342.32</v>
      </c>
      <c r="K596">
        <v>461.33</v>
      </c>
      <c r="L596">
        <v>34.74</v>
      </c>
      <c r="M596">
        <v>12.78</v>
      </c>
      <c r="N596">
        <v>38.549999999999997</v>
      </c>
      <c r="O596">
        <v>7.37</v>
      </c>
      <c r="P596">
        <v>0.159</v>
      </c>
    </row>
    <row r="597" spans="1:16">
      <c r="A597" s="1" t="s">
        <v>567</v>
      </c>
      <c r="B597" s="3" t="s">
        <v>642</v>
      </c>
      <c r="C597" s="1" t="s">
        <v>38</v>
      </c>
      <c r="D597" s="1" t="s">
        <v>5593</v>
      </c>
      <c r="E597" s="1" t="s">
        <v>573</v>
      </c>
      <c r="F597">
        <v>40.700000000000003</v>
      </c>
      <c r="G597">
        <v>314.05</v>
      </c>
      <c r="H597">
        <v>329.39</v>
      </c>
      <c r="I597">
        <v>2850.16</v>
      </c>
      <c r="J597">
        <v>1093.43</v>
      </c>
      <c r="K597">
        <v>618.89</v>
      </c>
      <c r="L597">
        <v>21.51</v>
      </c>
      <c r="M597">
        <v>9.25</v>
      </c>
      <c r="N597">
        <v>58.87</v>
      </c>
      <c r="O597">
        <v>10.7</v>
      </c>
      <c r="P597">
        <f>0.109/2</f>
        <v>5.45E-2</v>
      </c>
    </row>
    <row r="598" spans="1:16">
      <c r="A598" s="1" t="s">
        <v>567</v>
      </c>
      <c r="B598" s="3" t="s">
        <v>643</v>
      </c>
      <c r="C598" s="1" t="s">
        <v>38</v>
      </c>
      <c r="D598" s="1" t="s">
        <v>5593</v>
      </c>
      <c r="E598" s="1" t="s">
        <v>573</v>
      </c>
      <c r="F598">
        <v>32.54</v>
      </c>
      <c r="G598">
        <v>326.63</v>
      </c>
      <c r="H598">
        <v>317.44</v>
      </c>
      <c r="I598">
        <v>3331.11</v>
      </c>
      <c r="J598">
        <v>1370.68</v>
      </c>
      <c r="K598">
        <v>634.22</v>
      </c>
      <c r="L598">
        <v>22.51</v>
      </c>
      <c r="M598">
        <v>8.65</v>
      </c>
      <c r="N598">
        <v>58.98</v>
      </c>
      <c r="O598">
        <v>11.24</v>
      </c>
      <c r="P598">
        <f>0.057/2</f>
        <v>2.8500000000000001E-2</v>
      </c>
    </row>
    <row r="599" spans="1:16">
      <c r="A599" s="1" t="s">
        <v>567</v>
      </c>
      <c r="B599" s="3" t="s">
        <v>644</v>
      </c>
      <c r="C599" s="1" t="s">
        <v>38</v>
      </c>
      <c r="D599" s="1" t="s">
        <v>5593</v>
      </c>
      <c r="E599" s="1" t="s">
        <v>573</v>
      </c>
      <c r="F599">
        <v>54.95</v>
      </c>
      <c r="G599">
        <v>340.76</v>
      </c>
      <c r="H599">
        <v>462.18</v>
      </c>
      <c r="I599">
        <v>2367.96</v>
      </c>
      <c r="J599">
        <v>374.25</v>
      </c>
      <c r="K599">
        <v>633.28</v>
      </c>
      <c r="L599">
        <v>29.4</v>
      </c>
      <c r="M599">
        <v>8.8800000000000008</v>
      </c>
      <c r="N599">
        <v>74.56</v>
      </c>
      <c r="O599">
        <v>11.11</v>
      </c>
      <c r="P599">
        <f>0.119/2</f>
        <v>5.9499999999999997E-2</v>
      </c>
    </row>
    <row r="600" spans="1:16">
      <c r="A600" s="1" t="s">
        <v>567</v>
      </c>
      <c r="B600" s="3" t="s">
        <v>645</v>
      </c>
      <c r="C600" s="1" t="s">
        <v>38</v>
      </c>
      <c r="D600" s="1" t="s">
        <v>5593</v>
      </c>
      <c r="E600" s="1" t="s">
        <v>573</v>
      </c>
      <c r="F600">
        <v>38.799999999999997</v>
      </c>
      <c r="G600">
        <v>391.51</v>
      </c>
      <c r="H600">
        <v>380.2</v>
      </c>
      <c r="I600">
        <v>2353.54</v>
      </c>
      <c r="J600">
        <v>495.25</v>
      </c>
      <c r="K600">
        <v>717.68</v>
      </c>
      <c r="L600">
        <v>86.57</v>
      </c>
      <c r="M600">
        <v>8.31</v>
      </c>
      <c r="N600">
        <v>81.739999999999995</v>
      </c>
      <c r="O600">
        <v>14.95</v>
      </c>
      <c r="P600">
        <v>8.2000000000000003E-2</v>
      </c>
    </row>
    <row r="601" spans="1:16">
      <c r="A601" s="1" t="s">
        <v>567</v>
      </c>
      <c r="B601" s="3" t="s">
        <v>646</v>
      </c>
      <c r="C601" s="1" t="s">
        <v>38</v>
      </c>
      <c r="D601" s="1" t="s">
        <v>5593</v>
      </c>
      <c r="E601" s="1" t="s">
        <v>573</v>
      </c>
      <c r="F601">
        <v>78.44</v>
      </c>
      <c r="G601">
        <v>331.44</v>
      </c>
      <c r="H601">
        <v>142.97999999999999</v>
      </c>
      <c r="I601">
        <v>1726.35</v>
      </c>
      <c r="J601">
        <v>401.71</v>
      </c>
      <c r="K601">
        <v>617.95000000000005</v>
      </c>
      <c r="L601">
        <v>47.47</v>
      </c>
      <c r="M601">
        <v>9.5</v>
      </c>
      <c r="N601">
        <v>63.3</v>
      </c>
      <c r="O601">
        <v>11.31</v>
      </c>
      <c r="P601">
        <f>0.114/2</f>
        <v>5.7000000000000002E-2</v>
      </c>
    </row>
    <row r="602" spans="1:16">
      <c r="A602" s="1" t="s">
        <v>567</v>
      </c>
      <c r="B602" s="3" t="s">
        <v>647</v>
      </c>
      <c r="C602" s="1" t="s">
        <v>38</v>
      </c>
      <c r="D602" s="1" t="s">
        <v>5593</v>
      </c>
      <c r="E602" s="1" t="s">
        <v>573</v>
      </c>
      <c r="F602">
        <v>33.909999999999997</v>
      </c>
      <c r="G602">
        <v>492.85</v>
      </c>
      <c r="H602">
        <v>292.02999999999997</v>
      </c>
      <c r="I602">
        <v>2659.18</v>
      </c>
      <c r="J602">
        <v>525.6</v>
      </c>
      <c r="K602">
        <v>577.04999999999995</v>
      </c>
      <c r="L602">
        <v>23.75</v>
      </c>
      <c r="M602">
        <v>8.14</v>
      </c>
      <c r="N602">
        <v>109.45</v>
      </c>
      <c r="O602">
        <v>14.38</v>
      </c>
      <c r="P602">
        <f>0.153/2</f>
        <v>7.6499999999999999E-2</v>
      </c>
    </row>
    <row r="603" spans="1:16">
      <c r="A603" s="1" t="s">
        <v>567</v>
      </c>
      <c r="B603" s="3" t="s">
        <v>648</v>
      </c>
      <c r="C603" s="1" t="s">
        <v>38</v>
      </c>
      <c r="D603" s="1" t="s">
        <v>5593</v>
      </c>
      <c r="E603" s="1" t="s">
        <v>573</v>
      </c>
      <c r="F603">
        <v>44.34</v>
      </c>
      <c r="G603">
        <v>795.89</v>
      </c>
      <c r="H603">
        <v>457.89</v>
      </c>
      <c r="I603">
        <v>3766.02</v>
      </c>
      <c r="J603">
        <v>503.8</v>
      </c>
      <c r="K603">
        <v>664.11</v>
      </c>
      <c r="L603">
        <v>22.87</v>
      </c>
      <c r="M603">
        <v>8.7100000000000009</v>
      </c>
      <c r="N603">
        <v>190.89</v>
      </c>
      <c r="O603">
        <v>24.19</v>
      </c>
      <c r="P603">
        <v>0.08</v>
      </c>
    </row>
    <row r="604" spans="1:16">
      <c r="A604" s="1" t="s">
        <v>567</v>
      </c>
      <c r="B604" s="3" t="s">
        <v>649</v>
      </c>
      <c r="C604" s="1" t="s">
        <v>38</v>
      </c>
      <c r="D604" s="1" t="s">
        <v>5593</v>
      </c>
      <c r="E604" s="1" t="s">
        <v>573</v>
      </c>
      <c r="F604">
        <v>28.89</v>
      </c>
      <c r="G604">
        <v>304.08</v>
      </c>
      <c r="H604">
        <v>348.37</v>
      </c>
      <c r="I604">
        <v>2363.71</v>
      </c>
      <c r="J604">
        <v>412.52</v>
      </c>
      <c r="K604">
        <v>761.38</v>
      </c>
      <c r="L604">
        <v>22.49</v>
      </c>
      <c r="M604">
        <v>10.43</v>
      </c>
      <c r="N604">
        <v>73.290000000000006</v>
      </c>
      <c r="O604">
        <v>14.88</v>
      </c>
      <c r="P604">
        <v>0.217</v>
      </c>
    </row>
    <row r="605" spans="1:16">
      <c r="A605" s="1" t="s">
        <v>567</v>
      </c>
      <c r="B605" s="3" t="s">
        <v>650</v>
      </c>
      <c r="C605" s="1" t="s">
        <v>38</v>
      </c>
      <c r="D605" s="1" t="s">
        <v>5593</v>
      </c>
      <c r="E605" s="1" t="s">
        <v>573</v>
      </c>
      <c r="F605">
        <v>30.55</v>
      </c>
      <c r="G605">
        <v>360.93</v>
      </c>
      <c r="H605">
        <v>243.82</v>
      </c>
      <c r="I605">
        <v>3391.22</v>
      </c>
      <c r="J605">
        <v>1151.28</v>
      </c>
      <c r="K605">
        <v>758.5</v>
      </c>
      <c r="L605">
        <v>23.67</v>
      </c>
      <c r="M605">
        <v>8.57</v>
      </c>
      <c r="N605">
        <v>80.67</v>
      </c>
      <c r="O605">
        <v>14.71</v>
      </c>
      <c r="P605">
        <f>0.035/2</f>
        <v>1.7500000000000002E-2</v>
      </c>
    </row>
    <row r="606" spans="1:16">
      <c r="A606" s="1" t="s">
        <v>567</v>
      </c>
      <c r="B606" s="3" t="s">
        <v>651</v>
      </c>
      <c r="C606" s="1" t="s">
        <v>38</v>
      </c>
      <c r="D606" s="1" t="s">
        <v>5593</v>
      </c>
      <c r="E606" s="1" t="s">
        <v>573</v>
      </c>
      <c r="F606">
        <v>37.97</v>
      </c>
      <c r="G606">
        <v>447.21</v>
      </c>
      <c r="H606">
        <v>438.41</v>
      </c>
      <c r="I606">
        <v>3200.46</v>
      </c>
      <c r="J606">
        <v>549.29</v>
      </c>
      <c r="K606">
        <v>622.59</v>
      </c>
      <c r="L606">
        <v>20.6</v>
      </c>
      <c r="M606">
        <v>8.56</v>
      </c>
      <c r="N606">
        <v>59.35</v>
      </c>
      <c r="O606">
        <v>9.8800000000000008</v>
      </c>
      <c r="P606">
        <v>0.17399999999999999</v>
      </c>
    </row>
    <row r="607" spans="1:16">
      <c r="A607" s="1" t="s">
        <v>567</v>
      </c>
      <c r="B607" s="3" t="s">
        <v>652</v>
      </c>
      <c r="C607" s="1" t="s">
        <v>38</v>
      </c>
      <c r="D607" s="1" t="s">
        <v>5593</v>
      </c>
      <c r="E607" s="1" t="s">
        <v>573</v>
      </c>
      <c r="F607">
        <v>41.48</v>
      </c>
      <c r="G607">
        <v>374.13</v>
      </c>
      <c r="H607">
        <v>233.86</v>
      </c>
      <c r="I607">
        <v>2454.0100000000002</v>
      </c>
      <c r="J607">
        <v>452.91</v>
      </c>
      <c r="K607">
        <v>646.66999999999996</v>
      </c>
      <c r="L607">
        <v>21.29</v>
      </c>
      <c r="M607">
        <v>8.4</v>
      </c>
      <c r="N607">
        <v>65.02</v>
      </c>
      <c r="O607">
        <v>11.33</v>
      </c>
      <c r="P607">
        <f>0.063/2</f>
        <v>3.15E-2</v>
      </c>
    </row>
    <row r="608" spans="1:16">
      <c r="A608" s="1" t="s">
        <v>567</v>
      </c>
      <c r="B608" s="3" t="s">
        <v>653</v>
      </c>
      <c r="C608" s="1" t="s">
        <v>38</v>
      </c>
      <c r="D608" s="1" t="s">
        <v>5593</v>
      </c>
      <c r="E608" s="1" t="s">
        <v>573</v>
      </c>
      <c r="F608">
        <v>32.729999999999997</v>
      </c>
      <c r="G608">
        <v>334.82</v>
      </c>
      <c r="H608">
        <v>281.85000000000002</v>
      </c>
      <c r="I608">
        <v>2057.56</v>
      </c>
      <c r="J608">
        <v>444.44</v>
      </c>
      <c r="K608">
        <v>591.59</v>
      </c>
      <c r="L608">
        <v>22.74</v>
      </c>
      <c r="M608">
        <v>7.07</v>
      </c>
      <c r="N608">
        <v>75.06</v>
      </c>
      <c r="O608">
        <v>13.02</v>
      </c>
      <c r="P608">
        <v>5.8999999999999997E-2</v>
      </c>
    </row>
    <row r="609" spans="1:16">
      <c r="A609" s="1" t="s">
        <v>567</v>
      </c>
      <c r="B609" s="3" t="s">
        <v>654</v>
      </c>
      <c r="C609" s="1" t="s">
        <v>38</v>
      </c>
      <c r="D609" s="1" t="s">
        <v>5593</v>
      </c>
      <c r="E609" s="1" t="s">
        <v>573</v>
      </c>
      <c r="F609">
        <v>35.5</v>
      </c>
      <c r="G609">
        <v>350.81</v>
      </c>
      <c r="H609">
        <v>343.28</v>
      </c>
      <c r="I609">
        <v>2288.81</v>
      </c>
      <c r="J609">
        <v>464.29</v>
      </c>
      <c r="K609">
        <v>550.05999999999995</v>
      </c>
      <c r="L609">
        <v>22.23</v>
      </c>
      <c r="M609">
        <v>7.05</v>
      </c>
      <c r="N609">
        <v>54.63</v>
      </c>
      <c r="O609">
        <v>9.0399999999999991</v>
      </c>
      <c r="P609">
        <v>0.03</v>
      </c>
    </row>
    <row r="610" spans="1:16">
      <c r="A610" s="1" t="s">
        <v>567</v>
      </c>
      <c r="B610" s="3" t="s">
        <v>655</v>
      </c>
      <c r="C610" s="1" t="s">
        <v>38</v>
      </c>
      <c r="D610" s="1" t="s">
        <v>5593</v>
      </c>
      <c r="E610" s="1" t="s">
        <v>573</v>
      </c>
      <c r="F610">
        <v>276.61</v>
      </c>
      <c r="G610">
        <v>696.67</v>
      </c>
      <c r="H610">
        <v>806.34</v>
      </c>
      <c r="I610">
        <v>3658.05</v>
      </c>
      <c r="J610">
        <v>450.7</v>
      </c>
      <c r="K610">
        <v>571.14</v>
      </c>
      <c r="L610">
        <v>20.32</v>
      </c>
      <c r="M610">
        <v>8.07</v>
      </c>
      <c r="N610">
        <v>67.8</v>
      </c>
      <c r="O610">
        <v>21.25</v>
      </c>
      <c r="P610">
        <v>0.67</v>
      </c>
    </row>
    <row r="611" spans="1:16">
      <c r="A611" s="1" t="s">
        <v>567</v>
      </c>
      <c r="B611" s="3" t="s">
        <v>656</v>
      </c>
      <c r="C611" s="1" t="s">
        <v>38</v>
      </c>
      <c r="D611" s="1" t="s">
        <v>5593</v>
      </c>
      <c r="E611" s="1" t="s">
        <v>573</v>
      </c>
      <c r="F611">
        <v>34.51</v>
      </c>
      <c r="G611">
        <v>292.67</v>
      </c>
      <c r="H611">
        <v>284.43</v>
      </c>
      <c r="I611">
        <v>2173.31</v>
      </c>
      <c r="J611">
        <v>428.38</v>
      </c>
      <c r="K611">
        <v>637.04999999999995</v>
      </c>
      <c r="L611">
        <v>22.06</v>
      </c>
      <c r="M611">
        <v>8.35</v>
      </c>
      <c r="N611">
        <v>58.68</v>
      </c>
      <c r="O611">
        <v>15.46</v>
      </c>
      <c r="P611">
        <v>0.14499999999999999</v>
      </c>
    </row>
    <row r="612" spans="1:16">
      <c r="A612" s="1" t="s">
        <v>567</v>
      </c>
      <c r="B612" s="3" t="s">
        <v>657</v>
      </c>
      <c r="C612" s="1" t="s">
        <v>38</v>
      </c>
      <c r="D612" s="1" t="s">
        <v>5593</v>
      </c>
      <c r="E612" s="1" t="s">
        <v>573</v>
      </c>
      <c r="F612">
        <v>36.75</v>
      </c>
      <c r="G612">
        <v>436.02</v>
      </c>
      <c r="H612">
        <v>324.92</v>
      </c>
      <c r="I612">
        <v>3245.71</v>
      </c>
      <c r="J612">
        <v>713.36</v>
      </c>
      <c r="K612">
        <v>748.4</v>
      </c>
      <c r="L612">
        <v>22.16</v>
      </c>
      <c r="M612">
        <v>8.64</v>
      </c>
      <c r="N612">
        <v>90.4</v>
      </c>
      <c r="O612">
        <v>13.81</v>
      </c>
      <c r="P612">
        <v>0.80700000000000005</v>
      </c>
    </row>
    <row r="613" spans="1:16">
      <c r="A613" s="1" t="s">
        <v>567</v>
      </c>
      <c r="B613" s="3" t="s">
        <v>658</v>
      </c>
      <c r="C613" s="1" t="s">
        <v>38</v>
      </c>
      <c r="D613" s="1" t="s">
        <v>5593</v>
      </c>
      <c r="E613" s="1" t="s">
        <v>573</v>
      </c>
      <c r="F613">
        <v>27.56</v>
      </c>
      <c r="G613">
        <v>313.98</v>
      </c>
      <c r="H613">
        <v>143.41999999999999</v>
      </c>
      <c r="I613">
        <v>2630.19</v>
      </c>
      <c r="J613">
        <v>392.5</v>
      </c>
      <c r="K613">
        <v>517.21</v>
      </c>
      <c r="L613">
        <v>22</v>
      </c>
      <c r="M613">
        <v>11.19</v>
      </c>
      <c r="N613">
        <v>58.55</v>
      </c>
      <c r="O613">
        <v>12.46</v>
      </c>
      <c r="P613">
        <f>0.087/2</f>
        <v>4.3499999999999997E-2</v>
      </c>
    </row>
    <row r="614" spans="1:16">
      <c r="A614" s="1" t="s">
        <v>567</v>
      </c>
      <c r="B614" s="3" t="s">
        <v>659</v>
      </c>
      <c r="C614" s="1" t="s">
        <v>38</v>
      </c>
      <c r="D614" s="1" t="s">
        <v>5593</v>
      </c>
      <c r="E614" s="1" t="s">
        <v>573</v>
      </c>
      <c r="F614">
        <v>42.03</v>
      </c>
      <c r="G614">
        <v>397.56</v>
      </c>
      <c r="H614">
        <v>353.94</v>
      </c>
      <c r="I614">
        <v>2967.7</v>
      </c>
      <c r="J614">
        <v>535.73</v>
      </c>
      <c r="K614">
        <v>653.23</v>
      </c>
      <c r="L614">
        <v>21.17</v>
      </c>
      <c r="M614">
        <v>10.44</v>
      </c>
      <c r="N614">
        <v>75</v>
      </c>
      <c r="O614">
        <v>15.3</v>
      </c>
      <c r="P614">
        <f>0.056/2</f>
        <v>2.8000000000000001E-2</v>
      </c>
    </row>
    <row r="615" spans="1:16">
      <c r="A615" s="1" t="s">
        <v>567</v>
      </c>
      <c r="B615" s="3" t="s">
        <v>660</v>
      </c>
      <c r="C615" s="1" t="s">
        <v>38</v>
      </c>
      <c r="D615" s="1" t="s">
        <v>5593</v>
      </c>
      <c r="E615" s="1" t="s">
        <v>573</v>
      </c>
      <c r="F615">
        <v>194.3</v>
      </c>
      <c r="G615">
        <v>275.27999999999997</v>
      </c>
      <c r="H615">
        <v>253.05</v>
      </c>
      <c r="I615">
        <v>2346.9699999999998</v>
      </c>
      <c r="J615">
        <v>379.02</v>
      </c>
      <c r="K615">
        <v>581.55999999999995</v>
      </c>
      <c r="L615">
        <v>25.7</v>
      </c>
      <c r="M615">
        <v>8.4499999999999993</v>
      </c>
      <c r="N615">
        <v>50.11</v>
      </c>
      <c r="O615">
        <v>6.33</v>
      </c>
      <c r="P615">
        <v>7.2999999999999995E-2</v>
      </c>
    </row>
    <row r="616" spans="1:16">
      <c r="A616" s="1" t="s">
        <v>567</v>
      </c>
      <c r="B616" s="3" t="s">
        <v>661</v>
      </c>
      <c r="C616" s="1" t="s">
        <v>38</v>
      </c>
      <c r="D616" s="1" t="s">
        <v>5593</v>
      </c>
      <c r="E616" s="1" t="s">
        <v>573</v>
      </c>
      <c r="F616">
        <v>91.64</v>
      </c>
      <c r="G616">
        <v>1325.09</v>
      </c>
      <c r="H616">
        <v>1895.47</v>
      </c>
      <c r="I616">
        <v>4163.08</v>
      </c>
      <c r="J616">
        <v>1067.94</v>
      </c>
      <c r="K616">
        <v>940.66</v>
      </c>
      <c r="L616">
        <v>27.48</v>
      </c>
      <c r="M616">
        <v>11.03</v>
      </c>
      <c r="N616">
        <v>271.27999999999997</v>
      </c>
      <c r="O616">
        <v>19.7</v>
      </c>
      <c r="P616">
        <v>0.54400000000000004</v>
      </c>
    </row>
    <row r="617" spans="1:16">
      <c r="A617" s="1" t="s">
        <v>567</v>
      </c>
      <c r="B617" s="3" t="s">
        <v>662</v>
      </c>
      <c r="C617" s="1" t="s">
        <v>38</v>
      </c>
      <c r="D617" s="1" t="s">
        <v>5593</v>
      </c>
      <c r="E617" s="1" t="s">
        <v>573</v>
      </c>
      <c r="F617">
        <v>43.28</v>
      </c>
      <c r="G617">
        <v>389.1</v>
      </c>
      <c r="H617">
        <v>444.29</v>
      </c>
      <c r="I617">
        <v>2092.84</v>
      </c>
      <c r="J617">
        <v>380.43</v>
      </c>
      <c r="K617">
        <v>630.33000000000004</v>
      </c>
      <c r="L617">
        <v>31.94</v>
      </c>
      <c r="M617">
        <v>7.94</v>
      </c>
      <c r="N617">
        <v>72.22</v>
      </c>
      <c r="O617">
        <v>11.37</v>
      </c>
      <c r="P617">
        <f>0.058/2</f>
        <v>2.9000000000000001E-2</v>
      </c>
    </row>
    <row r="618" spans="1:16">
      <c r="A618" s="1" t="s">
        <v>567</v>
      </c>
      <c r="B618" s="3" t="s">
        <v>663</v>
      </c>
      <c r="C618" s="1" t="s">
        <v>38</v>
      </c>
      <c r="D618" s="1" t="s">
        <v>5593</v>
      </c>
      <c r="E618" s="1" t="s">
        <v>573</v>
      </c>
      <c r="F618">
        <v>41.56</v>
      </c>
      <c r="G618">
        <v>521.23</v>
      </c>
      <c r="H618">
        <v>453.57</v>
      </c>
      <c r="I618">
        <v>3493.43</v>
      </c>
      <c r="J618">
        <v>534.05999999999995</v>
      </c>
      <c r="K618">
        <v>685.64</v>
      </c>
      <c r="L618">
        <v>24.18</v>
      </c>
      <c r="M618">
        <v>8.0399999999999991</v>
      </c>
      <c r="N618">
        <v>93.15</v>
      </c>
      <c r="O618">
        <v>15.42</v>
      </c>
      <c r="P618">
        <v>0.432</v>
      </c>
    </row>
    <row r="619" spans="1:16">
      <c r="A619" s="1" t="s">
        <v>567</v>
      </c>
      <c r="B619" s="3" t="s">
        <v>664</v>
      </c>
      <c r="C619" s="1" t="s">
        <v>38</v>
      </c>
      <c r="D619" s="1" t="s">
        <v>5593</v>
      </c>
      <c r="E619" s="1" t="s">
        <v>573</v>
      </c>
      <c r="F619">
        <v>46.08</v>
      </c>
      <c r="G619">
        <v>447.39</v>
      </c>
      <c r="H619">
        <v>477.22</v>
      </c>
      <c r="I619">
        <v>3546.78</v>
      </c>
      <c r="J619">
        <v>536.23</v>
      </c>
      <c r="K619">
        <v>731.25</v>
      </c>
      <c r="L619">
        <v>24.32</v>
      </c>
      <c r="M619">
        <v>7.49</v>
      </c>
      <c r="N619">
        <v>81.44</v>
      </c>
      <c r="O619">
        <v>15</v>
      </c>
      <c r="P619">
        <v>0.42</v>
      </c>
    </row>
    <row r="620" spans="1:16">
      <c r="A620" s="1" t="s">
        <v>567</v>
      </c>
      <c r="B620" s="3" t="s">
        <v>665</v>
      </c>
      <c r="C620" s="1" t="s">
        <v>38</v>
      </c>
      <c r="D620" s="1" t="s">
        <v>5593</v>
      </c>
      <c r="E620" s="1" t="s">
        <v>573</v>
      </c>
      <c r="F620">
        <v>28.39</v>
      </c>
      <c r="G620">
        <v>298.60000000000002</v>
      </c>
      <c r="H620">
        <v>145.44999999999999</v>
      </c>
      <c r="I620">
        <v>1913.68</v>
      </c>
      <c r="J620">
        <v>444.07</v>
      </c>
      <c r="K620">
        <v>541.17999999999995</v>
      </c>
      <c r="L620">
        <v>20.010000000000002</v>
      </c>
      <c r="M620">
        <v>9.4499999999999993</v>
      </c>
      <c r="N620">
        <v>50.9</v>
      </c>
      <c r="O620">
        <v>6.98</v>
      </c>
      <c r="P620">
        <f>0.058/2</f>
        <v>2.9000000000000001E-2</v>
      </c>
    </row>
    <row r="621" spans="1:16">
      <c r="A621" s="1" t="s">
        <v>567</v>
      </c>
      <c r="B621" s="3" t="s">
        <v>666</v>
      </c>
      <c r="C621" s="1" t="s">
        <v>38</v>
      </c>
      <c r="D621" s="1" t="s">
        <v>5593</v>
      </c>
      <c r="E621" s="1" t="s">
        <v>573</v>
      </c>
      <c r="F621">
        <v>41.11</v>
      </c>
      <c r="G621">
        <v>320.41000000000003</v>
      </c>
      <c r="H621">
        <v>179.84</v>
      </c>
      <c r="I621">
        <v>1815.99</v>
      </c>
      <c r="J621">
        <v>320.86</v>
      </c>
      <c r="K621">
        <v>502.48</v>
      </c>
      <c r="L621">
        <v>28.51</v>
      </c>
      <c r="M621">
        <v>10.33</v>
      </c>
      <c r="N621">
        <v>52.89</v>
      </c>
      <c r="O621">
        <v>9.7100000000000009</v>
      </c>
      <c r="P621">
        <v>9.0999999999999998E-2</v>
      </c>
    </row>
    <row r="622" spans="1:16">
      <c r="A622" s="1" t="s">
        <v>567</v>
      </c>
      <c r="B622" s="3" t="s">
        <v>667</v>
      </c>
      <c r="C622" s="1" t="s">
        <v>38</v>
      </c>
      <c r="D622" s="1" t="s">
        <v>5593</v>
      </c>
      <c r="E622" s="1" t="s">
        <v>573</v>
      </c>
      <c r="F622">
        <v>31.54</v>
      </c>
      <c r="G622">
        <v>332.75</v>
      </c>
      <c r="H622">
        <v>196.98</v>
      </c>
      <c r="I622">
        <v>1993.09</v>
      </c>
      <c r="J622">
        <v>381.01</v>
      </c>
      <c r="K622">
        <v>610.03</v>
      </c>
      <c r="L622">
        <v>21.31</v>
      </c>
      <c r="M622">
        <v>10</v>
      </c>
      <c r="N622">
        <v>78.67</v>
      </c>
      <c r="O622">
        <v>12.13</v>
      </c>
      <c r="P622">
        <f>0.051/2</f>
        <v>2.5499999999999998E-2</v>
      </c>
    </row>
    <row r="623" spans="1:16">
      <c r="A623" s="1" t="s">
        <v>567</v>
      </c>
      <c r="B623" s="3" t="s">
        <v>668</v>
      </c>
      <c r="C623" s="1" t="s">
        <v>38</v>
      </c>
      <c r="D623" s="1" t="s">
        <v>5593</v>
      </c>
      <c r="E623" s="1" t="s">
        <v>573</v>
      </c>
      <c r="F623">
        <v>39.85</v>
      </c>
      <c r="G623">
        <v>464.31</v>
      </c>
      <c r="H623">
        <v>235.33</v>
      </c>
      <c r="I623">
        <v>3450.33</v>
      </c>
      <c r="J623">
        <v>497.95</v>
      </c>
      <c r="K623">
        <v>683.95</v>
      </c>
      <c r="L623">
        <v>27.81</v>
      </c>
      <c r="M623">
        <v>7.99</v>
      </c>
      <c r="N623">
        <v>81.14</v>
      </c>
      <c r="O623">
        <v>23.19</v>
      </c>
      <c r="P623">
        <v>6.9000000000000006E-2</v>
      </c>
    </row>
    <row r="624" spans="1:16">
      <c r="A624" s="1" t="s">
        <v>567</v>
      </c>
      <c r="B624" s="3" t="s">
        <v>669</v>
      </c>
      <c r="C624" s="1" t="s">
        <v>38</v>
      </c>
      <c r="D624" s="1" t="s">
        <v>5593</v>
      </c>
      <c r="E624" s="1" t="s">
        <v>573</v>
      </c>
      <c r="F624">
        <v>42.9</v>
      </c>
      <c r="G624">
        <v>301.16000000000003</v>
      </c>
      <c r="H624">
        <v>297.02</v>
      </c>
      <c r="I624">
        <v>2518.86</v>
      </c>
      <c r="J624">
        <v>442.22</v>
      </c>
      <c r="K624">
        <v>588.07000000000005</v>
      </c>
      <c r="L624">
        <v>22.76</v>
      </c>
      <c r="M624">
        <v>7.34</v>
      </c>
      <c r="N624">
        <v>63.76</v>
      </c>
      <c r="O624">
        <v>11.49</v>
      </c>
      <c r="P624">
        <v>0.14599999999999999</v>
      </c>
    </row>
    <row r="625" spans="1:16">
      <c r="A625" s="1" t="s">
        <v>567</v>
      </c>
      <c r="B625" s="3" t="s">
        <v>670</v>
      </c>
      <c r="C625" s="1" t="s">
        <v>38</v>
      </c>
      <c r="D625" s="1" t="s">
        <v>5593</v>
      </c>
      <c r="E625" s="1" t="s">
        <v>573</v>
      </c>
      <c r="F625">
        <v>47.24</v>
      </c>
      <c r="G625">
        <v>335.34</v>
      </c>
      <c r="H625">
        <v>245.48</v>
      </c>
      <c r="I625">
        <v>1856.65</v>
      </c>
      <c r="J625">
        <v>287.24</v>
      </c>
      <c r="K625">
        <v>606.80999999999995</v>
      </c>
      <c r="L625">
        <v>22.23</v>
      </c>
      <c r="M625">
        <v>9.31</v>
      </c>
      <c r="N625">
        <v>58.26</v>
      </c>
      <c r="O625">
        <v>10.61</v>
      </c>
      <c r="P625">
        <v>5.1999999999999998E-2</v>
      </c>
    </row>
    <row r="626" spans="1:16">
      <c r="A626" s="1" t="s">
        <v>567</v>
      </c>
      <c r="B626" s="3" t="s">
        <v>671</v>
      </c>
      <c r="C626" s="1" t="s">
        <v>38</v>
      </c>
      <c r="D626" s="1" t="s">
        <v>5593</v>
      </c>
      <c r="E626" s="1" t="s">
        <v>573</v>
      </c>
      <c r="F626">
        <v>311.95</v>
      </c>
      <c r="G626">
        <v>587.96</v>
      </c>
      <c r="H626">
        <v>314.61</v>
      </c>
      <c r="I626">
        <v>2397.54</v>
      </c>
      <c r="J626">
        <v>405.06</v>
      </c>
      <c r="K626">
        <v>551.28</v>
      </c>
      <c r="L626">
        <v>29.01</v>
      </c>
      <c r="M626">
        <v>8.17</v>
      </c>
      <c r="N626">
        <v>64.540000000000006</v>
      </c>
      <c r="O626">
        <v>9.3699999999999992</v>
      </c>
      <c r="P626">
        <v>0.13700000000000001</v>
      </c>
    </row>
    <row r="627" spans="1:16">
      <c r="A627" s="1" t="s">
        <v>567</v>
      </c>
      <c r="B627" s="3" t="s">
        <v>672</v>
      </c>
      <c r="C627" s="1" t="s">
        <v>38</v>
      </c>
      <c r="D627" s="1" t="s">
        <v>5593</v>
      </c>
      <c r="E627" s="1" t="s">
        <v>573</v>
      </c>
      <c r="F627">
        <v>26.59</v>
      </c>
      <c r="G627">
        <v>793.02</v>
      </c>
      <c r="H627">
        <v>307.97000000000003</v>
      </c>
      <c r="I627">
        <v>4065.35</v>
      </c>
      <c r="J627">
        <v>516.34</v>
      </c>
      <c r="K627">
        <v>284.02</v>
      </c>
      <c r="L627">
        <v>24.12</v>
      </c>
      <c r="M627">
        <v>8.86</v>
      </c>
      <c r="N627">
        <v>181.93</v>
      </c>
      <c r="O627">
        <v>26.17</v>
      </c>
      <c r="P627">
        <v>2.4500000000000002</v>
      </c>
    </row>
    <row r="628" spans="1:16">
      <c r="A628" s="1" t="s">
        <v>567</v>
      </c>
      <c r="B628" s="3" t="s">
        <v>673</v>
      </c>
      <c r="C628" s="1" t="s">
        <v>38</v>
      </c>
      <c r="D628" s="1" t="s">
        <v>5593</v>
      </c>
      <c r="E628" s="1" t="s">
        <v>573</v>
      </c>
      <c r="F628">
        <v>48.74</v>
      </c>
      <c r="G628">
        <v>343.68</v>
      </c>
      <c r="H628">
        <v>237.46</v>
      </c>
      <c r="I628">
        <v>3107.65</v>
      </c>
      <c r="J628">
        <v>1123.81</v>
      </c>
      <c r="K628">
        <v>799.95</v>
      </c>
      <c r="L628">
        <v>23.44</v>
      </c>
      <c r="M628">
        <v>8.5</v>
      </c>
      <c r="N628">
        <v>83.9</v>
      </c>
      <c r="O628">
        <v>13.84</v>
      </c>
      <c r="P628">
        <f>0.068/2</f>
        <v>3.4000000000000002E-2</v>
      </c>
    </row>
    <row r="629" spans="1:16">
      <c r="A629" s="1" t="s">
        <v>567</v>
      </c>
      <c r="B629" s="3" t="s">
        <v>674</v>
      </c>
      <c r="C629" s="1" t="s">
        <v>38</v>
      </c>
      <c r="D629" s="1" t="s">
        <v>5593</v>
      </c>
      <c r="E629" s="1" t="s">
        <v>573</v>
      </c>
      <c r="F629">
        <v>50.96</v>
      </c>
      <c r="G629">
        <v>404.57</v>
      </c>
      <c r="H629">
        <v>368.03</v>
      </c>
      <c r="I629">
        <v>3412.42</v>
      </c>
      <c r="J629">
        <v>1160.58</v>
      </c>
      <c r="K629">
        <v>947.01</v>
      </c>
      <c r="L629">
        <v>24.02</v>
      </c>
      <c r="M629">
        <v>8.65</v>
      </c>
      <c r="N629">
        <v>100.79</v>
      </c>
      <c r="O629">
        <v>15.06</v>
      </c>
      <c r="P629">
        <v>0.127</v>
      </c>
    </row>
    <row r="630" spans="1:16">
      <c r="A630" s="1" t="s">
        <v>567</v>
      </c>
      <c r="B630" s="3" t="s">
        <v>675</v>
      </c>
      <c r="C630" s="1" t="s">
        <v>38</v>
      </c>
      <c r="D630" s="1" t="s">
        <v>5593</v>
      </c>
      <c r="E630" s="1" t="s">
        <v>573</v>
      </c>
      <c r="F630">
        <v>43.45</v>
      </c>
      <c r="G630">
        <v>424.07</v>
      </c>
      <c r="H630">
        <v>329.53</v>
      </c>
      <c r="I630">
        <v>3418.44</v>
      </c>
      <c r="J630">
        <v>879.24</v>
      </c>
      <c r="K630">
        <v>1023.87</v>
      </c>
      <c r="L630">
        <v>23.29</v>
      </c>
      <c r="M630">
        <v>8</v>
      </c>
      <c r="N630">
        <v>103.35</v>
      </c>
      <c r="O630">
        <v>16.68</v>
      </c>
      <c r="P630">
        <f>0.041/2</f>
        <v>2.0500000000000001E-2</v>
      </c>
    </row>
    <row r="631" spans="1:16">
      <c r="A631" s="1" t="s">
        <v>567</v>
      </c>
      <c r="B631" s="3" t="s">
        <v>676</v>
      </c>
      <c r="C631" s="1" t="s">
        <v>38</v>
      </c>
      <c r="D631" s="1" t="s">
        <v>5593</v>
      </c>
      <c r="E631" s="1" t="s">
        <v>573</v>
      </c>
      <c r="F631">
        <v>36.81</v>
      </c>
      <c r="G631">
        <v>252.41</v>
      </c>
      <c r="H631">
        <v>241.26</v>
      </c>
      <c r="I631">
        <v>2594.8000000000002</v>
      </c>
      <c r="J631">
        <v>423.42</v>
      </c>
      <c r="K631">
        <v>607.22</v>
      </c>
      <c r="L631">
        <v>20.87</v>
      </c>
      <c r="M631">
        <v>8.77</v>
      </c>
      <c r="N631">
        <v>51.6</v>
      </c>
      <c r="O631">
        <v>12.74</v>
      </c>
      <c r="P631">
        <v>6.8000000000000005E-2</v>
      </c>
    </row>
    <row r="632" spans="1:16">
      <c r="A632" s="1" t="s">
        <v>567</v>
      </c>
      <c r="B632" s="3" t="s">
        <v>677</v>
      </c>
      <c r="C632" s="1" t="s">
        <v>38</v>
      </c>
      <c r="D632" s="1" t="s">
        <v>5593</v>
      </c>
      <c r="E632" s="1" t="s">
        <v>573</v>
      </c>
      <c r="F632">
        <v>39.5</v>
      </c>
      <c r="G632">
        <v>350.82</v>
      </c>
      <c r="H632">
        <v>336.95</v>
      </c>
      <c r="I632">
        <v>2453.7399999999998</v>
      </c>
      <c r="J632">
        <v>514.95000000000005</v>
      </c>
      <c r="K632">
        <v>601.52</v>
      </c>
      <c r="L632">
        <v>21.02</v>
      </c>
      <c r="M632">
        <v>8.11</v>
      </c>
      <c r="N632">
        <v>48.19</v>
      </c>
      <c r="O632">
        <v>7.58</v>
      </c>
      <c r="P632">
        <v>9.4E-2</v>
      </c>
    </row>
    <row r="633" spans="1:16">
      <c r="A633" s="1" t="s">
        <v>567</v>
      </c>
      <c r="B633" s="3" t="s">
        <v>678</v>
      </c>
      <c r="C633" s="1" t="s">
        <v>38</v>
      </c>
      <c r="D633" s="1" t="s">
        <v>5593</v>
      </c>
      <c r="E633" s="1" t="s">
        <v>573</v>
      </c>
      <c r="F633">
        <v>39.61</v>
      </c>
      <c r="G633">
        <v>381.27</v>
      </c>
      <c r="H633">
        <v>285.97000000000003</v>
      </c>
      <c r="I633">
        <v>3345.2</v>
      </c>
      <c r="J633">
        <v>493.62</v>
      </c>
      <c r="K633">
        <v>624.08000000000004</v>
      </c>
      <c r="L633">
        <v>27.2</v>
      </c>
      <c r="M633">
        <v>8.41</v>
      </c>
      <c r="N633">
        <v>67.58</v>
      </c>
      <c r="O633">
        <v>13.12</v>
      </c>
      <c r="P633">
        <v>0.32100000000000001</v>
      </c>
    </row>
    <row r="634" spans="1:16">
      <c r="A634" s="1" t="s">
        <v>567</v>
      </c>
      <c r="B634" s="3" t="s">
        <v>679</v>
      </c>
      <c r="C634" s="1" t="s">
        <v>38</v>
      </c>
      <c r="D634" s="1" t="s">
        <v>5593</v>
      </c>
      <c r="E634" s="1" t="s">
        <v>573</v>
      </c>
      <c r="F634">
        <v>35.42</v>
      </c>
      <c r="G634">
        <v>330.26</v>
      </c>
      <c r="H634">
        <v>312.25</v>
      </c>
      <c r="I634">
        <v>1981.64</v>
      </c>
      <c r="J634">
        <v>515.03</v>
      </c>
      <c r="K634">
        <v>556.71</v>
      </c>
      <c r="L634">
        <v>29.05</v>
      </c>
      <c r="M634">
        <v>7.34</v>
      </c>
      <c r="N634">
        <v>45.76</v>
      </c>
      <c r="O634">
        <v>6.06</v>
      </c>
      <c r="P634">
        <v>8.5999999999999993E-2</v>
      </c>
    </row>
    <row r="635" spans="1:16">
      <c r="A635" s="1" t="s">
        <v>567</v>
      </c>
      <c r="B635" s="3" t="s">
        <v>680</v>
      </c>
      <c r="C635" s="1" t="s">
        <v>38</v>
      </c>
      <c r="D635" s="1" t="s">
        <v>5593</v>
      </c>
      <c r="E635" s="1" t="s">
        <v>573</v>
      </c>
      <c r="F635">
        <v>35.89</v>
      </c>
      <c r="G635">
        <v>354.12</v>
      </c>
      <c r="H635">
        <v>375.6</v>
      </c>
      <c r="I635">
        <v>3038.47</v>
      </c>
      <c r="J635">
        <v>452.44</v>
      </c>
      <c r="K635">
        <v>655.87</v>
      </c>
      <c r="L635">
        <v>22</v>
      </c>
      <c r="M635">
        <v>7.22</v>
      </c>
      <c r="N635">
        <v>62.31</v>
      </c>
      <c r="O635">
        <v>12.47</v>
      </c>
      <c r="P635">
        <v>0.113</v>
      </c>
    </row>
    <row r="636" spans="1:16">
      <c r="A636" s="1" t="s">
        <v>567</v>
      </c>
      <c r="B636" s="3" t="s">
        <v>681</v>
      </c>
      <c r="C636" s="1" t="s">
        <v>38</v>
      </c>
      <c r="D636" s="1" t="s">
        <v>5593</v>
      </c>
      <c r="E636" s="1" t="s">
        <v>573</v>
      </c>
      <c r="F636">
        <v>30.02</v>
      </c>
      <c r="G636">
        <v>258.92</v>
      </c>
      <c r="H636">
        <v>164.87</v>
      </c>
      <c r="I636">
        <v>1858.31</v>
      </c>
      <c r="J636">
        <v>410.16</v>
      </c>
      <c r="K636">
        <v>528.87</v>
      </c>
      <c r="L636">
        <v>22.76</v>
      </c>
      <c r="M636">
        <v>9.7100000000000009</v>
      </c>
      <c r="N636">
        <v>43.76</v>
      </c>
      <c r="O636">
        <v>6.46</v>
      </c>
      <c r="P636">
        <v>0.27900000000000003</v>
      </c>
    </row>
    <row r="637" spans="1:16">
      <c r="A637" s="1" t="s">
        <v>567</v>
      </c>
      <c r="B637" s="3" t="s">
        <v>682</v>
      </c>
      <c r="C637" s="1" t="s">
        <v>38</v>
      </c>
      <c r="D637" s="1" t="s">
        <v>5593</v>
      </c>
      <c r="E637" s="1" t="s">
        <v>573</v>
      </c>
      <c r="F637">
        <v>60.76</v>
      </c>
      <c r="G637">
        <v>685.65</v>
      </c>
      <c r="H637">
        <v>152.06</v>
      </c>
      <c r="I637">
        <v>3378.28</v>
      </c>
      <c r="J637">
        <v>479.66</v>
      </c>
      <c r="K637">
        <v>750.84</v>
      </c>
      <c r="L637">
        <v>27.28</v>
      </c>
      <c r="M637">
        <v>7.08</v>
      </c>
      <c r="N637">
        <v>71.06</v>
      </c>
      <c r="O637">
        <v>10.89</v>
      </c>
      <c r="P637">
        <v>2.1000000000000001E-2</v>
      </c>
    </row>
    <row r="638" spans="1:16">
      <c r="A638" s="1" t="s">
        <v>567</v>
      </c>
      <c r="B638" s="3" t="s">
        <v>683</v>
      </c>
      <c r="C638" s="1" t="s">
        <v>38</v>
      </c>
      <c r="D638" s="1" t="s">
        <v>5593</v>
      </c>
      <c r="E638" s="1" t="s">
        <v>573</v>
      </c>
      <c r="F638">
        <v>100.91</v>
      </c>
      <c r="G638">
        <v>513.99</v>
      </c>
      <c r="H638">
        <v>391.68</v>
      </c>
      <c r="I638">
        <v>3138.64</v>
      </c>
      <c r="J638">
        <v>557.1</v>
      </c>
      <c r="K638">
        <v>551.45000000000005</v>
      </c>
      <c r="L638">
        <v>22</v>
      </c>
      <c r="M638">
        <v>8.3699999999999992</v>
      </c>
      <c r="N638">
        <v>77.25</v>
      </c>
      <c r="O638">
        <v>15.78</v>
      </c>
      <c r="P638">
        <v>0.09</v>
      </c>
    </row>
    <row r="639" spans="1:16">
      <c r="A639" s="1" t="s">
        <v>567</v>
      </c>
      <c r="B639" s="3" t="s">
        <v>684</v>
      </c>
      <c r="C639" s="1" t="s">
        <v>38</v>
      </c>
      <c r="D639" s="1" t="s">
        <v>5593</v>
      </c>
      <c r="E639" s="1" t="s">
        <v>573</v>
      </c>
      <c r="F639">
        <v>29.82</v>
      </c>
      <c r="G639">
        <v>296.45999999999998</v>
      </c>
      <c r="H639">
        <v>172.47</v>
      </c>
      <c r="I639">
        <v>1837.87</v>
      </c>
      <c r="J639">
        <v>374.07</v>
      </c>
      <c r="K639">
        <v>528.36</v>
      </c>
      <c r="L639">
        <v>22.76</v>
      </c>
      <c r="M639">
        <v>9.92</v>
      </c>
      <c r="N639">
        <v>50.4</v>
      </c>
      <c r="O639">
        <v>7.61</v>
      </c>
      <c r="P639">
        <v>0.06</v>
      </c>
    </row>
    <row r="640" spans="1:16">
      <c r="A640" s="1" t="s">
        <v>567</v>
      </c>
      <c r="B640" s="3" t="s">
        <v>685</v>
      </c>
      <c r="C640" s="1" t="s">
        <v>38</v>
      </c>
      <c r="D640" s="1" t="s">
        <v>5593</v>
      </c>
      <c r="E640" s="1" t="s">
        <v>573</v>
      </c>
      <c r="F640">
        <v>55.5</v>
      </c>
      <c r="G640">
        <v>337.78</v>
      </c>
      <c r="H640">
        <v>290.04000000000002</v>
      </c>
      <c r="I640">
        <v>2209.67</v>
      </c>
      <c r="J640">
        <v>420.21</v>
      </c>
      <c r="K640">
        <v>562.32000000000005</v>
      </c>
      <c r="L640">
        <v>23.3</v>
      </c>
      <c r="M640">
        <v>10.01</v>
      </c>
      <c r="N640">
        <v>46.78</v>
      </c>
      <c r="O640">
        <v>7.36</v>
      </c>
      <c r="P640">
        <v>7.9000000000000001E-2</v>
      </c>
    </row>
    <row r="641" spans="1:16">
      <c r="A641" s="1" t="s">
        <v>567</v>
      </c>
      <c r="B641" s="3" t="s">
        <v>686</v>
      </c>
      <c r="C641" s="1" t="s">
        <v>38</v>
      </c>
      <c r="D641" s="1" t="s">
        <v>5593</v>
      </c>
      <c r="E641" s="1" t="s">
        <v>573</v>
      </c>
      <c r="F641">
        <v>62.32</v>
      </c>
      <c r="G641">
        <v>326.77</v>
      </c>
      <c r="H641">
        <v>460.16</v>
      </c>
      <c r="I641">
        <v>2384.64</v>
      </c>
      <c r="J641">
        <v>518.45000000000005</v>
      </c>
      <c r="K641">
        <v>1009.35</v>
      </c>
      <c r="L641">
        <v>22.02</v>
      </c>
      <c r="M641">
        <v>8.76</v>
      </c>
      <c r="N641">
        <v>108.22</v>
      </c>
      <c r="O641">
        <v>16.96</v>
      </c>
      <c r="P641">
        <v>0.112</v>
      </c>
    </row>
    <row r="642" spans="1:16">
      <c r="A642" s="1" t="s">
        <v>567</v>
      </c>
      <c r="B642" s="3" t="s">
        <v>687</v>
      </c>
      <c r="C642" s="1" t="s">
        <v>38</v>
      </c>
      <c r="D642" s="1" t="s">
        <v>5593</v>
      </c>
      <c r="E642" s="1" t="s">
        <v>573</v>
      </c>
      <c r="F642">
        <v>48.73</v>
      </c>
      <c r="G642">
        <v>806.59</v>
      </c>
      <c r="H642">
        <v>385.17</v>
      </c>
      <c r="I642">
        <v>3622.9</v>
      </c>
      <c r="J642">
        <v>467.12</v>
      </c>
      <c r="K642">
        <v>817</v>
      </c>
      <c r="L642">
        <v>27.31</v>
      </c>
      <c r="M642">
        <v>9.94</v>
      </c>
      <c r="N642">
        <v>113.28</v>
      </c>
      <c r="O642">
        <v>28.16</v>
      </c>
      <c r="P642">
        <v>0.08</v>
      </c>
    </row>
    <row r="643" spans="1:16">
      <c r="A643" s="1" t="s">
        <v>567</v>
      </c>
      <c r="B643" s="3" t="s">
        <v>688</v>
      </c>
      <c r="C643" s="1" t="s">
        <v>38</v>
      </c>
      <c r="D643" s="1" t="s">
        <v>5593</v>
      </c>
      <c r="E643" s="1" t="s">
        <v>573</v>
      </c>
      <c r="F643">
        <v>32.35</v>
      </c>
      <c r="G643">
        <v>421.97</v>
      </c>
      <c r="H643">
        <v>273.25</v>
      </c>
      <c r="I643">
        <v>3511.59</v>
      </c>
      <c r="J643">
        <v>1118.68</v>
      </c>
      <c r="K643">
        <v>835.84</v>
      </c>
      <c r="L643">
        <v>23.56</v>
      </c>
      <c r="M643">
        <v>9.25</v>
      </c>
      <c r="N643">
        <v>88.84</v>
      </c>
      <c r="O643">
        <v>13.77</v>
      </c>
      <c r="P643">
        <v>6.2E-2</v>
      </c>
    </row>
    <row r="644" spans="1:16">
      <c r="A644" s="1" t="s">
        <v>567</v>
      </c>
      <c r="B644" s="3" t="s">
        <v>689</v>
      </c>
      <c r="C644" s="1" t="s">
        <v>38</v>
      </c>
      <c r="D644" s="1" t="s">
        <v>5593</v>
      </c>
      <c r="E644" s="1" t="s">
        <v>573</v>
      </c>
      <c r="F644">
        <v>49.53</v>
      </c>
      <c r="G644">
        <v>250</v>
      </c>
      <c r="H644">
        <v>230.16</v>
      </c>
      <c r="I644">
        <v>2616.58</v>
      </c>
      <c r="J644">
        <v>447.36</v>
      </c>
      <c r="K644">
        <v>506.04</v>
      </c>
      <c r="L644">
        <v>20.78</v>
      </c>
      <c r="M644">
        <v>8.16</v>
      </c>
      <c r="N644">
        <v>41.15</v>
      </c>
      <c r="O644">
        <v>8.51</v>
      </c>
      <c r="P644">
        <v>0.10299999999999999</v>
      </c>
    </row>
    <row r="645" spans="1:16">
      <c r="A645" s="1" t="s">
        <v>567</v>
      </c>
      <c r="B645" s="3" t="s">
        <v>690</v>
      </c>
      <c r="C645" s="1" t="s">
        <v>38</v>
      </c>
      <c r="D645" s="1" t="s">
        <v>5593</v>
      </c>
      <c r="E645" s="1" t="s">
        <v>573</v>
      </c>
      <c r="F645">
        <v>64.48</v>
      </c>
      <c r="G645">
        <v>487.51</v>
      </c>
      <c r="H645">
        <v>382.14</v>
      </c>
      <c r="I645">
        <v>2318.34</v>
      </c>
      <c r="J645">
        <v>349.24</v>
      </c>
      <c r="K645">
        <v>537.19000000000005</v>
      </c>
      <c r="L645">
        <v>20.03</v>
      </c>
      <c r="M645">
        <v>6.65</v>
      </c>
      <c r="N645">
        <v>49.73</v>
      </c>
      <c r="O645">
        <v>9.2200000000000006</v>
      </c>
      <c r="P645">
        <v>1.47</v>
      </c>
    </row>
    <row r="646" spans="1:16">
      <c r="A646" s="1" t="s">
        <v>567</v>
      </c>
      <c r="B646" s="3" t="s">
        <v>691</v>
      </c>
      <c r="C646" s="1" t="s">
        <v>38</v>
      </c>
      <c r="D646" s="1" t="s">
        <v>5593</v>
      </c>
      <c r="E646" s="1" t="s">
        <v>573</v>
      </c>
      <c r="F646">
        <v>31.4</v>
      </c>
      <c r="G646">
        <v>318.39</v>
      </c>
      <c r="H646">
        <v>156.41</v>
      </c>
      <c r="I646">
        <v>1914.89</v>
      </c>
      <c r="J646">
        <v>397.55</v>
      </c>
      <c r="K646">
        <v>545.64</v>
      </c>
      <c r="L646">
        <v>40.26</v>
      </c>
      <c r="M646">
        <v>8.1300000000000008</v>
      </c>
      <c r="N646">
        <v>51.67</v>
      </c>
      <c r="O646">
        <v>8.48</v>
      </c>
      <c r="P646">
        <f>0.035/2</f>
        <v>1.7500000000000002E-2</v>
      </c>
    </row>
    <row r="647" spans="1:16">
      <c r="A647" s="1" t="s">
        <v>567</v>
      </c>
      <c r="B647" s="3" t="s">
        <v>692</v>
      </c>
      <c r="C647" s="1" t="s">
        <v>38</v>
      </c>
      <c r="D647" s="1" t="s">
        <v>5593</v>
      </c>
      <c r="E647" s="1" t="s">
        <v>573</v>
      </c>
      <c r="F647">
        <v>29.61</v>
      </c>
      <c r="G647">
        <v>290.99</v>
      </c>
      <c r="H647">
        <v>298.83999999999997</v>
      </c>
      <c r="I647">
        <v>2649.92</v>
      </c>
      <c r="J647">
        <v>588.34</v>
      </c>
      <c r="K647">
        <v>536.33000000000004</v>
      </c>
      <c r="L647">
        <v>20.5</v>
      </c>
      <c r="M647">
        <v>7.23</v>
      </c>
      <c r="N647">
        <v>54.42</v>
      </c>
      <c r="O647">
        <v>7.77</v>
      </c>
      <c r="P647">
        <v>0.10299999999999999</v>
      </c>
    </row>
    <row r="648" spans="1:16">
      <c r="A648" s="1" t="s">
        <v>567</v>
      </c>
      <c r="B648" s="3" t="s">
        <v>693</v>
      </c>
      <c r="C648" s="1" t="s">
        <v>38</v>
      </c>
      <c r="D648" s="1" t="s">
        <v>5593</v>
      </c>
      <c r="E648" s="1" t="s">
        <v>573</v>
      </c>
      <c r="F648">
        <v>59.5</v>
      </c>
      <c r="G648">
        <v>406.55</v>
      </c>
      <c r="H648">
        <v>331.27</v>
      </c>
      <c r="I648">
        <v>2431.9899999999998</v>
      </c>
      <c r="J648">
        <v>447.07</v>
      </c>
      <c r="K648">
        <v>634.34</v>
      </c>
      <c r="L648">
        <v>25.04</v>
      </c>
      <c r="M648">
        <v>6.01</v>
      </c>
      <c r="N648">
        <v>77.180000000000007</v>
      </c>
      <c r="O648">
        <v>18.190000000000001</v>
      </c>
      <c r="P648">
        <v>0.14699999999999999</v>
      </c>
    </row>
    <row r="649" spans="1:16">
      <c r="A649" s="1" t="s">
        <v>567</v>
      </c>
      <c r="B649" s="3" t="s">
        <v>694</v>
      </c>
      <c r="C649" s="1" t="s">
        <v>38</v>
      </c>
      <c r="D649" s="1" t="s">
        <v>5593</v>
      </c>
      <c r="E649" s="1" t="s">
        <v>573</v>
      </c>
      <c r="F649">
        <v>28.38</v>
      </c>
      <c r="G649">
        <v>374.44</v>
      </c>
      <c r="H649">
        <v>275.32</v>
      </c>
      <c r="I649">
        <v>3695.1</v>
      </c>
      <c r="J649">
        <v>440.06</v>
      </c>
      <c r="K649">
        <v>567.55999999999995</v>
      </c>
      <c r="L649">
        <v>25.44</v>
      </c>
      <c r="M649">
        <v>7.35</v>
      </c>
      <c r="N649">
        <v>68.239999999999995</v>
      </c>
      <c r="O649">
        <v>23.4</v>
      </c>
      <c r="P649">
        <v>5.3999999999999999E-2</v>
      </c>
    </row>
    <row r="650" spans="1:16">
      <c r="A650" s="1" t="s">
        <v>567</v>
      </c>
      <c r="B650" s="3" t="s">
        <v>695</v>
      </c>
      <c r="C650" s="1" t="s">
        <v>38</v>
      </c>
      <c r="D650" s="1" t="s">
        <v>5593</v>
      </c>
      <c r="E650" s="1" t="s">
        <v>573</v>
      </c>
      <c r="F650">
        <v>35.770000000000003</v>
      </c>
      <c r="G650">
        <v>431.42</v>
      </c>
      <c r="H650">
        <v>294.70999999999998</v>
      </c>
      <c r="I650">
        <v>3268.58</v>
      </c>
      <c r="J650">
        <v>460.9</v>
      </c>
      <c r="K650">
        <v>714.6</v>
      </c>
      <c r="L650">
        <v>31.03</v>
      </c>
      <c r="M650">
        <v>9.6300000000000008</v>
      </c>
      <c r="N650">
        <v>70.02</v>
      </c>
      <c r="O650">
        <v>22.89</v>
      </c>
      <c r="P650">
        <v>3.5999999999999997E-2</v>
      </c>
    </row>
    <row r="651" spans="1:16">
      <c r="A651" s="1" t="s">
        <v>567</v>
      </c>
      <c r="B651" s="3" t="s">
        <v>696</v>
      </c>
      <c r="C651" s="1" t="s">
        <v>38</v>
      </c>
      <c r="D651" s="1" t="s">
        <v>5593</v>
      </c>
      <c r="E651" s="1" t="s">
        <v>573</v>
      </c>
      <c r="F651">
        <v>56.41</v>
      </c>
      <c r="G651">
        <v>721.95</v>
      </c>
      <c r="H651">
        <v>326.23</v>
      </c>
      <c r="I651">
        <v>3672.06</v>
      </c>
      <c r="J651">
        <v>468.11</v>
      </c>
      <c r="K651">
        <v>756.48</v>
      </c>
      <c r="L651">
        <v>32.18</v>
      </c>
      <c r="M651">
        <v>8.4700000000000006</v>
      </c>
      <c r="N651">
        <v>211.31</v>
      </c>
      <c r="O651">
        <v>23.31</v>
      </c>
      <c r="P651">
        <v>8.4000000000000005E-2</v>
      </c>
    </row>
    <row r="652" spans="1:16">
      <c r="A652" s="1" t="s">
        <v>567</v>
      </c>
      <c r="B652" s="3" t="s">
        <v>697</v>
      </c>
      <c r="C652" s="1" t="s">
        <v>38</v>
      </c>
      <c r="D652" s="1" t="s">
        <v>5593</v>
      </c>
      <c r="E652" s="1" t="s">
        <v>573</v>
      </c>
      <c r="F652">
        <v>33.869999999999997</v>
      </c>
      <c r="G652">
        <v>292.36</v>
      </c>
      <c r="H652">
        <v>199</v>
      </c>
      <c r="I652">
        <v>1927.85</v>
      </c>
      <c r="J652">
        <v>338.46</v>
      </c>
      <c r="K652">
        <v>512.02</v>
      </c>
      <c r="L652">
        <v>31.45</v>
      </c>
      <c r="M652">
        <v>9.09</v>
      </c>
      <c r="N652">
        <v>50.16</v>
      </c>
      <c r="O652">
        <v>7.14</v>
      </c>
      <c r="P652">
        <v>0.06</v>
      </c>
    </row>
    <row r="653" spans="1:16">
      <c r="A653" s="1" t="s">
        <v>567</v>
      </c>
      <c r="B653" s="3" t="s">
        <v>698</v>
      </c>
      <c r="C653" s="1" t="s">
        <v>38</v>
      </c>
      <c r="D653" s="1" t="s">
        <v>5593</v>
      </c>
      <c r="E653" s="1" t="s">
        <v>573</v>
      </c>
      <c r="F653">
        <v>39.659999999999997</v>
      </c>
      <c r="G653">
        <v>367.2</v>
      </c>
      <c r="H653">
        <v>275.95999999999998</v>
      </c>
      <c r="I653">
        <v>2271.8200000000002</v>
      </c>
      <c r="J653">
        <v>432.38</v>
      </c>
      <c r="K653">
        <v>618.08000000000004</v>
      </c>
      <c r="L653">
        <v>35.020000000000003</v>
      </c>
      <c r="M653">
        <v>8.81</v>
      </c>
      <c r="N653">
        <v>70.7</v>
      </c>
      <c r="O653">
        <v>12.2</v>
      </c>
      <c r="P653">
        <v>8.5999999999999993E-2</v>
      </c>
    </row>
    <row r="654" spans="1:16">
      <c r="A654" s="1" t="s">
        <v>567</v>
      </c>
      <c r="B654" s="3" t="s">
        <v>699</v>
      </c>
      <c r="C654" s="1" t="s">
        <v>38</v>
      </c>
      <c r="D654" s="1" t="s">
        <v>5593</v>
      </c>
      <c r="E654" s="1" t="s">
        <v>573</v>
      </c>
      <c r="F654">
        <v>212.7</v>
      </c>
      <c r="G654">
        <v>467.61</v>
      </c>
      <c r="H654">
        <v>440.57</v>
      </c>
      <c r="I654">
        <v>2564.13</v>
      </c>
      <c r="J654">
        <v>466.95</v>
      </c>
      <c r="K654">
        <v>597.84</v>
      </c>
      <c r="L654">
        <v>23.25</v>
      </c>
      <c r="M654">
        <v>7.86</v>
      </c>
      <c r="N654">
        <v>68.69</v>
      </c>
      <c r="O654">
        <v>12.15</v>
      </c>
      <c r="P654">
        <v>9.7000000000000003E-2</v>
      </c>
    </row>
    <row r="655" spans="1:16">
      <c r="A655" s="1" t="s">
        <v>567</v>
      </c>
      <c r="B655" s="3" t="s">
        <v>700</v>
      </c>
      <c r="C655" s="1" t="s">
        <v>38</v>
      </c>
      <c r="D655" s="1" t="s">
        <v>5593</v>
      </c>
      <c r="E655" s="1" t="s">
        <v>573</v>
      </c>
      <c r="F655">
        <v>30.13</v>
      </c>
      <c r="G655">
        <v>311.77</v>
      </c>
      <c r="H655">
        <v>323.66000000000003</v>
      </c>
      <c r="I655">
        <v>2930.56</v>
      </c>
      <c r="J655">
        <v>430.13</v>
      </c>
      <c r="K655">
        <v>599.5</v>
      </c>
      <c r="L655">
        <v>22.76</v>
      </c>
      <c r="M655">
        <v>7.41</v>
      </c>
      <c r="N655">
        <v>62.91</v>
      </c>
      <c r="O655">
        <v>13.35</v>
      </c>
      <c r="P655">
        <v>0.189</v>
      </c>
    </row>
    <row r="656" spans="1:16">
      <c r="A656" s="1" t="s">
        <v>567</v>
      </c>
      <c r="B656" s="3" t="s">
        <v>701</v>
      </c>
      <c r="C656" s="1" t="s">
        <v>38</v>
      </c>
      <c r="D656" s="1" t="s">
        <v>5593</v>
      </c>
      <c r="E656" s="1" t="s">
        <v>573</v>
      </c>
      <c r="F656">
        <v>26.83</v>
      </c>
      <c r="G656">
        <v>371.46</v>
      </c>
      <c r="H656">
        <v>395.98</v>
      </c>
      <c r="I656">
        <v>2471.2800000000002</v>
      </c>
      <c r="J656">
        <v>449.31</v>
      </c>
      <c r="K656">
        <v>675.78</v>
      </c>
      <c r="L656">
        <v>21.74</v>
      </c>
      <c r="M656">
        <v>8.1300000000000008</v>
      </c>
      <c r="N656">
        <v>88.85</v>
      </c>
      <c r="O656">
        <v>16.5</v>
      </c>
      <c r="P656">
        <f>0.087/2</f>
        <v>4.3499999999999997E-2</v>
      </c>
    </row>
    <row r="657" spans="1:16">
      <c r="A657" s="1" t="s">
        <v>567</v>
      </c>
      <c r="B657" s="3" t="s">
        <v>702</v>
      </c>
      <c r="C657" s="1" t="s">
        <v>38</v>
      </c>
      <c r="D657" s="1" t="s">
        <v>5593</v>
      </c>
      <c r="E657" s="1" t="s">
        <v>573</v>
      </c>
      <c r="F657">
        <v>36.69</v>
      </c>
      <c r="G657">
        <v>326.05</v>
      </c>
      <c r="H657">
        <v>223.48</v>
      </c>
      <c r="I657">
        <v>2992.49</v>
      </c>
      <c r="J657">
        <v>463.28</v>
      </c>
      <c r="K657">
        <v>660.89</v>
      </c>
      <c r="L657">
        <v>22.65</v>
      </c>
      <c r="M657">
        <v>7.99</v>
      </c>
      <c r="N657">
        <v>66.989999999999995</v>
      </c>
      <c r="O657">
        <v>11.2</v>
      </c>
      <c r="P657">
        <v>3.9E-2</v>
      </c>
    </row>
    <row r="658" spans="1:16">
      <c r="A658" s="1" t="s">
        <v>567</v>
      </c>
      <c r="B658" s="3" t="s">
        <v>703</v>
      </c>
      <c r="C658" s="1" t="s">
        <v>38</v>
      </c>
      <c r="D658" s="1" t="s">
        <v>5593</v>
      </c>
      <c r="E658" s="1" t="s">
        <v>573</v>
      </c>
      <c r="F658">
        <v>32.46</v>
      </c>
      <c r="G658">
        <v>327.39999999999998</v>
      </c>
      <c r="H658">
        <v>287.7</v>
      </c>
      <c r="I658">
        <v>2448.33</v>
      </c>
      <c r="J658">
        <v>449.07</v>
      </c>
      <c r="K658">
        <v>626.23</v>
      </c>
      <c r="L658">
        <v>21.03</v>
      </c>
      <c r="M658">
        <v>8.33</v>
      </c>
      <c r="N658">
        <v>63.84</v>
      </c>
      <c r="O658">
        <v>15.02</v>
      </c>
      <c r="P658">
        <f>0.24/2</f>
        <v>0.12</v>
      </c>
    </row>
    <row r="659" spans="1:16">
      <c r="A659" s="1" t="s">
        <v>567</v>
      </c>
      <c r="B659" s="3" t="s">
        <v>704</v>
      </c>
      <c r="C659" s="1" t="s">
        <v>38</v>
      </c>
      <c r="D659" s="1" t="s">
        <v>5593</v>
      </c>
      <c r="E659" s="1" t="s">
        <v>573</v>
      </c>
      <c r="F659">
        <v>33.04</v>
      </c>
      <c r="G659">
        <v>328.41</v>
      </c>
      <c r="H659">
        <v>199.89</v>
      </c>
      <c r="I659">
        <v>2958.36</v>
      </c>
      <c r="J659">
        <v>490.67</v>
      </c>
      <c r="K659">
        <v>892.37</v>
      </c>
      <c r="L659">
        <v>25.88</v>
      </c>
      <c r="M659">
        <v>8.59</v>
      </c>
      <c r="N659">
        <v>105.7</v>
      </c>
      <c r="O659">
        <v>15.1</v>
      </c>
      <c r="P659">
        <f>0.075/2</f>
        <v>3.7499999999999999E-2</v>
      </c>
    </row>
    <row r="660" spans="1:16">
      <c r="A660" s="1" t="s">
        <v>567</v>
      </c>
      <c r="B660" s="3" t="s">
        <v>705</v>
      </c>
      <c r="C660" s="1" t="s">
        <v>38</v>
      </c>
      <c r="D660" s="1" t="s">
        <v>5593</v>
      </c>
      <c r="E660" s="1" t="s">
        <v>573</v>
      </c>
      <c r="F660">
        <v>25.95</v>
      </c>
      <c r="G660">
        <v>404.15</v>
      </c>
      <c r="H660">
        <v>334.08</v>
      </c>
      <c r="I660">
        <v>2595.21</v>
      </c>
      <c r="J660">
        <v>512.20000000000005</v>
      </c>
      <c r="K660">
        <v>694.62</v>
      </c>
      <c r="L660">
        <v>21.95</v>
      </c>
      <c r="M660">
        <v>8.57</v>
      </c>
      <c r="N660">
        <v>80.680000000000007</v>
      </c>
      <c r="O660">
        <v>13.77</v>
      </c>
      <c r="P660">
        <f>0.098/2</f>
        <v>4.9000000000000002E-2</v>
      </c>
    </row>
    <row r="661" spans="1:16">
      <c r="A661" s="1" t="s">
        <v>567</v>
      </c>
      <c r="B661" s="3" t="s">
        <v>706</v>
      </c>
      <c r="C661" s="1" t="s">
        <v>38</v>
      </c>
      <c r="D661" s="1" t="s">
        <v>5593</v>
      </c>
      <c r="E661" s="1" t="s">
        <v>573</v>
      </c>
      <c r="F661">
        <v>55.03</v>
      </c>
      <c r="G661">
        <v>396.15</v>
      </c>
      <c r="H661">
        <v>355.83</v>
      </c>
      <c r="I661">
        <v>2625.25</v>
      </c>
      <c r="J661">
        <v>505.34</v>
      </c>
      <c r="K661">
        <v>559.62</v>
      </c>
      <c r="L661">
        <v>20.67</v>
      </c>
      <c r="M661">
        <v>7.69</v>
      </c>
      <c r="N661">
        <v>63.61</v>
      </c>
      <c r="O661">
        <v>12.43</v>
      </c>
      <c r="P661">
        <f>0.052/2</f>
        <v>2.5999999999999999E-2</v>
      </c>
    </row>
    <row r="662" spans="1:16">
      <c r="A662" s="1" t="s">
        <v>567</v>
      </c>
      <c r="B662" s="3" t="s">
        <v>707</v>
      </c>
      <c r="C662" s="1" t="s">
        <v>38</v>
      </c>
      <c r="D662" s="1" t="s">
        <v>5593</v>
      </c>
      <c r="E662" s="1" t="s">
        <v>573</v>
      </c>
      <c r="F662">
        <v>36.130000000000003</v>
      </c>
      <c r="G662">
        <v>317.22000000000003</v>
      </c>
      <c r="H662">
        <v>273.58999999999997</v>
      </c>
      <c r="I662">
        <v>2175.42</v>
      </c>
      <c r="J662">
        <v>458.37</v>
      </c>
      <c r="K662">
        <v>523.08000000000004</v>
      </c>
      <c r="L662">
        <v>20.13</v>
      </c>
      <c r="M662">
        <v>8.09</v>
      </c>
      <c r="N662">
        <v>48.93</v>
      </c>
      <c r="O662">
        <v>9.1300000000000008</v>
      </c>
      <c r="P662">
        <f>0.031/2</f>
        <v>1.55E-2</v>
      </c>
    </row>
    <row r="663" spans="1:16">
      <c r="A663" s="1" t="s">
        <v>567</v>
      </c>
      <c r="B663" s="3" t="s">
        <v>708</v>
      </c>
      <c r="C663" s="1" t="s">
        <v>38</v>
      </c>
      <c r="D663" s="1" t="s">
        <v>5593</v>
      </c>
      <c r="E663" s="1" t="s">
        <v>573</v>
      </c>
      <c r="F663">
        <v>43.29</v>
      </c>
      <c r="G663">
        <v>305.47000000000003</v>
      </c>
      <c r="H663">
        <v>294.45</v>
      </c>
      <c r="I663">
        <v>2434.56</v>
      </c>
      <c r="J663">
        <v>530.51</v>
      </c>
      <c r="K663">
        <v>584.12</v>
      </c>
      <c r="L663">
        <v>21.06</v>
      </c>
      <c r="M663">
        <v>12.05</v>
      </c>
      <c r="N663">
        <v>50.28</v>
      </c>
      <c r="O663">
        <v>7.59</v>
      </c>
      <c r="P663">
        <f>0.029/2</f>
        <v>1.4500000000000001E-2</v>
      </c>
    </row>
    <row r="664" spans="1:16">
      <c r="A664" s="1" t="s">
        <v>567</v>
      </c>
      <c r="B664" s="3" t="s">
        <v>709</v>
      </c>
      <c r="C664" s="1" t="s">
        <v>38</v>
      </c>
      <c r="D664" s="1" t="s">
        <v>5593</v>
      </c>
      <c r="E664" s="1" t="s">
        <v>573</v>
      </c>
      <c r="F664">
        <v>34.450000000000003</v>
      </c>
      <c r="G664">
        <v>338.46</v>
      </c>
      <c r="H664">
        <v>317.19</v>
      </c>
      <c r="I664">
        <v>3629.39</v>
      </c>
      <c r="J664">
        <v>514.96</v>
      </c>
      <c r="K664">
        <v>639.25</v>
      </c>
      <c r="L664">
        <v>23.84</v>
      </c>
      <c r="M664">
        <v>8.83</v>
      </c>
      <c r="N664">
        <v>82.83</v>
      </c>
      <c r="O664">
        <v>15.36</v>
      </c>
      <c r="P664">
        <v>0.54600000000000004</v>
      </c>
    </row>
    <row r="665" spans="1:16">
      <c r="A665" s="1" t="s">
        <v>567</v>
      </c>
      <c r="B665" s="3" t="s">
        <v>710</v>
      </c>
      <c r="C665" s="1" t="s">
        <v>38</v>
      </c>
      <c r="D665" s="1" t="s">
        <v>5593</v>
      </c>
      <c r="E665" s="1" t="s">
        <v>573</v>
      </c>
      <c r="F665">
        <v>38.159999999999997</v>
      </c>
      <c r="G665">
        <v>434.5</v>
      </c>
      <c r="H665">
        <v>347.7</v>
      </c>
      <c r="I665">
        <v>3087.35</v>
      </c>
      <c r="J665">
        <v>450.24</v>
      </c>
      <c r="K665">
        <v>715.57</v>
      </c>
      <c r="L665">
        <v>24.58</v>
      </c>
      <c r="M665">
        <v>7.11</v>
      </c>
      <c r="N665">
        <v>70.95</v>
      </c>
      <c r="O665">
        <v>14.26</v>
      </c>
      <c r="P665">
        <f>0.078/2</f>
        <v>3.9E-2</v>
      </c>
    </row>
    <row r="666" spans="1:16">
      <c r="A666" s="1" t="s">
        <v>567</v>
      </c>
      <c r="B666" s="3" t="s">
        <v>711</v>
      </c>
      <c r="C666" s="1" t="s">
        <v>38</v>
      </c>
      <c r="D666" s="1" t="s">
        <v>5593</v>
      </c>
      <c r="E666" s="1" t="s">
        <v>573</v>
      </c>
      <c r="F666">
        <v>60.25</v>
      </c>
      <c r="G666">
        <v>430.41</v>
      </c>
      <c r="H666">
        <v>439.33</v>
      </c>
      <c r="I666">
        <v>2858.41</v>
      </c>
      <c r="J666">
        <v>505.45</v>
      </c>
      <c r="K666">
        <v>737.4</v>
      </c>
      <c r="L666">
        <v>21.95</v>
      </c>
      <c r="M666">
        <v>11.34</v>
      </c>
      <c r="N666">
        <v>62.87</v>
      </c>
      <c r="O666">
        <v>13.41</v>
      </c>
      <c r="P666">
        <v>0.08</v>
      </c>
    </row>
    <row r="667" spans="1:16">
      <c r="A667" s="1" t="s">
        <v>567</v>
      </c>
      <c r="B667" s="3" t="s">
        <v>712</v>
      </c>
      <c r="C667" s="1" t="s">
        <v>38</v>
      </c>
      <c r="D667" s="1" t="s">
        <v>5593</v>
      </c>
      <c r="E667" s="1" t="s">
        <v>573</v>
      </c>
      <c r="F667">
        <v>38.270000000000003</v>
      </c>
      <c r="G667">
        <v>385.9</v>
      </c>
      <c r="H667">
        <v>260.69</v>
      </c>
      <c r="I667">
        <v>2231.36</v>
      </c>
      <c r="J667">
        <v>370.66</v>
      </c>
      <c r="K667">
        <v>536.38</v>
      </c>
      <c r="L667">
        <v>21.01</v>
      </c>
      <c r="M667">
        <v>7.08</v>
      </c>
      <c r="N667">
        <v>57.29</v>
      </c>
      <c r="O667">
        <v>12.17</v>
      </c>
      <c r="P667">
        <f>0.059/2</f>
        <v>2.9499999999999998E-2</v>
      </c>
    </row>
    <row r="668" spans="1:16">
      <c r="A668" s="1" t="s">
        <v>567</v>
      </c>
      <c r="B668" s="3" t="s">
        <v>713</v>
      </c>
      <c r="C668" s="1" t="s">
        <v>38</v>
      </c>
      <c r="D668" s="1" t="s">
        <v>5593</v>
      </c>
      <c r="E668" s="1" t="s">
        <v>573</v>
      </c>
      <c r="F668">
        <v>29.82</v>
      </c>
      <c r="G668">
        <v>446.41</v>
      </c>
      <c r="H668">
        <v>262.37</v>
      </c>
      <c r="I668">
        <v>3607.92</v>
      </c>
      <c r="J668">
        <v>346.3</v>
      </c>
      <c r="K668">
        <v>543.47</v>
      </c>
      <c r="L668">
        <v>24.49</v>
      </c>
      <c r="M668">
        <v>9.56</v>
      </c>
      <c r="N668">
        <v>91.77</v>
      </c>
      <c r="O668">
        <v>28.53</v>
      </c>
      <c r="P668">
        <f>0.061/2</f>
        <v>3.0499999999999999E-2</v>
      </c>
    </row>
    <row r="669" spans="1:16">
      <c r="A669" s="1" t="s">
        <v>567</v>
      </c>
      <c r="B669" s="3" t="s">
        <v>714</v>
      </c>
      <c r="C669" s="1" t="s">
        <v>38</v>
      </c>
      <c r="D669" s="1" t="s">
        <v>5593</v>
      </c>
      <c r="E669" s="1" t="s">
        <v>573</v>
      </c>
      <c r="F669">
        <v>25.19</v>
      </c>
      <c r="G669">
        <v>260.11</v>
      </c>
      <c r="H669">
        <v>225.22</v>
      </c>
      <c r="I669">
        <v>1810.73</v>
      </c>
      <c r="J669">
        <v>585.57000000000005</v>
      </c>
      <c r="K669">
        <v>535.79999999999995</v>
      </c>
      <c r="L669">
        <v>21.24</v>
      </c>
      <c r="M669">
        <v>7.4</v>
      </c>
      <c r="N669">
        <v>43.92</v>
      </c>
      <c r="O669">
        <v>6.61</v>
      </c>
      <c r="P669">
        <v>0.109</v>
      </c>
    </row>
    <row r="670" spans="1:16">
      <c r="A670" s="1" t="s">
        <v>567</v>
      </c>
      <c r="B670" s="3" t="s">
        <v>715</v>
      </c>
      <c r="C670" s="1" t="s">
        <v>38</v>
      </c>
      <c r="D670" s="1" t="s">
        <v>5593</v>
      </c>
      <c r="E670" s="1" t="s">
        <v>573</v>
      </c>
      <c r="F670">
        <v>35.01</v>
      </c>
      <c r="G670">
        <v>392.66</v>
      </c>
      <c r="H670">
        <v>313.27</v>
      </c>
      <c r="I670">
        <v>3308.37</v>
      </c>
      <c r="J670">
        <v>855.71</v>
      </c>
      <c r="K670">
        <v>845.16</v>
      </c>
      <c r="L670">
        <v>22.95</v>
      </c>
      <c r="M670">
        <v>7.72</v>
      </c>
      <c r="N670">
        <v>87.18</v>
      </c>
      <c r="O670">
        <v>17.239999999999998</v>
      </c>
      <c r="P670">
        <f>0.045/2</f>
        <v>2.2499999999999999E-2</v>
      </c>
    </row>
    <row r="671" spans="1:16">
      <c r="A671" s="1" t="s">
        <v>567</v>
      </c>
      <c r="B671" s="3" t="s">
        <v>716</v>
      </c>
      <c r="C671" s="1" t="s">
        <v>38</v>
      </c>
      <c r="D671" s="1" t="s">
        <v>5593</v>
      </c>
      <c r="E671" s="1" t="s">
        <v>573</v>
      </c>
      <c r="F671">
        <v>29.48</v>
      </c>
      <c r="G671">
        <v>444.15</v>
      </c>
      <c r="H671">
        <v>319.49</v>
      </c>
      <c r="I671">
        <v>3200.14</v>
      </c>
      <c r="J671">
        <v>480.93</v>
      </c>
      <c r="K671">
        <v>545.54999999999995</v>
      </c>
      <c r="L671">
        <v>20.5</v>
      </c>
      <c r="M671">
        <v>7.61</v>
      </c>
      <c r="N671">
        <v>120.32</v>
      </c>
      <c r="O671">
        <v>16.09</v>
      </c>
      <c r="P671">
        <v>4.2999999999999997E-2</v>
      </c>
    </row>
    <row r="672" spans="1:16">
      <c r="A672" s="1" t="s">
        <v>567</v>
      </c>
      <c r="B672" s="3" t="s">
        <v>717</v>
      </c>
      <c r="C672" s="1" t="s">
        <v>38</v>
      </c>
      <c r="D672" s="1" t="s">
        <v>5593</v>
      </c>
      <c r="E672" s="1" t="s">
        <v>573</v>
      </c>
      <c r="F672">
        <v>55.98</v>
      </c>
      <c r="G672">
        <v>495.78</v>
      </c>
      <c r="H672">
        <v>1286.1099999999999</v>
      </c>
      <c r="I672">
        <v>3258.57</v>
      </c>
      <c r="J672">
        <v>537.62</v>
      </c>
      <c r="K672">
        <v>919.8</v>
      </c>
      <c r="L672">
        <v>20.87</v>
      </c>
      <c r="M672">
        <v>8.7899999999999991</v>
      </c>
      <c r="N672">
        <v>127.71</v>
      </c>
      <c r="O672">
        <v>21.39</v>
      </c>
      <c r="P672">
        <v>8.7999999999999995E-2</v>
      </c>
    </row>
    <row r="673" spans="1:16">
      <c r="A673" s="1" t="s">
        <v>567</v>
      </c>
      <c r="B673" s="3" t="s">
        <v>718</v>
      </c>
      <c r="C673" s="1" t="s">
        <v>38</v>
      </c>
      <c r="D673" s="1" t="s">
        <v>5593</v>
      </c>
      <c r="E673" s="1" t="s">
        <v>573</v>
      </c>
      <c r="F673">
        <v>45.66</v>
      </c>
      <c r="G673">
        <v>302.95</v>
      </c>
      <c r="H673">
        <v>301.56</v>
      </c>
      <c r="I673">
        <v>2229.9899999999998</v>
      </c>
      <c r="J673">
        <v>529.03</v>
      </c>
      <c r="K673">
        <v>803.31</v>
      </c>
      <c r="L673">
        <v>23.8</v>
      </c>
      <c r="M673">
        <v>8.76</v>
      </c>
      <c r="N673">
        <v>82.75</v>
      </c>
      <c r="O673">
        <v>12.58</v>
      </c>
      <c r="P673">
        <v>0.11899999999999999</v>
      </c>
    </row>
    <row r="674" spans="1:16">
      <c r="A674" s="1" t="s">
        <v>567</v>
      </c>
      <c r="B674" s="3" t="s">
        <v>719</v>
      </c>
      <c r="C674" s="1" t="s">
        <v>38</v>
      </c>
      <c r="D674" s="1" t="s">
        <v>5593</v>
      </c>
      <c r="E674" s="1" t="s">
        <v>573</v>
      </c>
      <c r="F674">
        <v>35.590000000000003</v>
      </c>
      <c r="G674">
        <v>325.41000000000003</v>
      </c>
      <c r="H674">
        <v>234.88</v>
      </c>
      <c r="I674">
        <v>2510.0100000000002</v>
      </c>
      <c r="J674">
        <v>446.21</v>
      </c>
      <c r="K674">
        <v>1090.8599999999999</v>
      </c>
      <c r="L674">
        <v>21.8</v>
      </c>
      <c r="M674">
        <v>9.2100000000000009</v>
      </c>
      <c r="N674">
        <v>100.54</v>
      </c>
      <c r="O674">
        <v>16.87</v>
      </c>
      <c r="P674">
        <v>7.9000000000000001E-2</v>
      </c>
    </row>
    <row r="675" spans="1:16">
      <c r="A675" s="1" t="s">
        <v>567</v>
      </c>
      <c r="B675" s="3" t="s">
        <v>720</v>
      </c>
      <c r="C675" s="1" t="s">
        <v>38</v>
      </c>
      <c r="D675" s="1" t="s">
        <v>5593</v>
      </c>
      <c r="E675" s="1" t="s">
        <v>573</v>
      </c>
      <c r="F675">
        <v>40.79</v>
      </c>
      <c r="G675">
        <v>345.13</v>
      </c>
      <c r="H675">
        <v>351.72</v>
      </c>
      <c r="I675">
        <v>2542.35</v>
      </c>
      <c r="J675">
        <v>498.79</v>
      </c>
      <c r="K675">
        <v>585.76</v>
      </c>
      <c r="L675">
        <v>37.61</v>
      </c>
      <c r="M675">
        <v>8.73</v>
      </c>
      <c r="N675">
        <v>65.349999999999994</v>
      </c>
      <c r="O675">
        <v>10.36</v>
      </c>
      <c r="P675">
        <v>6.7000000000000004E-2</v>
      </c>
    </row>
    <row r="676" spans="1:16">
      <c r="A676" s="1" t="s">
        <v>567</v>
      </c>
      <c r="B676" s="3" t="s">
        <v>721</v>
      </c>
      <c r="C676" s="1" t="s">
        <v>38</v>
      </c>
      <c r="D676" s="1" t="s">
        <v>5593</v>
      </c>
      <c r="E676" s="1" t="s">
        <v>573</v>
      </c>
      <c r="F676">
        <v>44.96</v>
      </c>
      <c r="G676">
        <v>471.85</v>
      </c>
      <c r="H676">
        <v>319.14</v>
      </c>
      <c r="I676">
        <v>2779.91</v>
      </c>
      <c r="J676">
        <v>488.06</v>
      </c>
      <c r="K676">
        <v>734.78</v>
      </c>
      <c r="L676">
        <v>23.96</v>
      </c>
      <c r="M676">
        <v>7.86</v>
      </c>
      <c r="N676">
        <v>95.08</v>
      </c>
      <c r="O676">
        <v>19.440000000000001</v>
      </c>
      <c r="P676">
        <v>0.27600000000000002</v>
      </c>
    </row>
    <row r="677" spans="1:16">
      <c r="A677" s="1" t="s">
        <v>567</v>
      </c>
      <c r="B677" s="3" t="s">
        <v>722</v>
      </c>
      <c r="C677" s="1" t="s">
        <v>38</v>
      </c>
      <c r="D677" s="1" t="s">
        <v>5593</v>
      </c>
      <c r="E677" s="1" t="s">
        <v>573</v>
      </c>
      <c r="F677">
        <v>43.49</v>
      </c>
      <c r="G677">
        <v>398.52</v>
      </c>
      <c r="H677">
        <v>354.57</v>
      </c>
      <c r="I677">
        <v>2047.36</v>
      </c>
      <c r="J677">
        <v>364.15</v>
      </c>
      <c r="K677">
        <v>508.46</v>
      </c>
      <c r="L677">
        <v>20.6</v>
      </c>
      <c r="M677">
        <v>7.04</v>
      </c>
      <c r="N677">
        <v>64.069999999999993</v>
      </c>
      <c r="O677">
        <v>11.56</v>
      </c>
      <c r="P677">
        <f>0.044/2</f>
        <v>2.1999999999999999E-2</v>
      </c>
    </row>
    <row r="678" spans="1:16">
      <c r="A678" s="1" t="s">
        <v>567</v>
      </c>
      <c r="B678" s="3" t="s">
        <v>723</v>
      </c>
      <c r="C678" s="1" t="s">
        <v>38</v>
      </c>
      <c r="D678" s="1" t="s">
        <v>5593</v>
      </c>
      <c r="E678" s="1" t="s">
        <v>573</v>
      </c>
      <c r="F678">
        <v>35.24</v>
      </c>
      <c r="G678">
        <v>379.2</v>
      </c>
      <c r="H678">
        <v>350.97</v>
      </c>
      <c r="I678">
        <v>2945.92</v>
      </c>
      <c r="J678">
        <v>617.04999999999995</v>
      </c>
      <c r="K678">
        <v>667.75</v>
      </c>
      <c r="L678">
        <v>22.24</v>
      </c>
      <c r="M678">
        <v>7.25</v>
      </c>
      <c r="N678">
        <v>69.540000000000006</v>
      </c>
      <c r="O678">
        <v>15.95</v>
      </c>
      <c r="P678">
        <v>5.6000000000000001E-2</v>
      </c>
    </row>
    <row r="679" spans="1:16">
      <c r="A679" s="1" t="s">
        <v>567</v>
      </c>
      <c r="B679" s="3" t="s">
        <v>724</v>
      </c>
      <c r="C679" s="1" t="s">
        <v>38</v>
      </c>
      <c r="D679" s="1" t="s">
        <v>5593</v>
      </c>
      <c r="E679" s="1" t="s">
        <v>573</v>
      </c>
      <c r="F679">
        <v>45.59</v>
      </c>
      <c r="G679">
        <v>343.41</v>
      </c>
      <c r="H679">
        <v>177.94</v>
      </c>
      <c r="I679">
        <v>4862.7700000000004</v>
      </c>
      <c r="J679">
        <v>404.48</v>
      </c>
      <c r="K679">
        <v>529.01</v>
      </c>
      <c r="L679">
        <v>20.260000000000002</v>
      </c>
      <c r="M679">
        <v>11.63</v>
      </c>
      <c r="N679">
        <v>56.65</v>
      </c>
      <c r="O679">
        <v>7.96</v>
      </c>
      <c r="P679">
        <f>0.132/2</f>
        <v>6.6000000000000003E-2</v>
      </c>
    </row>
    <row r="680" spans="1:16">
      <c r="A680" s="1" t="s">
        <v>567</v>
      </c>
      <c r="B680" s="3" t="s">
        <v>725</v>
      </c>
      <c r="C680" s="1" t="s">
        <v>38</v>
      </c>
      <c r="D680" s="1" t="s">
        <v>5593</v>
      </c>
      <c r="E680" s="1" t="s">
        <v>573</v>
      </c>
      <c r="F680">
        <v>34.979999999999997</v>
      </c>
      <c r="G680">
        <v>349.77</v>
      </c>
      <c r="H680">
        <v>214.4</v>
      </c>
      <c r="I680">
        <v>2127.69</v>
      </c>
      <c r="J680">
        <v>415.24</v>
      </c>
      <c r="K680">
        <v>542.41</v>
      </c>
      <c r="L680">
        <v>22.98</v>
      </c>
      <c r="M680">
        <v>10.4</v>
      </c>
      <c r="N680">
        <v>64.95</v>
      </c>
      <c r="O680">
        <v>11.64</v>
      </c>
      <c r="P680">
        <f>0.054/2</f>
        <v>2.7E-2</v>
      </c>
    </row>
    <row r="681" spans="1:16">
      <c r="A681" s="1" t="s">
        <v>567</v>
      </c>
      <c r="B681" s="3" t="s">
        <v>726</v>
      </c>
      <c r="C681" s="1" t="s">
        <v>38</v>
      </c>
      <c r="D681" s="1" t="s">
        <v>5593</v>
      </c>
      <c r="E681" s="1" t="s">
        <v>573</v>
      </c>
      <c r="F681">
        <v>48.66</v>
      </c>
      <c r="G681">
        <v>748.51</v>
      </c>
      <c r="H681">
        <v>338.8</v>
      </c>
      <c r="I681">
        <v>3712.18</v>
      </c>
      <c r="J681">
        <v>475.5</v>
      </c>
      <c r="K681">
        <v>751.11</v>
      </c>
      <c r="L681">
        <v>31.65</v>
      </c>
      <c r="M681">
        <v>9.14</v>
      </c>
      <c r="N681">
        <v>338.35</v>
      </c>
      <c r="O681">
        <v>23.06</v>
      </c>
      <c r="P681">
        <v>0.122</v>
      </c>
    </row>
    <row r="682" spans="1:16">
      <c r="A682" s="1" t="s">
        <v>567</v>
      </c>
      <c r="B682" s="3" t="s">
        <v>727</v>
      </c>
      <c r="C682" s="1" t="s">
        <v>38</v>
      </c>
      <c r="D682" s="1" t="s">
        <v>5593</v>
      </c>
      <c r="E682" s="1" t="s">
        <v>573</v>
      </c>
      <c r="F682">
        <v>67.59</v>
      </c>
      <c r="G682">
        <v>774.68</v>
      </c>
      <c r="H682">
        <v>382.27</v>
      </c>
      <c r="I682">
        <v>3300.62</v>
      </c>
      <c r="J682">
        <v>460.72</v>
      </c>
      <c r="K682">
        <v>870.94</v>
      </c>
      <c r="L682">
        <v>25.24</v>
      </c>
      <c r="M682">
        <v>8.6999999999999993</v>
      </c>
      <c r="N682">
        <v>211.3</v>
      </c>
      <c r="O682">
        <v>29.8</v>
      </c>
      <c r="P682">
        <v>0.161</v>
      </c>
    </row>
    <row r="683" spans="1:16">
      <c r="A683" s="1" t="s">
        <v>567</v>
      </c>
      <c r="B683" s="3" t="s">
        <v>728</v>
      </c>
      <c r="C683" s="1" t="s">
        <v>38</v>
      </c>
      <c r="D683" s="1" t="s">
        <v>5593</v>
      </c>
      <c r="E683" s="1" t="s">
        <v>573</v>
      </c>
      <c r="F683">
        <v>34.64</v>
      </c>
      <c r="G683">
        <v>287.08999999999997</v>
      </c>
      <c r="H683">
        <v>182.24</v>
      </c>
      <c r="I683">
        <v>1776.07</v>
      </c>
      <c r="J683">
        <v>167.5</v>
      </c>
      <c r="K683">
        <v>514.24</v>
      </c>
      <c r="L683">
        <v>21.32</v>
      </c>
      <c r="M683">
        <v>9.59</v>
      </c>
      <c r="N683">
        <v>55.09</v>
      </c>
      <c r="O683">
        <v>6.58</v>
      </c>
      <c r="P683">
        <f>0.046/2</f>
        <v>2.3E-2</v>
      </c>
    </row>
    <row r="684" spans="1:16">
      <c r="A684" s="1" t="s">
        <v>567</v>
      </c>
      <c r="B684" s="3" t="s">
        <v>729</v>
      </c>
      <c r="C684" s="1" t="s">
        <v>38</v>
      </c>
      <c r="D684" s="1" t="s">
        <v>5593</v>
      </c>
      <c r="E684" s="1" t="s">
        <v>573</v>
      </c>
      <c r="F684">
        <v>43.44</v>
      </c>
      <c r="G684">
        <v>331.41</v>
      </c>
      <c r="H684">
        <v>265.79000000000002</v>
      </c>
      <c r="I684">
        <v>1944.19</v>
      </c>
      <c r="J684">
        <v>374.01</v>
      </c>
      <c r="K684">
        <v>719.39</v>
      </c>
      <c r="L684">
        <v>18.760000000000002</v>
      </c>
      <c r="M684">
        <v>11.65</v>
      </c>
      <c r="N684">
        <v>93.02</v>
      </c>
      <c r="O684">
        <v>15.97</v>
      </c>
      <c r="P684">
        <v>4.3999999999999997E-2</v>
      </c>
    </row>
    <row r="685" spans="1:16">
      <c r="A685" s="1" t="s">
        <v>567</v>
      </c>
      <c r="B685" s="3" t="s">
        <v>730</v>
      </c>
      <c r="C685" s="1" t="s">
        <v>38</v>
      </c>
      <c r="D685" s="1" t="s">
        <v>5593</v>
      </c>
      <c r="E685" s="1" t="s">
        <v>573</v>
      </c>
      <c r="F685">
        <v>26.76</v>
      </c>
      <c r="G685">
        <v>297.72000000000003</v>
      </c>
      <c r="H685">
        <v>320.76</v>
      </c>
      <c r="I685">
        <v>1943.82</v>
      </c>
      <c r="J685">
        <v>491.75</v>
      </c>
      <c r="K685">
        <v>513.92999999999995</v>
      </c>
      <c r="L685">
        <v>21.02</v>
      </c>
      <c r="M685">
        <v>12.7</v>
      </c>
      <c r="N685">
        <v>59.31</v>
      </c>
      <c r="O685">
        <v>11.89</v>
      </c>
      <c r="P685">
        <v>5.0999999999999997E-2</v>
      </c>
    </row>
    <row r="686" spans="1:16">
      <c r="A686" s="1" t="s">
        <v>567</v>
      </c>
      <c r="B686" s="3" t="s">
        <v>731</v>
      </c>
      <c r="C686" s="1" t="s">
        <v>38</v>
      </c>
      <c r="D686" s="1" t="s">
        <v>5593</v>
      </c>
      <c r="E686" s="1" t="s">
        <v>573</v>
      </c>
      <c r="F686">
        <v>233.95</v>
      </c>
      <c r="G686">
        <v>453.07</v>
      </c>
      <c r="H686">
        <v>398.23</v>
      </c>
      <c r="I686">
        <v>3179.28</v>
      </c>
      <c r="J686">
        <v>363.59</v>
      </c>
      <c r="K686">
        <v>585.89</v>
      </c>
      <c r="L686">
        <v>31.84</v>
      </c>
      <c r="M686">
        <v>8.2899999999999991</v>
      </c>
      <c r="N686">
        <v>63</v>
      </c>
      <c r="O686">
        <v>9.02</v>
      </c>
      <c r="P686">
        <v>4.5999999999999999E-2</v>
      </c>
    </row>
    <row r="687" spans="1:16">
      <c r="A687" s="1" t="s">
        <v>567</v>
      </c>
      <c r="B687" s="3" t="s">
        <v>732</v>
      </c>
      <c r="C687" s="1" t="s">
        <v>38</v>
      </c>
      <c r="D687" s="1" t="s">
        <v>5593</v>
      </c>
      <c r="E687" s="1" t="s">
        <v>573</v>
      </c>
      <c r="F687">
        <v>34.840000000000003</v>
      </c>
      <c r="G687">
        <v>319.74</v>
      </c>
      <c r="H687">
        <v>169.54</v>
      </c>
      <c r="I687">
        <v>2056.09</v>
      </c>
      <c r="J687">
        <v>359.57</v>
      </c>
      <c r="K687">
        <v>657.35</v>
      </c>
      <c r="L687">
        <v>69.09</v>
      </c>
      <c r="M687">
        <v>8.7799999999999994</v>
      </c>
      <c r="N687">
        <v>91.13</v>
      </c>
      <c r="O687">
        <v>13.8</v>
      </c>
      <c r="P687">
        <f>0.057/2</f>
        <v>2.8500000000000001E-2</v>
      </c>
    </row>
    <row r="688" spans="1:16">
      <c r="A688" s="1" t="s">
        <v>567</v>
      </c>
      <c r="B688" s="3" t="s">
        <v>733</v>
      </c>
      <c r="C688" s="1" t="s">
        <v>38</v>
      </c>
      <c r="D688" s="1" t="s">
        <v>5593</v>
      </c>
      <c r="E688" s="1" t="s">
        <v>573</v>
      </c>
      <c r="F688">
        <v>77.58</v>
      </c>
      <c r="G688">
        <v>1090.02</v>
      </c>
      <c r="H688">
        <v>306.69</v>
      </c>
      <c r="I688">
        <v>3730.3</v>
      </c>
      <c r="J688">
        <v>556.37</v>
      </c>
      <c r="K688">
        <v>836.15</v>
      </c>
      <c r="L688">
        <v>28.59</v>
      </c>
      <c r="M688">
        <v>10.07</v>
      </c>
      <c r="N688">
        <v>184.44</v>
      </c>
      <c r="O688">
        <v>22.23</v>
      </c>
      <c r="P688">
        <f>0.062/2</f>
        <v>3.1E-2</v>
      </c>
    </row>
    <row r="689" spans="1:16">
      <c r="A689" s="1" t="s">
        <v>567</v>
      </c>
      <c r="B689" s="3" t="s">
        <v>734</v>
      </c>
      <c r="C689" s="1" t="s">
        <v>38</v>
      </c>
      <c r="D689" s="1" t="s">
        <v>5593</v>
      </c>
      <c r="E689" s="1" t="s">
        <v>573</v>
      </c>
      <c r="F689">
        <v>51.28</v>
      </c>
      <c r="G689">
        <v>1388.69</v>
      </c>
      <c r="H689">
        <v>324.17</v>
      </c>
      <c r="I689">
        <v>3756.78</v>
      </c>
      <c r="J689">
        <v>550.15</v>
      </c>
      <c r="K689">
        <v>799.88</v>
      </c>
      <c r="L689">
        <v>28.92</v>
      </c>
      <c r="M689">
        <v>8.91</v>
      </c>
      <c r="N689">
        <v>57.77</v>
      </c>
      <c r="O689">
        <v>28.26</v>
      </c>
      <c r="P689">
        <v>0.42</v>
      </c>
    </row>
    <row r="690" spans="1:16">
      <c r="A690" s="1" t="s">
        <v>567</v>
      </c>
      <c r="B690" s="3" t="s">
        <v>735</v>
      </c>
      <c r="C690" s="1" t="s">
        <v>38</v>
      </c>
      <c r="D690" s="1" t="s">
        <v>5593</v>
      </c>
      <c r="E690" s="1" t="s">
        <v>573</v>
      </c>
      <c r="F690">
        <v>81.290000000000006</v>
      </c>
      <c r="G690">
        <v>998.15</v>
      </c>
      <c r="H690">
        <v>364.4</v>
      </c>
      <c r="I690">
        <v>3429.62</v>
      </c>
      <c r="J690">
        <v>571.45000000000005</v>
      </c>
      <c r="K690">
        <v>923.66</v>
      </c>
      <c r="L690">
        <v>27.81</v>
      </c>
      <c r="M690">
        <v>8.69</v>
      </c>
      <c r="N690">
        <v>169.84</v>
      </c>
      <c r="O690">
        <v>23.84</v>
      </c>
      <c r="P690">
        <v>0.10199999999999999</v>
      </c>
    </row>
    <row r="691" spans="1:16">
      <c r="A691" s="1" t="s">
        <v>567</v>
      </c>
      <c r="B691" s="3" t="s">
        <v>736</v>
      </c>
      <c r="C691" s="1" t="s">
        <v>38</v>
      </c>
      <c r="D691" s="1" t="s">
        <v>5593</v>
      </c>
      <c r="E691" s="1" t="s">
        <v>573</v>
      </c>
      <c r="F691">
        <v>36.1</v>
      </c>
      <c r="G691">
        <v>427.96</v>
      </c>
      <c r="H691">
        <v>423.38</v>
      </c>
      <c r="I691">
        <v>3330.52</v>
      </c>
      <c r="J691">
        <v>692.86</v>
      </c>
      <c r="K691">
        <v>721.16</v>
      </c>
      <c r="L691">
        <v>24.05</v>
      </c>
      <c r="M691">
        <v>8.98</v>
      </c>
      <c r="N691">
        <v>136.91999999999999</v>
      </c>
      <c r="O691">
        <v>15.45</v>
      </c>
      <c r="P691">
        <f>0.055/2</f>
        <v>2.75E-2</v>
      </c>
    </row>
    <row r="692" spans="1:16">
      <c r="A692" s="1" t="s">
        <v>567</v>
      </c>
      <c r="B692" s="3" t="s">
        <v>737</v>
      </c>
      <c r="C692" s="1" t="s">
        <v>38</v>
      </c>
      <c r="D692" s="1" t="s">
        <v>5593</v>
      </c>
      <c r="E692" s="1" t="s">
        <v>573</v>
      </c>
      <c r="F692">
        <v>36.049999999999997</v>
      </c>
      <c r="G692">
        <v>347.56</v>
      </c>
      <c r="H692">
        <v>295.06</v>
      </c>
      <c r="I692">
        <v>2055.06</v>
      </c>
      <c r="J692">
        <v>403.96</v>
      </c>
      <c r="K692">
        <v>597.83000000000004</v>
      </c>
      <c r="L692">
        <v>21.63</v>
      </c>
      <c r="M692">
        <v>11.87</v>
      </c>
      <c r="N692">
        <v>61.81</v>
      </c>
      <c r="O692">
        <v>11.25</v>
      </c>
      <c r="P692">
        <v>3.6999999999999998E-2</v>
      </c>
    </row>
    <row r="693" spans="1:16">
      <c r="A693" s="1" t="s">
        <v>567</v>
      </c>
      <c r="B693" s="3" t="s">
        <v>738</v>
      </c>
      <c r="C693" s="1" t="s">
        <v>38</v>
      </c>
      <c r="D693" s="1" t="s">
        <v>5593</v>
      </c>
      <c r="E693" s="1" t="s">
        <v>573</v>
      </c>
      <c r="F693">
        <v>40.76</v>
      </c>
      <c r="G693">
        <v>447.97</v>
      </c>
      <c r="H693">
        <v>732.86</v>
      </c>
      <c r="I693">
        <v>3493.71</v>
      </c>
      <c r="J693">
        <v>460.57</v>
      </c>
      <c r="K693">
        <v>785.16</v>
      </c>
      <c r="L693">
        <v>27.63</v>
      </c>
      <c r="M693">
        <v>7.82</v>
      </c>
      <c r="N693">
        <v>197.4</v>
      </c>
      <c r="O693">
        <v>27.07</v>
      </c>
      <c r="P693">
        <v>0.85</v>
      </c>
    </row>
    <row r="694" spans="1:16">
      <c r="A694" s="1" t="s">
        <v>567</v>
      </c>
      <c r="B694" s="3" t="s">
        <v>739</v>
      </c>
      <c r="C694" s="1" t="s">
        <v>38</v>
      </c>
      <c r="D694" s="1" t="s">
        <v>5593</v>
      </c>
      <c r="E694" s="1" t="s">
        <v>573</v>
      </c>
      <c r="F694">
        <v>34.770000000000003</v>
      </c>
      <c r="G694">
        <v>292.77</v>
      </c>
      <c r="H694">
        <v>317.31</v>
      </c>
      <c r="I694">
        <v>2734.03</v>
      </c>
      <c r="J694">
        <v>534.38</v>
      </c>
      <c r="K694">
        <v>669.89</v>
      </c>
      <c r="L694">
        <v>32.06</v>
      </c>
      <c r="M694">
        <v>9.4600000000000009</v>
      </c>
      <c r="N694">
        <v>66.260000000000005</v>
      </c>
      <c r="O694">
        <v>12.99</v>
      </c>
      <c r="P694">
        <v>8.1000000000000003E-2</v>
      </c>
    </row>
    <row r="695" spans="1:16">
      <c r="A695" s="1" t="s">
        <v>567</v>
      </c>
      <c r="B695" s="3" t="s">
        <v>740</v>
      </c>
      <c r="C695" s="1" t="s">
        <v>38</v>
      </c>
      <c r="D695" s="1" t="s">
        <v>5593</v>
      </c>
      <c r="E695" s="1" t="s">
        <v>573</v>
      </c>
      <c r="F695">
        <v>63.22</v>
      </c>
      <c r="G695">
        <v>419.05</v>
      </c>
      <c r="H695">
        <v>358.15</v>
      </c>
      <c r="I695">
        <v>3334.71</v>
      </c>
      <c r="J695">
        <v>670.64</v>
      </c>
      <c r="K695">
        <v>903.24</v>
      </c>
      <c r="L695">
        <v>23.67</v>
      </c>
      <c r="M695">
        <v>8.77</v>
      </c>
      <c r="N695">
        <v>112.08</v>
      </c>
      <c r="O695">
        <v>17.05</v>
      </c>
      <c r="P695">
        <f>0.059/2</f>
        <v>2.9499999999999998E-2</v>
      </c>
    </row>
    <row r="696" spans="1:16">
      <c r="A696" s="1" t="s">
        <v>567</v>
      </c>
      <c r="B696" s="3" t="s">
        <v>741</v>
      </c>
      <c r="C696" s="1" t="s">
        <v>38</v>
      </c>
      <c r="D696" s="1" t="s">
        <v>5593</v>
      </c>
      <c r="E696" s="1" t="s">
        <v>573</v>
      </c>
      <c r="F696">
        <v>35.619999999999997</v>
      </c>
      <c r="G696">
        <v>412.36</v>
      </c>
      <c r="H696">
        <v>341.86</v>
      </c>
      <c r="I696">
        <v>3299.77</v>
      </c>
      <c r="J696">
        <v>426.99</v>
      </c>
      <c r="K696">
        <v>657.05</v>
      </c>
      <c r="L696">
        <v>25.09</v>
      </c>
      <c r="M696">
        <v>7.22</v>
      </c>
      <c r="N696">
        <v>68.22</v>
      </c>
      <c r="O696">
        <v>23.08</v>
      </c>
      <c r="P696">
        <v>0.104</v>
      </c>
    </row>
    <row r="697" spans="1:16">
      <c r="A697" s="1" t="s">
        <v>567</v>
      </c>
      <c r="B697" s="3" t="s">
        <v>742</v>
      </c>
      <c r="C697" s="1" t="s">
        <v>38</v>
      </c>
      <c r="D697" s="1" t="s">
        <v>5593</v>
      </c>
      <c r="E697" s="1" t="s">
        <v>573</v>
      </c>
      <c r="F697">
        <v>52.4</v>
      </c>
      <c r="G697">
        <v>687.59</v>
      </c>
      <c r="H697">
        <v>397.96</v>
      </c>
      <c r="I697">
        <v>3543.09</v>
      </c>
      <c r="J697">
        <v>903.92</v>
      </c>
      <c r="K697">
        <v>901.2</v>
      </c>
      <c r="L697">
        <v>23.69</v>
      </c>
      <c r="M697">
        <v>8.09</v>
      </c>
      <c r="N697">
        <v>156.44999999999999</v>
      </c>
      <c r="O697">
        <v>20.87</v>
      </c>
      <c r="P697">
        <v>7.2999999999999995E-2</v>
      </c>
    </row>
    <row r="698" spans="1:16">
      <c r="A698" s="1" t="s">
        <v>567</v>
      </c>
      <c r="B698" s="3" t="s">
        <v>743</v>
      </c>
      <c r="C698" s="1" t="s">
        <v>38</v>
      </c>
      <c r="D698" s="1" t="s">
        <v>5593</v>
      </c>
      <c r="E698" s="1" t="s">
        <v>573</v>
      </c>
      <c r="F698">
        <v>40.18</v>
      </c>
      <c r="G698">
        <v>1106.92</v>
      </c>
      <c r="H698">
        <v>297.3</v>
      </c>
      <c r="I698">
        <v>3376.77</v>
      </c>
      <c r="J698">
        <v>470.59</v>
      </c>
      <c r="K698">
        <v>695.59</v>
      </c>
      <c r="L698">
        <v>25.06</v>
      </c>
      <c r="M698">
        <v>9.48</v>
      </c>
      <c r="N698">
        <v>140.68</v>
      </c>
      <c r="O698">
        <v>21.47</v>
      </c>
      <c r="P698">
        <v>0.16600000000000001</v>
      </c>
    </row>
    <row r="699" spans="1:16">
      <c r="A699" s="1" t="s">
        <v>567</v>
      </c>
      <c r="B699" s="3" t="s">
        <v>744</v>
      </c>
      <c r="C699" s="1" t="s">
        <v>38</v>
      </c>
      <c r="D699" s="1" t="s">
        <v>5593</v>
      </c>
      <c r="E699" s="1" t="s">
        <v>573</v>
      </c>
      <c r="F699">
        <v>27.88</v>
      </c>
      <c r="G699">
        <v>288.47000000000003</v>
      </c>
      <c r="H699">
        <v>178.09</v>
      </c>
      <c r="I699">
        <v>2297.4</v>
      </c>
      <c r="J699">
        <v>418.51</v>
      </c>
      <c r="K699">
        <v>519.33000000000004</v>
      </c>
      <c r="L699">
        <v>27.2</v>
      </c>
      <c r="M699">
        <v>7.88</v>
      </c>
      <c r="N699">
        <v>43.97</v>
      </c>
      <c r="O699">
        <v>8.83</v>
      </c>
      <c r="P699">
        <f>0.03/2</f>
        <v>1.4999999999999999E-2</v>
      </c>
    </row>
    <row r="700" spans="1:16">
      <c r="A700" s="1" t="s">
        <v>567</v>
      </c>
      <c r="B700" s="3" t="s">
        <v>745</v>
      </c>
      <c r="C700" s="1" t="s">
        <v>38</v>
      </c>
      <c r="D700" s="1" t="s">
        <v>5593</v>
      </c>
      <c r="E700" s="1" t="s">
        <v>573</v>
      </c>
      <c r="F700">
        <v>202.44</v>
      </c>
      <c r="G700">
        <v>334.53</v>
      </c>
      <c r="H700">
        <v>293.56</v>
      </c>
      <c r="I700">
        <v>2436.4</v>
      </c>
      <c r="J700">
        <v>467.24</v>
      </c>
      <c r="K700">
        <v>672.27</v>
      </c>
      <c r="L700">
        <v>22.16</v>
      </c>
      <c r="M700">
        <v>7.24</v>
      </c>
      <c r="N700">
        <v>91.81</v>
      </c>
      <c r="O700">
        <v>14.17</v>
      </c>
      <c r="P700">
        <v>1.92</v>
      </c>
    </row>
    <row r="701" spans="1:16">
      <c r="A701" s="1" t="s">
        <v>567</v>
      </c>
      <c r="B701" s="3" t="s">
        <v>746</v>
      </c>
      <c r="C701" s="1" t="s">
        <v>38</v>
      </c>
      <c r="D701" s="1" t="s">
        <v>5593</v>
      </c>
      <c r="E701" s="1" t="s">
        <v>573</v>
      </c>
      <c r="F701">
        <v>39.450000000000003</v>
      </c>
      <c r="G701">
        <v>356.99</v>
      </c>
      <c r="H701">
        <v>344.2</v>
      </c>
      <c r="I701">
        <v>2309.1</v>
      </c>
      <c r="J701">
        <v>385.13</v>
      </c>
      <c r="K701">
        <v>677.16</v>
      </c>
      <c r="L701">
        <v>25.1</v>
      </c>
      <c r="M701">
        <v>10.17</v>
      </c>
      <c r="N701">
        <v>68.2</v>
      </c>
      <c r="O701">
        <v>12.88</v>
      </c>
      <c r="P701">
        <v>0.123</v>
      </c>
    </row>
    <row r="702" spans="1:16">
      <c r="A702" s="1" t="s">
        <v>567</v>
      </c>
      <c r="B702" s="3" t="s">
        <v>747</v>
      </c>
      <c r="C702" s="1" t="s">
        <v>38</v>
      </c>
      <c r="D702" s="1" t="s">
        <v>5593</v>
      </c>
      <c r="E702" s="1" t="s">
        <v>573</v>
      </c>
      <c r="F702">
        <v>33.17</v>
      </c>
      <c r="G702">
        <v>346.51</v>
      </c>
      <c r="H702">
        <v>256.10000000000002</v>
      </c>
      <c r="I702">
        <v>2148.7399999999998</v>
      </c>
      <c r="J702">
        <v>429.32</v>
      </c>
      <c r="K702">
        <v>545.89</v>
      </c>
      <c r="L702">
        <v>69.34</v>
      </c>
      <c r="M702">
        <v>7.65</v>
      </c>
      <c r="N702">
        <v>49.74</v>
      </c>
      <c r="O702">
        <v>6.97</v>
      </c>
      <c r="P702">
        <f>0.028/2</f>
        <v>1.4E-2</v>
      </c>
    </row>
    <row r="703" spans="1:16">
      <c r="A703" s="1" t="s">
        <v>567</v>
      </c>
      <c r="B703" s="3" t="s">
        <v>748</v>
      </c>
      <c r="C703" s="1" t="s">
        <v>38</v>
      </c>
      <c r="D703" s="1" t="s">
        <v>5593</v>
      </c>
      <c r="E703" s="1" t="s">
        <v>573</v>
      </c>
      <c r="F703">
        <v>30.94</v>
      </c>
      <c r="G703">
        <v>227.45</v>
      </c>
      <c r="H703">
        <v>111.91</v>
      </c>
      <c r="I703">
        <v>1753.32</v>
      </c>
      <c r="J703">
        <v>369.1</v>
      </c>
      <c r="K703">
        <v>518.38</v>
      </c>
      <c r="L703">
        <v>26.42</v>
      </c>
      <c r="M703">
        <v>7.08</v>
      </c>
      <c r="N703">
        <v>38.409999999999997</v>
      </c>
      <c r="O703">
        <v>6.23</v>
      </c>
      <c r="P703">
        <f>0.027/2</f>
        <v>1.35E-2</v>
      </c>
    </row>
    <row r="704" spans="1:16">
      <c r="A704" s="1" t="s">
        <v>567</v>
      </c>
      <c r="B704" s="3" t="s">
        <v>749</v>
      </c>
      <c r="C704" s="1" t="s">
        <v>38</v>
      </c>
      <c r="D704" s="1" t="s">
        <v>5593</v>
      </c>
      <c r="E704" s="1" t="s">
        <v>573</v>
      </c>
      <c r="F704">
        <v>62.15</v>
      </c>
      <c r="G704">
        <v>1003.19</v>
      </c>
      <c r="H704">
        <v>299.89</v>
      </c>
      <c r="I704">
        <v>4038.62</v>
      </c>
      <c r="J704">
        <v>548.09</v>
      </c>
      <c r="K704">
        <v>816.14</v>
      </c>
      <c r="L704">
        <v>26.58</v>
      </c>
      <c r="M704">
        <v>8.3699999999999992</v>
      </c>
      <c r="N704">
        <v>166.64</v>
      </c>
      <c r="O704">
        <v>35.909999999999997</v>
      </c>
      <c r="P704">
        <v>0.22</v>
      </c>
    </row>
    <row r="705" spans="1:16">
      <c r="A705" s="1" t="s">
        <v>567</v>
      </c>
      <c r="B705" s="3" t="s">
        <v>750</v>
      </c>
      <c r="C705" s="1" t="s">
        <v>38</v>
      </c>
      <c r="D705" s="1" t="s">
        <v>5593</v>
      </c>
      <c r="E705" s="1" t="s">
        <v>573</v>
      </c>
      <c r="F705">
        <v>53.32</v>
      </c>
      <c r="G705">
        <v>531.16</v>
      </c>
      <c r="H705">
        <v>312.43</v>
      </c>
      <c r="I705">
        <v>3569.82</v>
      </c>
      <c r="J705">
        <v>902.3</v>
      </c>
      <c r="K705">
        <v>906.57</v>
      </c>
      <c r="L705">
        <v>24.49</v>
      </c>
      <c r="M705">
        <v>9.8699999999999992</v>
      </c>
      <c r="N705">
        <v>70.819999999999993</v>
      </c>
      <c r="O705">
        <v>22.41</v>
      </c>
      <c r="P705">
        <v>0.11799999999999999</v>
      </c>
    </row>
    <row r="706" spans="1:16">
      <c r="A706" s="1" t="s">
        <v>567</v>
      </c>
      <c r="B706" s="3" t="s">
        <v>751</v>
      </c>
      <c r="C706" s="1" t="s">
        <v>38</v>
      </c>
      <c r="D706" s="1" t="s">
        <v>5593</v>
      </c>
      <c r="E706" s="1" t="s">
        <v>573</v>
      </c>
      <c r="F706">
        <v>72.64</v>
      </c>
      <c r="G706">
        <v>331.32</v>
      </c>
      <c r="H706">
        <v>316.97000000000003</v>
      </c>
      <c r="I706">
        <v>2615.08</v>
      </c>
      <c r="J706">
        <v>493.5</v>
      </c>
      <c r="K706">
        <v>585.26</v>
      </c>
      <c r="L706">
        <v>22.32</v>
      </c>
      <c r="M706">
        <v>7.21</v>
      </c>
      <c r="N706">
        <v>52.65</v>
      </c>
      <c r="O706">
        <v>8.93</v>
      </c>
      <c r="P706">
        <v>7.4999999999999997E-2</v>
      </c>
    </row>
    <row r="707" spans="1:16">
      <c r="A707" s="1" t="s">
        <v>567</v>
      </c>
      <c r="B707" s="3" t="s">
        <v>752</v>
      </c>
      <c r="C707" s="1" t="s">
        <v>38</v>
      </c>
      <c r="D707" s="1" t="s">
        <v>5593</v>
      </c>
      <c r="E707" s="1" t="s">
        <v>573</v>
      </c>
      <c r="F707">
        <v>34.619999999999997</v>
      </c>
      <c r="G707">
        <v>324.62</v>
      </c>
      <c r="H707">
        <v>189.09</v>
      </c>
      <c r="I707">
        <v>2068.7600000000002</v>
      </c>
      <c r="J707">
        <v>382.91</v>
      </c>
      <c r="K707">
        <v>648.16</v>
      </c>
      <c r="L707">
        <v>32.5</v>
      </c>
      <c r="M707">
        <v>7.99</v>
      </c>
      <c r="N707">
        <v>63.03</v>
      </c>
      <c r="O707">
        <v>10.53</v>
      </c>
      <c r="P707">
        <f>0.056/2</f>
        <v>2.8000000000000001E-2</v>
      </c>
    </row>
    <row r="708" spans="1:16">
      <c r="A708" s="1" t="s">
        <v>567</v>
      </c>
      <c r="B708" s="3" t="s">
        <v>753</v>
      </c>
      <c r="C708" s="1" t="s">
        <v>38</v>
      </c>
      <c r="D708" s="1" t="s">
        <v>5593</v>
      </c>
      <c r="E708" s="1" t="s">
        <v>573</v>
      </c>
      <c r="F708">
        <v>29.24</v>
      </c>
      <c r="G708">
        <v>285.29000000000002</v>
      </c>
      <c r="H708">
        <v>194.79</v>
      </c>
      <c r="I708">
        <v>2924.88</v>
      </c>
      <c r="J708">
        <v>453.19</v>
      </c>
      <c r="K708">
        <v>653.02</v>
      </c>
      <c r="L708">
        <v>22.52</v>
      </c>
      <c r="M708">
        <v>8.1999999999999993</v>
      </c>
      <c r="N708">
        <v>60.31</v>
      </c>
      <c r="O708">
        <v>10.24</v>
      </c>
      <c r="P708">
        <v>4.3999999999999997E-2</v>
      </c>
    </row>
    <row r="709" spans="1:16">
      <c r="A709" s="1" t="s">
        <v>567</v>
      </c>
      <c r="B709" s="3" t="s">
        <v>754</v>
      </c>
      <c r="C709" s="1" t="s">
        <v>38</v>
      </c>
      <c r="D709" s="1" t="s">
        <v>5593</v>
      </c>
      <c r="E709" s="1" t="s">
        <v>573</v>
      </c>
      <c r="F709">
        <v>34.93</v>
      </c>
      <c r="G709">
        <v>293.52</v>
      </c>
      <c r="H709">
        <v>201.47</v>
      </c>
      <c r="I709">
        <v>2908.75</v>
      </c>
      <c r="J709">
        <v>462.21</v>
      </c>
      <c r="K709">
        <v>655.34</v>
      </c>
      <c r="L709">
        <v>22.16</v>
      </c>
      <c r="M709">
        <v>8.25</v>
      </c>
      <c r="N709">
        <v>58.13</v>
      </c>
      <c r="O709">
        <v>10.55</v>
      </c>
      <c r="P709">
        <v>4.7E-2</v>
      </c>
    </row>
    <row r="710" spans="1:16">
      <c r="A710" s="1" t="s">
        <v>567</v>
      </c>
      <c r="B710" s="3" t="s">
        <v>755</v>
      </c>
      <c r="C710" s="1" t="s">
        <v>38</v>
      </c>
      <c r="D710" s="1" t="s">
        <v>5593</v>
      </c>
      <c r="E710" s="1" t="s">
        <v>573</v>
      </c>
      <c r="F710">
        <v>40.56</v>
      </c>
      <c r="G710">
        <v>308.64999999999998</v>
      </c>
      <c r="H710">
        <v>250.88</v>
      </c>
      <c r="I710">
        <v>2134.42</v>
      </c>
      <c r="J710">
        <v>401.45</v>
      </c>
      <c r="K710">
        <v>673.47</v>
      </c>
      <c r="L710">
        <v>22.51</v>
      </c>
      <c r="M710">
        <v>9.25</v>
      </c>
      <c r="N710">
        <v>69.459999999999994</v>
      </c>
      <c r="O710">
        <v>12.42</v>
      </c>
      <c r="P710">
        <v>4.9000000000000002E-2</v>
      </c>
    </row>
    <row r="711" spans="1:16">
      <c r="A711" s="1" t="s">
        <v>567</v>
      </c>
      <c r="B711" s="3" t="s">
        <v>756</v>
      </c>
      <c r="C711" s="1" t="s">
        <v>38</v>
      </c>
      <c r="D711" s="1" t="s">
        <v>5593</v>
      </c>
      <c r="E711" s="1" t="s">
        <v>573</v>
      </c>
      <c r="F711">
        <v>40.119999999999997</v>
      </c>
      <c r="G711">
        <v>327.9</v>
      </c>
      <c r="H711">
        <v>361.97</v>
      </c>
      <c r="I711">
        <v>2183.38</v>
      </c>
      <c r="J711">
        <v>348.85</v>
      </c>
      <c r="K711">
        <v>651</v>
      </c>
      <c r="L711">
        <v>21.18</v>
      </c>
      <c r="M711">
        <v>9.68</v>
      </c>
      <c r="N711">
        <v>61.77</v>
      </c>
      <c r="O711">
        <v>12.11</v>
      </c>
      <c r="P711">
        <v>5.8999999999999997E-2</v>
      </c>
    </row>
    <row r="712" spans="1:16">
      <c r="A712" s="1" t="s">
        <v>567</v>
      </c>
      <c r="B712" s="3" t="s">
        <v>757</v>
      </c>
      <c r="C712" s="1" t="s">
        <v>38</v>
      </c>
      <c r="D712" s="1" t="s">
        <v>5593</v>
      </c>
      <c r="E712" s="1" t="s">
        <v>573</v>
      </c>
      <c r="F712">
        <v>267.69</v>
      </c>
      <c r="G712">
        <v>567.04</v>
      </c>
      <c r="H712">
        <v>913.35</v>
      </c>
      <c r="I712">
        <v>2423.52</v>
      </c>
      <c r="J712">
        <v>390.35</v>
      </c>
      <c r="K712">
        <v>538.16</v>
      </c>
      <c r="L712">
        <v>20.62</v>
      </c>
      <c r="M712">
        <v>8.08</v>
      </c>
      <c r="N712">
        <v>56.19</v>
      </c>
      <c r="O712">
        <v>12.58</v>
      </c>
      <c r="P712">
        <v>0.68799999999999994</v>
      </c>
    </row>
    <row r="713" spans="1:16">
      <c r="A713" s="1" t="s">
        <v>567</v>
      </c>
      <c r="B713" s="3" t="s">
        <v>758</v>
      </c>
      <c r="C713" s="1" t="s">
        <v>38</v>
      </c>
      <c r="D713" s="1" t="s">
        <v>5593</v>
      </c>
      <c r="E713" s="1" t="s">
        <v>573</v>
      </c>
      <c r="F713">
        <v>40.72</v>
      </c>
      <c r="G713">
        <v>321.7</v>
      </c>
      <c r="H713">
        <v>280.49</v>
      </c>
      <c r="I713">
        <v>2164</v>
      </c>
      <c r="J713">
        <v>512.41</v>
      </c>
      <c r="K713">
        <v>646.35</v>
      </c>
      <c r="L713">
        <v>22.19</v>
      </c>
      <c r="M713">
        <v>8.39</v>
      </c>
      <c r="N713">
        <v>79.319999999999993</v>
      </c>
      <c r="O713">
        <v>12.33</v>
      </c>
      <c r="P713">
        <v>4.2000000000000003E-2</v>
      </c>
    </row>
    <row r="714" spans="1:16">
      <c r="A714" s="1" t="s">
        <v>567</v>
      </c>
      <c r="B714" s="3" t="s">
        <v>759</v>
      </c>
      <c r="C714" s="1" t="s">
        <v>38</v>
      </c>
      <c r="D714" s="1" t="s">
        <v>5593</v>
      </c>
      <c r="E714" s="1" t="s">
        <v>573</v>
      </c>
      <c r="F714">
        <v>34.799999999999997</v>
      </c>
      <c r="G714">
        <v>345.38</v>
      </c>
      <c r="H714">
        <v>248.88</v>
      </c>
      <c r="I714">
        <v>3296.49</v>
      </c>
      <c r="J714">
        <v>879.14</v>
      </c>
      <c r="K714">
        <v>800.25</v>
      </c>
      <c r="L714">
        <v>23.14</v>
      </c>
      <c r="M714">
        <v>9.01</v>
      </c>
      <c r="N714">
        <v>82.15</v>
      </c>
      <c r="O714">
        <v>13.5</v>
      </c>
      <c r="P714">
        <f>0.045/2</f>
        <v>2.2499999999999999E-2</v>
      </c>
    </row>
    <row r="715" spans="1:16">
      <c r="A715" s="1" t="s">
        <v>567</v>
      </c>
      <c r="B715" s="3" t="s">
        <v>760</v>
      </c>
      <c r="C715" s="1" t="s">
        <v>38</v>
      </c>
      <c r="D715" s="1" t="s">
        <v>5593</v>
      </c>
      <c r="E715" s="1" t="s">
        <v>573</v>
      </c>
      <c r="F715">
        <v>64.739999999999995</v>
      </c>
      <c r="G715">
        <v>356.02</v>
      </c>
      <c r="H715">
        <v>327.7</v>
      </c>
      <c r="I715">
        <v>2110.7600000000002</v>
      </c>
      <c r="J715">
        <v>415.15</v>
      </c>
      <c r="K715">
        <v>583.9</v>
      </c>
      <c r="L715">
        <v>19.96</v>
      </c>
      <c r="M715">
        <v>9.23</v>
      </c>
      <c r="N715">
        <v>58.44</v>
      </c>
      <c r="O715">
        <v>9.1</v>
      </c>
      <c r="P715">
        <v>7.6999999999999999E-2</v>
      </c>
    </row>
    <row r="716" spans="1:16">
      <c r="A716" s="1" t="s">
        <v>567</v>
      </c>
      <c r="B716" s="3" t="s">
        <v>761</v>
      </c>
      <c r="C716" s="1" t="s">
        <v>38</v>
      </c>
      <c r="D716" s="1" t="s">
        <v>5593</v>
      </c>
      <c r="E716" s="1" t="s">
        <v>573</v>
      </c>
      <c r="F716">
        <v>43.24</v>
      </c>
      <c r="G716">
        <v>329.76</v>
      </c>
      <c r="H716">
        <v>177.47</v>
      </c>
      <c r="I716">
        <v>3233.1</v>
      </c>
      <c r="J716">
        <v>710.72</v>
      </c>
      <c r="K716">
        <v>836.58</v>
      </c>
      <c r="L716">
        <v>24.37</v>
      </c>
      <c r="M716">
        <v>9.56</v>
      </c>
      <c r="N716">
        <v>103.08</v>
      </c>
      <c r="O716">
        <v>15.54</v>
      </c>
      <c r="P716">
        <f>0.046/2</f>
        <v>2.3E-2</v>
      </c>
    </row>
    <row r="717" spans="1:16">
      <c r="A717" s="1" t="s">
        <v>567</v>
      </c>
      <c r="B717" s="3" t="s">
        <v>762</v>
      </c>
      <c r="C717" s="1" t="s">
        <v>38</v>
      </c>
      <c r="D717" s="1" t="s">
        <v>5593</v>
      </c>
      <c r="E717" s="1" t="s">
        <v>573</v>
      </c>
      <c r="F717">
        <v>38.49</v>
      </c>
      <c r="G717">
        <v>446.04</v>
      </c>
      <c r="H717">
        <v>282.19</v>
      </c>
      <c r="I717">
        <v>3657.37</v>
      </c>
      <c r="J717">
        <v>524.48</v>
      </c>
      <c r="K717">
        <v>578.39</v>
      </c>
      <c r="L717">
        <v>23.07</v>
      </c>
      <c r="M717">
        <v>8.19</v>
      </c>
      <c r="N717">
        <v>103.92</v>
      </c>
      <c r="O717">
        <v>16.71</v>
      </c>
      <c r="P717">
        <v>0.161</v>
      </c>
    </row>
    <row r="718" spans="1:16">
      <c r="A718" s="1" t="s">
        <v>567</v>
      </c>
      <c r="B718" s="3" t="s">
        <v>763</v>
      </c>
      <c r="C718" s="1" t="s">
        <v>38</v>
      </c>
      <c r="D718" s="1" t="s">
        <v>5593</v>
      </c>
      <c r="E718" s="1" t="s">
        <v>573</v>
      </c>
      <c r="F718">
        <v>51.12</v>
      </c>
      <c r="G718">
        <v>574.64</v>
      </c>
      <c r="H718">
        <v>508.33</v>
      </c>
      <c r="I718">
        <v>3155.17</v>
      </c>
      <c r="J718">
        <v>545.74</v>
      </c>
      <c r="K718">
        <v>727.74</v>
      </c>
      <c r="L718">
        <v>23.82</v>
      </c>
      <c r="M718">
        <v>7.69</v>
      </c>
      <c r="N718">
        <v>182.1</v>
      </c>
      <c r="O718">
        <v>16.53</v>
      </c>
      <c r="P718">
        <v>0.11600000000000001</v>
      </c>
    </row>
    <row r="719" spans="1:16">
      <c r="A719" s="1" t="s">
        <v>567</v>
      </c>
      <c r="B719" s="3" t="s">
        <v>764</v>
      </c>
      <c r="C719" s="1" t="s">
        <v>38</v>
      </c>
      <c r="D719" s="1" t="s">
        <v>5593</v>
      </c>
      <c r="E719" s="1" t="s">
        <v>573</v>
      </c>
      <c r="F719">
        <v>34.479999999999997</v>
      </c>
      <c r="G719">
        <v>384.87</v>
      </c>
      <c r="H719">
        <v>333.13</v>
      </c>
      <c r="I719">
        <v>2216.52</v>
      </c>
      <c r="J719">
        <v>481.76</v>
      </c>
      <c r="K719">
        <v>513.74</v>
      </c>
      <c r="L719">
        <v>20.68</v>
      </c>
      <c r="M719">
        <v>8.19</v>
      </c>
      <c r="N719">
        <v>68.680000000000007</v>
      </c>
      <c r="O719">
        <v>13.51</v>
      </c>
      <c r="P719">
        <f>0.058/2</f>
        <v>2.9000000000000001E-2</v>
      </c>
    </row>
    <row r="720" spans="1:16">
      <c r="A720" s="1" t="s">
        <v>567</v>
      </c>
      <c r="B720" s="3" t="s">
        <v>765</v>
      </c>
      <c r="C720" s="1" t="s">
        <v>38</v>
      </c>
      <c r="D720" s="1" t="s">
        <v>5593</v>
      </c>
      <c r="E720" s="1" t="s">
        <v>573</v>
      </c>
      <c r="F720">
        <v>34.65</v>
      </c>
      <c r="G720">
        <v>426.62</v>
      </c>
      <c r="H720">
        <v>447.18</v>
      </c>
      <c r="I720">
        <v>2419.4</v>
      </c>
      <c r="J720">
        <v>487.79</v>
      </c>
      <c r="K720">
        <v>552.58000000000004</v>
      </c>
      <c r="L720">
        <v>22.33</v>
      </c>
      <c r="M720">
        <v>9.14</v>
      </c>
      <c r="N720">
        <v>79.540000000000006</v>
      </c>
      <c r="O720">
        <v>14.07</v>
      </c>
      <c r="P720">
        <f>0.058/2</f>
        <v>2.9000000000000001E-2</v>
      </c>
    </row>
    <row r="721" spans="1:16">
      <c r="A721" s="1" t="s">
        <v>567</v>
      </c>
      <c r="B721" s="3" t="s">
        <v>766</v>
      </c>
      <c r="C721" s="1" t="s">
        <v>38</v>
      </c>
      <c r="D721" s="1" t="s">
        <v>5593</v>
      </c>
      <c r="E721" s="1" t="s">
        <v>573</v>
      </c>
      <c r="F721">
        <v>48.5</v>
      </c>
      <c r="G721">
        <v>1142.52</v>
      </c>
      <c r="H721">
        <v>362.8</v>
      </c>
      <c r="I721">
        <v>3696.62</v>
      </c>
      <c r="J721">
        <v>1012.29</v>
      </c>
      <c r="K721">
        <v>849.29</v>
      </c>
      <c r="L721">
        <v>27.32</v>
      </c>
      <c r="M721">
        <v>9.25</v>
      </c>
      <c r="N721">
        <v>161.76</v>
      </c>
      <c r="O721">
        <v>24.44</v>
      </c>
      <c r="P721">
        <v>0.17100000000000001</v>
      </c>
    </row>
    <row r="722" spans="1:16">
      <c r="A722" s="1" t="s">
        <v>567</v>
      </c>
      <c r="B722" s="3" t="s">
        <v>767</v>
      </c>
      <c r="C722" s="1" t="s">
        <v>38</v>
      </c>
      <c r="D722" s="1" t="s">
        <v>5593</v>
      </c>
      <c r="E722" s="1" t="s">
        <v>573</v>
      </c>
      <c r="F722">
        <v>100.41</v>
      </c>
      <c r="G722">
        <v>343</v>
      </c>
      <c r="H722">
        <v>292.60000000000002</v>
      </c>
      <c r="I722">
        <v>2035.65</v>
      </c>
      <c r="J722">
        <v>340.93</v>
      </c>
      <c r="K722">
        <v>556.4</v>
      </c>
      <c r="L722">
        <v>37.299999999999997</v>
      </c>
      <c r="M722">
        <v>23.44</v>
      </c>
      <c r="N722">
        <v>69.63</v>
      </c>
      <c r="O722">
        <v>13.06</v>
      </c>
      <c r="P722">
        <v>9.8000000000000004E-2</v>
      </c>
    </row>
    <row r="723" spans="1:16">
      <c r="A723" s="1" t="s">
        <v>567</v>
      </c>
      <c r="B723" s="3" t="s">
        <v>768</v>
      </c>
      <c r="C723" s="1" t="s">
        <v>38</v>
      </c>
      <c r="D723" s="1" t="s">
        <v>5593</v>
      </c>
      <c r="E723" s="1" t="s">
        <v>573</v>
      </c>
      <c r="F723">
        <v>34.130000000000003</v>
      </c>
      <c r="G723">
        <v>320.62</v>
      </c>
      <c r="H723">
        <v>238.11</v>
      </c>
      <c r="I723">
        <v>2949.25</v>
      </c>
      <c r="J723">
        <v>419.63</v>
      </c>
      <c r="K723">
        <v>903.45</v>
      </c>
      <c r="L723">
        <v>24.1</v>
      </c>
      <c r="M723">
        <v>8.5399999999999991</v>
      </c>
      <c r="N723">
        <v>106.87</v>
      </c>
      <c r="O723">
        <v>15.83</v>
      </c>
      <c r="P723">
        <f>0.043/2</f>
        <v>2.1499999999999998E-2</v>
      </c>
    </row>
    <row r="724" spans="1:16">
      <c r="A724" s="1" t="s">
        <v>567</v>
      </c>
      <c r="B724" s="3" t="s">
        <v>769</v>
      </c>
      <c r="C724" s="1" t="s">
        <v>38</v>
      </c>
      <c r="D724" s="1" t="s">
        <v>5593</v>
      </c>
      <c r="E724" s="1" t="s">
        <v>573</v>
      </c>
      <c r="F724">
        <v>48.22</v>
      </c>
      <c r="G724">
        <v>616.09</v>
      </c>
      <c r="H724">
        <v>330.31</v>
      </c>
      <c r="I724">
        <v>3574.99</v>
      </c>
      <c r="J724">
        <v>478.02</v>
      </c>
      <c r="K724">
        <v>880.07</v>
      </c>
      <c r="L724">
        <v>33.340000000000003</v>
      </c>
      <c r="M724">
        <v>8.98</v>
      </c>
      <c r="N724">
        <v>83</v>
      </c>
      <c r="O724">
        <v>28.3</v>
      </c>
      <c r="P724">
        <v>6.9000000000000006E-2</v>
      </c>
    </row>
    <row r="725" spans="1:16">
      <c r="A725" s="1" t="s">
        <v>567</v>
      </c>
      <c r="B725" s="3" t="s">
        <v>770</v>
      </c>
      <c r="C725" s="1" t="s">
        <v>38</v>
      </c>
      <c r="D725" s="1" t="s">
        <v>5593</v>
      </c>
      <c r="E725" s="1" t="s">
        <v>573</v>
      </c>
      <c r="F725">
        <v>47.63</v>
      </c>
      <c r="G725">
        <v>946.72</v>
      </c>
      <c r="H725">
        <v>362.02</v>
      </c>
      <c r="I725">
        <v>3347.45</v>
      </c>
      <c r="J725">
        <v>454.85</v>
      </c>
      <c r="K725">
        <v>899.93</v>
      </c>
      <c r="L725">
        <v>32.200000000000003</v>
      </c>
      <c r="M725">
        <v>7.99</v>
      </c>
      <c r="N725">
        <v>148.79</v>
      </c>
      <c r="O725">
        <v>27.88</v>
      </c>
      <c r="P725">
        <v>7.4999999999999997E-2</v>
      </c>
    </row>
    <row r="726" spans="1:16">
      <c r="A726" s="1" t="s">
        <v>567</v>
      </c>
      <c r="B726" s="3" t="s">
        <v>771</v>
      </c>
      <c r="C726" s="1" t="s">
        <v>38</v>
      </c>
      <c r="D726" s="1" t="s">
        <v>5593</v>
      </c>
      <c r="E726" s="1" t="s">
        <v>573</v>
      </c>
      <c r="F726">
        <v>31.58</v>
      </c>
      <c r="G726">
        <v>279.08</v>
      </c>
      <c r="H726">
        <v>174.71</v>
      </c>
      <c r="I726">
        <v>2149.38</v>
      </c>
      <c r="J726">
        <v>419.12</v>
      </c>
      <c r="K726">
        <v>543.37</v>
      </c>
      <c r="L726">
        <v>29.5</v>
      </c>
      <c r="M726">
        <v>9.15</v>
      </c>
      <c r="N726">
        <v>47.94</v>
      </c>
      <c r="O726">
        <v>8.2799999999999994</v>
      </c>
      <c r="P726">
        <f>0.054/2</f>
        <v>2.7E-2</v>
      </c>
    </row>
    <row r="727" spans="1:16">
      <c r="A727" s="1" t="s">
        <v>567</v>
      </c>
      <c r="B727" s="3" t="s">
        <v>772</v>
      </c>
      <c r="C727" s="1" t="s">
        <v>38</v>
      </c>
      <c r="D727" s="1" t="s">
        <v>5593</v>
      </c>
      <c r="E727" s="1" t="s">
        <v>573</v>
      </c>
      <c r="F727">
        <v>47.61</v>
      </c>
      <c r="G727">
        <v>571.14</v>
      </c>
      <c r="H727">
        <v>550.20000000000005</v>
      </c>
      <c r="I727">
        <v>3129.63</v>
      </c>
      <c r="J727">
        <v>462.4</v>
      </c>
      <c r="K727">
        <v>733.94</v>
      </c>
      <c r="L727">
        <v>24.85</v>
      </c>
      <c r="M727">
        <v>7.64</v>
      </c>
      <c r="N727">
        <v>110.53</v>
      </c>
      <c r="O727">
        <v>17.489999999999998</v>
      </c>
      <c r="P727">
        <v>5.6000000000000001E-2</v>
      </c>
    </row>
    <row r="728" spans="1:16">
      <c r="A728" s="1" t="s">
        <v>567</v>
      </c>
      <c r="B728" s="3" t="s">
        <v>773</v>
      </c>
      <c r="C728" s="1" t="s">
        <v>38</v>
      </c>
      <c r="D728" s="1" t="s">
        <v>5593</v>
      </c>
      <c r="E728" s="1" t="s">
        <v>573</v>
      </c>
      <c r="F728">
        <v>42.69</v>
      </c>
      <c r="G728">
        <v>445.38</v>
      </c>
      <c r="H728">
        <v>282.48</v>
      </c>
      <c r="I728">
        <v>2641.93</v>
      </c>
      <c r="J728">
        <v>497.32</v>
      </c>
      <c r="K728">
        <v>737.4</v>
      </c>
      <c r="L728">
        <v>27.18</v>
      </c>
      <c r="M728">
        <v>7.56</v>
      </c>
      <c r="N728">
        <v>86.33</v>
      </c>
      <c r="O728">
        <v>22.49</v>
      </c>
      <c r="P728">
        <v>0.157</v>
      </c>
    </row>
    <row r="729" spans="1:16">
      <c r="A729" s="1" t="s">
        <v>567</v>
      </c>
      <c r="B729" s="3" t="s">
        <v>774</v>
      </c>
      <c r="C729" s="1" t="s">
        <v>38</v>
      </c>
      <c r="D729" s="1" t="s">
        <v>5593</v>
      </c>
      <c r="E729" s="1" t="s">
        <v>573</v>
      </c>
      <c r="F729">
        <v>134.79</v>
      </c>
      <c r="G729">
        <v>305.42</v>
      </c>
      <c r="H729">
        <v>228.45</v>
      </c>
      <c r="I729">
        <v>2250.0300000000002</v>
      </c>
      <c r="J729">
        <v>450.11</v>
      </c>
      <c r="K729">
        <v>696.61</v>
      </c>
      <c r="L729">
        <v>25.52</v>
      </c>
      <c r="M729">
        <v>8.2100000000000009</v>
      </c>
      <c r="N729">
        <v>66.08</v>
      </c>
      <c r="O729">
        <v>13.11</v>
      </c>
      <c r="P729">
        <f>0.028/2</f>
        <v>1.4E-2</v>
      </c>
    </row>
    <row r="730" spans="1:16">
      <c r="A730" s="1" t="s">
        <v>567</v>
      </c>
      <c r="B730" s="3" t="s">
        <v>775</v>
      </c>
      <c r="C730" s="1" t="s">
        <v>38</v>
      </c>
      <c r="D730" s="1" t="s">
        <v>5593</v>
      </c>
      <c r="E730" s="1" t="s">
        <v>573</v>
      </c>
      <c r="F730">
        <v>30.78</v>
      </c>
      <c r="G730">
        <v>273.08</v>
      </c>
      <c r="H730">
        <v>324.70999999999998</v>
      </c>
      <c r="I730">
        <v>2688.72</v>
      </c>
      <c r="J730">
        <v>429.65</v>
      </c>
      <c r="K730">
        <v>492.08</v>
      </c>
      <c r="L730">
        <v>19.91</v>
      </c>
      <c r="M730">
        <v>7.39</v>
      </c>
      <c r="N730">
        <v>41.15</v>
      </c>
      <c r="O730">
        <v>5.68</v>
      </c>
      <c r="P730">
        <f>0.044/2</f>
        <v>2.1999999999999999E-2</v>
      </c>
    </row>
    <row r="731" spans="1:16">
      <c r="A731" s="1" t="s">
        <v>567</v>
      </c>
      <c r="B731" s="3" t="s">
        <v>776</v>
      </c>
      <c r="C731" s="1" t="s">
        <v>38</v>
      </c>
      <c r="D731" s="1" t="s">
        <v>5593</v>
      </c>
      <c r="E731" s="1" t="s">
        <v>573</v>
      </c>
      <c r="F731">
        <v>47.2</v>
      </c>
      <c r="G731">
        <v>289.89</v>
      </c>
      <c r="H731">
        <v>353.81</v>
      </c>
      <c r="I731">
        <v>3603.22</v>
      </c>
      <c r="J731">
        <v>499.23</v>
      </c>
      <c r="K731">
        <v>638.63</v>
      </c>
      <c r="L731">
        <v>21.96</v>
      </c>
      <c r="M731">
        <v>9.33</v>
      </c>
      <c r="N731">
        <v>56.8</v>
      </c>
      <c r="O731">
        <v>9.6300000000000008</v>
      </c>
      <c r="P731">
        <v>0.11</v>
      </c>
    </row>
    <row r="732" spans="1:16">
      <c r="A732" s="1" t="s">
        <v>567</v>
      </c>
      <c r="B732" s="3" t="s">
        <v>777</v>
      </c>
      <c r="C732" s="1" t="s">
        <v>38</v>
      </c>
      <c r="D732" s="1" t="s">
        <v>5593</v>
      </c>
      <c r="E732" s="1" t="s">
        <v>573</v>
      </c>
      <c r="F732">
        <v>39.72</v>
      </c>
      <c r="G732">
        <v>345.54</v>
      </c>
      <c r="H732">
        <v>313.79000000000002</v>
      </c>
      <c r="I732">
        <v>2896.88</v>
      </c>
      <c r="J732">
        <v>458.78</v>
      </c>
      <c r="K732">
        <v>953.09</v>
      </c>
      <c r="L732">
        <v>22.84</v>
      </c>
      <c r="M732">
        <v>8.9</v>
      </c>
      <c r="N732">
        <v>88.28</v>
      </c>
      <c r="O732">
        <v>13.01</v>
      </c>
      <c r="P732">
        <v>6.4000000000000001E-2</v>
      </c>
    </row>
    <row r="733" spans="1:16">
      <c r="A733" s="1" t="s">
        <v>567</v>
      </c>
      <c r="B733" s="3" t="s">
        <v>778</v>
      </c>
      <c r="C733" s="1" t="s">
        <v>38</v>
      </c>
      <c r="D733" s="1" t="s">
        <v>5593</v>
      </c>
      <c r="E733" s="1" t="s">
        <v>573</v>
      </c>
      <c r="F733">
        <v>42.43</v>
      </c>
      <c r="G733">
        <v>724.39</v>
      </c>
      <c r="H733">
        <v>316.77999999999997</v>
      </c>
      <c r="I733">
        <v>4008.33</v>
      </c>
      <c r="J733">
        <v>605.32000000000005</v>
      </c>
      <c r="K733">
        <v>574.95000000000005</v>
      </c>
      <c r="L733">
        <v>23.88</v>
      </c>
      <c r="M733">
        <v>7.99</v>
      </c>
      <c r="N733">
        <v>82.52</v>
      </c>
      <c r="O733">
        <v>17.23</v>
      </c>
      <c r="P733">
        <v>0.06</v>
      </c>
    </row>
    <row r="734" spans="1:16">
      <c r="A734" s="1" t="s">
        <v>567</v>
      </c>
      <c r="B734" s="3" t="s">
        <v>779</v>
      </c>
      <c r="C734" s="1" t="s">
        <v>38</v>
      </c>
      <c r="D734" s="1" t="s">
        <v>5593</v>
      </c>
      <c r="E734" s="1" t="s">
        <v>573</v>
      </c>
      <c r="F734">
        <v>40.33</v>
      </c>
      <c r="G734">
        <v>363.41</v>
      </c>
      <c r="H734">
        <v>375.38</v>
      </c>
      <c r="I734">
        <v>3186.61</v>
      </c>
      <c r="J734">
        <v>411.02</v>
      </c>
      <c r="K734">
        <v>721.4</v>
      </c>
      <c r="L734">
        <v>26.26</v>
      </c>
      <c r="M734">
        <v>7.51</v>
      </c>
      <c r="N734">
        <v>96.24</v>
      </c>
      <c r="O734">
        <v>20.8</v>
      </c>
      <c r="P734">
        <v>0.24099999999999999</v>
      </c>
    </row>
    <row r="735" spans="1:16">
      <c r="A735" s="1" t="s">
        <v>567</v>
      </c>
      <c r="B735" s="3" t="s">
        <v>780</v>
      </c>
      <c r="C735" s="1" t="s">
        <v>38</v>
      </c>
      <c r="D735" s="1" t="s">
        <v>5593</v>
      </c>
      <c r="E735" s="1" t="s">
        <v>573</v>
      </c>
      <c r="F735">
        <v>43.51</v>
      </c>
      <c r="G735">
        <v>845.61</v>
      </c>
      <c r="H735">
        <v>1074.6199999999999</v>
      </c>
      <c r="I735">
        <v>3614.5</v>
      </c>
      <c r="J735">
        <v>602.95000000000005</v>
      </c>
      <c r="K735">
        <v>891.28</v>
      </c>
      <c r="L735">
        <v>29.86</v>
      </c>
      <c r="M735">
        <v>9.9</v>
      </c>
      <c r="N735">
        <v>284.16000000000003</v>
      </c>
      <c r="O735">
        <v>31.92</v>
      </c>
      <c r="P735">
        <v>0.14499999999999999</v>
      </c>
    </row>
    <row r="736" spans="1:16">
      <c r="A736" s="1" t="s">
        <v>567</v>
      </c>
      <c r="B736" s="3" t="s">
        <v>781</v>
      </c>
      <c r="C736" s="1" t="s">
        <v>38</v>
      </c>
      <c r="D736" s="1" t="s">
        <v>5593</v>
      </c>
      <c r="E736" s="1" t="s">
        <v>573</v>
      </c>
      <c r="F736">
        <v>43.85</v>
      </c>
      <c r="G736">
        <v>422.37</v>
      </c>
      <c r="H736">
        <v>414.27</v>
      </c>
      <c r="I736">
        <v>2599.98</v>
      </c>
      <c r="J736">
        <v>458.51</v>
      </c>
      <c r="K736">
        <v>587.72</v>
      </c>
      <c r="L736">
        <v>21.5</v>
      </c>
      <c r="M736">
        <v>8.25</v>
      </c>
      <c r="N736">
        <v>78.63</v>
      </c>
      <c r="O736">
        <v>12.3</v>
      </c>
      <c r="P736">
        <v>0.09</v>
      </c>
    </row>
    <row r="737" spans="1:16">
      <c r="A737" s="1" t="s">
        <v>567</v>
      </c>
      <c r="B737" s="3" t="s">
        <v>782</v>
      </c>
      <c r="C737" s="1" t="s">
        <v>38</v>
      </c>
      <c r="D737" s="1" t="s">
        <v>5593</v>
      </c>
      <c r="E737" s="1" t="s">
        <v>573</v>
      </c>
      <c r="F737">
        <v>37.08</v>
      </c>
      <c r="G737">
        <v>280.83999999999997</v>
      </c>
      <c r="H737">
        <v>256.97000000000003</v>
      </c>
      <c r="I737">
        <v>2627.89</v>
      </c>
      <c r="J737">
        <v>426.68</v>
      </c>
      <c r="K737">
        <v>591.67999999999995</v>
      </c>
      <c r="L737">
        <v>21.85</v>
      </c>
      <c r="M737">
        <v>7.89</v>
      </c>
      <c r="N737">
        <v>50</v>
      </c>
      <c r="O737">
        <v>9.66</v>
      </c>
      <c r="P737">
        <f>0.049/2</f>
        <v>2.4500000000000001E-2</v>
      </c>
    </row>
    <row r="738" spans="1:16">
      <c r="A738" s="1" t="s">
        <v>567</v>
      </c>
      <c r="B738" s="3" t="s">
        <v>783</v>
      </c>
      <c r="C738" s="1" t="s">
        <v>38</v>
      </c>
      <c r="D738" s="1" t="s">
        <v>5593</v>
      </c>
      <c r="E738" s="1" t="s">
        <v>573</v>
      </c>
      <c r="F738">
        <v>37.74</v>
      </c>
      <c r="G738">
        <v>275.3</v>
      </c>
      <c r="H738">
        <v>202.9</v>
      </c>
      <c r="I738">
        <v>2564.27</v>
      </c>
      <c r="J738">
        <v>537.9</v>
      </c>
      <c r="K738">
        <v>691.58</v>
      </c>
      <c r="L738">
        <v>23.98</v>
      </c>
      <c r="M738">
        <v>7.64</v>
      </c>
      <c r="N738">
        <v>59.83</v>
      </c>
      <c r="O738">
        <v>10.4</v>
      </c>
      <c r="P738">
        <f>0.0177/2</f>
        <v>8.8500000000000002E-3</v>
      </c>
    </row>
    <row r="739" spans="1:16">
      <c r="A739" s="1" t="s">
        <v>567</v>
      </c>
      <c r="B739" s="3" t="s">
        <v>784</v>
      </c>
      <c r="C739" s="1" t="s">
        <v>38</v>
      </c>
      <c r="D739" s="1" t="s">
        <v>5592</v>
      </c>
      <c r="E739" s="1" t="s">
        <v>573</v>
      </c>
      <c r="F739">
        <v>51.07</v>
      </c>
      <c r="G739">
        <v>1589.69</v>
      </c>
      <c r="H739">
        <v>1125.68</v>
      </c>
      <c r="I739">
        <v>2047.29</v>
      </c>
      <c r="J739">
        <v>314.95</v>
      </c>
      <c r="K739">
        <v>368.25</v>
      </c>
      <c r="L739">
        <v>23.33</v>
      </c>
      <c r="M739">
        <v>11.82</v>
      </c>
      <c r="N739">
        <v>307.02</v>
      </c>
      <c r="O739">
        <v>32.700000000000003</v>
      </c>
      <c r="P739">
        <v>1.1619999999999999</v>
      </c>
    </row>
    <row r="740" spans="1:16">
      <c r="A740" s="1" t="s">
        <v>567</v>
      </c>
      <c r="B740" s="3" t="s">
        <v>785</v>
      </c>
      <c r="C740" s="1" t="s">
        <v>38</v>
      </c>
      <c r="D740" s="1" t="s">
        <v>5592</v>
      </c>
      <c r="E740" s="1" t="s">
        <v>573</v>
      </c>
      <c r="F740">
        <v>67.67</v>
      </c>
      <c r="G740">
        <v>1281.02</v>
      </c>
      <c r="H740">
        <v>914.78</v>
      </c>
      <c r="I740">
        <v>1986.58</v>
      </c>
      <c r="J740">
        <v>294.58</v>
      </c>
      <c r="K740">
        <v>405.33</v>
      </c>
      <c r="L740">
        <v>21.9</v>
      </c>
      <c r="M740">
        <v>10.78</v>
      </c>
      <c r="N740">
        <v>231.39</v>
      </c>
      <c r="O740">
        <v>27.26</v>
      </c>
      <c r="P740">
        <v>0.8</v>
      </c>
    </row>
    <row r="741" spans="1:16">
      <c r="A741" s="1" t="s">
        <v>567</v>
      </c>
      <c r="B741" s="3" t="s">
        <v>786</v>
      </c>
      <c r="C741" s="1" t="s">
        <v>38</v>
      </c>
      <c r="D741" s="1" t="s">
        <v>5592</v>
      </c>
      <c r="E741" s="1" t="s">
        <v>573</v>
      </c>
      <c r="F741">
        <v>31.63</v>
      </c>
      <c r="G741">
        <v>1684.05</v>
      </c>
      <c r="H741">
        <v>962.69</v>
      </c>
      <c r="I741">
        <v>2302.33</v>
      </c>
      <c r="J741">
        <v>499.51</v>
      </c>
      <c r="K741">
        <v>213.22</v>
      </c>
      <c r="L741">
        <v>13.05</v>
      </c>
      <c r="M741">
        <v>11.76</v>
      </c>
      <c r="N741">
        <v>144.85</v>
      </c>
      <c r="O741">
        <v>27.98</v>
      </c>
      <c r="P741">
        <v>0.748</v>
      </c>
    </row>
    <row r="742" spans="1:16">
      <c r="A742" s="1" t="s">
        <v>567</v>
      </c>
      <c r="B742" s="3" t="s">
        <v>787</v>
      </c>
      <c r="C742" s="1" t="s">
        <v>38</v>
      </c>
      <c r="D742" s="1" t="s">
        <v>5592</v>
      </c>
      <c r="E742" s="1" t="s">
        <v>573</v>
      </c>
      <c r="F742">
        <v>28.86</v>
      </c>
      <c r="G742">
        <v>1656.93</v>
      </c>
      <c r="H742">
        <v>1138.8900000000001</v>
      </c>
      <c r="I742">
        <v>2307.56</v>
      </c>
      <c r="J742">
        <v>561.17999999999995</v>
      </c>
      <c r="K742">
        <v>137.36000000000001</v>
      </c>
      <c r="L742">
        <v>12.45</v>
      </c>
      <c r="M742">
        <v>12.73</v>
      </c>
      <c r="N742">
        <v>209.2</v>
      </c>
      <c r="O742">
        <v>15.89</v>
      </c>
      <c r="P742">
        <v>0.81499999999999995</v>
      </c>
    </row>
    <row r="743" spans="1:16">
      <c r="A743" s="1" t="s">
        <v>567</v>
      </c>
      <c r="B743" s="3" t="s">
        <v>788</v>
      </c>
      <c r="C743" s="1" t="s">
        <v>38</v>
      </c>
      <c r="D743" s="1" t="s">
        <v>5592</v>
      </c>
      <c r="E743" s="1" t="s">
        <v>573</v>
      </c>
      <c r="F743">
        <v>30.03</v>
      </c>
      <c r="G743">
        <v>1239.6099999999999</v>
      </c>
      <c r="H743">
        <v>739.95</v>
      </c>
      <c r="I743">
        <v>2162.4899999999998</v>
      </c>
      <c r="J743">
        <v>75.63</v>
      </c>
      <c r="K743">
        <v>267.37</v>
      </c>
      <c r="L743">
        <v>18.23</v>
      </c>
      <c r="M743">
        <v>10.86</v>
      </c>
      <c r="N743">
        <v>230.99</v>
      </c>
      <c r="O743">
        <v>17.02</v>
      </c>
      <c r="P743">
        <v>1.31</v>
      </c>
    </row>
    <row r="744" spans="1:16">
      <c r="A744" s="1" t="s">
        <v>567</v>
      </c>
      <c r="B744" s="3" t="s">
        <v>789</v>
      </c>
      <c r="C744" s="1" t="s">
        <v>38</v>
      </c>
      <c r="D744" s="1" t="s">
        <v>5592</v>
      </c>
      <c r="E744" s="1" t="s">
        <v>573</v>
      </c>
      <c r="F744">
        <v>448.79</v>
      </c>
      <c r="G744">
        <v>2466.58</v>
      </c>
      <c r="H744">
        <v>1320.97</v>
      </c>
      <c r="I744">
        <v>2179.71</v>
      </c>
      <c r="J744">
        <v>490.36</v>
      </c>
      <c r="K744">
        <v>142.97999999999999</v>
      </c>
      <c r="L744">
        <v>5.36</v>
      </c>
      <c r="M744">
        <v>12.15</v>
      </c>
      <c r="N744">
        <v>56.16</v>
      </c>
      <c r="O744">
        <v>26.21</v>
      </c>
      <c r="P744">
        <v>0.69</v>
      </c>
    </row>
    <row r="745" spans="1:16">
      <c r="A745" s="1" t="s">
        <v>567</v>
      </c>
      <c r="B745" s="3" t="s">
        <v>790</v>
      </c>
      <c r="C745" s="1" t="s">
        <v>38</v>
      </c>
      <c r="D745" s="1" t="s">
        <v>5592</v>
      </c>
      <c r="E745" s="1" t="s">
        <v>573</v>
      </c>
      <c r="F745">
        <v>79.290000000000006</v>
      </c>
      <c r="G745">
        <v>1370.91</v>
      </c>
      <c r="H745">
        <v>893.97</v>
      </c>
      <c r="I745">
        <v>2164.5</v>
      </c>
      <c r="J745">
        <v>477.43</v>
      </c>
      <c r="K745">
        <v>252.99</v>
      </c>
      <c r="L745">
        <v>16.23</v>
      </c>
      <c r="M745">
        <v>10.86</v>
      </c>
      <c r="N745">
        <v>213.11</v>
      </c>
      <c r="O745">
        <v>33.69</v>
      </c>
      <c r="P745">
        <v>1.333</v>
      </c>
    </row>
    <row r="746" spans="1:16">
      <c r="A746" s="1" t="s">
        <v>567</v>
      </c>
      <c r="B746" s="3" t="s">
        <v>791</v>
      </c>
      <c r="C746" s="1" t="s">
        <v>38</v>
      </c>
      <c r="D746" s="1" t="s">
        <v>5592</v>
      </c>
      <c r="E746" s="1" t="s">
        <v>573</v>
      </c>
      <c r="F746">
        <v>119.16</v>
      </c>
      <c r="G746">
        <v>1218.26</v>
      </c>
      <c r="H746">
        <v>656.68</v>
      </c>
      <c r="I746">
        <v>2216.79</v>
      </c>
      <c r="J746">
        <v>121.73</v>
      </c>
      <c r="K746">
        <v>213.03</v>
      </c>
      <c r="L746">
        <v>13.13</v>
      </c>
      <c r="M746">
        <v>11.9</v>
      </c>
      <c r="N746">
        <v>44.97</v>
      </c>
      <c r="O746">
        <v>29.36</v>
      </c>
      <c r="P746">
        <v>0.94299999999999995</v>
      </c>
    </row>
    <row r="747" spans="1:16">
      <c r="A747" s="1" t="s">
        <v>567</v>
      </c>
      <c r="B747" s="3" t="s">
        <v>792</v>
      </c>
      <c r="C747" s="1" t="s">
        <v>38</v>
      </c>
      <c r="D747" s="1" t="s">
        <v>5592</v>
      </c>
      <c r="E747" s="1" t="s">
        <v>573</v>
      </c>
      <c r="F747">
        <v>103.17</v>
      </c>
      <c r="G747">
        <v>1865.92</v>
      </c>
      <c r="H747">
        <v>1164.07</v>
      </c>
      <c r="I747">
        <v>2340.3200000000002</v>
      </c>
      <c r="J747">
        <v>454.73</v>
      </c>
      <c r="K747">
        <v>215.23</v>
      </c>
      <c r="L747">
        <v>3.38</v>
      </c>
      <c r="M747">
        <v>9.82</v>
      </c>
      <c r="N747">
        <v>48.1</v>
      </c>
      <c r="O747">
        <v>53.05</v>
      </c>
      <c r="P747">
        <v>0.68300000000000005</v>
      </c>
    </row>
    <row r="748" spans="1:16">
      <c r="A748" s="1" t="s">
        <v>567</v>
      </c>
      <c r="B748" s="3" t="s">
        <v>793</v>
      </c>
      <c r="C748" s="1" t="s">
        <v>38</v>
      </c>
      <c r="D748" s="1" t="s">
        <v>5592</v>
      </c>
      <c r="E748" s="1" t="s">
        <v>573</v>
      </c>
      <c r="F748">
        <v>28.34</v>
      </c>
      <c r="G748">
        <v>1699.56</v>
      </c>
      <c r="H748">
        <v>939.76</v>
      </c>
      <c r="I748">
        <v>2186.9</v>
      </c>
      <c r="J748">
        <v>440.38</v>
      </c>
      <c r="K748">
        <v>197.97</v>
      </c>
      <c r="L748">
        <v>17.23</v>
      </c>
      <c r="M748">
        <v>11.17</v>
      </c>
      <c r="N748">
        <v>219.43</v>
      </c>
      <c r="O748">
        <v>21.84</v>
      </c>
      <c r="P748">
        <v>0.83599999999999997</v>
      </c>
    </row>
    <row r="749" spans="1:16">
      <c r="A749" s="1" t="s">
        <v>567</v>
      </c>
      <c r="B749" s="3" t="s">
        <v>794</v>
      </c>
      <c r="C749" s="1" t="s">
        <v>38</v>
      </c>
      <c r="D749" s="1" t="s">
        <v>5592</v>
      </c>
      <c r="E749" s="1" t="s">
        <v>573</v>
      </c>
      <c r="F749">
        <v>33.69</v>
      </c>
      <c r="G749">
        <v>1414.83</v>
      </c>
      <c r="H749">
        <v>1065.22</v>
      </c>
      <c r="I749">
        <v>1602.77</v>
      </c>
      <c r="J749">
        <v>698.07</v>
      </c>
      <c r="K749">
        <v>215.93</v>
      </c>
      <c r="L749">
        <v>15.92</v>
      </c>
      <c r="M749">
        <v>14.17</v>
      </c>
      <c r="N749">
        <v>268.16000000000003</v>
      </c>
      <c r="O749">
        <v>23.77</v>
      </c>
      <c r="P749">
        <v>2.27</v>
      </c>
    </row>
    <row r="750" spans="1:16">
      <c r="A750" s="1" t="s">
        <v>567</v>
      </c>
      <c r="B750" s="3" t="s">
        <v>795</v>
      </c>
      <c r="C750" s="1" t="s">
        <v>38</v>
      </c>
      <c r="D750" s="1" t="s">
        <v>5592</v>
      </c>
      <c r="E750" s="1" t="s">
        <v>573</v>
      </c>
      <c r="F750">
        <v>23.57</v>
      </c>
      <c r="G750">
        <v>1465.9</v>
      </c>
      <c r="H750">
        <v>820.22</v>
      </c>
      <c r="I750">
        <v>1814.54</v>
      </c>
      <c r="J750">
        <v>750.03</v>
      </c>
      <c r="K750">
        <v>83.98</v>
      </c>
      <c r="L750">
        <v>2.3199999999999998</v>
      </c>
      <c r="M750">
        <v>10.43</v>
      </c>
      <c r="N750">
        <v>149.78</v>
      </c>
      <c r="O750">
        <v>21.8</v>
      </c>
      <c r="P750">
        <v>0.58199999999999996</v>
      </c>
    </row>
    <row r="751" spans="1:16">
      <c r="A751" s="1" t="s">
        <v>567</v>
      </c>
      <c r="B751" s="3" t="s">
        <v>796</v>
      </c>
      <c r="C751" s="1" t="s">
        <v>38</v>
      </c>
      <c r="D751" s="1" t="s">
        <v>5592</v>
      </c>
      <c r="E751" s="1" t="s">
        <v>573</v>
      </c>
      <c r="F751">
        <v>265.27999999999997</v>
      </c>
      <c r="G751">
        <v>2629.67</v>
      </c>
      <c r="H751">
        <v>964.78</v>
      </c>
      <c r="I751">
        <v>2500.37</v>
      </c>
      <c r="J751">
        <v>331.45</v>
      </c>
      <c r="K751">
        <v>184.93</v>
      </c>
      <c r="L751">
        <v>6.94</v>
      </c>
      <c r="M751">
        <v>14.83</v>
      </c>
      <c r="N751">
        <v>32.17</v>
      </c>
      <c r="O751">
        <v>47.47</v>
      </c>
      <c r="P751">
        <v>0.872</v>
      </c>
    </row>
    <row r="752" spans="1:16">
      <c r="A752" s="1" t="s">
        <v>567</v>
      </c>
      <c r="B752" s="3" t="s">
        <v>797</v>
      </c>
      <c r="C752" s="1" t="s">
        <v>38</v>
      </c>
      <c r="D752" s="1" t="s">
        <v>5592</v>
      </c>
      <c r="E752" s="1" t="s">
        <v>573</v>
      </c>
      <c r="F752">
        <v>87.51</v>
      </c>
      <c r="G752">
        <v>1414.78</v>
      </c>
      <c r="H752">
        <v>780.94</v>
      </c>
      <c r="I752">
        <v>2009</v>
      </c>
      <c r="J752">
        <v>296.16000000000003</v>
      </c>
      <c r="K752">
        <v>169.1</v>
      </c>
      <c r="L752">
        <v>5.65</v>
      </c>
      <c r="M752">
        <v>14.18</v>
      </c>
      <c r="N752">
        <v>157.32</v>
      </c>
      <c r="O752">
        <v>25</v>
      </c>
      <c r="P752">
        <v>0.52200000000000002</v>
      </c>
    </row>
    <row r="753" spans="1:16">
      <c r="A753" s="1" t="s">
        <v>567</v>
      </c>
      <c r="B753" s="3" t="s">
        <v>798</v>
      </c>
      <c r="C753" s="1" t="s">
        <v>38</v>
      </c>
      <c r="D753" s="1" t="s">
        <v>5592</v>
      </c>
      <c r="E753" s="1" t="s">
        <v>573</v>
      </c>
      <c r="F753">
        <v>99.87</v>
      </c>
      <c r="G753">
        <v>822.38</v>
      </c>
      <c r="H753">
        <v>737.98</v>
      </c>
      <c r="I753">
        <v>2700.78</v>
      </c>
      <c r="J753">
        <v>844.08</v>
      </c>
      <c r="K753">
        <v>983.36</v>
      </c>
      <c r="L753">
        <v>28.16</v>
      </c>
      <c r="M753">
        <v>12.58</v>
      </c>
      <c r="N753">
        <v>281.42</v>
      </c>
      <c r="O753">
        <v>43.55</v>
      </c>
      <c r="P753">
        <v>4.3099999999999996</v>
      </c>
    </row>
    <row r="754" spans="1:16">
      <c r="A754" s="1" t="s">
        <v>567</v>
      </c>
      <c r="B754" s="3" t="s">
        <v>799</v>
      </c>
      <c r="C754" s="1" t="s">
        <v>38</v>
      </c>
      <c r="D754" s="1" t="s">
        <v>5592</v>
      </c>
      <c r="E754" s="1" t="s">
        <v>573</v>
      </c>
      <c r="F754">
        <v>99.8</v>
      </c>
      <c r="G754">
        <v>824.39</v>
      </c>
      <c r="H754">
        <v>761.84</v>
      </c>
      <c r="I754">
        <v>2693.11</v>
      </c>
      <c r="J754">
        <v>737.17</v>
      </c>
      <c r="K754">
        <v>1185.8399999999999</v>
      </c>
      <c r="L754">
        <v>28.26</v>
      </c>
      <c r="M754">
        <v>12.6</v>
      </c>
      <c r="N754">
        <v>279.25</v>
      </c>
      <c r="O754">
        <v>44.07</v>
      </c>
      <c r="P754">
        <v>4.08</v>
      </c>
    </row>
    <row r="755" spans="1:16">
      <c r="A755" s="1" t="s">
        <v>567</v>
      </c>
      <c r="B755" s="3" t="s">
        <v>800</v>
      </c>
      <c r="C755" s="1" t="s">
        <v>38</v>
      </c>
      <c r="D755" s="1" t="s">
        <v>5592</v>
      </c>
      <c r="E755" s="1" t="s">
        <v>573</v>
      </c>
      <c r="F755">
        <v>102.11</v>
      </c>
      <c r="G755">
        <v>1731.49</v>
      </c>
      <c r="H755">
        <v>633.65</v>
      </c>
      <c r="I755">
        <v>2532.98</v>
      </c>
      <c r="J755">
        <v>1248.18</v>
      </c>
      <c r="K755">
        <v>243.38</v>
      </c>
      <c r="L755">
        <v>17.260000000000002</v>
      </c>
      <c r="M755">
        <v>16.03</v>
      </c>
      <c r="N755">
        <v>301.22000000000003</v>
      </c>
      <c r="O755">
        <v>30.38</v>
      </c>
      <c r="P755">
        <v>3.29</v>
      </c>
    </row>
    <row r="756" spans="1:16">
      <c r="A756" s="1" t="s">
        <v>567</v>
      </c>
      <c r="B756" s="3" t="s">
        <v>801</v>
      </c>
      <c r="C756" s="1" t="s">
        <v>38</v>
      </c>
      <c r="D756" s="1" t="s">
        <v>5592</v>
      </c>
      <c r="E756" s="1" t="s">
        <v>573</v>
      </c>
      <c r="F756">
        <v>26.27</v>
      </c>
      <c r="G756">
        <v>1776.97</v>
      </c>
      <c r="H756">
        <v>1054.5</v>
      </c>
      <c r="I756">
        <v>2417.19</v>
      </c>
      <c r="J756">
        <v>458.66</v>
      </c>
      <c r="K756">
        <v>175.16</v>
      </c>
      <c r="L756">
        <v>12.86</v>
      </c>
      <c r="M756">
        <v>11.61</v>
      </c>
      <c r="N756">
        <v>120.25</v>
      </c>
      <c r="O756">
        <v>26.79</v>
      </c>
      <c r="P756">
        <v>1.319</v>
      </c>
    </row>
    <row r="757" spans="1:16">
      <c r="A757" s="1" t="s">
        <v>567</v>
      </c>
      <c r="B757" s="3" t="s">
        <v>802</v>
      </c>
      <c r="C757" s="1" t="s">
        <v>38</v>
      </c>
      <c r="D757" s="1" t="s">
        <v>5592</v>
      </c>
      <c r="E757" s="1" t="s">
        <v>573</v>
      </c>
      <c r="F757">
        <v>50.4</v>
      </c>
      <c r="G757">
        <v>1491.84</v>
      </c>
      <c r="H757">
        <v>869.63</v>
      </c>
      <c r="I757">
        <v>2020.71</v>
      </c>
      <c r="J757">
        <v>968.13</v>
      </c>
      <c r="K757">
        <v>187.57</v>
      </c>
      <c r="L757">
        <v>8.68</v>
      </c>
      <c r="M757">
        <v>11.87</v>
      </c>
      <c r="N757">
        <v>45.7</v>
      </c>
      <c r="O757">
        <v>41.22</v>
      </c>
      <c r="P757">
        <v>0.84199999999999997</v>
      </c>
    </row>
    <row r="758" spans="1:16">
      <c r="A758" s="1" t="s">
        <v>567</v>
      </c>
      <c r="B758" s="3" t="s">
        <v>803</v>
      </c>
      <c r="C758" s="1" t="s">
        <v>38</v>
      </c>
      <c r="D758" s="1" t="s">
        <v>5592</v>
      </c>
      <c r="E758" s="1" t="s">
        <v>573</v>
      </c>
      <c r="F758">
        <v>84.57</v>
      </c>
      <c r="G758">
        <v>1403.01</v>
      </c>
      <c r="H758">
        <v>977.13</v>
      </c>
      <c r="I758">
        <v>1989.26</v>
      </c>
      <c r="J758">
        <v>332.22</v>
      </c>
      <c r="K758">
        <v>357.58</v>
      </c>
      <c r="L758">
        <v>20.25</v>
      </c>
      <c r="M758">
        <v>10.75</v>
      </c>
      <c r="N758">
        <v>168.77</v>
      </c>
      <c r="O758">
        <v>33.229999999999997</v>
      </c>
      <c r="P758">
        <v>0.72299999999999998</v>
      </c>
    </row>
    <row r="759" spans="1:16">
      <c r="A759" s="1" t="s">
        <v>567</v>
      </c>
      <c r="B759" s="3" t="s">
        <v>804</v>
      </c>
      <c r="C759" s="1" t="s">
        <v>38</v>
      </c>
      <c r="D759" s="1" t="s">
        <v>5592</v>
      </c>
      <c r="E759" s="1" t="s">
        <v>573</v>
      </c>
      <c r="F759">
        <v>70.290000000000006</v>
      </c>
      <c r="G759">
        <v>954.34</v>
      </c>
      <c r="H759">
        <v>653.55999999999995</v>
      </c>
      <c r="I759">
        <v>1932.36</v>
      </c>
      <c r="J759">
        <v>122.08</v>
      </c>
      <c r="K759">
        <v>337.1</v>
      </c>
      <c r="L759">
        <v>17.7</v>
      </c>
      <c r="M759">
        <v>10.72</v>
      </c>
      <c r="N759">
        <v>158.99</v>
      </c>
      <c r="O759">
        <v>33.049999999999997</v>
      </c>
      <c r="P759">
        <v>0.59699999999999998</v>
      </c>
    </row>
    <row r="760" spans="1:16">
      <c r="A760" s="1" t="s">
        <v>567</v>
      </c>
      <c r="B760" s="3" t="s">
        <v>805</v>
      </c>
      <c r="C760" s="1" t="s">
        <v>38</v>
      </c>
      <c r="D760" s="1" t="s">
        <v>5592</v>
      </c>
      <c r="E760" s="1" t="s">
        <v>573</v>
      </c>
      <c r="F760">
        <v>59.84</v>
      </c>
      <c r="G760">
        <v>1129.04</v>
      </c>
      <c r="H760">
        <v>1045.32</v>
      </c>
      <c r="I760">
        <v>2026.62</v>
      </c>
      <c r="J760">
        <v>202.69</v>
      </c>
      <c r="K760">
        <v>312.86</v>
      </c>
      <c r="L760">
        <v>18.54</v>
      </c>
      <c r="M760">
        <v>11.88</v>
      </c>
      <c r="N760">
        <v>175.42</v>
      </c>
      <c r="O760">
        <v>34.299999999999997</v>
      </c>
      <c r="P760">
        <v>0.95199999999999996</v>
      </c>
    </row>
    <row r="761" spans="1:16">
      <c r="A761" s="1" t="s">
        <v>567</v>
      </c>
      <c r="B761" s="3" t="s">
        <v>806</v>
      </c>
      <c r="C761" s="1" t="s">
        <v>38</v>
      </c>
      <c r="D761" s="1" t="s">
        <v>5592</v>
      </c>
      <c r="E761" s="1" t="s">
        <v>573</v>
      </c>
      <c r="F761">
        <v>21.44</v>
      </c>
      <c r="G761">
        <v>1330.58</v>
      </c>
      <c r="H761">
        <v>890.67</v>
      </c>
      <c r="I761">
        <v>1559.18</v>
      </c>
      <c r="J761">
        <v>304.58999999999997</v>
      </c>
      <c r="K761">
        <v>228.5</v>
      </c>
      <c r="L761">
        <v>16.920000000000002</v>
      </c>
      <c r="M761">
        <v>12.24</v>
      </c>
      <c r="N761">
        <v>444.07</v>
      </c>
      <c r="O761">
        <v>11.96</v>
      </c>
      <c r="P761">
        <v>0.72</v>
      </c>
    </row>
    <row r="762" spans="1:16">
      <c r="A762" s="1" t="s">
        <v>567</v>
      </c>
      <c r="B762" s="3" t="s">
        <v>807</v>
      </c>
      <c r="C762" s="1" t="s">
        <v>38</v>
      </c>
      <c r="D762" s="1" t="s">
        <v>5592</v>
      </c>
      <c r="E762" s="1" t="s">
        <v>573</v>
      </c>
      <c r="F762">
        <v>20.49</v>
      </c>
      <c r="G762">
        <v>1205.71</v>
      </c>
      <c r="H762">
        <v>643.30999999999995</v>
      </c>
      <c r="I762">
        <v>1840.78</v>
      </c>
      <c r="J762">
        <v>403.84</v>
      </c>
      <c r="K762">
        <v>90.94</v>
      </c>
      <c r="L762">
        <v>5.69</v>
      </c>
      <c r="M762">
        <v>12.42</v>
      </c>
      <c r="N762">
        <v>211.93</v>
      </c>
      <c r="O762">
        <v>8.26</v>
      </c>
      <c r="P762">
        <v>0.378</v>
      </c>
    </row>
    <row r="763" spans="1:16">
      <c r="A763" s="1" t="s">
        <v>567</v>
      </c>
      <c r="B763" s="3" t="s">
        <v>808</v>
      </c>
      <c r="C763" s="1" t="s">
        <v>38</v>
      </c>
      <c r="D763" s="1" t="s">
        <v>5592</v>
      </c>
      <c r="E763" s="1" t="s">
        <v>573</v>
      </c>
      <c r="F763">
        <v>55.43</v>
      </c>
      <c r="G763">
        <v>1275.8399999999999</v>
      </c>
      <c r="H763">
        <v>887.31</v>
      </c>
      <c r="I763">
        <v>2632.28</v>
      </c>
      <c r="J763">
        <v>448.72</v>
      </c>
      <c r="K763">
        <v>338.53</v>
      </c>
      <c r="L763">
        <v>18.690000000000001</v>
      </c>
      <c r="M763">
        <v>12.59</v>
      </c>
      <c r="N763">
        <v>222.74</v>
      </c>
      <c r="O763">
        <v>32.69</v>
      </c>
      <c r="P763">
        <v>1.55</v>
      </c>
    </row>
    <row r="764" spans="1:16">
      <c r="A764" s="1" t="s">
        <v>567</v>
      </c>
      <c r="B764" s="3" t="s">
        <v>809</v>
      </c>
      <c r="C764" s="1" t="s">
        <v>38</v>
      </c>
      <c r="D764" s="1" t="s">
        <v>5592</v>
      </c>
      <c r="E764" s="1" t="s">
        <v>573</v>
      </c>
      <c r="F764">
        <v>221.68</v>
      </c>
      <c r="G764">
        <v>1535.28</v>
      </c>
      <c r="H764">
        <v>934.88</v>
      </c>
      <c r="I764">
        <v>2105.17</v>
      </c>
      <c r="J764">
        <v>114.3</v>
      </c>
      <c r="K764">
        <v>263.18</v>
      </c>
      <c r="L764">
        <v>17.739999999999998</v>
      </c>
      <c r="M764">
        <v>10.23</v>
      </c>
      <c r="N764">
        <v>233.7</v>
      </c>
      <c r="O764">
        <v>41.41</v>
      </c>
      <c r="P764">
        <v>1.04</v>
      </c>
    </row>
    <row r="765" spans="1:16">
      <c r="A765" s="1" t="s">
        <v>567</v>
      </c>
      <c r="B765" s="3" t="s">
        <v>810</v>
      </c>
      <c r="C765" s="1" t="s">
        <v>38</v>
      </c>
      <c r="D765" s="1" t="s">
        <v>5592</v>
      </c>
      <c r="E765" s="1" t="s">
        <v>573</v>
      </c>
      <c r="F765">
        <v>30.77</v>
      </c>
      <c r="G765">
        <v>1480.97</v>
      </c>
      <c r="H765">
        <v>964.29</v>
      </c>
      <c r="I765">
        <v>1939.72</v>
      </c>
      <c r="J765">
        <v>681.46</v>
      </c>
      <c r="K765">
        <v>253.36</v>
      </c>
      <c r="L765">
        <v>19.11</v>
      </c>
      <c r="M765">
        <v>13.1</v>
      </c>
      <c r="N765">
        <v>266.49</v>
      </c>
      <c r="O765">
        <v>23.69</v>
      </c>
      <c r="P765">
        <v>1.36</v>
      </c>
    </row>
    <row r="766" spans="1:16">
      <c r="A766" s="1" t="s">
        <v>567</v>
      </c>
      <c r="B766" s="3" t="s">
        <v>811</v>
      </c>
      <c r="C766" s="1" t="s">
        <v>38</v>
      </c>
      <c r="D766" s="1" t="s">
        <v>5592</v>
      </c>
      <c r="E766" s="1" t="s">
        <v>573</v>
      </c>
      <c r="F766">
        <v>24.35</v>
      </c>
      <c r="G766">
        <v>1833.56</v>
      </c>
      <c r="H766">
        <v>1225.19</v>
      </c>
      <c r="I766">
        <v>2365.23</v>
      </c>
      <c r="J766">
        <v>277.3</v>
      </c>
      <c r="K766">
        <v>146.88999999999999</v>
      </c>
      <c r="L766">
        <v>10.130000000000001</v>
      </c>
      <c r="M766">
        <v>12.87</v>
      </c>
      <c r="N766">
        <v>147.5</v>
      </c>
      <c r="O766">
        <v>13.15</v>
      </c>
      <c r="P766">
        <v>0.64800000000000002</v>
      </c>
    </row>
    <row r="767" spans="1:16">
      <c r="A767" s="1" t="s">
        <v>567</v>
      </c>
      <c r="B767" s="3" t="s">
        <v>812</v>
      </c>
      <c r="C767" s="1" t="s">
        <v>38</v>
      </c>
      <c r="D767" s="1" t="s">
        <v>5592</v>
      </c>
      <c r="E767" s="1" t="s">
        <v>573</v>
      </c>
      <c r="F767">
        <v>309.31</v>
      </c>
      <c r="G767">
        <v>1822.07</v>
      </c>
      <c r="H767">
        <v>1069.5999999999999</v>
      </c>
      <c r="I767">
        <v>2430.11</v>
      </c>
      <c r="J767">
        <v>686.11</v>
      </c>
      <c r="K767">
        <v>140.09</v>
      </c>
      <c r="L767">
        <v>5.16</v>
      </c>
      <c r="M767">
        <v>9.7100000000000009</v>
      </c>
      <c r="N767">
        <v>48.85</v>
      </c>
      <c r="O767">
        <v>32.43</v>
      </c>
      <c r="P767">
        <v>1.19</v>
      </c>
    </row>
    <row r="768" spans="1:16">
      <c r="A768" s="1" t="s">
        <v>567</v>
      </c>
      <c r="B768" s="3" t="s">
        <v>813</v>
      </c>
      <c r="C768" s="1" t="s">
        <v>38</v>
      </c>
      <c r="D768" s="1" t="s">
        <v>5592</v>
      </c>
      <c r="E768" s="1" t="s">
        <v>573</v>
      </c>
      <c r="F768">
        <v>66.52</v>
      </c>
      <c r="G768">
        <v>1184.53</v>
      </c>
      <c r="H768">
        <v>753.41</v>
      </c>
      <c r="I768">
        <v>2366.1799999999998</v>
      </c>
      <c r="J768">
        <v>312.76</v>
      </c>
      <c r="K768">
        <v>170.08</v>
      </c>
      <c r="L768">
        <v>9.61</v>
      </c>
      <c r="M768">
        <v>11.39</v>
      </c>
      <c r="N768">
        <v>31.35</v>
      </c>
      <c r="O768">
        <v>44.13</v>
      </c>
      <c r="P768">
        <v>0.80500000000000005</v>
      </c>
    </row>
    <row r="769" spans="1:16">
      <c r="A769" s="1" t="s">
        <v>567</v>
      </c>
      <c r="B769" s="3" t="s">
        <v>814</v>
      </c>
      <c r="C769" s="1" t="s">
        <v>38</v>
      </c>
      <c r="D769" s="1" t="s">
        <v>5592</v>
      </c>
      <c r="E769" s="1" t="s">
        <v>573</v>
      </c>
      <c r="F769">
        <v>67.39</v>
      </c>
      <c r="G769">
        <v>1521.75</v>
      </c>
      <c r="H769">
        <v>1108.6199999999999</v>
      </c>
      <c r="I769">
        <v>2145.33</v>
      </c>
      <c r="J769">
        <v>172.08</v>
      </c>
      <c r="K769">
        <v>329.78</v>
      </c>
      <c r="L769">
        <v>18.72</v>
      </c>
      <c r="M769">
        <v>11.24</v>
      </c>
      <c r="N769">
        <v>240.98</v>
      </c>
      <c r="O769">
        <v>34.729999999999997</v>
      </c>
      <c r="P769">
        <v>1.39</v>
      </c>
    </row>
    <row r="770" spans="1:16">
      <c r="A770" s="1" t="s">
        <v>567</v>
      </c>
      <c r="B770" s="3" t="s">
        <v>815</v>
      </c>
      <c r="C770" s="1" t="s">
        <v>38</v>
      </c>
      <c r="D770" s="1" t="s">
        <v>5592</v>
      </c>
      <c r="E770" s="1" t="s">
        <v>573</v>
      </c>
      <c r="F770">
        <v>69.569999999999993</v>
      </c>
      <c r="G770">
        <v>1688.65</v>
      </c>
      <c r="H770">
        <v>929.28</v>
      </c>
      <c r="I770">
        <v>2705.73</v>
      </c>
      <c r="J770">
        <v>334.15</v>
      </c>
      <c r="K770">
        <v>157.88</v>
      </c>
      <c r="L770">
        <v>6.22</v>
      </c>
      <c r="M770">
        <v>12.48</v>
      </c>
      <c r="N770">
        <v>47.08</v>
      </c>
      <c r="O770">
        <v>34.61</v>
      </c>
      <c r="P770">
        <v>1.1930000000000001</v>
      </c>
    </row>
    <row r="771" spans="1:16">
      <c r="A771" s="1" t="s">
        <v>567</v>
      </c>
      <c r="B771" s="3" t="s">
        <v>816</v>
      </c>
      <c r="C771" s="1" t="s">
        <v>38</v>
      </c>
      <c r="D771" s="1" t="s">
        <v>5592</v>
      </c>
      <c r="E771" s="1" t="s">
        <v>573</v>
      </c>
      <c r="F771">
        <v>100.4</v>
      </c>
      <c r="G771">
        <v>986.19</v>
      </c>
      <c r="H771">
        <v>733.08</v>
      </c>
      <c r="I771">
        <v>2316.79</v>
      </c>
      <c r="J771">
        <v>393.3</v>
      </c>
      <c r="K771">
        <v>514.84</v>
      </c>
      <c r="L771">
        <v>21.27</v>
      </c>
      <c r="M771">
        <v>11.82</v>
      </c>
      <c r="N771">
        <v>235.96</v>
      </c>
      <c r="O771">
        <v>30.74</v>
      </c>
      <c r="P771">
        <v>0.97499999999999998</v>
      </c>
    </row>
    <row r="772" spans="1:16">
      <c r="A772" s="1" t="s">
        <v>567</v>
      </c>
      <c r="B772" s="3" t="s">
        <v>817</v>
      </c>
      <c r="C772" s="1" t="s">
        <v>38</v>
      </c>
      <c r="D772" s="1" t="s">
        <v>5592</v>
      </c>
      <c r="E772" s="1" t="s">
        <v>573</v>
      </c>
      <c r="F772">
        <v>44.43</v>
      </c>
      <c r="G772">
        <v>1590.77</v>
      </c>
      <c r="H772">
        <v>1055.1099999999999</v>
      </c>
      <c r="I772">
        <v>2040.54</v>
      </c>
      <c r="J772">
        <v>284.87</v>
      </c>
      <c r="K772">
        <v>143.37</v>
      </c>
      <c r="L772">
        <v>5.72</v>
      </c>
      <c r="M772">
        <v>12.21</v>
      </c>
      <c r="N772">
        <v>53.43</v>
      </c>
      <c r="O772">
        <v>35.86</v>
      </c>
      <c r="P772">
        <v>0.753</v>
      </c>
    </row>
    <row r="773" spans="1:16">
      <c r="A773" s="1" t="s">
        <v>567</v>
      </c>
      <c r="B773" s="3" t="s">
        <v>818</v>
      </c>
      <c r="C773" s="1" t="s">
        <v>38</v>
      </c>
      <c r="D773" s="1" t="s">
        <v>5592</v>
      </c>
      <c r="E773" s="1" t="s">
        <v>573</v>
      </c>
      <c r="F773">
        <v>110.38</v>
      </c>
      <c r="G773">
        <v>2202.91</v>
      </c>
      <c r="H773">
        <v>1292</v>
      </c>
      <c r="I773">
        <v>2042.03</v>
      </c>
      <c r="J773">
        <v>121.93</v>
      </c>
      <c r="K773">
        <v>121.13</v>
      </c>
      <c r="L773">
        <v>5.82</v>
      </c>
      <c r="M773">
        <v>12.69</v>
      </c>
      <c r="N773">
        <v>147.74</v>
      </c>
      <c r="O773">
        <v>26.7</v>
      </c>
      <c r="P773">
        <v>0.96</v>
      </c>
    </row>
    <row r="774" spans="1:16">
      <c r="A774" s="1" t="s">
        <v>567</v>
      </c>
      <c r="B774" s="3" t="s">
        <v>819</v>
      </c>
      <c r="C774" s="1" t="s">
        <v>38</v>
      </c>
      <c r="D774" s="1" t="s">
        <v>5592</v>
      </c>
      <c r="E774" s="1" t="s">
        <v>573</v>
      </c>
      <c r="F774">
        <v>151.19999999999999</v>
      </c>
      <c r="G774">
        <v>936.17</v>
      </c>
      <c r="H774">
        <v>711.23</v>
      </c>
      <c r="I774">
        <v>2212.81</v>
      </c>
      <c r="J774">
        <v>398.49</v>
      </c>
      <c r="K774">
        <v>229.47</v>
      </c>
      <c r="L774">
        <v>16.829999999999998</v>
      </c>
      <c r="M774">
        <v>14.31</v>
      </c>
      <c r="N774">
        <v>80.63</v>
      </c>
      <c r="O774">
        <v>31.79</v>
      </c>
      <c r="P774">
        <v>0.61</v>
      </c>
    </row>
    <row r="775" spans="1:16">
      <c r="A775" s="1" t="s">
        <v>567</v>
      </c>
      <c r="B775" s="3" t="s">
        <v>820</v>
      </c>
      <c r="C775" s="1" t="s">
        <v>38</v>
      </c>
      <c r="D775" s="1" t="s">
        <v>5592</v>
      </c>
      <c r="E775" s="1" t="s">
        <v>573</v>
      </c>
      <c r="F775">
        <v>61.81</v>
      </c>
      <c r="G775">
        <v>1964.88</v>
      </c>
      <c r="H775">
        <v>1347.79</v>
      </c>
      <c r="I775">
        <v>2134.1799999999998</v>
      </c>
      <c r="J775">
        <v>706.64</v>
      </c>
      <c r="K775">
        <v>173.25</v>
      </c>
      <c r="L775">
        <v>10.58</v>
      </c>
      <c r="M775">
        <v>10.77</v>
      </c>
      <c r="N775">
        <v>60.62</v>
      </c>
      <c r="O775">
        <v>26.87</v>
      </c>
      <c r="P775">
        <v>0.79900000000000004</v>
      </c>
    </row>
    <row r="776" spans="1:16">
      <c r="A776" s="1" t="s">
        <v>567</v>
      </c>
      <c r="B776" s="3" t="s">
        <v>821</v>
      </c>
      <c r="C776" s="1" t="s">
        <v>38</v>
      </c>
      <c r="D776" s="1" t="s">
        <v>5592</v>
      </c>
      <c r="E776" s="1" t="s">
        <v>573</v>
      </c>
      <c r="F776">
        <v>78.31</v>
      </c>
      <c r="G776">
        <v>1290.19</v>
      </c>
      <c r="H776">
        <v>915.56</v>
      </c>
      <c r="I776">
        <v>2475.35</v>
      </c>
      <c r="J776">
        <v>765.84</v>
      </c>
      <c r="K776">
        <v>294.85000000000002</v>
      </c>
      <c r="L776">
        <v>19.670000000000002</v>
      </c>
      <c r="M776">
        <v>13.83</v>
      </c>
      <c r="N776">
        <v>239.68</v>
      </c>
      <c r="O776">
        <v>24.46</v>
      </c>
      <c r="P776">
        <v>1.44</v>
      </c>
    </row>
    <row r="777" spans="1:16">
      <c r="A777" s="1" t="s">
        <v>567</v>
      </c>
      <c r="B777" s="3" t="s">
        <v>822</v>
      </c>
      <c r="C777" s="1" t="s">
        <v>38</v>
      </c>
      <c r="D777" s="1" t="s">
        <v>5592</v>
      </c>
      <c r="E777" s="1" t="s">
        <v>573</v>
      </c>
      <c r="F777">
        <v>43.52</v>
      </c>
      <c r="G777">
        <v>1496.65</v>
      </c>
      <c r="H777">
        <v>1008.71</v>
      </c>
      <c r="I777">
        <v>2373.17</v>
      </c>
      <c r="J777">
        <v>193.07</v>
      </c>
      <c r="K777">
        <v>164.61</v>
      </c>
      <c r="L777">
        <v>12.51</v>
      </c>
      <c r="M777">
        <v>10.64</v>
      </c>
      <c r="N777">
        <v>215.39</v>
      </c>
      <c r="O777">
        <v>15.78</v>
      </c>
      <c r="P777">
        <v>1.1399999999999999</v>
      </c>
    </row>
    <row r="778" spans="1:16">
      <c r="A778" s="1" t="s">
        <v>567</v>
      </c>
      <c r="B778" s="3" t="s">
        <v>823</v>
      </c>
      <c r="C778" s="1" t="s">
        <v>38</v>
      </c>
      <c r="D778" s="1" t="s">
        <v>5592</v>
      </c>
      <c r="E778" s="1" t="s">
        <v>573</v>
      </c>
      <c r="F778">
        <v>340.21</v>
      </c>
      <c r="G778">
        <v>1730.97</v>
      </c>
      <c r="H778">
        <v>935.79</v>
      </c>
      <c r="I778">
        <v>2281.62</v>
      </c>
      <c r="J778">
        <v>539.08000000000004</v>
      </c>
      <c r="K778">
        <v>240.73</v>
      </c>
      <c r="L778">
        <v>13.59</v>
      </c>
      <c r="M778">
        <v>11.28</v>
      </c>
      <c r="N778">
        <v>54.1</v>
      </c>
      <c r="O778">
        <v>32.64</v>
      </c>
      <c r="P778">
        <v>0.94</v>
      </c>
    </row>
    <row r="779" spans="1:16">
      <c r="A779" s="1" t="s">
        <v>567</v>
      </c>
      <c r="B779" s="3" t="s">
        <v>824</v>
      </c>
      <c r="C779" s="1" t="s">
        <v>38</v>
      </c>
      <c r="D779" s="1" t="s">
        <v>5592</v>
      </c>
      <c r="E779" s="1" t="s">
        <v>573</v>
      </c>
      <c r="F779">
        <v>256.95</v>
      </c>
      <c r="G779">
        <v>1647.36</v>
      </c>
      <c r="H779">
        <v>695.77</v>
      </c>
      <c r="I779">
        <v>2505.44</v>
      </c>
      <c r="J779">
        <v>219.63</v>
      </c>
      <c r="K779">
        <v>195.25</v>
      </c>
      <c r="L779">
        <v>10.91</v>
      </c>
      <c r="M779">
        <v>11.92</v>
      </c>
      <c r="N779">
        <v>47.38</v>
      </c>
      <c r="O779">
        <v>30.55</v>
      </c>
      <c r="P779">
        <v>0.87</v>
      </c>
    </row>
    <row r="780" spans="1:16">
      <c r="A780" s="1" t="s">
        <v>567</v>
      </c>
      <c r="B780" s="3" t="s">
        <v>825</v>
      </c>
      <c r="C780" s="1" t="s">
        <v>38</v>
      </c>
      <c r="D780" s="1" t="s">
        <v>5592</v>
      </c>
      <c r="E780" s="1" t="s">
        <v>573</v>
      </c>
      <c r="F780">
        <v>55.63</v>
      </c>
      <c r="G780">
        <v>1566.75</v>
      </c>
      <c r="H780">
        <v>1038.1099999999999</v>
      </c>
      <c r="I780">
        <v>1919.58</v>
      </c>
      <c r="J780">
        <v>245.87</v>
      </c>
      <c r="K780">
        <v>245.39</v>
      </c>
      <c r="L780">
        <v>17.559999999999999</v>
      </c>
      <c r="M780">
        <v>11.92</v>
      </c>
      <c r="N780">
        <v>261.29000000000002</v>
      </c>
      <c r="O780">
        <v>26.92</v>
      </c>
      <c r="P780">
        <v>0.92</v>
      </c>
    </row>
    <row r="781" spans="1:16">
      <c r="A781" s="1" t="s">
        <v>567</v>
      </c>
      <c r="B781" s="3" t="s">
        <v>826</v>
      </c>
      <c r="C781" s="1" t="s">
        <v>38</v>
      </c>
      <c r="D781" s="1" t="s">
        <v>5592</v>
      </c>
      <c r="E781" s="1" t="s">
        <v>573</v>
      </c>
      <c r="F781">
        <v>147.91</v>
      </c>
      <c r="G781">
        <v>1568.19</v>
      </c>
      <c r="H781">
        <v>980.98</v>
      </c>
      <c r="I781">
        <v>2589.15</v>
      </c>
      <c r="J781">
        <v>305.63</v>
      </c>
      <c r="K781">
        <v>591.87</v>
      </c>
      <c r="L781">
        <v>19.170000000000002</v>
      </c>
      <c r="M781">
        <v>13.16</v>
      </c>
      <c r="N781">
        <v>205.35</v>
      </c>
      <c r="O781">
        <v>32.89</v>
      </c>
      <c r="P781">
        <v>1.82</v>
      </c>
    </row>
    <row r="782" spans="1:16">
      <c r="A782" s="1" t="s">
        <v>567</v>
      </c>
      <c r="B782" s="3" t="s">
        <v>827</v>
      </c>
      <c r="C782" s="1" t="s">
        <v>38</v>
      </c>
      <c r="D782" s="1" t="s">
        <v>5592</v>
      </c>
      <c r="E782" s="1" t="s">
        <v>573</v>
      </c>
      <c r="F782">
        <v>77.099999999999994</v>
      </c>
      <c r="G782">
        <v>1525.19</v>
      </c>
      <c r="H782">
        <v>687.23</v>
      </c>
      <c r="I782">
        <v>2344.2600000000002</v>
      </c>
      <c r="J782">
        <v>389.82</v>
      </c>
      <c r="K782">
        <v>271.64999999999998</v>
      </c>
      <c r="L782">
        <v>21.64</v>
      </c>
      <c r="M782">
        <v>12.6</v>
      </c>
      <c r="N782">
        <v>377.23</v>
      </c>
      <c r="O782">
        <v>46.45</v>
      </c>
      <c r="P782">
        <v>0.56999999999999995</v>
      </c>
    </row>
    <row r="783" spans="1:16">
      <c r="A783" s="1" t="s">
        <v>567</v>
      </c>
      <c r="B783" s="3" t="s">
        <v>828</v>
      </c>
      <c r="C783" s="1" t="s">
        <v>38</v>
      </c>
      <c r="D783" s="1" t="s">
        <v>5592</v>
      </c>
      <c r="E783" s="1" t="s">
        <v>573</v>
      </c>
      <c r="F783">
        <v>57.69</v>
      </c>
      <c r="G783">
        <v>807.93</v>
      </c>
      <c r="H783">
        <v>573.65</v>
      </c>
      <c r="I783">
        <v>1820.22</v>
      </c>
      <c r="J783">
        <v>187.65</v>
      </c>
      <c r="K783">
        <v>362.92</v>
      </c>
      <c r="L783">
        <v>19.559999999999999</v>
      </c>
      <c r="M783">
        <v>9.94</v>
      </c>
      <c r="N783">
        <v>190.32</v>
      </c>
      <c r="O783">
        <v>34.770000000000003</v>
      </c>
      <c r="P783">
        <v>0.63800000000000001</v>
      </c>
    </row>
    <row r="784" spans="1:16">
      <c r="A784" s="1" t="s">
        <v>567</v>
      </c>
      <c r="B784" s="3" t="s">
        <v>829</v>
      </c>
      <c r="C784" s="1" t="s">
        <v>38</v>
      </c>
      <c r="D784" s="1" t="s">
        <v>5592</v>
      </c>
      <c r="E784" s="1" t="s">
        <v>573</v>
      </c>
      <c r="F784">
        <v>102.87</v>
      </c>
      <c r="G784">
        <v>995.52</v>
      </c>
      <c r="H784">
        <v>855.49</v>
      </c>
      <c r="I784">
        <v>2514.89</v>
      </c>
      <c r="J784">
        <v>429.13</v>
      </c>
      <c r="K784">
        <v>626.34</v>
      </c>
      <c r="L784">
        <v>21.36</v>
      </c>
      <c r="M784">
        <v>12.46</v>
      </c>
      <c r="N784">
        <v>285.76</v>
      </c>
      <c r="O784">
        <v>38.21</v>
      </c>
      <c r="P784">
        <v>2.34</v>
      </c>
    </row>
    <row r="785" spans="1:16">
      <c r="A785" s="1" t="s">
        <v>567</v>
      </c>
      <c r="B785" s="3" t="s">
        <v>830</v>
      </c>
      <c r="C785" s="1" t="s">
        <v>38</v>
      </c>
      <c r="D785" s="1" t="s">
        <v>5592</v>
      </c>
      <c r="E785" s="1" t="s">
        <v>573</v>
      </c>
      <c r="F785">
        <v>207.65</v>
      </c>
      <c r="G785">
        <v>1690.19</v>
      </c>
      <c r="H785">
        <v>1170.53</v>
      </c>
      <c r="I785">
        <v>2555.5100000000002</v>
      </c>
      <c r="J785">
        <v>906.75</v>
      </c>
      <c r="K785">
        <v>287.12</v>
      </c>
      <c r="L785">
        <v>1.2430000000000001</v>
      </c>
      <c r="M785">
        <v>10.9</v>
      </c>
      <c r="N785">
        <v>27.75</v>
      </c>
      <c r="O785">
        <v>87.88</v>
      </c>
      <c r="P785">
        <v>1.43</v>
      </c>
    </row>
    <row r="786" spans="1:16">
      <c r="A786" s="1" t="s">
        <v>567</v>
      </c>
      <c r="B786" s="3" t="s">
        <v>831</v>
      </c>
      <c r="C786" s="1" t="s">
        <v>38</v>
      </c>
      <c r="D786" s="1" t="s">
        <v>5592</v>
      </c>
      <c r="E786" s="1" t="s">
        <v>573</v>
      </c>
      <c r="F786">
        <v>50.56</v>
      </c>
      <c r="G786">
        <v>1918.89</v>
      </c>
      <c r="H786">
        <v>1062.73</v>
      </c>
      <c r="I786">
        <v>2570.5500000000002</v>
      </c>
      <c r="J786">
        <v>780.57</v>
      </c>
      <c r="K786">
        <v>194.59</v>
      </c>
      <c r="L786">
        <v>8.64</v>
      </c>
      <c r="M786">
        <v>11.7</v>
      </c>
      <c r="N786">
        <v>74.709999999999994</v>
      </c>
      <c r="O786">
        <v>34.6</v>
      </c>
      <c r="P786">
        <v>0.871</v>
      </c>
    </row>
    <row r="787" spans="1:16">
      <c r="A787" s="1" t="s">
        <v>567</v>
      </c>
      <c r="B787" s="3" t="s">
        <v>832</v>
      </c>
      <c r="C787" s="1" t="s">
        <v>38</v>
      </c>
      <c r="D787" s="1" t="s">
        <v>5592</v>
      </c>
      <c r="E787" s="1" t="s">
        <v>573</v>
      </c>
      <c r="F787">
        <v>349.12</v>
      </c>
      <c r="G787">
        <v>3154.71</v>
      </c>
      <c r="H787">
        <v>1227.02</v>
      </c>
      <c r="I787">
        <v>2726.16</v>
      </c>
      <c r="J787">
        <v>982.83</v>
      </c>
      <c r="K787">
        <v>173.65</v>
      </c>
      <c r="L787">
        <v>8.77</v>
      </c>
      <c r="M787">
        <v>9.2200000000000006</v>
      </c>
      <c r="N787">
        <v>73.25</v>
      </c>
      <c r="O787">
        <v>45.53</v>
      </c>
      <c r="P787">
        <v>2.15</v>
      </c>
    </row>
    <row r="788" spans="1:16">
      <c r="A788" s="1" t="s">
        <v>567</v>
      </c>
      <c r="B788" s="3" t="s">
        <v>833</v>
      </c>
      <c r="C788" s="1" t="s">
        <v>38</v>
      </c>
      <c r="D788" s="1" t="s">
        <v>5592</v>
      </c>
      <c r="E788" s="1" t="s">
        <v>573</v>
      </c>
      <c r="F788">
        <v>502.3</v>
      </c>
      <c r="G788">
        <v>2990.66</v>
      </c>
      <c r="H788">
        <v>1317.34</v>
      </c>
      <c r="I788">
        <v>1795.53</v>
      </c>
      <c r="J788">
        <v>154.61000000000001</v>
      </c>
      <c r="K788">
        <v>251.25</v>
      </c>
      <c r="L788">
        <v>12.53</v>
      </c>
      <c r="M788">
        <v>11.99</v>
      </c>
      <c r="N788">
        <v>97.93</v>
      </c>
      <c r="O788">
        <v>39.619999999999997</v>
      </c>
      <c r="P788">
        <v>2.04</v>
      </c>
    </row>
    <row r="789" spans="1:16">
      <c r="A789" s="1" t="s">
        <v>567</v>
      </c>
      <c r="B789" s="3" t="s">
        <v>834</v>
      </c>
      <c r="C789" s="1" t="s">
        <v>38</v>
      </c>
      <c r="D789" s="1" t="s">
        <v>5592</v>
      </c>
      <c r="E789" s="1" t="s">
        <v>573</v>
      </c>
      <c r="F789">
        <v>138.08000000000001</v>
      </c>
      <c r="G789">
        <v>1874.27</v>
      </c>
      <c r="H789">
        <v>924.06</v>
      </c>
      <c r="I789">
        <v>2196.4</v>
      </c>
      <c r="J789">
        <v>64.75</v>
      </c>
      <c r="K789">
        <v>153.84</v>
      </c>
      <c r="L789">
        <v>8.16</v>
      </c>
      <c r="M789">
        <v>10.94</v>
      </c>
      <c r="N789">
        <v>44.58</v>
      </c>
      <c r="O789">
        <v>26.67</v>
      </c>
      <c r="P789">
        <v>0.76700000000000002</v>
      </c>
    </row>
    <row r="790" spans="1:16">
      <c r="A790" s="1" t="s">
        <v>567</v>
      </c>
      <c r="B790" s="3" t="s">
        <v>835</v>
      </c>
      <c r="C790" s="1" t="s">
        <v>38</v>
      </c>
      <c r="D790" s="1" t="s">
        <v>5592</v>
      </c>
      <c r="E790" s="1" t="s">
        <v>573</v>
      </c>
      <c r="F790">
        <v>228.1</v>
      </c>
      <c r="G790">
        <v>1566.32</v>
      </c>
      <c r="H790">
        <v>1005.81</v>
      </c>
      <c r="I790">
        <v>2235</v>
      </c>
      <c r="J790">
        <v>269.52</v>
      </c>
      <c r="K790">
        <v>196.31</v>
      </c>
      <c r="L790">
        <v>8.4700000000000006</v>
      </c>
      <c r="M790">
        <v>12.04</v>
      </c>
      <c r="N790">
        <v>44.78</v>
      </c>
      <c r="O790">
        <v>33.25</v>
      </c>
      <c r="P790">
        <v>0.89</v>
      </c>
    </row>
    <row r="791" spans="1:16">
      <c r="A791" s="1" t="s">
        <v>567</v>
      </c>
      <c r="B791" s="3" t="s">
        <v>836</v>
      </c>
      <c r="C791" s="1" t="s">
        <v>38</v>
      </c>
      <c r="D791" s="1" t="s">
        <v>5592</v>
      </c>
      <c r="E791" s="1" t="s">
        <v>573</v>
      </c>
      <c r="F791">
        <v>119.92</v>
      </c>
      <c r="G791">
        <v>2571.14</v>
      </c>
      <c r="H791">
        <v>1109.67</v>
      </c>
      <c r="I791">
        <v>2334.2199999999998</v>
      </c>
      <c r="J791">
        <v>198.33</v>
      </c>
      <c r="K791">
        <v>146.74</v>
      </c>
      <c r="L791">
        <v>10.29</v>
      </c>
      <c r="M791">
        <v>12.71</v>
      </c>
      <c r="N791">
        <v>112</v>
      </c>
      <c r="O791">
        <v>27.51</v>
      </c>
      <c r="P791">
        <v>0.96</v>
      </c>
    </row>
    <row r="792" spans="1:16">
      <c r="A792" s="1" t="s">
        <v>567</v>
      </c>
      <c r="B792" s="3" t="s">
        <v>837</v>
      </c>
      <c r="C792" s="1" t="s">
        <v>38</v>
      </c>
      <c r="D792" s="1" t="s">
        <v>5592</v>
      </c>
      <c r="E792" s="1" t="s">
        <v>573</v>
      </c>
      <c r="F792">
        <v>255.33</v>
      </c>
      <c r="G792">
        <v>1706.96</v>
      </c>
      <c r="H792">
        <v>631.13</v>
      </c>
      <c r="I792">
        <v>2072.0100000000002</v>
      </c>
      <c r="J792">
        <v>155.9</v>
      </c>
      <c r="K792">
        <v>238.41</v>
      </c>
      <c r="L792">
        <v>13.92</v>
      </c>
      <c r="M792">
        <v>11.72</v>
      </c>
      <c r="N792">
        <v>73.989999999999995</v>
      </c>
      <c r="O792">
        <v>25.81</v>
      </c>
      <c r="P792">
        <v>0.98099999999999998</v>
      </c>
    </row>
    <row r="793" spans="1:16">
      <c r="A793" s="1" t="s">
        <v>567</v>
      </c>
      <c r="B793" s="3" t="s">
        <v>838</v>
      </c>
      <c r="C793" s="1" t="s">
        <v>38</v>
      </c>
      <c r="D793" s="1" t="s">
        <v>5592</v>
      </c>
      <c r="E793" s="1" t="s">
        <v>573</v>
      </c>
      <c r="F793">
        <v>67.64</v>
      </c>
      <c r="G793">
        <v>1063.6199999999999</v>
      </c>
      <c r="H793">
        <v>696.01</v>
      </c>
      <c r="I793">
        <v>2170.58</v>
      </c>
      <c r="J793">
        <v>463.83</v>
      </c>
      <c r="K793">
        <v>315.37</v>
      </c>
      <c r="L793">
        <v>17.670000000000002</v>
      </c>
      <c r="M793">
        <v>10.86</v>
      </c>
      <c r="N793">
        <v>195.82</v>
      </c>
      <c r="O793">
        <v>38.479999999999997</v>
      </c>
      <c r="P793">
        <v>0.79700000000000004</v>
      </c>
    </row>
    <row r="794" spans="1:16">
      <c r="A794" s="1" t="s">
        <v>567</v>
      </c>
      <c r="B794" s="3" t="s">
        <v>839</v>
      </c>
      <c r="C794" s="1" t="s">
        <v>38</v>
      </c>
      <c r="D794" s="1" t="s">
        <v>5592</v>
      </c>
      <c r="E794" s="1" t="s">
        <v>573</v>
      </c>
      <c r="F794">
        <v>44.01</v>
      </c>
      <c r="G794">
        <v>1447.49</v>
      </c>
      <c r="H794">
        <v>800.25</v>
      </c>
      <c r="I794">
        <v>1949.47</v>
      </c>
      <c r="J794">
        <v>337.1</v>
      </c>
      <c r="K794">
        <v>118.18</v>
      </c>
      <c r="L794">
        <v>11.93</v>
      </c>
      <c r="M794">
        <v>12.38</v>
      </c>
      <c r="N794">
        <v>305.20999999999998</v>
      </c>
      <c r="O794">
        <v>20.85</v>
      </c>
      <c r="P794">
        <v>0.99399999999999999</v>
      </c>
    </row>
    <row r="795" spans="1:16">
      <c r="A795" s="1" t="s">
        <v>567</v>
      </c>
      <c r="B795" s="3" t="s">
        <v>840</v>
      </c>
      <c r="C795" s="1" t="s">
        <v>38</v>
      </c>
      <c r="D795" s="1" t="s">
        <v>5592</v>
      </c>
      <c r="E795" s="1" t="s">
        <v>573</v>
      </c>
      <c r="F795">
        <v>32.65</v>
      </c>
      <c r="G795">
        <v>1333.42</v>
      </c>
      <c r="H795">
        <v>1135.6099999999999</v>
      </c>
      <c r="I795">
        <v>1860.08</v>
      </c>
      <c r="J795">
        <v>1891.51</v>
      </c>
      <c r="K795">
        <v>278.11</v>
      </c>
      <c r="L795">
        <v>13.02</v>
      </c>
      <c r="M795">
        <v>13.98</v>
      </c>
      <c r="N795">
        <v>357.08</v>
      </c>
      <c r="O795">
        <v>19.73</v>
      </c>
      <c r="P795">
        <v>1.18</v>
      </c>
    </row>
    <row r="796" spans="1:16">
      <c r="A796" s="1" t="s">
        <v>567</v>
      </c>
      <c r="B796" s="3" t="s">
        <v>841</v>
      </c>
      <c r="C796" s="1" t="s">
        <v>38</v>
      </c>
      <c r="D796" s="1" t="s">
        <v>5592</v>
      </c>
      <c r="E796" s="1" t="s">
        <v>573</v>
      </c>
      <c r="F796">
        <v>94.17</v>
      </c>
      <c r="G796">
        <v>1941.49</v>
      </c>
      <c r="H796">
        <v>1136.5999999999999</v>
      </c>
      <c r="I796">
        <v>2003.04</v>
      </c>
      <c r="J796">
        <v>2701.23</v>
      </c>
      <c r="K796">
        <v>151.96</v>
      </c>
      <c r="L796">
        <v>4.68</v>
      </c>
      <c r="M796">
        <v>13.91</v>
      </c>
      <c r="N796">
        <v>49.24</v>
      </c>
      <c r="O796">
        <v>41.67</v>
      </c>
      <c r="P796">
        <v>0.50700000000000001</v>
      </c>
    </row>
    <row r="797" spans="1:16">
      <c r="A797" s="1" t="s">
        <v>567</v>
      </c>
      <c r="B797" s="3" t="s">
        <v>842</v>
      </c>
      <c r="C797" s="1" t="s">
        <v>38</v>
      </c>
      <c r="D797" s="1" t="s">
        <v>5592</v>
      </c>
      <c r="E797" s="1" t="s">
        <v>573</v>
      </c>
      <c r="F797">
        <v>72</v>
      </c>
      <c r="G797">
        <v>1299.42</v>
      </c>
      <c r="H797">
        <v>897.71</v>
      </c>
      <c r="I797">
        <v>2265.1999999999998</v>
      </c>
      <c r="J797">
        <v>830.45</v>
      </c>
      <c r="K797">
        <v>457.45</v>
      </c>
      <c r="L797">
        <v>19.82</v>
      </c>
      <c r="M797">
        <v>14.12</v>
      </c>
      <c r="N797">
        <v>358.08</v>
      </c>
      <c r="O797">
        <v>29.34</v>
      </c>
      <c r="P797">
        <v>1.33</v>
      </c>
    </row>
    <row r="798" spans="1:16">
      <c r="A798" s="1" t="s">
        <v>567</v>
      </c>
      <c r="B798" s="3" t="s">
        <v>843</v>
      </c>
      <c r="C798" s="1" t="s">
        <v>38</v>
      </c>
      <c r="D798" s="1" t="s">
        <v>5592</v>
      </c>
      <c r="E798" s="1" t="s">
        <v>573</v>
      </c>
      <c r="F798">
        <v>110.55</v>
      </c>
      <c r="G798">
        <v>1546.33</v>
      </c>
      <c r="H798">
        <v>1085.1400000000001</v>
      </c>
      <c r="I798">
        <v>2570.13</v>
      </c>
      <c r="J798">
        <v>694.97</v>
      </c>
      <c r="K798">
        <v>201.58</v>
      </c>
      <c r="L798">
        <v>6.61</v>
      </c>
      <c r="M798">
        <v>11.32</v>
      </c>
      <c r="N798">
        <v>33.119999999999997</v>
      </c>
      <c r="O798">
        <v>48.7</v>
      </c>
      <c r="P798">
        <v>1.71</v>
      </c>
    </row>
    <row r="799" spans="1:16">
      <c r="A799" s="1" t="s">
        <v>567</v>
      </c>
      <c r="B799" s="3" t="s">
        <v>844</v>
      </c>
      <c r="C799" s="1" t="s">
        <v>38</v>
      </c>
      <c r="D799" s="1" t="s">
        <v>5592</v>
      </c>
      <c r="E799" s="1" t="s">
        <v>573</v>
      </c>
      <c r="F799">
        <v>63.53</v>
      </c>
      <c r="G799">
        <v>1304.68</v>
      </c>
      <c r="H799">
        <v>888.22</v>
      </c>
      <c r="I799">
        <v>1742.17</v>
      </c>
      <c r="J799">
        <v>168.98</v>
      </c>
      <c r="K799">
        <v>299.25</v>
      </c>
      <c r="L799">
        <v>17.16</v>
      </c>
      <c r="M799">
        <v>11.58</v>
      </c>
      <c r="N799">
        <v>250.01</v>
      </c>
      <c r="O799">
        <v>25.57</v>
      </c>
      <c r="P799">
        <v>1.0029999999999999</v>
      </c>
    </row>
    <row r="800" spans="1:16">
      <c r="A800" s="1" t="s">
        <v>567</v>
      </c>
      <c r="B800" s="3" t="s">
        <v>845</v>
      </c>
      <c r="C800" s="1" t="s">
        <v>38</v>
      </c>
      <c r="D800" s="1" t="s">
        <v>5592</v>
      </c>
      <c r="E800" s="1" t="s">
        <v>573</v>
      </c>
      <c r="F800">
        <v>44.06</v>
      </c>
      <c r="G800">
        <v>1698.88</v>
      </c>
      <c r="H800">
        <v>1148.51</v>
      </c>
      <c r="I800">
        <v>1828.28</v>
      </c>
      <c r="J800">
        <v>297.76</v>
      </c>
      <c r="K800">
        <v>142.05000000000001</v>
      </c>
      <c r="L800">
        <v>6.23</v>
      </c>
      <c r="M800">
        <v>14.44</v>
      </c>
      <c r="N800">
        <v>105.08</v>
      </c>
      <c r="O800">
        <v>22.83</v>
      </c>
      <c r="P800">
        <v>0.69299999999999995</v>
      </c>
    </row>
    <row r="801" spans="1:16">
      <c r="A801" s="1" t="s">
        <v>567</v>
      </c>
      <c r="B801" s="3" t="s">
        <v>846</v>
      </c>
      <c r="C801" s="1" t="s">
        <v>38</v>
      </c>
      <c r="D801" s="1" t="s">
        <v>5592</v>
      </c>
      <c r="E801" s="1" t="s">
        <v>573</v>
      </c>
      <c r="F801">
        <v>100.25</v>
      </c>
      <c r="G801">
        <v>1092.51</v>
      </c>
      <c r="H801">
        <v>897.12</v>
      </c>
      <c r="I801">
        <v>2517.46</v>
      </c>
      <c r="J801">
        <v>734.29</v>
      </c>
      <c r="K801">
        <v>455.65</v>
      </c>
      <c r="L801">
        <v>20.69</v>
      </c>
      <c r="M801">
        <v>11.92</v>
      </c>
      <c r="N801">
        <v>265.35000000000002</v>
      </c>
      <c r="O801">
        <v>37.08</v>
      </c>
      <c r="P801">
        <v>1.89</v>
      </c>
    </row>
    <row r="802" spans="1:16">
      <c r="A802" s="1" t="s">
        <v>567</v>
      </c>
      <c r="B802" s="3" t="s">
        <v>847</v>
      </c>
      <c r="C802" s="1" t="s">
        <v>38</v>
      </c>
      <c r="D802" s="1" t="s">
        <v>5592</v>
      </c>
      <c r="E802" s="1" t="s">
        <v>573</v>
      </c>
      <c r="F802">
        <v>85.64</v>
      </c>
      <c r="G802">
        <v>975.4</v>
      </c>
      <c r="H802">
        <v>793.77</v>
      </c>
      <c r="I802">
        <v>2629.03</v>
      </c>
      <c r="J802">
        <v>578</v>
      </c>
      <c r="K802">
        <v>351.47</v>
      </c>
      <c r="L802">
        <v>22.41</v>
      </c>
      <c r="M802">
        <v>14.3</v>
      </c>
      <c r="N802">
        <v>223.36</v>
      </c>
      <c r="O802">
        <v>39.409999999999997</v>
      </c>
      <c r="P802">
        <v>1.3</v>
      </c>
    </row>
    <row r="803" spans="1:16">
      <c r="A803" s="1" t="s">
        <v>567</v>
      </c>
      <c r="B803" s="3" t="s">
        <v>848</v>
      </c>
      <c r="C803" s="1" t="s">
        <v>38</v>
      </c>
      <c r="D803" s="1" t="s">
        <v>5592</v>
      </c>
      <c r="E803" s="1" t="s">
        <v>573</v>
      </c>
      <c r="F803">
        <v>68.92</v>
      </c>
      <c r="G803">
        <v>1314.99</v>
      </c>
      <c r="H803">
        <v>975.05</v>
      </c>
      <c r="I803">
        <v>1725.78</v>
      </c>
      <c r="J803">
        <v>1105.54</v>
      </c>
      <c r="K803">
        <v>114.93</v>
      </c>
      <c r="L803">
        <v>7.77</v>
      </c>
      <c r="M803">
        <v>13.34</v>
      </c>
      <c r="N803">
        <v>32.01</v>
      </c>
      <c r="O803">
        <v>27.55</v>
      </c>
      <c r="P803">
        <v>0.65800000000000003</v>
      </c>
    </row>
    <row r="804" spans="1:16">
      <c r="A804" s="1" t="s">
        <v>567</v>
      </c>
      <c r="B804" s="3" t="s">
        <v>849</v>
      </c>
      <c r="C804" s="1" t="s">
        <v>38</v>
      </c>
      <c r="D804" s="1" t="s">
        <v>5592</v>
      </c>
      <c r="E804" s="1" t="s">
        <v>573</v>
      </c>
      <c r="F804">
        <v>460.03</v>
      </c>
      <c r="G804">
        <v>3310.93</v>
      </c>
      <c r="H804">
        <v>995.69</v>
      </c>
      <c r="I804">
        <v>2088.31</v>
      </c>
      <c r="J804">
        <v>53.13</v>
      </c>
      <c r="K804">
        <v>110.84</v>
      </c>
      <c r="L804">
        <v>5.33</v>
      </c>
      <c r="M804">
        <v>12</v>
      </c>
      <c r="N804">
        <v>57.8</v>
      </c>
      <c r="O804">
        <v>21.12</v>
      </c>
      <c r="P804">
        <v>0.54</v>
      </c>
    </row>
    <row r="805" spans="1:16">
      <c r="A805" s="1" t="s">
        <v>567</v>
      </c>
      <c r="B805" s="3" t="s">
        <v>850</v>
      </c>
      <c r="C805" s="1" t="s">
        <v>38</v>
      </c>
      <c r="D805" s="1" t="s">
        <v>5592</v>
      </c>
      <c r="E805" s="1" t="s">
        <v>573</v>
      </c>
      <c r="F805">
        <v>386.43</v>
      </c>
      <c r="G805">
        <v>2226.59</v>
      </c>
      <c r="H805">
        <v>1065.55</v>
      </c>
      <c r="I805">
        <v>2458.56</v>
      </c>
      <c r="J805">
        <v>739.55</v>
      </c>
      <c r="K805">
        <v>184.87</v>
      </c>
      <c r="L805">
        <v>9.17</v>
      </c>
      <c r="M805">
        <v>11.37</v>
      </c>
      <c r="N805">
        <v>89.42</v>
      </c>
      <c r="O805">
        <v>36.86</v>
      </c>
      <c r="P805">
        <v>0.61</v>
      </c>
    </row>
    <row r="806" spans="1:16">
      <c r="A806" s="1" t="s">
        <v>567</v>
      </c>
      <c r="B806" s="3" t="s">
        <v>851</v>
      </c>
      <c r="C806" s="1" t="s">
        <v>38</v>
      </c>
      <c r="D806" s="1" t="s">
        <v>5592</v>
      </c>
      <c r="E806" s="1" t="s">
        <v>573</v>
      </c>
      <c r="F806">
        <v>369.12</v>
      </c>
      <c r="G806">
        <v>4304.9799999999996</v>
      </c>
      <c r="H806">
        <v>1482.31</v>
      </c>
      <c r="I806">
        <v>2128.34</v>
      </c>
      <c r="J806">
        <v>1358.82</v>
      </c>
      <c r="K806">
        <v>139.9</v>
      </c>
      <c r="L806">
        <v>11.48</v>
      </c>
      <c r="M806">
        <v>11.34</v>
      </c>
      <c r="N806">
        <v>158.77000000000001</v>
      </c>
      <c r="O806">
        <v>24.43</v>
      </c>
      <c r="P806">
        <v>1.57</v>
      </c>
    </row>
    <row r="807" spans="1:16">
      <c r="A807" s="1" t="s">
        <v>567</v>
      </c>
      <c r="B807" s="3" t="s">
        <v>852</v>
      </c>
      <c r="C807" s="1" t="s">
        <v>38</v>
      </c>
      <c r="D807" s="1" t="s">
        <v>5592</v>
      </c>
      <c r="E807" s="1" t="s">
        <v>573</v>
      </c>
      <c r="F807">
        <v>39.26</v>
      </c>
      <c r="G807">
        <v>1085.68</v>
      </c>
      <c r="H807">
        <v>788.14</v>
      </c>
      <c r="I807">
        <v>1750.24</v>
      </c>
      <c r="J807">
        <v>795.51</v>
      </c>
      <c r="K807">
        <v>389.58</v>
      </c>
      <c r="L807">
        <v>17.73</v>
      </c>
      <c r="M807">
        <v>10.55</v>
      </c>
      <c r="N807">
        <v>322.04000000000002</v>
      </c>
      <c r="O807">
        <v>22.74</v>
      </c>
      <c r="P807">
        <v>0.249</v>
      </c>
    </row>
    <row r="808" spans="1:16">
      <c r="A808" s="1" t="s">
        <v>567</v>
      </c>
      <c r="B808" s="3" t="s">
        <v>853</v>
      </c>
      <c r="C808" s="1" t="s">
        <v>38</v>
      </c>
      <c r="D808" s="1" t="s">
        <v>5592</v>
      </c>
      <c r="E808" s="1" t="s">
        <v>573</v>
      </c>
      <c r="F808">
        <v>47.73</v>
      </c>
      <c r="G808">
        <v>1397.39</v>
      </c>
      <c r="H808">
        <v>876.32</v>
      </c>
      <c r="I808">
        <v>2197.66</v>
      </c>
      <c r="J808">
        <v>36.24</v>
      </c>
      <c r="K808">
        <v>274.5</v>
      </c>
      <c r="L808">
        <v>18.29</v>
      </c>
      <c r="M808">
        <v>9.58</v>
      </c>
      <c r="N808">
        <v>234.21</v>
      </c>
      <c r="O808">
        <v>32.270000000000003</v>
      </c>
      <c r="P808">
        <v>1.37</v>
      </c>
    </row>
    <row r="809" spans="1:16">
      <c r="A809" s="1" t="s">
        <v>567</v>
      </c>
      <c r="B809" s="3" t="s">
        <v>854</v>
      </c>
      <c r="C809" s="1" t="s">
        <v>38</v>
      </c>
      <c r="D809" s="1" t="s">
        <v>5592</v>
      </c>
      <c r="E809" s="1" t="s">
        <v>573</v>
      </c>
      <c r="F809">
        <v>79.12</v>
      </c>
      <c r="G809">
        <v>1840.52</v>
      </c>
      <c r="H809">
        <v>1160.3399999999999</v>
      </c>
      <c r="I809">
        <v>2310.13</v>
      </c>
      <c r="J809">
        <v>505.27</v>
      </c>
      <c r="K809">
        <v>117.65</v>
      </c>
      <c r="L809">
        <v>4.04</v>
      </c>
      <c r="M809">
        <v>9.94</v>
      </c>
      <c r="N809">
        <v>86.17</v>
      </c>
      <c r="O809">
        <v>27.18</v>
      </c>
      <c r="P809">
        <v>0.83899999999999997</v>
      </c>
    </row>
    <row r="810" spans="1:16">
      <c r="A810" s="1" t="s">
        <v>567</v>
      </c>
      <c r="B810" s="3" t="s">
        <v>855</v>
      </c>
      <c r="C810" s="1" t="s">
        <v>38</v>
      </c>
      <c r="D810" s="1" t="s">
        <v>5592</v>
      </c>
      <c r="E810" s="1" t="s">
        <v>573</v>
      </c>
      <c r="F810">
        <v>67.09</v>
      </c>
      <c r="G810">
        <v>1862.06</v>
      </c>
      <c r="H810">
        <v>1025.5899999999999</v>
      </c>
      <c r="I810">
        <v>2479.2800000000002</v>
      </c>
      <c r="J810">
        <v>699.27</v>
      </c>
      <c r="K810">
        <v>125.32</v>
      </c>
      <c r="L810">
        <v>4.3600000000000003</v>
      </c>
      <c r="M810">
        <v>16.21</v>
      </c>
      <c r="N810">
        <v>73.69</v>
      </c>
      <c r="O810">
        <v>43.05</v>
      </c>
      <c r="P810">
        <v>0.69799999999999995</v>
      </c>
    </row>
    <row r="811" spans="1:16">
      <c r="A811" s="1" t="s">
        <v>567</v>
      </c>
      <c r="B811" s="3" t="s">
        <v>856</v>
      </c>
      <c r="C811" s="1" t="s">
        <v>38</v>
      </c>
      <c r="D811" s="1" t="s">
        <v>5592</v>
      </c>
      <c r="E811" s="1" t="s">
        <v>573</v>
      </c>
      <c r="F811">
        <v>139.84</v>
      </c>
      <c r="G811">
        <v>1726.96</v>
      </c>
      <c r="H811">
        <v>1184.76</v>
      </c>
      <c r="I811">
        <v>2679.87</v>
      </c>
      <c r="J811">
        <v>226.38</v>
      </c>
      <c r="K811">
        <v>483.01</v>
      </c>
      <c r="L811">
        <v>24.34</v>
      </c>
      <c r="M811">
        <v>13.44</v>
      </c>
      <c r="N811">
        <v>459.28</v>
      </c>
      <c r="O811">
        <v>39.369999999999997</v>
      </c>
      <c r="P811">
        <v>4.46</v>
      </c>
    </row>
    <row r="812" spans="1:16">
      <c r="A812" s="1" t="s">
        <v>567</v>
      </c>
      <c r="B812" s="3" t="s">
        <v>857</v>
      </c>
      <c r="C812" s="1" t="s">
        <v>38</v>
      </c>
      <c r="D812" s="1" t="s">
        <v>5592</v>
      </c>
      <c r="E812" s="1" t="s">
        <v>573</v>
      </c>
      <c r="F812">
        <v>20.46</v>
      </c>
      <c r="G812">
        <v>1557.16</v>
      </c>
      <c r="H812">
        <v>1225.93</v>
      </c>
      <c r="I812">
        <v>1881.28</v>
      </c>
      <c r="J812">
        <v>79.989999999999995</v>
      </c>
      <c r="K812">
        <v>104.78</v>
      </c>
      <c r="L812">
        <v>5.57</v>
      </c>
      <c r="M812">
        <v>12.66</v>
      </c>
      <c r="N812">
        <v>449.04</v>
      </c>
      <c r="O812">
        <v>10.23</v>
      </c>
      <c r="P812">
        <v>0.56100000000000005</v>
      </c>
    </row>
    <row r="813" spans="1:16">
      <c r="A813" s="1" t="s">
        <v>567</v>
      </c>
      <c r="B813" s="3" t="s">
        <v>858</v>
      </c>
      <c r="C813" s="1" t="s">
        <v>38</v>
      </c>
      <c r="D813" s="1" t="s">
        <v>5592</v>
      </c>
      <c r="E813" s="1" t="s">
        <v>573</v>
      </c>
      <c r="F813">
        <v>63.79</v>
      </c>
      <c r="G813">
        <v>1269.18</v>
      </c>
      <c r="H813">
        <v>945.42</v>
      </c>
      <c r="I813">
        <v>2193.81</v>
      </c>
      <c r="J813">
        <v>491.66</v>
      </c>
      <c r="K813">
        <v>392.83</v>
      </c>
      <c r="L813">
        <v>21.54</v>
      </c>
      <c r="M813">
        <v>11.83</v>
      </c>
      <c r="N813">
        <v>290.04000000000002</v>
      </c>
      <c r="O813">
        <v>32.21</v>
      </c>
      <c r="P813">
        <v>1.194</v>
      </c>
    </row>
    <row r="814" spans="1:16">
      <c r="A814" s="1" t="s">
        <v>567</v>
      </c>
      <c r="B814" s="3" t="s">
        <v>859</v>
      </c>
      <c r="C814" s="1" t="s">
        <v>38</v>
      </c>
      <c r="D814" s="1" t="s">
        <v>5592</v>
      </c>
      <c r="E814" s="1" t="s">
        <v>573</v>
      </c>
      <c r="F814">
        <v>51.29</v>
      </c>
      <c r="G814">
        <v>1970.61</v>
      </c>
      <c r="H814">
        <v>1279.26</v>
      </c>
      <c r="I814">
        <v>1754.67</v>
      </c>
      <c r="J814">
        <v>2870.84</v>
      </c>
      <c r="K814">
        <v>158.22</v>
      </c>
      <c r="L814">
        <v>2.5499999999999998</v>
      </c>
      <c r="M814">
        <v>6.01</v>
      </c>
      <c r="N814">
        <v>80.14</v>
      </c>
      <c r="O814">
        <v>37.72</v>
      </c>
      <c r="P814">
        <v>0.69199999999999995</v>
      </c>
    </row>
    <row r="815" spans="1:16">
      <c r="A815" s="1" t="s">
        <v>567</v>
      </c>
      <c r="B815" s="3" t="s">
        <v>860</v>
      </c>
      <c r="C815" s="1" t="s">
        <v>38</v>
      </c>
      <c r="D815" s="1" t="s">
        <v>5592</v>
      </c>
      <c r="E815" s="1" t="s">
        <v>573</v>
      </c>
      <c r="F815">
        <v>100.66</v>
      </c>
      <c r="G815">
        <v>905.65</v>
      </c>
      <c r="H815">
        <v>719.78</v>
      </c>
      <c r="I815">
        <v>2203.56</v>
      </c>
      <c r="J815">
        <v>71.59</v>
      </c>
      <c r="K815">
        <v>469.11</v>
      </c>
      <c r="L815">
        <v>22.53</v>
      </c>
      <c r="M815">
        <v>11.73</v>
      </c>
      <c r="N815">
        <v>213.56</v>
      </c>
      <c r="O815">
        <v>36.799999999999997</v>
      </c>
      <c r="P815">
        <v>0.92600000000000005</v>
      </c>
    </row>
    <row r="816" spans="1:16">
      <c r="A816" s="1" t="s">
        <v>567</v>
      </c>
      <c r="B816" s="3" t="s">
        <v>861</v>
      </c>
      <c r="C816" s="1" t="s">
        <v>38</v>
      </c>
      <c r="D816" s="1" t="s">
        <v>5592</v>
      </c>
      <c r="E816" s="1" t="s">
        <v>573</v>
      </c>
      <c r="F816">
        <v>19.89</v>
      </c>
      <c r="G816">
        <v>1009.39</v>
      </c>
      <c r="H816">
        <v>596.78</v>
      </c>
      <c r="I816">
        <v>1824.33</v>
      </c>
      <c r="J816">
        <v>989.87</v>
      </c>
      <c r="K816">
        <v>131.41</v>
      </c>
      <c r="L816">
        <v>11.47</v>
      </c>
      <c r="M816">
        <v>12.98</v>
      </c>
      <c r="N816">
        <v>277.27999999999997</v>
      </c>
      <c r="O816">
        <v>7.29</v>
      </c>
      <c r="P816">
        <v>0.87</v>
      </c>
    </row>
    <row r="817" spans="1:16">
      <c r="A817" s="1" t="s">
        <v>567</v>
      </c>
      <c r="B817" s="3" t="s">
        <v>862</v>
      </c>
      <c r="C817" s="1" t="s">
        <v>38</v>
      </c>
      <c r="D817" s="1" t="s">
        <v>5592</v>
      </c>
      <c r="E817" s="1" t="s">
        <v>573</v>
      </c>
      <c r="F817">
        <v>60.86</v>
      </c>
      <c r="G817">
        <v>1185.5</v>
      </c>
      <c r="H817">
        <v>1043</v>
      </c>
      <c r="I817">
        <v>2792.03</v>
      </c>
      <c r="J817">
        <v>111.97</v>
      </c>
      <c r="K817">
        <v>298.81</v>
      </c>
      <c r="L817">
        <v>21.67</v>
      </c>
      <c r="M817">
        <v>15.53</v>
      </c>
      <c r="N817">
        <v>244.38</v>
      </c>
      <c r="O817">
        <v>34.08</v>
      </c>
      <c r="P817">
        <v>1.94</v>
      </c>
    </row>
    <row r="818" spans="1:16">
      <c r="A818" s="1" t="s">
        <v>567</v>
      </c>
      <c r="B818" s="3" t="s">
        <v>863</v>
      </c>
      <c r="C818" s="1" t="s">
        <v>38</v>
      </c>
      <c r="D818" s="1" t="s">
        <v>5592</v>
      </c>
      <c r="E818" s="1" t="s">
        <v>573</v>
      </c>
      <c r="F818">
        <v>49.04</v>
      </c>
      <c r="G818">
        <v>1630.84</v>
      </c>
      <c r="H818">
        <v>1018.05</v>
      </c>
      <c r="I818">
        <v>1982.81</v>
      </c>
      <c r="J818">
        <v>245.05</v>
      </c>
      <c r="K818">
        <v>197.09</v>
      </c>
      <c r="L818">
        <v>11.03</v>
      </c>
      <c r="M818">
        <v>12.88</v>
      </c>
      <c r="N818">
        <v>129.16</v>
      </c>
      <c r="O818">
        <v>28.02</v>
      </c>
      <c r="P818">
        <v>1.135</v>
      </c>
    </row>
    <row r="819" spans="1:16">
      <c r="A819" s="1" t="s">
        <v>567</v>
      </c>
      <c r="B819" s="3" t="s">
        <v>864</v>
      </c>
      <c r="C819" s="1" t="s">
        <v>38</v>
      </c>
      <c r="D819" s="1" t="s">
        <v>5592</v>
      </c>
      <c r="E819" s="1" t="s">
        <v>573</v>
      </c>
      <c r="F819">
        <v>232.78</v>
      </c>
      <c r="G819">
        <v>2362.0700000000002</v>
      </c>
      <c r="H819">
        <v>1000.35</v>
      </c>
      <c r="I819">
        <v>2420.52</v>
      </c>
      <c r="J819">
        <v>150.62</v>
      </c>
      <c r="K819">
        <v>154.69999999999999</v>
      </c>
      <c r="L819">
        <v>5.96</v>
      </c>
      <c r="M819">
        <v>12.86</v>
      </c>
      <c r="N819">
        <v>66.83</v>
      </c>
      <c r="O819">
        <v>19.18</v>
      </c>
      <c r="P819">
        <v>0.94</v>
      </c>
    </row>
    <row r="820" spans="1:16">
      <c r="A820" s="1" t="s">
        <v>567</v>
      </c>
      <c r="B820" s="3" t="s">
        <v>865</v>
      </c>
      <c r="C820" s="1" t="s">
        <v>38</v>
      </c>
      <c r="D820" s="1" t="s">
        <v>5592</v>
      </c>
      <c r="E820" s="1" t="s">
        <v>573</v>
      </c>
      <c r="F820">
        <v>67.02</v>
      </c>
      <c r="G820">
        <v>1661.87</v>
      </c>
      <c r="H820">
        <v>983.57</v>
      </c>
      <c r="I820">
        <v>2014.81</v>
      </c>
      <c r="J820">
        <v>149.15</v>
      </c>
      <c r="K820">
        <v>143.55000000000001</v>
      </c>
      <c r="L820">
        <v>5.78</v>
      </c>
      <c r="M820">
        <v>12.73</v>
      </c>
      <c r="N820">
        <v>44.72</v>
      </c>
      <c r="O820">
        <v>37.61</v>
      </c>
      <c r="P820">
        <v>0.86499999999999999</v>
      </c>
    </row>
    <row r="821" spans="1:16">
      <c r="A821" s="1" t="s">
        <v>567</v>
      </c>
      <c r="B821" s="3" t="s">
        <v>866</v>
      </c>
      <c r="C821" s="1" t="s">
        <v>38</v>
      </c>
      <c r="D821" s="1" t="s">
        <v>5592</v>
      </c>
      <c r="E821" s="1" t="s">
        <v>573</v>
      </c>
      <c r="F821">
        <v>67.3</v>
      </c>
      <c r="G821">
        <v>1777.43</v>
      </c>
      <c r="H821">
        <v>1039.4100000000001</v>
      </c>
      <c r="I821">
        <v>1834.06</v>
      </c>
      <c r="J821">
        <v>191.07</v>
      </c>
      <c r="K821">
        <v>189.48</v>
      </c>
      <c r="L821">
        <v>13.82</v>
      </c>
      <c r="M821">
        <v>12.41</v>
      </c>
      <c r="N821">
        <v>349.59</v>
      </c>
      <c r="O821">
        <v>25.24</v>
      </c>
      <c r="P821">
        <v>1.036</v>
      </c>
    </row>
    <row r="822" spans="1:16">
      <c r="A822" s="1" t="s">
        <v>567</v>
      </c>
      <c r="B822" s="3" t="s">
        <v>867</v>
      </c>
      <c r="C822" s="1" t="s">
        <v>38</v>
      </c>
      <c r="D822" s="1" t="s">
        <v>5592</v>
      </c>
      <c r="E822" s="1" t="s">
        <v>573</v>
      </c>
      <c r="F822">
        <v>104.77</v>
      </c>
      <c r="G822">
        <v>1044.28</v>
      </c>
      <c r="H822">
        <v>914.44</v>
      </c>
      <c r="I822">
        <v>2152.0500000000002</v>
      </c>
      <c r="J822">
        <v>396.99</v>
      </c>
      <c r="K822">
        <v>416.71</v>
      </c>
      <c r="L822">
        <v>18.29</v>
      </c>
      <c r="M822">
        <v>11.77</v>
      </c>
      <c r="N822">
        <v>298.24</v>
      </c>
      <c r="O822">
        <v>37.090000000000003</v>
      </c>
      <c r="P822">
        <v>1.61</v>
      </c>
    </row>
    <row r="823" spans="1:16">
      <c r="A823" s="1" t="s">
        <v>567</v>
      </c>
      <c r="B823" s="3" t="s">
        <v>868</v>
      </c>
      <c r="C823" s="1" t="s">
        <v>38</v>
      </c>
      <c r="D823" s="1" t="s">
        <v>5592</v>
      </c>
      <c r="E823" s="1" t="s">
        <v>573</v>
      </c>
      <c r="F823">
        <v>65.73</v>
      </c>
      <c r="G823">
        <v>1150.44</v>
      </c>
      <c r="H823">
        <v>768.01</v>
      </c>
      <c r="I823">
        <v>2082.25</v>
      </c>
      <c r="J823">
        <v>364.14</v>
      </c>
      <c r="K823">
        <v>223.89</v>
      </c>
      <c r="L823">
        <v>12.15</v>
      </c>
      <c r="M823">
        <v>10.35</v>
      </c>
      <c r="N823">
        <v>27.69</v>
      </c>
      <c r="O823">
        <v>41.43</v>
      </c>
      <c r="P823">
        <v>0.54800000000000004</v>
      </c>
    </row>
    <row r="824" spans="1:16">
      <c r="A824" s="1" t="s">
        <v>567</v>
      </c>
      <c r="B824" s="3" t="s">
        <v>869</v>
      </c>
      <c r="C824" s="1" t="s">
        <v>38</v>
      </c>
      <c r="D824" s="1" t="s">
        <v>5592</v>
      </c>
      <c r="E824" s="1" t="s">
        <v>573</v>
      </c>
      <c r="F824">
        <v>76.599999999999994</v>
      </c>
      <c r="G824">
        <v>1309.29</v>
      </c>
      <c r="H824">
        <v>836.09</v>
      </c>
      <c r="I824">
        <v>1995.55</v>
      </c>
      <c r="J824">
        <v>361.08</v>
      </c>
      <c r="K824">
        <v>213.64</v>
      </c>
      <c r="L824">
        <v>12.5</v>
      </c>
      <c r="M824">
        <v>12.28</v>
      </c>
      <c r="N824">
        <v>55.39</v>
      </c>
      <c r="O824">
        <v>37.92</v>
      </c>
      <c r="P824">
        <v>0.71599999999999997</v>
      </c>
    </row>
    <row r="825" spans="1:16">
      <c r="A825" s="1" t="s">
        <v>567</v>
      </c>
      <c r="B825" s="3" t="s">
        <v>870</v>
      </c>
      <c r="C825" s="1" t="s">
        <v>38</v>
      </c>
      <c r="D825" s="1" t="s">
        <v>5592</v>
      </c>
      <c r="E825" s="1" t="s">
        <v>573</v>
      </c>
      <c r="F825">
        <v>75.540000000000006</v>
      </c>
      <c r="G825">
        <v>1717.01</v>
      </c>
      <c r="H825">
        <v>1119.26</v>
      </c>
      <c r="I825">
        <v>1725.2</v>
      </c>
      <c r="J825">
        <v>241.22</v>
      </c>
      <c r="K825">
        <v>209.16</v>
      </c>
      <c r="L825">
        <v>18.02</v>
      </c>
      <c r="M825">
        <v>12.07</v>
      </c>
      <c r="N825">
        <v>283.75</v>
      </c>
      <c r="O825">
        <v>17.940000000000001</v>
      </c>
      <c r="P825">
        <v>1.1719999999999999</v>
      </c>
    </row>
    <row r="826" spans="1:16">
      <c r="A826" s="1" t="s">
        <v>567</v>
      </c>
      <c r="B826" s="3" t="s">
        <v>871</v>
      </c>
      <c r="C826" s="1" t="s">
        <v>38</v>
      </c>
      <c r="D826" s="1" t="s">
        <v>5592</v>
      </c>
      <c r="E826" s="1" t="s">
        <v>573</v>
      </c>
      <c r="F826">
        <v>20.75</v>
      </c>
      <c r="G826">
        <v>1952.33</v>
      </c>
      <c r="H826">
        <v>1011.4</v>
      </c>
      <c r="I826">
        <v>1345.42</v>
      </c>
      <c r="J826">
        <v>339.72</v>
      </c>
      <c r="K826">
        <v>225.65</v>
      </c>
      <c r="L826">
        <v>17.14</v>
      </c>
      <c r="M826">
        <v>8.84</v>
      </c>
      <c r="N826">
        <v>374.8</v>
      </c>
      <c r="O826">
        <v>15.5</v>
      </c>
      <c r="P826">
        <v>1.05</v>
      </c>
    </row>
    <row r="827" spans="1:16">
      <c r="A827" s="1" t="s">
        <v>567</v>
      </c>
      <c r="B827" s="3" t="s">
        <v>872</v>
      </c>
      <c r="C827" s="1" t="s">
        <v>38</v>
      </c>
      <c r="D827" s="1" t="s">
        <v>5592</v>
      </c>
      <c r="E827" s="1" t="s">
        <v>573</v>
      </c>
      <c r="F827">
        <v>41.5</v>
      </c>
      <c r="G827">
        <v>1478.94</v>
      </c>
      <c r="H827">
        <v>1007.66</v>
      </c>
      <c r="I827">
        <v>2237.17</v>
      </c>
      <c r="J827">
        <v>93.21</v>
      </c>
      <c r="K827">
        <v>300.57</v>
      </c>
      <c r="L827">
        <v>20.81</v>
      </c>
      <c r="M827">
        <v>11.99</v>
      </c>
      <c r="N827">
        <v>277.52999999999997</v>
      </c>
      <c r="O827">
        <v>27.85</v>
      </c>
      <c r="P827">
        <v>1.3</v>
      </c>
    </row>
    <row r="828" spans="1:16">
      <c r="A828" s="1" t="s">
        <v>567</v>
      </c>
      <c r="B828" s="3" t="s">
        <v>873</v>
      </c>
      <c r="C828" s="1" t="s">
        <v>38</v>
      </c>
      <c r="D828" s="1" t="s">
        <v>5592</v>
      </c>
      <c r="E828" s="1" t="s">
        <v>573</v>
      </c>
      <c r="F828">
        <v>108.33</v>
      </c>
      <c r="G828">
        <v>1009.38</v>
      </c>
      <c r="H828">
        <v>1072.7</v>
      </c>
      <c r="I828">
        <v>2328.52</v>
      </c>
      <c r="J828">
        <v>389.2</v>
      </c>
      <c r="K828">
        <v>480.21</v>
      </c>
      <c r="L828">
        <v>21.56</v>
      </c>
      <c r="M828">
        <v>11.82</v>
      </c>
      <c r="N828">
        <v>164.04</v>
      </c>
      <c r="O828">
        <v>32.47</v>
      </c>
      <c r="P828">
        <v>0.96199999999999997</v>
      </c>
    </row>
    <row r="829" spans="1:16">
      <c r="A829" s="1" t="s">
        <v>567</v>
      </c>
      <c r="B829" s="3" t="s">
        <v>874</v>
      </c>
      <c r="C829" s="1" t="s">
        <v>38</v>
      </c>
      <c r="D829" s="1" t="s">
        <v>5592</v>
      </c>
      <c r="E829" s="1" t="s">
        <v>573</v>
      </c>
      <c r="F829">
        <v>65.53</v>
      </c>
      <c r="G829">
        <v>1213.3699999999999</v>
      </c>
      <c r="H829">
        <v>1171.23</v>
      </c>
      <c r="I829">
        <v>2432.59</v>
      </c>
      <c r="J829">
        <v>326.02</v>
      </c>
      <c r="K829">
        <v>508.71</v>
      </c>
      <c r="L829">
        <v>24.86</v>
      </c>
      <c r="M829">
        <v>13.5</v>
      </c>
      <c r="N829">
        <v>282.27</v>
      </c>
      <c r="O829">
        <v>37.82</v>
      </c>
      <c r="P829">
        <v>1.82</v>
      </c>
    </row>
    <row r="830" spans="1:16">
      <c r="A830" s="1" t="s">
        <v>567</v>
      </c>
      <c r="B830" s="3" t="s">
        <v>875</v>
      </c>
      <c r="C830" s="1" t="s">
        <v>18</v>
      </c>
      <c r="D830" s="1" t="s">
        <v>569</v>
      </c>
      <c r="E830" s="1" t="s">
        <v>573</v>
      </c>
      <c r="F830">
        <v>668.12</v>
      </c>
      <c r="G830">
        <v>7210.02</v>
      </c>
      <c r="H830">
        <v>1372.54</v>
      </c>
      <c r="I830">
        <v>118.82</v>
      </c>
      <c r="J830">
        <f>3.02/2</f>
        <v>1.51</v>
      </c>
      <c r="K830">
        <v>685.36</v>
      </c>
      <c r="L830">
        <v>7.02</v>
      </c>
      <c r="M830">
        <v>28.57</v>
      </c>
      <c r="N830">
        <v>184.49</v>
      </c>
      <c r="O830">
        <v>24.43</v>
      </c>
      <c r="P830">
        <v>2.5299999999999998</v>
      </c>
    </row>
    <row r="831" spans="1:16">
      <c r="A831" s="1" t="s">
        <v>567</v>
      </c>
      <c r="B831" s="3" t="s">
        <v>876</v>
      </c>
      <c r="C831" s="1" t="s">
        <v>18</v>
      </c>
      <c r="D831" s="1" t="s">
        <v>569</v>
      </c>
      <c r="E831" s="1" t="s">
        <v>573</v>
      </c>
      <c r="F831">
        <v>387.32</v>
      </c>
      <c r="G831">
        <v>3462.65</v>
      </c>
      <c r="H831">
        <v>931.92</v>
      </c>
      <c r="I831">
        <v>162.44999999999999</v>
      </c>
      <c r="J831">
        <f>0.71/2</f>
        <v>0.35499999999999998</v>
      </c>
      <c r="K831">
        <v>319.73</v>
      </c>
      <c r="L831">
        <v>5.65</v>
      </c>
      <c r="M831">
        <v>33.25</v>
      </c>
      <c r="N831">
        <v>206.24</v>
      </c>
      <c r="O831">
        <v>25.74</v>
      </c>
      <c r="P831">
        <v>0.51600000000000001</v>
      </c>
    </row>
    <row r="832" spans="1:16">
      <c r="A832" s="1" t="s">
        <v>567</v>
      </c>
      <c r="B832" s="3" t="s">
        <v>877</v>
      </c>
      <c r="C832" s="1" t="s">
        <v>18</v>
      </c>
      <c r="D832" s="1" t="s">
        <v>569</v>
      </c>
      <c r="E832" s="1" t="s">
        <v>573</v>
      </c>
      <c r="F832">
        <v>1606.84</v>
      </c>
      <c r="G832">
        <v>1110.99</v>
      </c>
      <c r="H832">
        <v>655.17999999999995</v>
      </c>
      <c r="I832">
        <v>198.55</v>
      </c>
      <c r="J832">
        <v>2.57</v>
      </c>
      <c r="K832">
        <v>1565.59</v>
      </c>
      <c r="L832">
        <v>3.04</v>
      </c>
      <c r="M832">
        <v>22.88</v>
      </c>
      <c r="N832">
        <v>68.599999999999994</v>
      </c>
      <c r="O832">
        <v>17.07</v>
      </c>
      <c r="P832">
        <v>0.10299999999999999</v>
      </c>
    </row>
    <row r="833" spans="1:16">
      <c r="A833" s="1" t="s">
        <v>567</v>
      </c>
      <c r="B833" s="3" t="s">
        <v>878</v>
      </c>
      <c r="C833" s="1" t="s">
        <v>18</v>
      </c>
      <c r="D833" s="1" t="s">
        <v>569</v>
      </c>
      <c r="E833" s="1" t="s">
        <v>573</v>
      </c>
      <c r="F833">
        <v>1032.75</v>
      </c>
      <c r="G833">
        <v>4060.94</v>
      </c>
      <c r="H833">
        <v>946.68</v>
      </c>
      <c r="I833">
        <v>279.05</v>
      </c>
      <c r="J833">
        <v>1.68</v>
      </c>
      <c r="K833">
        <v>850.47</v>
      </c>
      <c r="L833">
        <v>2.4500000000000002</v>
      </c>
      <c r="M833">
        <v>22.09</v>
      </c>
      <c r="N833">
        <v>54.14</v>
      </c>
      <c r="O833">
        <v>13.61</v>
      </c>
      <c r="P833">
        <v>0.28499999999999998</v>
      </c>
    </row>
    <row r="834" spans="1:16">
      <c r="A834" s="1" t="s">
        <v>567</v>
      </c>
      <c r="B834" s="3" t="s">
        <v>879</v>
      </c>
      <c r="C834" s="1" t="s">
        <v>18</v>
      </c>
      <c r="D834" s="1" t="s">
        <v>569</v>
      </c>
      <c r="E834" s="1" t="s">
        <v>573</v>
      </c>
      <c r="F834">
        <v>825.64</v>
      </c>
      <c r="G834">
        <v>2283.96</v>
      </c>
      <c r="H834">
        <v>1446.28</v>
      </c>
      <c r="I834">
        <v>203.96</v>
      </c>
      <c r="J834">
        <f>1.9/2</f>
        <v>0.95</v>
      </c>
      <c r="K834">
        <v>915.09</v>
      </c>
      <c r="L834">
        <v>3.62</v>
      </c>
      <c r="M834">
        <v>26.87</v>
      </c>
      <c r="N834">
        <v>108.51</v>
      </c>
      <c r="O834">
        <v>16.63</v>
      </c>
      <c r="P834">
        <v>0.95</v>
      </c>
    </row>
    <row r="835" spans="1:16">
      <c r="A835" s="1" t="s">
        <v>567</v>
      </c>
      <c r="B835" s="3" t="s">
        <v>880</v>
      </c>
      <c r="C835" s="1" t="s">
        <v>18</v>
      </c>
      <c r="D835" s="1" t="s">
        <v>569</v>
      </c>
      <c r="E835" s="1" t="s">
        <v>573</v>
      </c>
      <c r="F835">
        <v>15954.76</v>
      </c>
      <c r="G835">
        <v>3862.73</v>
      </c>
      <c r="H835">
        <v>2055.85</v>
      </c>
      <c r="I835">
        <v>145.81</v>
      </c>
      <c r="J835">
        <f>3.56/2</f>
        <v>1.78</v>
      </c>
      <c r="K835">
        <v>7741.58</v>
      </c>
      <c r="L835">
        <v>7.33</v>
      </c>
      <c r="M835">
        <v>32.64</v>
      </c>
      <c r="N835">
        <v>365.73</v>
      </c>
      <c r="O835">
        <v>23.6</v>
      </c>
      <c r="P835">
        <v>1.1100000000000001</v>
      </c>
    </row>
    <row r="836" spans="1:16">
      <c r="A836" s="1" t="s">
        <v>567</v>
      </c>
      <c r="B836" s="3" t="s">
        <v>881</v>
      </c>
      <c r="C836" s="1" t="s">
        <v>18</v>
      </c>
      <c r="D836" s="1" t="s">
        <v>569</v>
      </c>
      <c r="E836" s="1" t="s">
        <v>573</v>
      </c>
      <c r="F836">
        <v>418.55</v>
      </c>
      <c r="G836">
        <v>4351.66</v>
      </c>
      <c r="H836">
        <v>1141.17</v>
      </c>
      <c r="I836">
        <v>140.27000000000001</v>
      </c>
      <c r="J836">
        <f>0.83/2</f>
        <v>0.41499999999999998</v>
      </c>
      <c r="K836">
        <v>468.65</v>
      </c>
      <c r="L836">
        <v>6.29</v>
      </c>
      <c r="M836">
        <v>32.9</v>
      </c>
      <c r="N836">
        <v>359.36</v>
      </c>
      <c r="O836">
        <v>23.7</v>
      </c>
      <c r="P836">
        <v>0.79700000000000004</v>
      </c>
    </row>
    <row r="837" spans="1:16">
      <c r="A837" s="1" t="s">
        <v>567</v>
      </c>
      <c r="B837" s="3" t="s">
        <v>882</v>
      </c>
      <c r="C837" s="1" t="s">
        <v>18</v>
      </c>
      <c r="D837" s="1" t="s">
        <v>569</v>
      </c>
      <c r="E837" s="1" t="s">
        <v>573</v>
      </c>
      <c r="F837">
        <v>446.5</v>
      </c>
      <c r="G837">
        <v>5612.56</v>
      </c>
      <c r="H837">
        <v>1066.5999999999999</v>
      </c>
      <c r="I837">
        <v>133.52000000000001</v>
      </c>
      <c r="J837">
        <f>0.95/2</f>
        <v>0.47499999999999998</v>
      </c>
      <c r="K837">
        <v>423.68</v>
      </c>
      <c r="L837">
        <v>4.9000000000000004</v>
      </c>
      <c r="M837">
        <v>34.67</v>
      </c>
      <c r="N837">
        <v>260.89</v>
      </c>
      <c r="O837">
        <v>27.09</v>
      </c>
      <c r="P837">
        <v>0.76</v>
      </c>
    </row>
    <row r="838" spans="1:16">
      <c r="A838" s="1" t="s">
        <v>567</v>
      </c>
      <c r="B838" s="3" t="s">
        <v>883</v>
      </c>
      <c r="C838" s="1" t="s">
        <v>18</v>
      </c>
      <c r="D838" s="1" t="s">
        <v>569</v>
      </c>
      <c r="E838" s="1" t="s">
        <v>573</v>
      </c>
      <c r="F838">
        <v>5560.84</v>
      </c>
      <c r="G838">
        <v>496.82</v>
      </c>
      <c r="H838">
        <v>633.12</v>
      </c>
      <c r="I838">
        <v>219.17</v>
      </c>
      <c r="J838">
        <v>3.57</v>
      </c>
      <c r="K838">
        <v>4347.84</v>
      </c>
      <c r="L838">
        <v>2.4500000000000002</v>
      </c>
      <c r="M838">
        <v>26.98</v>
      </c>
      <c r="N838">
        <v>60.12</v>
      </c>
      <c r="O838">
        <v>11.85</v>
      </c>
      <c r="P838">
        <v>0.156</v>
      </c>
    </row>
    <row r="839" spans="1:16">
      <c r="A839" s="1" t="s">
        <v>567</v>
      </c>
      <c r="B839" s="3" t="s">
        <v>884</v>
      </c>
      <c r="C839" s="1" t="s">
        <v>18</v>
      </c>
      <c r="D839" s="1" t="s">
        <v>569</v>
      </c>
      <c r="E839" s="1" t="s">
        <v>573</v>
      </c>
      <c r="F839">
        <v>2791.09</v>
      </c>
      <c r="G839">
        <v>4141.57</v>
      </c>
      <c r="H839">
        <v>1664.4</v>
      </c>
      <c r="I839">
        <v>161.72999999999999</v>
      </c>
      <c r="J839">
        <f>1.34/2</f>
        <v>0.67</v>
      </c>
      <c r="K839">
        <v>1377.79</v>
      </c>
      <c r="L839">
        <v>3.46</v>
      </c>
      <c r="M839">
        <v>32.43</v>
      </c>
      <c r="N839">
        <v>85.99</v>
      </c>
      <c r="O839">
        <v>19.559999999999999</v>
      </c>
      <c r="P839">
        <v>0.79100000000000004</v>
      </c>
    </row>
    <row r="840" spans="1:16">
      <c r="A840" s="1" t="s">
        <v>567</v>
      </c>
      <c r="B840" s="3" t="s">
        <v>885</v>
      </c>
      <c r="C840" s="1" t="s">
        <v>18</v>
      </c>
      <c r="D840" s="1" t="s">
        <v>569</v>
      </c>
      <c r="E840" s="1" t="s">
        <v>573</v>
      </c>
      <c r="F840">
        <v>678.97</v>
      </c>
      <c r="G840">
        <v>7079.26</v>
      </c>
      <c r="H840">
        <v>3449.39</v>
      </c>
      <c r="I840">
        <v>147.78</v>
      </c>
      <c r="J840">
        <f>0.87/2</f>
        <v>0.435</v>
      </c>
      <c r="K840">
        <v>552.79999999999995</v>
      </c>
      <c r="L840">
        <v>8.1</v>
      </c>
      <c r="M840">
        <v>31.77</v>
      </c>
      <c r="N840">
        <v>305.55</v>
      </c>
      <c r="O840">
        <v>29.77</v>
      </c>
      <c r="P840">
        <v>1.39</v>
      </c>
    </row>
    <row r="841" spans="1:16">
      <c r="A841" s="1" t="s">
        <v>567</v>
      </c>
      <c r="B841" s="3" t="s">
        <v>886</v>
      </c>
      <c r="C841" s="1" t="s">
        <v>18</v>
      </c>
      <c r="D841" s="1" t="s">
        <v>569</v>
      </c>
      <c r="E841" s="1" t="s">
        <v>573</v>
      </c>
      <c r="F841">
        <v>487.57</v>
      </c>
      <c r="G841">
        <v>1312.61</v>
      </c>
      <c r="H841">
        <v>2025.54</v>
      </c>
      <c r="I841">
        <v>190.14</v>
      </c>
      <c r="J841">
        <f>2.48/2</f>
        <v>1.24</v>
      </c>
      <c r="K841">
        <v>492.61</v>
      </c>
      <c r="L841">
        <v>5.16</v>
      </c>
      <c r="M841">
        <v>29.74</v>
      </c>
      <c r="N841">
        <v>88.75</v>
      </c>
      <c r="O841">
        <v>19.38</v>
      </c>
      <c r="P841">
        <v>0.73</v>
      </c>
    </row>
    <row r="842" spans="1:16">
      <c r="A842" s="1" t="s">
        <v>567</v>
      </c>
      <c r="B842" s="3" t="s">
        <v>887</v>
      </c>
      <c r="C842" s="1" t="s">
        <v>18</v>
      </c>
      <c r="D842" s="1" t="s">
        <v>569</v>
      </c>
      <c r="E842" s="1" t="s">
        <v>573</v>
      </c>
      <c r="F842">
        <v>2560.19</v>
      </c>
      <c r="G842">
        <v>4440.4799999999996</v>
      </c>
      <c r="H842">
        <v>970.46</v>
      </c>
      <c r="I842">
        <v>252.18</v>
      </c>
      <c r="J842">
        <v>2.2200000000000002</v>
      </c>
      <c r="K842">
        <v>1157.55</v>
      </c>
      <c r="L842">
        <v>4.5</v>
      </c>
      <c r="M842">
        <v>24.48</v>
      </c>
      <c r="N842">
        <v>61.76</v>
      </c>
      <c r="O842">
        <v>18.399999999999999</v>
      </c>
      <c r="P842">
        <v>0.86599999999999999</v>
      </c>
    </row>
    <row r="843" spans="1:16">
      <c r="A843" s="1" t="s">
        <v>567</v>
      </c>
      <c r="B843" s="3" t="s">
        <v>888</v>
      </c>
      <c r="C843" s="1" t="s">
        <v>18</v>
      </c>
      <c r="D843" s="1" t="s">
        <v>569</v>
      </c>
      <c r="E843" s="1" t="s">
        <v>573</v>
      </c>
      <c r="F843">
        <v>17352.330000000002</v>
      </c>
      <c r="G843">
        <v>7756.65</v>
      </c>
      <c r="H843">
        <v>2090.02</v>
      </c>
      <c r="I843">
        <v>197.82</v>
      </c>
      <c r="J843">
        <v>5.24</v>
      </c>
      <c r="K843">
        <v>12050.97</v>
      </c>
      <c r="L843">
        <v>6.11</v>
      </c>
      <c r="M843">
        <v>33.880000000000003</v>
      </c>
      <c r="N843">
        <v>115.4</v>
      </c>
      <c r="O843">
        <v>24.39</v>
      </c>
      <c r="P843">
        <v>0.79500000000000004</v>
      </c>
    </row>
    <row r="844" spans="1:16">
      <c r="A844" s="1" t="s">
        <v>567</v>
      </c>
      <c r="B844" s="3" t="s">
        <v>889</v>
      </c>
      <c r="C844" s="1" t="s">
        <v>18</v>
      </c>
      <c r="D844" s="1" t="s">
        <v>569</v>
      </c>
      <c r="E844" s="1" t="s">
        <v>573</v>
      </c>
      <c r="F844">
        <v>6536.08</v>
      </c>
      <c r="G844">
        <v>821.7</v>
      </c>
      <c r="H844">
        <v>1040.06</v>
      </c>
      <c r="I844">
        <v>298.02</v>
      </c>
      <c r="J844">
        <v>12.34</v>
      </c>
      <c r="K844">
        <v>3457.42</v>
      </c>
      <c r="L844">
        <v>3.23</v>
      </c>
      <c r="M844">
        <v>26.1</v>
      </c>
      <c r="N844">
        <v>79.459999999999994</v>
      </c>
      <c r="O844">
        <v>16.07</v>
      </c>
      <c r="P844">
        <v>0.18099999999999999</v>
      </c>
    </row>
    <row r="845" spans="1:16">
      <c r="A845" s="1" t="s">
        <v>567</v>
      </c>
      <c r="B845" s="3" t="s">
        <v>890</v>
      </c>
      <c r="C845" s="1" t="s">
        <v>18</v>
      </c>
      <c r="D845" s="1" t="s">
        <v>569</v>
      </c>
      <c r="E845" s="1" t="s">
        <v>573</v>
      </c>
      <c r="F845">
        <v>798.77</v>
      </c>
      <c r="G845">
        <v>1936.89</v>
      </c>
      <c r="H845">
        <v>2719.97</v>
      </c>
      <c r="I845">
        <v>247.59</v>
      </c>
      <c r="J845">
        <f>1.12/2</f>
        <v>0.56000000000000005</v>
      </c>
      <c r="K845">
        <v>507.83</v>
      </c>
      <c r="L845">
        <v>2.63</v>
      </c>
      <c r="M845">
        <v>25.75</v>
      </c>
      <c r="N845">
        <v>87.91</v>
      </c>
      <c r="O845">
        <v>15.62</v>
      </c>
      <c r="P845">
        <v>0.56299999999999994</v>
      </c>
    </row>
    <row r="846" spans="1:16">
      <c r="A846" s="1" t="s">
        <v>567</v>
      </c>
      <c r="B846" s="3" t="s">
        <v>891</v>
      </c>
      <c r="C846" s="1" t="s">
        <v>18</v>
      </c>
      <c r="D846" s="1" t="s">
        <v>569</v>
      </c>
      <c r="E846" s="1" t="s">
        <v>573</v>
      </c>
      <c r="F846">
        <v>22024.28</v>
      </c>
      <c r="G846">
        <v>4904.2700000000004</v>
      </c>
      <c r="H846">
        <v>2967.33</v>
      </c>
      <c r="I846">
        <v>359.25</v>
      </c>
      <c r="J846">
        <v>2.94</v>
      </c>
      <c r="K846">
        <v>14405.91</v>
      </c>
      <c r="L846">
        <v>3.69</v>
      </c>
      <c r="M846">
        <v>23.98</v>
      </c>
      <c r="N846">
        <v>120.84</v>
      </c>
      <c r="O846">
        <v>12.89</v>
      </c>
      <c r="P846">
        <v>0.91500000000000004</v>
      </c>
    </row>
    <row r="847" spans="1:16">
      <c r="A847" s="1" t="s">
        <v>567</v>
      </c>
      <c r="B847" s="3" t="s">
        <v>892</v>
      </c>
      <c r="C847" s="1" t="s">
        <v>18</v>
      </c>
      <c r="D847" s="1" t="s">
        <v>569</v>
      </c>
      <c r="E847" s="1" t="s">
        <v>573</v>
      </c>
      <c r="F847">
        <v>623.37</v>
      </c>
      <c r="G847">
        <v>2630.38</v>
      </c>
      <c r="H847">
        <v>2542.77</v>
      </c>
      <c r="I847">
        <v>340.65</v>
      </c>
      <c r="J847">
        <v>0.85</v>
      </c>
      <c r="K847">
        <v>408.69</v>
      </c>
      <c r="L847">
        <v>2.39</v>
      </c>
      <c r="M847">
        <v>26.73</v>
      </c>
      <c r="N847">
        <v>65.75</v>
      </c>
      <c r="O847">
        <v>15.08</v>
      </c>
      <c r="P847">
        <v>0.48499999999999999</v>
      </c>
    </row>
    <row r="848" spans="1:16">
      <c r="A848" s="1" t="s">
        <v>567</v>
      </c>
      <c r="B848" s="3" t="s">
        <v>893</v>
      </c>
      <c r="C848" s="1" t="s">
        <v>18</v>
      </c>
      <c r="D848" s="1" t="s">
        <v>569</v>
      </c>
      <c r="E848" s="1" t="s">
        <v>573</v>
      </c>
      <c r="F848">
        <v>776.67</v>
      </c>
      <c r="G848">
        <v>3658.55</v>
      </c>
      <c r="H848">
        <v>1347</v>
      </c>
      <c r="I848">
        <v>177.43</v>
      </c>
      <c r="J848">
        <f>2.54/2</f>
        <v>1.27</v>
      </c>
      <c r="K848">
        <v>569.65</v>
      </c>
      <c r="L848">
        <v>12.93</v>
      </c>
      <c r="M848">
        <v>32.17</v>
      </c>
      <c r="N848">
        <v>164.2</v>
      </c>
      <c r="O848">
        <v>20.52</v>
      </c>
      <c r="P848">
        <v>1.23</v>
      </c>
    </row>
    <row r="849" spans="1:16">
      <c r="A849" s="1" t="s">
        <v>567</v>
      </c>
      <c r="B849" s="3" t="s">
        <v>894</v>
      </c>
      <c r="C849" s="1" t="s">
        <v>18</v>
      </c>
      <c r="D849" s="1" t="s">
        <v>569</v>
      </c>
      <c r="E849" s="1" t="s">
        <v>573</v>
      </c>
      <c r="F849">
        <v>3841.16</v>
      </c>
      <c r="G849">
        <v>5067.3999999999996</v>
      </c>
      <c r="H849">
        <v>790.69</v>
      </c>
      <c r="I849">
        <v>219.76</v>
      </c>
      <c r="J849">
        <f>0.87/2</f>
        <v>0.435</v>
      </c>
      <c r="K849">
        <v>1109.6199999999999</v>
      </c>
      <c r="L849">
        <v>5.91</v>
      </c>
      <c r="M849">
        <v>29.98</v>
      </c>
      <c r="N849">
        <v>63.04</v>
      </c>
      <c r="O849">
        <v>15.08</v>
      </c>
      <c r="P849">
        <v>0.503</v>
      </c>
    </row>
    <row r="850" spans="1:16">
      <c r="A850" s="1" t="s">
        <v>567</v>
      </c>
      <c r="B850" s="3" t="s">
        <v>895</v>
      </c>
      <c r="C850" s="1" t="s">
        <v>18</v>
      </c>
      <c r="D850" s="1" t="s">
        <v>569</v>
      </c>
      <c r="E850" s="1" t="s">
        <v>573</v>
      </c>
      <c r="F850">
        <v>382.74</v>
      </c>
      <c r="G850">
        <v>3573.42</v>
      </c>
      <c r="H850">
        <v>675.68</v>
      </c>
      <c r="I850">
        <v>197.65</v>
      </c>
      <c r="J850">
        <f>0.74/2</f>
        <v>0.37</v>
      </c>
      <c r="K850">
        <v>434.06</v>
      </c>
      <c r="L850">
        <v>3.88</v>
      </c>
      <c r="M850">
        <v>25.92</v>
      </c>
      <c r="N850">
        <v>103.94</v>
      </c>
      <c r="O850">
        <v>23.08</v>
      </c>
      <c r="P850">
        <v>0.54200000000000004</v>
      </c>
    </row>
    <row r="851" spans="1:16">
      <c r="A851" s="1" t="s">
        <v>567</v>
      </c>
      <c r="B851" s="3" t="s">
        <v>896</v>
      </c>
      <c r="C851" s="1" t="s">
        <v>18</v>
      </c>
      <c r="D851" s="1" t="s">
        <v>569</v>
      </c>
      <c r="E851" s="1" t="s">
        <v>573</v>
      </c>
      <c r="F851">
        <v>728.26</v>
      </c>
      <c r="G851">
        <v>7650.44</v>
      </c>
      <c r="H851">
        <v>1461.4</v>
      </c>
      <c r="I851">
        <v>229.56</v>
      </c>
      <c r="J851">
        <f>1.11/2</f>
        <v>0.55500000000000005</v>
      </c>
      <c r="K851">
        <v>626.74</v>
      </c>
      <c r="L851">
        <v>4.4400000000000004</v>
      </c>
      <c r="M851">
        <v>26.52</v>
      </c>
      <c r="N851">
        <v>145.63999999999999</v>
      </c>
      <c r="O851">
        <v>22.21</v>
      </c>
      <c r="P851">
        <v>0.76900000000000002</v>
      </c>
    </row>
    <row r="852" spans="1:16">
      <c r="A852" s="1" t="s">
        <v>567</v>
      </c>
      <c r="B852" s="3" t="s">
        <v>897</v>
      </c>
      <c r="C852" s="1" t="s">
        <v>18</v>
      </c>
      <c r="D852" s="1" t="s">
        <v>569</v>
      </c>
      <c r="E852" s="1" t="s">
        <v>573</v>
      </c>
      <c r="F852">
        <v>281.95999999999998</v>
      </c>
      <c r="G852">
        <v>706.69</v>
      </c>
      <c r="H852">
        <v>690.57</v>
      </c>
      <c r="I852">
        <v>169.88</v>
      </c>
      <c r="J852">
        <f>0.5/2</f>
        <v>0.25</v>
      </c>
      <c r="K852">
        <v>282.77</v>
      </c>
      <c r="L852">
        <v>2.58</v>
      </c>
      <c r="M852">
        <v>36.25</v>
      </c>
      <c r="N852">
        <v>51.34</v>
      </c>
      <c r="O852">
        <v>17.34</v>
      </c>
      <c r="P852">
        <v>0.22</v>
      </c>
    </row>
    <row r="853" spans="1:16">
      <c r="A853" s="1" t="s">
        <v>567</v>
      </c>
      <c r="B853" s="3" t="s">
        <v>898</v>
      </c>
      <c r="C853" s="1" t="s">
        <v>18</v>
      </c>
      <c r="D853" s="1" t="s">
        <v>569</v>
      </c>
      <c r="E853" s="1" t="s">
        <v>573</v>
      </c>
      <c r="F853">
        <v>1203.1500000000001</v>
      </c>
      <c r="G853">
        <v>3148.81</v>
      </c>
      <c r="H853">
        <v>3436.96</v>
      </c>
      <c r="I853">
        <v>265.35000000000002</v>
      </c>
      <c r="J853">
        <f>4.66/2</f>
        <v>2.33</v>
      </c>
      <c r="K853">
        <v>758.7</v>
      </c>
      <c r="L853">
        <v>4.5999999999999996</v>
      </c>
      <c r="M853">
        <v>31.32</v>
      </c>
      <c r="N853">
        <v>93.88</v>
      </c>
      <c r="O853">
        <v>21.05</v>
      </c>
      <c r="P853">
        <v>1.1599999999999999</v>
      </c>
    </row>
    <row r="854" spans="1:16">
      <c r="A854" s="1" t="s">
        <v>567</v>
      </c>
      <c r="B854" s="3" t="s">
        <v>899</v>
      </c>
      <c r="C854" s="1" t="s">
        <v>18</v>
      </c>
      <c r="D854" s="1" t="s">
        <v>569</v>
      </c>
      <c r="E854" s="1" t="s">
        <v>573</v>
      </c>
      <c r="F854">
        <v>6795.22</v>
      </c>
      <c r="G854">
        <v>11133.16</v>
      </c>
      <c r="H854">
        <v>5153.38</v>
      </c>
      <c r="I854">
        <v>132.75</v>
      </c>
      <c r="J854">
        <v>3.1</v>
      </c>
      <c r="K854">
        <v>4571.58</v>
      </c>
      <c r="L854">
        <v>6.58</v>
      </c>
      <c r="M854">
        <v>33.36</v>
      </c>
      <c r="N854">
        <v>176.36</v>
      </c>
      <c r="O854">
        <v>23.82</v>
      </c>
      <c r="P854">
        <v>2.2599999999999998</v>
      </c>
    </row>
    <row r="855" spans="1:16">
      <c r="A855" s="1" t="s">
        <v>567</v>
      </c>
      <c r="B855" s="3" t="s">
        <v>900</v>
      </c>
      <c r="C855" s="1" t="s">
        <v>18</v>
      </c>
      <c r="D855" s="1" t="s">
        <v>569</v>
      </c>
      <c r="E855" s="1" t="s">
        <v>573</v>
      </c>
      <c r="F855">
        <v>45.68</v>
      </c>
      <c r="G855">
        <v>1192.47</v>
      </c>
      <c r="H855">
        <v>270.14</v>
      </c>
      <c r="I855">
        <v>3693.89</v>
      </c>
      <c r="J855">
        <v>137.63</v>
      </c>
      <c r="K855">
        <v>471.03</v>
      </c>
      <c r="L855">
        <v>25.77</v>
      </c>
      <c r="M855">
        <v>9.43</v>
      </c>
      <c r="N855">
        <v>240.88</v>
      </c>
      <c r="O855">
        <v>31.76</v>
      </c>
      <c r="P855">
        <v>0.38900000000000001</v>
      </c>
    </row>
    <row r="856" spans="1:16">
      <c r="A856" s="1" t="s">
        <v>567</v>
      </c>
      <c r="B856" s="3" t="s">
        <v>901</v>
      </c>
      <c r="C856" s="1" t="s">
        <v>18</v>
      </c>
      <c r="D856" s="1" t="s">
        <v>569</v>
      </c>
      <c r="E856" s="1" t="s">
        <v>573</v>
      </c>
      <c r="F856">
        <v>197.53</v>
      </c>
      <c r="G856">
        <v>1014.55</v>
      </c>
      <c r="H856">
        <v>1933.88</v>
      </c>
      <c r="I856">
        <v>216.16</v>
      </c>
      <c r="J856">
        <v>1.5</v>
      </c>
      <c r="K856">
        <v>259.49</v>
      </c>
      <c r="L856">
        <v>2.2799999999999998</v>
      </c>
      <c r="M856">
        <v>25.68</v>
      </c>
      <c r="N856">
        <v>42.97</v>
      </c>
      <c r="O856">
        <v>17.54</v>
      </c>
      <c r="P856">
        <v>0.35</v>
      </c>
    </row>
    <row r="857" spans="1:16">
      <c r="A857" s="1" t="s">
        <v>567</v>
      </c>
      <c r="B857" s="3" t="s">
        <v>902</v>
      </c>
      <c r="C857" s="1" t="s">
        <v>18</v>
      </c>
      <c r="D857" s="1" t="s">
        <v>569</v>
      </c>
      <c r="E857" s="1" t="s">
        <v>573</v>
      </c>
      <c r="F857">
        <v>2247.2199999999998</v>
      </c>
      <c r="G857">
        <v>5443.75</v>
      </c>
      <c r="H857">
        <v>1635.78</v>
      </c>
      <c r="I857">
        <v>221.36</v>
      </c>
      <c r="J857">
        <f>0.99/2</f>
        <v>0.495</v>
      </c>
      <c r="K857">
        <v>801.28</v>
      </c>
      <c r="L857">
        <v>5.8</v>
      </c>
      <c r="M857">
        <v>24.08</v>
      </c>
      <c r="N857">
        <v>105.78</v>
      </c>
      <c r="O857">
        <v>18.91</v>
      </c>
      <c r="P857">
        <v>1.0669999999999999</v>
      </c>
    </row>
    <row r="858" spans="1:16">
      <c r="A858" s="1" t="s">
        <v>567</v>
      </c>
      <c r="B858" s="3" t="s">
        <v>903</v>
      </c>
      <c r="C858" s="1" t="s">
        <v>18</v>
      </c>
      <c r="D858" s="1" t="s">
        <v>569</v>
      </c>
      <c r="E858" s="1" t="s">
        <v>573</v>
      </c>
      <c r="F858">
        <v>9306.7999999999993</v>
      </c>
      <c r="G858">
        <v>2690.26</v>
      </c>
      <c r="H858">
        <v>2982.31</v>
      </c>
      <c r="I858">
        <v>206.58</v>
      </c>
      <c r="J858">
        <f>1.88/2</f>
        <v>0.94</v>
      </c>
      <c r="K858">
        <v>6042.59</v>
      </c>
      <c r="L858">
        <v>3.01</v>
      </c>
      <c r="M858">
        <v>23.79</v>
      </c>
      <c r="N858">
        <v>76.53</v>
      </c>
      <c r="O858">
        <v>13.85</v>
      </c>
      <c r="P858">
        <v>2.09</v>
      </c>
    </row>
    <row r="859" spans="1:16">
      <c r="A859" s="1" t="s">
        <v>567</v>
      </c>
      <c r="B859" s="3" t="s">
        <v>904</v>
      </c>
      <c r="C859" s="1" t="s">
        <v>18</v>
      </c>
      <c r="D859" s="1" t="s">
        <v>569</v>
      </c>
      <c r="E859" s="1" t="s">
        <v>573</v>
      </c>
      <c r="F859">
        <v>1127.67</v>
      </c>
      <c r="G859">
        <v>1123.1400000000001</v>
      </c>
      <c r="H859">
        <v>1652.55</v>
      </c>
      <c r="I859">
        <v>225.76</v>
      </c>
      <c r="J859">
        <f>1.3/2</f>
        <v>0.65</v>
      </c>
      <c r="K859">
        <v>786.38</v>
      </c>
      <c r="L859">
        <v>6.47</v>
      </c>
      <c r="M859">
        <v>27.86</v>
      </c>
      <c r="N859">
        <v>78.010000000000005</v>
      </c>
      <c r="O859">
        <v>16.91</v>
      </c>
      <c r="P859">
        <v>0.64400000000000002</v>
      </c>
    </row>
    <row r="860" spans="1:16">
      <c r="A860" s="1" t="s">
        <v>567</v>
      </c>
      <c r="B860" s="3" t="s">
        <v>905</v>
      </c>
      <c r="C860" s="1" t="s">
        <v>18</v>
      </c>
      <c r="D860" s="1" t="s">
        <v>569</v>
      </c>
      <c r="E860" s="1" t="s">
        <v>573</v>
      </c>
      <c r="F860">
        <v>656.41</v>
      </c>
      <c r="G860">
        <v>7322.48</v>
      </c>
      <c r="H860">
        <v>1897.62</v>
      </c>
      <c r="I860">
        <v>119.66</v>
      </c>
      <c r="J860">
        <f>1.4/2</f>
        <v>0.7</v>
      </c>
      <c r="K860">
        <v>715.85</v>
      </c>
      <c r="L860">
        <v>6.5</v>
      </c>
      <c r="M860">
        <v>34.61</v>
      </c>
      <c r="N860">
        <v>326.27999999999997</v>
      </c>
      <c r="O860">
        <v>26.03</v>
      </c>
      <c r="P860">
        <v>2.31</v>
      </c>
    </row>
    <row r="861" spans="1:16">
      <c r="A861" s="1" t="s">
        <v>567</v>
      </c>
      <c r="B861" s="3" t="s">
        <v>906</v>
      </c>
      <c r="C861" s="1" t="s">
        <v>18</v>
      </c>
      <c r="D861" s="1" t="s">
        <v>569</v>
      </c>
      <c r="E861" s="1" t="s">
        <v>573</v>
      </c>
      <c r="F861">
        <v>4788.3900000000003</v>
      </c>
      <c r="G861">
        <v>2662.22</v>
      </c>
      <c r="H861">
        <v>1210.3599999999999</v>
      </c>
      <c r="I861">
        <v>176.36</v>
      </c>
      <c r="J861">
        <v>1.1299999999999999</v>
      </c>
      <c r="K861">
        <v>3913.27</v>
      </c>
      <c r="L861">
        <v>6.95</v>
      </c>
      <c r="M861">
        <v>31.65</v>
      </c>
      <c r="N861">
        <v>100.24</v>
      </c>
      <c r="O861">
        <v>23.64</v>
      </c>
      <c r="P861">
        <v>0.39200000000000002</v>
      </c>
    </row>
    <row r="862" spans="1:16">
      <c r="A862" s="1" t="s">
        <v>567</v>
      </c>
      <c r="B862" s="3" t="s">
        <v>907</v>
      </c>
      <c r="C862" s="1" t="s">
        <v>18</v>
      </c>
      <c r="D862" s="1" t="s">
        <v>569</v>
      </c>
      <c r="E862" s="1" t="s">
        <v>573</v>
      </c>
      <c r="F862">
        <v>371.35</v>
      </c>
      <c r="G862">
        <v>5345.28</v>
      </c>
      <c r="H862">
        <v>1796.54</v>
      </c>
      <c r="I862">
        <v>137.4</v>
      </c>
      <c r="J862">
        <f>1.43/2</f>
        <v>0.71499999999999997</v>
      </c>
      <c r="K862">
        <v>416.08</v>
      </c>
      <c r="L862">
        <v>8.3000000000000007</v>
      </c>
      <c r="M862">
        <v>30.96</v>
      </c>
      <c r="N862">
        <v>274.83</v>
      </c>
      <c r="O862">
        <v>30.87</v>
      </c>
      <c r="P862">
        <v>1.0580000000000001</v>
      </c>
    </row>
    <row r="863" spans="1:16">
      <c r="A863" s="1" t="s">
        <v>567</v>
      </c>
      <c r="B863" s="3" t="s">
        <v>908</v>
      </c>
      <c r="C863" s="1" t="s">
        <v>18</v>
      </c>
      <c r="D863" s="1" t="s">
        <v>569</v>
      </c>
      <c r="E863" s="1" t="s">
        <v>573</v>
      </c>
      <c r="F863">
        <v>675.67</v>
      </c>
      <c r="G863">
        <v>915.26</v>
      </c>
      <c r="H863">
        <v>515.49</v>
      </c>
      <c r="I863">
        <v>180.1</v>
      </c>
      <c r="J863">
        <f>2.18/2</f>
        <v>1.0900000000000001</v>
      </c>
      <c r="K863">
        <v>501.07</v>
      </c>
      <c r="L863">
        <v>4.75</v>
      </c>
      <c r="M863">
        <v>29.27</v>
      </c>
      <c r="N863">
        <v>70.41</v>
      </c>
      <c r="O863">
        <v>16.690000000000001</v>
      </c>
      <c r="P863">
        <v>0.26900000000000002</v>
      </c>
    </row>
    <row r="864" spans="1:16">
      <c r="A864" s="1" t="s">
        <v>567</v>
      </c>
      <c r="B864" s="3" t="s">
        <v>909</v>
      </c>
      <c r="C864" s="1" t="s">
        <v>18</v>
      </c>
      <c r="D864" s="1" t="s">
        <v>569</v>
      </c>
      <c r="E864" s="1" t="s">
        <v>573</v>
      </c>
      <c r="F864">
        <v>1645.52</v>
      </c>
      <c r="G864">
        <v>2273.1</v>
      </c>
      <c r="H864">
        <v>1020.8</v>
      </c>
      <c r="I864">
        <v>195.05</v>
      </c>
      <c r="J864">
        <f>4.01/2</f>
        <v>2.0049999999999999</v>
      </c>
      <c r="K864">
        <v>664.75</v>
      </c>
      <c r="L864">
        <v>5.21</v>
      </c>
      <c r="M864">
        <v>30.97</v>
      </c>
      <c r="N864">
        <v>120.03</v>
      </c>
      <c r="O864">
        <v>21.27</v>
      </c>
      <c r="P864">
        <v>0.5</v>
      </c>
    </row>
    <row r="865" spans="1:16">
      <c r="A865" s="1" t="s">
        <v>567</v>
      </c>
      <c r="B865" s="3" t="s">
        <v>910</v>
      </c>
      <c r="C865" s="1" t="s">
        <v>18</v>
      </c>
      <c r="D865" s="1" t="s">
        <v>569</v>
      </c>
      <c r="E865" s="1" t="s">
        <v>573</v>
      </c>
      <c r="F865">
        <v>3853.39</v>
      </c>
      <c r="G865">
        <v>6784.55</v>
      </c>
      <c r="H865">
        <v>3555.42</v>
      </c>
      <c r="I865">
        <v>149.78</v>
      </c>
      <c r="J865">
        <f>1.62/2</f>
        <v>0.81</v>
      </c>
      <c r="K865">
        <v>2243.56</v>
      </c>
      <c r="L865">
        <v>5.99</v>
      </c>
      <c r="M865">
        <v>33.369999999999997</v>
      </c>
      <c r="N865">
        <v>61.47</v>
      </c>
      <c r="O865">
        <v>24.27</v>
      </c>
      <c r="P865">
        <v>1.62</v>
      </c>
    </row>
    <row r="866" spans="1:16">
      <c r="A866" s="1" t="s">
        <v>567</v>
      </c>
      <c r="B866" s="3" t="s">
        <v>911</v>
      </c>
      <c r="C866" s="1" t="s">
        <v>18</v>
      </c>
      <c r="D866" s="1" t="s">
        <v>569</v>
      </c>
      <c r="E866" s="1" t="s">
        <v>573</v>
      </c>
      <c r="F866">
        <v>1351.95</v>
      </c>
      <c r="G866">
        <v>1869.85</v>
      </c>
      <c r="H866">
        <v>748.9</v>
      </c>
      <c r="I866">
        <v>189.82</v>
      </c>
      <c r="J866">
        <f>0.67/2</f>
        <v>0.33500000000000002</v>
      </c>
      <c r="K866">
        <v>1548.17</v>
      </c>
      <c r="L866">
        <v>4.01</v>
      </c>
      <c r="M866">
        <v>28.24</v>
      </c>
      <c r="N866">
        <v>100.01</v>
      </c>
      <c r="O866">
        <v>20</v>
      </c>
      <c r="P866">
        <v>0.26700000000000002</v>
      </c>
    </row>
    <row r="867" spans="1:16">
      <c r="A867" s="1" t="s">
        <v>567</v>
      </c>
      <c r="B867" s="3" t="s">
        <v>912</v>
      </c>
      <c r="C867" s="1" t="s">
        <v>18</v>
      </c>
      <c r="D867" s="1" t="s">
        <v>569</v>
      </c>
      <c r="E867" s="1" t="s">
        <v>573</v>
      </c>
      <c r="F867">
        <v>641.48</v>
      </c>
      <c r="G867">
        <v>3937.79</v>
      </c>
      <c r="H867">
        <v>650.49</v>
      </c>
      <c r="I867">
        <v>189.76</v>
      </c>
      <c r="J867">
        <f>0.59/2</f>
        <v>0.29499999999999998</v>
      </c>
      <c r="K867">
        <v>654.42999999999995</v>
      </c>
      <c r="L867">
        <v>3.88</v>
      </c>
      <c r="M867">
        <v>24.73</v>
      </c>
      <c r="N867">
        <v>52.7</v>
      </c>
      <c r="O867">
        <v>15.99</v>
      </c>
      <c r="P867">
        <v>0.25</v>
      </c>
    </row>
    <row r="868" spans="1:16">
      <c r="A868" s="1" t="s">
        <v>567</v>
      </c>
      <c r="B868" s="3" t="s">
        <v>913</v>
      </c>
      <c r="C868" s="1" t="s">
        <v>18</v>
      </c>
      <c r="D868" s="1" t="s">
        <v>569</v>
      </c>
      <c r="E868" s="1" t="s">
        <v>573</v>
      </c>
      <c r="F868">
        <v>448.95</v>
      </c>
      <c r="G868">
        <v>4657.71</v>
      </c>
      <c r="H868">
        <v>2235.71</v>
      </c>
      <c r="I868">
        <v>141.32</v>
      </c>
      <c r="J868">
        <f>0.86/2</f>
        <v>0.43</v>
      </c>
      <c r="K868">
        <v>634.54</v>
      </c>
      <c r="L868">
        <v>6.71</v>
      </c>
      <c r="M868">
        <v>35.159999999999997</v>
      </c>
      <c r="N868">
        <v>306.64</v>
      </c>
      <c r="O868">
        <v>23.49</v>
      </c>
      <c r="P868">
        <v>0.51900000000000002</v>
      </c>
    </row>
    <row r="869" spans="1:16">
      <c r="A869" s="1" t="s">
        <v>567</v>
      </c>
      <c r="B869" s="3" t="s">
        <v>914</v>
      </c>
      <c r="C869" s="1" t="s">
        <v>18</v>
      </c>
      <c r="D869" s="1" t="s">
        <v>569</v>
      </c>
      <c r="E869" s="1" t="s">
        <v>573</v>
      </c>
      <c r="F869">
        <v>3543.33</v>
      </c>
      <c r="G869">
        <v>5972.81</v>
      </c>
      <c r="H869">
        <v>2210.85</v>
      </c>
      <c r="I869">
        <v>244.5</v>
      </c>
      <c r="J869">
        <v>5.03</v>
      </c>
      <c r="K869">
        <v>1018.75</v>
      </c>
      <c r="L869">
        <v>2.5299999999999998</v>
      </c>
      <c r="M869">
        <v>30.57</v>
      </c>
      <c r="N869">
        <v>62.93</v>
      </c>
      <c r="O869">
        <v>19.670000000000002</v>
      </c>
      <c r="P869">
        <v>1.5</v>
      </c>
    </row>
    <row r="870" spans="1:16">
      <c r="A870" s="1" t="s">
        <v>567</v>
      </c>
      <c r="B870" s="3" t="s">
        <v>915</v>
      </c>
      <c r="C870" s="1" t="s">
        <v>18</v>
      </c>
      <c r="D870" s="1" t="s">
        <v>569</v>
      </c>
      <c r="E870" s="1" t="s">
        <v>573</v>
      </c>
      <c r="F870">
        <v>3777.81</v>
      </c>
      <c r="G870">
        <v>1461.88</v>
      </c>
      <c r="H870">
        <v>335.26</v>
      </c>
      <c r="I870">
        <v>236.14</v>
      </c>
      <c r="J870">
        <v>14.63</v>
      </c>
      <c r="K870">
        <v>1372.98</v>
      </c>
      <c r="L870">
        <v>2.98</v>
      </c>
      <c r="M870">
        <v>32.700000000000003</v>
      </c>
      <c r="N870">
        <v>60.21</v>
      </c>
      <c r="O870">
        <v>15.1</v>
      </c>
      <c r="P870">
        <v>0.17599999999999999</v>
      </c>
    </row>
    <row r="871" spans="1:16">
      <c r="A871" s="1" t="s">
        <v>567</v>
      </c>
      <c r="B871" s="3" t="s">
        <v>916</v>
      </c>
      <c r="C871" s="1" t="s">
        <v>18</v>
      </c>
      <c r="D871" s="1" t="s">
        <v>569</v>
      </c>
      <c r="E871" s="1" t="s">
        <v>573</v>
      </c>
      <c r="F871">
        <v>1989.93</v>
      </c>
      <c r="G871">
        <v>6466.79</v>
      </c>
      <c r="H871">
        <v>2662.93</v>
      </c>
      <c r="I871">
        <v>139.1</v>
      </c>
      <c r="J871">
        <v>1.1399999999999999</v>
      </c>
      <c r="K871">
        <v>1313.36</v>
      </c>
      <c r="L871">
        <v>9.5500000000000007</v>
      </c>
      <c r="M871">
        <v>35.92</v>
      </c>
      <c r="N871">
        <v>274.02999999999997</v>
      </c>
      <c r="O871">
        <v>26.08</v>
      </c>
      <c r="P871">
        <v>1.54</v>
      </c>
    </row>
    <row r="872" spans="1:16">
      <c r="A872" s="1" t="s">
        <v>567</v>
      </c>
      <c r="B872" s="3" t="s">
        <v>917</v>
      </c>
      <c r="C872" s="1" t="s">
        <v>18</v>
      </c>
      <c r="D872" s="1" t="s">
        <v>569</v>
      </c>
      <c r="E872" s="1" t="s">
        <v>573</v>
      </c>
      <c r="F872">
        <v>607.72</v>
      </c>
      <c r="G872">
        <v>5648.85</v>
      </c>
      <c r="H872">
        <v>2444.94</v>
      </c>
      <c r="I872">
        <v>216.87</v>
      </c>
      <c r="J872">
        <f>1.1/2</f>
        <v>0.55000000000000004</v>
      </c>
      <c r="K872">
        <v>440.56</v>
      </c>
      <c r="L872">
        <v>3.55</v>
      </c>
      <c r="M872">
        <v>29.68</v>
      </c>
      <c r="N872">
        <v>143.84</v>
      </c>
      <c r="O872">
        <v>23.98</v>
      </c>
      <c r="P872">
        <v>0.96099999999999997</v>
      </c>
    </row>
    <row r="873" spans="1:16">
      <c r="A873" s="1" t="s">
        <v>567</v>
      </c>
      <c r="B873" s="3" t="s">
        <v>918</v>
      </c>
      <c r="C873" s="1" t="s">
        <v>18</v>
      </c>
      <c r="D873" s="1" t="s">
        <v>569</v>
      </c>
      <c r="E873" s="1" t="s">
        <v>573</v>
      </c>
      <c r="F873">
        <v>319.39</v>
      </c>
      <c r="G873">
        <v>2542.2600000000002</v>
      </c>
      <c r="H873">
        <v>1134.19</v>
      </c>
      <c r="I873">
        <v>194.12</v>
      </c>
      <c r="J873">
        <f>0.82/2</f>
        <v>0.41</v>
      </c>
      <c r="K873">
        <v>403.32</v>
      </c>
      <c r="L873">
        <v>2.63</v>
      </c>
      <c r="M873">
        <v>31.84</v>
      </c>
      <c r="N873">
        <v>121.35</v>
      </c>
      <c r="O873">
        <v>20.82</v>
      </c>
      <c r="P873">
        <v>0.51700000000000002</v>
      </c>
    </row>
    <row r="874" spans="1:16">
      <c r="A874" s="1" t="s">
        <v>567</v>
      </c>
      <c r="B874" s="3" t="s">
        <v>919</v>
      </c>
      <c r="C874" s="1" t="s">
        <v>18</v>
      </c>
      <c r="D874" s="1" t="s">
        <v>569</v>
      </c>
      <c r="E874" s="1" t="s">
        <v>573</v>
      </c>
      <c r="F874">
        <v>521.66</v>
      </c>
      <c r="G874">
        <v>7481.75</v>
      </c>
      <c r="H874">
        <v>1655.17</v>
      </c>
      <c r="I874">
        <v>464.36</v>
      </c>
      <c r="J874">
        <f>1.26/2</f>
        <v>0.63</v>
      </c>
      <c r="K874">
        <v>461.99</v>
      </c>
      <c r="L874">
        <v>2.96</v>
      </c>
      <c r="M874">
        <v>26.81</v>
      </c>
      <c r="N874">
        <v>558.11</v>
      </c>
      <c r="O874">
        <v>39.549999999999997</v>
      </c>
      <c r="P874">
        <v>1.73</v>
      </c>
    </row>
    <row r="875" spans="1:16">
      <c r="A875" s="1" t="s">
        <v>567</v>
      </c>
      <c r="B875" s="3" t="s">
        <v>920</v>
      </c>
      <c r="C875" s="1" t="s">
        <v>18</v>
      </c>
      <c r="D875" s="1" t="s">
        <v>569</v>
      </c>
      <c r="E875" s="1" t="s">
        <v>573</v>
      </c>
      <c r="F875">
        <v>619.57000000000005</v>
      </c>
      <c r="G875">
        <v>5959.55</v>
      </c>
      <c r="H875">
        <v>1933</v>
      </c>
      <c r="I875">
        <v>137.08000000000001</v>
      </c>
      <c r="J875">
        <v>0.98</v>
      </c>
      <c r="K875">
        <v>848</v>
      </c>
      <c r="L875">
        <v>10.18</v>
      </c>
      <c r="M875">
        <v>33.26</v>
      </c>
      <c r="N875">
        <v>275.2</v>
      </c>
      <c r="O875">
        <v>26.8</v>
      </c>
      <c r="P875">
        <v>1.337</v>
      </c>
    </row>
    <row r="876" spans="1:16">
      <c r="A876" s="1" t="s">
        <v>567</v>
      </c>
      <c r="B876" s="3" t="s">
        <v>921</v>
      </c>
      <c r="C876" s="1" t="s">
        <v>18</v>
      </c>
      <c r="D876" s="1" t="s">
        <v>569</v>
      </c>
      <c r="E876" s="1" t="s">
        <v>573</v>
      </c>
      <c r="F876">
        <v>918.39</v>
      </c>
      <c r="G876">
        <v>3323.45</v>
      </c>
      <c r="H876">
        <v>741.96</v>
      </c>
      <c r="I876">
        <v>138.81</v>
      </c>
      <c r="J876">
        <f>2.73/2</f>
        <v>1.365</v>
      </c>
      <c r="K876">
        <v>927.66</v>
      </c>
      <c r="L876">
        <v>7.94</v>
      </c>
      <c r="M876">
        <v>37.630000000000003</v>
      </c>
      <c r="N876">
        <v>82.08</v>
      </c>
      <c r="O876">
        <v>25.02</v>
      </c>
      <c r="P876">
        <v>0.57999999999999996</v>
      </c>
    </row>
    <row r="877" spans="1:16">
      <c r="A877" s="1" t="s">
        <v>567</v>
      </c>
      <c r="B877" s="3" t="s">
        <v>922</v>
      </c>
      <c r="C877" s="1" t="s">
        <v>18</v>
      </c>
      <c r="D877" s="1" t="s">
        <v>569</v>
      </c>
      <c r="E877" s="1" t="s">
        <v>573</v>
      </c>
      <c r="F877">
        <v>819.28</v>
      </c>
      <c r="G877">
        <v>5211.3100000000004</v>
      </c>
      <c r="H877">
        <v>2938.42</v>
      </c>
      <c r="I877">
        <v>146.18</v>
      </c>
      <c r="J877">
        <v>1.1000000000000001</v>
      </c>
      <c r="K877">
        <v>875.95</v>
      </c>
      <c r="L877">
        <v>10.28</v>
      </c>
      <c r="M877">
        <v>33.04</v>
      </c>
      <c r="N877">
        <v>199.16</v>
      </c>
      <c r="O877">
        <v>25.73</v>
      </c>
      <c r="P877">
        <v>1.08</v>
      </c>
    </row>
    <row r="878" spans="1:16">
      <c r="A878" s="1" t="s">
        <v>567</v>
      </c>
      <c r="B878" s="3" t="s">
        <v>923</v>
      </c>
      <c r="C878" s="1" t="s">
        <v>18</v>
      </c>
      <c r="D878" s="1" t="s">
        <v>569</v>
      </c>
      <c r="E878" s="1" t="s">
        <v>573</v>
      </c>
      <c r="F878">
        <v>993.97</v>
      </c>
      <c r="G878">
        <v>8227.7900000000009</v>
      </c>
      <c r="H878">
        <v>1371.04</v>
      </c>
      <c r="I878">
        <v>143.35</v>
      </c>
      <c r="J878">
        <f>1.34/2</f>
        <v>0.67</v>
      </c>
      <c r="K878">
        <v>928.21</v>
      </c>
      <c r="L878">
        <v>10.23</v>
      </c>
      <c r="M878">
        <v>33.619999999999997</v>
      </c>
      <c r="N878">
        <v>206.34</v>
      </c>
      <c r="O878">
        <v>34.24</v>
      </c>
      <c r="P878">
        <v>1.052</v>
      </c>
    </row>
    <row r="879" spans="1:16">
      <c r="A879" s="1" t="s">
        <v>567</v>
      </c>
      <c r="B879" s="3" t="s">
        <v>924</v>
      </c>
      <c r="C879" s="1" t="s">
        <v>18</v>
      </c>
      <c r="D879" s="1" t="s">
        <v>569</v>
      </c>
      <c r="E879" s="1" t="s">
        <v>573</v>
      </c>
      <c r="F879">
        <v>738.38</v>
      </c>
      <c r="G879">
        <v>2449.0500000000002</v>
      </c>
      <c r="H879">
        <v>1373.54</v>
      </c>
      <c r="I879">
        <v>177.55</v>
      </c>
      <c r="J879">
        <v>2</v>
      </c>
      <c r="K879">
        <v>548.44000000000005</v>
      </c>
      <c r="L879">
        <v>4.04</v>
      </c>
      <c r="M879">
        <v>35.68</v>
      </c>
      <c r="N879">
        <v>136.31</v>
      </c>
      <c r="O879">
        <v>26.54</v>
      </c>
      <c r="P879">
        <v>0.371</v>
      </c>
    </row>
    <row r="880" spans="1:16">
      <c r="A880" s="1" t="s">
        <v>567</v>
      </c>
      <c r="B880" s="3" t="s">
        <v>925</v>
      </c>
      <c r="C880" s="1" t="s">
        <v>18</v>
      </c>
      <c r="D880" s="1" t="s">
        <v>569</v>
      </c>
      <c r="E880" s="1" t="s">
        <v>573</v>
      </c>
      <c r="F880">
        <v>536.85</v>
      </c>
      <c r="G880">
        <v>1520.23</v>
      </c>
      <c r="H880">
        <v>979.46</v>
      </c>
      <c r="I880">
        <v>167.21</v>
      </c>
      <c r="J880">
        <v>1.33</v>
      </c>
      <c r="K880">
        <v>653.29</v>
      </c>
      <c r="L880">
        <v>3.44</v>
      </c>
      <c r="M880">
        <v>32.97</v>
      </c>
      <c r="N880">
        <v>87.84</v>
      </c>
      <c r="O880">
        <v>26.16</v>
      </c>
      <c r="P880">
        <v>0.30399999999999999</v>
      </c>
    </row>
    <row r="881" spans="1:16">
      <c r="A881" s="1" t="s">
        <v>567</v>
      </c>
      <c r="B881" s="3" t="s">
        <v>926</v>
      </c>
      <c r="C881" s="1" t="s">
        <v>18</v>
      </c>
      <c r="D881" s="1" t="s">
        <v>569</v>
      </c>
      <c r="E881" s="1" t="s">
        <v>573</v>
      </c>
      <c r="F881">
        <v>3743.82</v>
      </c>
      <c r="G881">
        <v>6043.59</v>
      </c>
      <c r="H881">
        <v>2882.98</v>
      </c>
      <c r="I881">
        <v>229.42</v>
      </c>
      <c r="J881">
        <f>1.09/2</f>
        <v>0.54500000000000004</v>
      </c>
      <c r="K881">
        <v>1271.45</v>
      </c>
      <c r="L881">
        <v>3.03</v>
      </c>
      <c r="M881">
        <v>29.87</v>
      </c>
      <c r="N881">
        <v>69.5</v>
      </c>
      <c r="O881">
        <v>15.08</v>
      </c>
      <c r="P881">
        <v>1.74</v>
      </c>
    </row>
    <row r="882" spans="1:16">
      <c r="A882" s="1" t="s">
        <v>567</v>
      </c>
      <c r="B882" s="3" t="s">
        <v>927</v>
      </c>
      <c r="C882" s="1" t="s">
        <v>18</v>
      </c>
      <c r="D882" s="1" t="s">
        <v>569</v>
      </c>
      <c r="E882" s="1" t="s">
        <v>573</v>
      </c>
      <c r="F882">
        <v>6681.81</v>
      </c>
      <c r="G882">
        <v>3498.03</v>
      </c>
      <c r="H882">
        <v>5540.46</v>
      </c>
      <c r="I882">
        <v>224.4</v>
      </c>
      <c r="J882">
        <f>1.05/2</f>
        <v>0.52500000000000002</v>
      </c>
      <c r="K882">
        <v>5595.08</v>
      </c>
      <c r="L882">
        <v>6.11</v>
      </c>
      <c r="M882">
        <v>25.86</v>
      </c>
      <c r="N882">
        <v>100.52</v>
      </c>
      <c r="O882">
        <v>18.27</v>
      </c>
      <c r="P882">
        <v>1.339</v>
      </c>
    </row>
    <row r="883" spans="1:16">
      <c r="A883" s="1" t="s">
        <v>567</v>
      </c>
      <c r="B883" s="3" t="s">
        <v>928</v>
      </c>
      <c r="C883" s="1" t="s">
        <v>18</v>
      </c>
      <c r="D883" s="1" t="s">
        <v>569</v>
      </c>
      <c r="E883" s="1" t="s">
        <v>573</v>
      </c>
      <c r="F883">
        <v>4476.8100000000004</v>
      </c>
      <c r="G883">
        <v>1757.63</v>
      </c>
      <c r="H883">
        <v>1985.37</v>
      </c>
      <c r="I883">
        <v>236.87</v>
      </c>
      <c r="J883">
        <v>3.1</v>
      </c>
      <c r="K883">
        <v>3108.59</v>
      </c>
      <c r="L883">
        <v>12.07</v>
      </c>
      <c r="M883">
        <v>26.86</v>
      </c>
      <c r="N883">
        <v>87.67</v>
      </c>
      <c r="O883">
        <v>16.71</v>
      </c>
      <c r="P883">
        <v>0.64200000000000002</v>
      </c>
    </row>
    <row r="884" spans="1:16">
      <c r="A884" s="1" t="s">
        <v>567</v>
      </c>
      <c r="B884" s="3" t="s">
        <v>929</v>
      </c>
      <c r="C884" s="1" t="s">
        <v>18</v>
      </c>
      <c r="D884" s="1" t="s">
        <v>569</v>
      </c>
      <c r="E884" s="1" t="s">
        <v>573</v>
      </c>
      <c r="F884">
        <v>1828.48</v>
      </c>
      <c r="G884">
        <v>8028.51</v>
      </c>
      <c r="H884">
        <v>1449.91</v>
      </c>
      <c r="I884">
        <v>155.86000000000001</v>
      </c>
      <c r="J884">
        <f>1.34/2</f>
        <v>0.67</v>
      </c>
      <c r="K884">
        <v>841.59</v>
      </c>
      <c r="L884">
        <v>5.84</v>
      </c>
      <c r="M884">
        <v>35.72</v>
      </c>
      <c r="N884">
        <v>111.44</v>
      </c>
      <c r="O884">
        <v>32.770000000000003</v>
      </c>
      <c r="P884">
        <v>0.89200000000000002</v>
      </c>
    </row>
    <row r="885" spans="1:16">
      <c r="A885" s="1" t="s">
        <v>567</v>
      </c>
      <c r="B885" s="3" t="s">
        <v>930</v>
      </c>
      <c r="C885" s="1" t="s">
        <v>18</v>
      </c>
      <c r="D885" s="1" t="s">
        <v>569</v>
      </c>
      <c r="E885" s="1" t="s">
        <v>573</v>
      </c>
      <c r="F885">
        <v>555.89</v>
      </c>
      <c r="G885">
        <v>2546.92</v>
      </c>
      <c r="H885">
        <v>4752.5</v>
      </c>
      <c r="I885">
        <v>192.58</v>
      </c>
      <c r="J885">
        <f>0.7/2</f>
        <v>0.35</v>
      </c>
      <c r="K885">
        <v>375.69</v>
      </c>
      <c r="L885">
        <v>8.58</v>
      </c>
      <c r="M885">
        <v>27.6</v>
      </c>
      <c r="N885">
        <v>78.31</v>
      </c>
      <c r="O885">
        <v>19.71</v>
      </c>
      <c r="P885">
        <v>1.19</v>
      </c>
    </row>
    <row r="886" spans="1:16">
      <c r="A886" s="1" t="s">
        <v>567</v>
      </c>
      <c r="B886" s="3" t="s">
        <v>931</v>
      </c>
      <c r="C886" s="1" t="s">
        <v>18</v>
      </c>
      <c r="D886" s="1" t="s">
        <v>569</v>
      </c>
      <c r="E886" s="1" t="s">
        <v>573</v>
      </c>
      <c r="F886">
        <v>5548.17</v>
      </c>
      <c r="G886">
        <v>9190.9500000000007</v>
      </c>
      <c r="H886">
        <v>1851.13</v>
      </c>
      <c r="I886">
        <v>136.01</v>
      </c>
      <c r="J886">
        <f>1.34/2</f>
        <v>0.67</v>
      </c>
      <c r="K886">
        <v>2722.5</v>
      </c>
      <c r="L886">
        <v>5.75</v>
      </c>
      <c r="M886">
        <v>31.5</v>
      </c>
      <c r="N886">
        <v>301.42</v>
      </c>
      <c r="O886">
        <v>25.01</v>
      </c>
      <c r="P886">
        <v>1.49</v>
      </c>
    </row>
    <row r="887" spans="1:16">
      <c r="A887" s="1" t="s">
        <v>567</v>
      </c>
      <c r="B887" s="3" t="s">
        <v>932</v>
      </c>
      <c r="C887" s="1" t="s">
        <v>18</v>
      </c>
      <c r="D887" s="1" t="s">
        <v>569</v>
      </c>
      <c r="E887" s="1" t="s">
        <v>573</v>
      </c>
      <c r="F887">
        <v>268</v>
      </c>
      <c r="G887">
        <v>4034.72</v>
      </c>
      <c r="H887">
        <v>777.89</v>
      </c>
      <c r="I887">
        <v>134.93</v>
      </c>
      <c r="J887">
        <f>0.72/2</f>
        <v>0.36</v>
      </c>
      <c r="K887">
        <v>431.76</v>
      </c>
      <c r="L887">
        <v>5.36</v>
      </c>
      <c r="M887">
        <v>36.65</v>
      </c>
      <c r="N887">
        <v>444.87</v>
      </c>
      <c r="O887">
        <v>23.53</v>
      </c>
      <c r="P887">
        <v>1.24</v>
      </c>
    </row>
    <row r="888" spans="1:16">
      <c r="A888" s="1" t="s">
        <v>567</v>
      </c>
      <c r="B888" s="3" t="s">
        <v>933</v>
      </c>
      <c r="C888" s="1" t="s">
        <v>18</v>
      </c>
      <c r="D888" s="1" t="s">
        <v>569</v>
      </c>
      <c r="E888" s="1" t="s">
        <v>573</v>
      </c>
      <c r="F888">
        <v>200.34</v>
      </c>
      <c r="G888">
        <v>3589.98</v>
      </c>
      <c r="H888">
        <v>1207.74</v>
      </c>
      <c r="I888">
        <v>157.22</v>
      </c>
      <c r="J888">
        <v>1.74</v>
      </c>
      <c r="K888">
        <v>351.73</v>
      </c>
      <c r="L888">
        <v>4.83</v>
      </c>
      <c r="M888">
        <v>35.61</v>
      </c>
      <c r="N888">
        <v>48.46</v>
      </c>
      <c r="O888">
        <v>23.58</v>
      </c>
      <c r="P888">
        <v>0.376</v>
      </c>
    </row>
    <row r="889" spans="1:16">
      <c r="A889" s="1" t="s">
        <v>567</v>
      </c>
      <c r="B889" s="3" t="s">
        <v>934</v>
      </c>
      <c r="C889" s="1" t="s">
        <v>18</v>
      </c>
      <c r="D889" s="1" t="s">
        <v>569</v>
      </c>
      <c r="E889" s="1" t="s">
        <v>573</v>
      </c>
      <c r="F889">
        <v>512.04999999999995</v>
      </c>
      <c r="G889">
        <v>5369.7</v>
      </c>
      <c r="H889">
        <v>908.27</v>
      </c>
      <c r="I889">
        <v>145.44</v>
      </c>
      <c r="J889">
        <f>1.21/2</f>
        <v>0.60499999999999998</v>
      </c>
      <c r="K889">
        <v>458.7</v>
      </c>
      <c r="L889">
        <v>5.36</v>
      </c>
      <c r="M889">
        <v>36.69</v>
      </c>
      <c r="N889">
        <v>164.64</v>
      </c>
      <c r="O889">
        <v>25.54</v>
      </c>
      <c r="P889">
        <v>0.433</v>
      </c>
    </row>
    <row r="890" spans="1:16">
      <c r="A890" s="1" t="s">
        <v>567</v>
      </c>
      <c r="B890" s="3" t="s">
        <v>935</v>
      </c>
      <c r="C890" s="1" t="s">
        <v>18</v>
      </c>
      <c r="D890" s="1" t="s">
        <v>569</v>
      </c>
      <c r="E890" s="1" t="s">
        <v>573</v>
      </c>
      <c r="F890">
        <v>311.08999999999997</v>
      </c>
      <c r="G890">
        <v>4267.38</v>
      </c>
      <c r="H890">
        <v>1600.99</v>
      </c>
      <c r="I890">
        <v>169.71</v>
      </c>
      <c r="J890">
        <f>1.7/2</f>
        <v>0.85</v>
      </c>
      <c r="K890">
        <v>392.63</v>
      </c>
      <c r="L890">
        <v>6.64</v>
      </c>
      <c r="M890">
        <v>25.62</v>
      </c>
      <c r="N890">
        <v>386.3</v>
      </c>
      <c r="O890">
        <v>19.559999999999999</v>
      </c>
      <c r="P890">
        <v>0.81899999999999995</v>
      </c>
    </row>
    <row r="891" spans="1:16">
      <c r="A891" s="1" t="s">
        <v>567</v>
      </c>
      <c r="B891" s="3" t="s">
        <v>936</v>
      </c>
      <c r="C891" s="1" t="s">
        <v>18</v>
      </c>
      <c r="D891" s="1" t="s">
        <v>569</v>
      </c>
      <c r="E891" s="1" t="s">
        <v>573</v>
      </c>
      <c r="F891">
        <v>613.91</v>
      </c>
      <c r="G891">
        <v>2008.89</v>
      </c>
      <c r="H891">
        <v>3467.43</v>
      </c>
      <c r="I891">
        <v>230.53</v>
      </c>
      <c r="J891">
        <v>1.23</v>
      </c>
      <c r="K891">
        <v>543.61</v>
      </c>
      <c r="L891">
        <v>6.21</v>
      </c>
      <c r="M891">
        <v>28.09</v>
      </c>
      <c r="N891">
        <v>54.89</v>
      </c>
      <c r="O891">
        <v>18.43</v>
      </c>
      <c r="P891">
        <v>0.56399999999999995</v>
      </c>
    </row>
    <row r="892" spans="1:16">
      <c r="A892" s="1" t="s">
        <v>567</v>
      </c>
      <c r="B892" s="3" t="s">
        <v>937</v>
      </c>
      <c r="C892" s="1" t="s">
        <v>18</v>
      </c>
      <c r="D892" s="1" t="s">
        <v>569</v>
      </c>
      <c r="E892" s="1" t="s">
        <v>573</v>
      </c>
      <c r="F892">
        <v>1564.62</v>
      </c>
      <c r="G892">
        <v>1882.6</v>
      </c>
      <c r="H892">
        <v>607.77</v>
      </c>
      <c r="I892">
        <v>228.84</v>
      </c>
      <c r="J892">
        <v>0.72</v>
      </c>
      <c r="K892">
        <v>1009.73</v>
      </c>
      <c r="L892">
        <v>4.01</v>
      </c>
      <c r="M892">
        <v>23.96</v>
      </c>
      <c r="N892">
        <v>62.95</v>
      </c>
      <c r="O892">
        <v>18.37</v>
      </c>
      <c r="P892">
        <v>0.41399999999999998</v>
      </c>
    </row>
    <row r="893" spans="1:16">
      <c r="A893" s="1" t="s">
        <v>567</v>
      </c>
      <c r="B893" s="3" t="s">
        <v>938</v>
      </c>
      <c r="C893" s="1" t="s">
        <v>18</v>
      </c>
      <c r="D893" s="1" t="s">
        <v>569</v>
      </c>
      <c r="E893" s="1" t="s">
        <v>573</v>
      </c>
      <c r="F893">
        <v>772.16</v>
      </c>
      <c r="G893">
        <v>653.94000000000005</v>
      </c>
      <c r="H893">
        <v>1017.75</v>
      </c>
      <c r="I893">
        <v>168.93</v>
      </c>
      <c r="J893">
        <v>3.66</v>
      </c>
      <c r="K893">
        <v>487.25</v>
      </c>
      <c r="L893">
        <v>2.38</v>
      </c>
      <c r="M893">
        <v>31.26</v>
      </c>
      <c r="N893">
        <v>52.09</v>
      </c>
      <c r="O893">
        <v>15.73</v>
      </c>
      <c r="P893">
        <v>0.16800000000000001</v>
      </c>
    </row>
    <row r="894" spans="1:16">
      <c r="A894" s="1" t="s">
        <v>567</v>
      </c>
      <c r="B894" s="3" t="s">
        <v>939</v>
      </c>
      <c r="C894" s="1" t="s">
        <v>18</v>
      </c>
      <c r="D894" s="1" t="s">
        <v>569</v>
      </c>
      <c r="E894" s="1" t="s">
        <v>573</v>
      </c>
      <c r="F894">
        <v>419.08</v>
      </c>
      <c r="G894">
        <v>7397.08</v>
      </c>
      <c r="H894">
        <v>1940.25</v>
      </c>
      <c r="I894">
        <v>135.28</v>
      </c>
      <c r="J894">
        <f>1.27/2</f>
        <v>0.63500000000000001</v>
      </c>
      <c r="K894">
        <v>415.06</v>
      </c>
      <c r="L894">
        <v>6.06</v>
      </c>
      <c r="M894">
        <v>31.68</v>
      </c>
      <c r="N894">
        <v>196.92</v>
      </c>
      <c r="O894">
        <v>33.75</v>
      </c>
      <c r="P894">
        <v>1.3480000000000001</v>
      </c>
    </row>
    <row r="895" spans="1:16">
      <c r="A895" s="1" t="s">
        <v>567</v>
      </c>
      <c r="B895" s="3" t="s">
        <v>940</v>
      </c>
      <c r="C895" s="1" t="s">
        <v>18</v>
      </c>
      <c r="D895" s="1" t="s">
        <v>569</v>
      </c>
      <c r="E895" s="1" t="s">
        <v>573</v>
      </c>
      <c r="F895">
        <v>458.78</v>
      </c>
      <c r="G895">
        <v>6426.93</v>
      </c>
      <c r="H895">
        <v>1787.47</v>
      </c>
      <c r="I895">
        <v>142.22</v>
      </c>
      <c r="J895">
        <f>1.19/2</f>
        <v>0.59499999999999997</v>
      </c>
      <c r="K895">
        <v>431.45</v>
      </c>
      <c r="L895">
        <v>6.46</v>
      </c>
      <c r="M895">
        <v>34.68</v>
      </c>
      <c r="N895">
        <v>348.08</v>
      </c>
      <c r="O895">
        <v>36.15</v>
      </c>
      <c r="P895">
        <v>0.91300000000000003</v>
      </c>
    </row>
    <row r="896" spans="1:16">
      <c r="A896" s="1" t="s">
        <v>567</v>
      </c>
      <c r="B896" s="3" t="s">
        <v>941</v>
      </c>
      <c r="C896" s="1" t="s">
        <v>18</v>
      </c>
      <c r="D896" s="1" t="s">
        <v>569</v>
      </c>
      <c r="E896" s="1" t="s">
        <v>573</v>
      </c>
      <c r="F896">
        <v>473.13</v>
      </c>
      <c r="G896">
        <v>6077.1</v>
      </c>
      <c r="H896">
        <v>1859.23</v>
      </c>
      <c r="I896">
        <v>143.44999999999999</v>
      </c>
      <c r="J896">
        <f>1.28/2</f>
        <v>0.64</v>
      </c>
      <c r="K896">
        <v>419.25</v>
      </c>
      <c r="L896">
        <v>7.84</v>
      </c>
      <c r="M896">
        <v>37.82</v>
      </c>
      <c r="N896">
        <v>262.20999999999998</v>
      </c>
      <c r="O896">
        <v>37.53</v>
      </c>
      <c r="P896">
        <v>1.351</v>
      </c>
    </row>
    <row r="897" spans="1:16">
      <c r="A897" s="1" t="s">
        <v>567</v>
      </c>
      <c r="B897" s="3" t="s">
        <v>942</v>
      </c>
      <c r="C897" s="1" t="s">
        <v>18</v>
      </c>
      <c r="D897" s="1" t="s">
        <v>569</v>
      </c>
      <c r="E897" s="1" t="s">
        <v>573</v>
      </c>
      <c r="F897">
        <v>2525.0500000000002</v>
      </c>
      <c r="G897">
        <v>888.63</v>
      </c>
      <c r="H897">
        <v>456.79</v>
      </c>
      <c r="I897">
        <v>205.62</v>
      </c>
      <c r="J897">
        <f>0.64/2</f>
        <v>0.32</v>
      </c>
      <c r="K897">
        <v>1113.01</v>
      </c>
      <c r="L897">
        <v>3.14</v>
      </c>
      <c r="M897">
        <v>28.41</v>
      </c>
      <c r="N897">
        <v>62.61</v>
      </c>
      <c r="O897">
        <v>13.81</v>
      </c>
      <c r="P897">
        <v>0.51900000000000002</v>
      </c>
    </row>
    <row r="898" spans="1:16">
      <c r="A898" s="1" t="s">
        <v>567</v>
      </c>
      <c r="B898" s="3" t="s">
        <v>943</v>
      </c>
      <c r="C898" s="1" t="s">
        <v>18</v>
      </c>
      <c r="D898" s="1" t="s">
        <v>569</v>
      </c>
      <c r="E898" s="1" t="s">
        <v>573</v>
      </c>
      <c r="F898">
        <v>718.25</v>
      </c>
      <c r="G898">
        <v>4074.83</v>
      </c>
      <c r="H898">
        <v>1057.0999999999999</v>
      </c>
      <c r="I898">
        <v>128.11000000000001</v>
      </c>
      <c r="J898">
        <f>0.83/2</f>
        <v>0.41499999999999998</v>
      </c>
      <c r="K898">
        <v>843.35</v>
      </c>
      <c r="L898">
        <v>8.6199999999999992</v>
      </c>
      <c r="M898">
        <v>32.92</v>
      </c>
      <c r="N898">
        <v>204.9</v>
      </c>
      <c r="O898">
        <v>20.82</v>
      </c>
      <c r="P898">
        <v>0.63300000000000001</v>
      </c>
    </row>
    <row r="899" spans="1:16">
      <c r="A899" s="1" t="s">
        <v>567</v>
      </c>
      <c r="B899" s="3" t="s">
        <v>944</v>
      </c>
      <c r="C899" s="1" t="s">
        <v>18</v>
      </c>
      <c r="D899" s="1" t="s">
        <v>569</v>
      </c>
      <c r="E899" s="1" t="s">
        <v>573</v>
      </c>
      <c r="F899">
        <v>8300.0400000000009</v>
      </c>
      <c r="G899">
        <v>4309</v>
      </c>
      <c r="H899">
        <v>2400.7399999999998</v>
      </c>
      <c r="I899">
        <v>141.94999999999999</v>
      </c>
      <c r="J899">
        <v>2.98</v>
      </c>
      <c r="K899">
        <v>6020.66</v>
      </c>
      <c r="L899">
        <v>6.89</v>
      </c>
      <c r="M899">
        <v>27.35</v>
      </c>
      <c r="N899">
        <v>213.44</v>
      </c>
      <c r="O899">
        <v>17.489999999999998</v>
      </c>
      <c r="P899">
        <v>1.0009999999999999</v>
      </c>
    </row>
    <row r="900" spans="1:16">
      <c r="A900" s="1" t="s">
        <v>567</v>
      </c>
      <c r="B900" s="3" t="s">
        <v>945</v>
      </c>
      <c r="C900" s="1" t="s">
        <v>18</v>
      </c>
      <c r="D900" s="1" t="s">
        <v>569</v>
      </c>
      <c r="E900" s="1" t="s">
        <v>573</v>
      </c>
      <c r="F900">
        <v>541.89</v>
      </c>
      <c r="G900">
        <v>5275.39</v>
      </c>
      <c r="H900">
        <v>810.58</v>
      </c>
      <c r="I900">
        <v>130.91999999999999</v>
      </c>
      <c r="J900">
        <f>0.92/2</f>
        <v>0.46</v>
      </c>
      <c r="K900">
        <v>711.8</v>
      </c>
      <c r="L900">
        <v>9.34</v>
      </c>
      <c r="M900">
        <v>32.07</v>
      </c>
      <c r="N900">
        <v>225.92</v>
      </c>
      <c r="O900">
        <v>21.76</v>
      </c>
      <c r="P900">
        <v>0.51100000000000001</v>
      </c>
    </row>
    <row r="901" spans="1:16">
      <c r="A901" s="1" t="s">
        <v>567</v>
      </c>
      <c r="B901" s="3" t="s">
        <v>946</v>
      </c>
      <c r="C901" s="1" t="s">
        <v>18</v>
      </c>
      <c r="D901" s="1" t="s">
        <v>569</v>
      </c>
      <c r="E901" s="1" t="s">
        <v>573</v>
      </c>
      <c r="F901">
        <v>754.86</v>
      </c>
      <c r="G901">
        <v>1978.36</v>
      </c>
      <c r="H901">
        <v>1028.21</v>
      </c>
      <c r="I901">
        <v>199.34</v>
      </c>
      <c r="J901">
        <v>0.97</v>
      </c>
      <c r="K901">
        <v>582.37</v>
      </c>
      <c r="L901">
        <v>3.72</v>
      </c>
      <c r="M901">
        <v>29.07</v>
      </c>
      <c r="N901">
        <v>103.15</v>
      </c>
      <c r="O901">
        <v>17.8</v>
      </c>
      <c r="P901">
        <v>0.252</v>
      </c>
    </row>
    <row r="902" spans="1:16">
      <c r="A902" s="1" t="s">
        <v>567</v>
      </c>
      <c r="B902" s="3" t="s">
        <v>947</v>
      </c>
      <c r="C902" s="1" t="s">
        <v>18</v>
      </c>
      <c r="D902" s="1" t="s">
        <v>569</v>
      </c>
      <c r="E902" s="1" t="s">
        <v>573</v>
      </c>
      <c r="F902">
        <v>576.91</v>
      </c>
      <c r="G902">
        <v>6329.47</v>
      </c>
      <c r="H902">
        <v>2224.85</v>
      </c>
      <c r="I902">
        <v>139.46</v>
      </c>
      <c r="J902">
        <v>1.38</v>
      </c>
      <c r="K902">
        <v>493.53</v>
      </c>
      <c r="L902">
        <v>10.95</v>
      </c>
      <c r="M902">
        <v>35.14</v>
      </c>
      <c r="N902">
        <v>190.26</v>
      </c>
      <c r="O902">
        <v>32.53</v>
      </c>
      <c r="P902">
        <v>0.98499999999999999</v>
      </c>
    </row>
    <row r="903" spans="1:16">
      <c r="A903" s="1" t="s">
        <v>567</v>
      </c>
      <c r="B903" s="3" t="s">
        <v>948</v>
      </c>
      <c r="C903" s="1" t="s">
        <v>18</v>
      </c>
      <c r="D903" s="1" t="s">
        <v>569</v>
      </c>
      <c r="E903" s="1" t="s">
        <v>573</v>
      </c>
      <c r="F903">
        <v>1192.17</v>
      </c>
      <c r="G903">
        <v>1844.24</v>
      </c>
      <c r="H903">
        <v>1132.5</v>
      </c>
      <c r="I903">
        <v>248.29</v>
      </c>
      <c r="J903">
        <v>2.4700000000000002</v>
      </c>
      <c r="K903">
        <v>600.66999999999996</v>
      </c>
      <c r="L903">
        <v>3.6</v>
      </c>
      <c r="M903">
        <v>22.4</v>
      </c>
      <c r="N903">
        <v>71.45</v>
      </c>
      <c r="O903">
        <v>17.37</v>
      </c>
      <c r="P903">
        <v>0.39700000000000002</v>
      </c>
    </row>
    <row r="904" spans="1:16">
      <c r="A904" s="1" t="s">
        <v>567</v>
      </c>
      <c r="B904" s="3" t="s">
        <v>949</v>
      </c>
      <c r="C904" s="1" t="s">
        <v>18</v>
      </c>
      <c r="D904" s="1" t="s">
        <v>569</v>
      </c>
      <c r="E904" s="1" t="s">
        <v>573</v>
      </c>
      <c r="F904">
        <v>1926.09</v>
      </c>
      <c r="G904">
        <v>4753.7299999999996</v>
      </c>
      <c r="H904">
        <v>3197.52</v>
      </c>
      <c r="I904">
        <v>166.1</v>
      </c>
      <c r="J904">
        <v>0.81</v>
      </c>
      <c r="K904">
        <v>1064.6600000000001</v>
      </c>
      <c r="L904">
        <v>4.0999999999999996</v>
      </c>
      <c r="M904">
        <v>32.79</v>
      </c>
      <c r="N904">
        <v>126</v>
      </c>
      <c r="O904">
        <v>26.31</v>
      </c>
      <c r="P904">
        <v>1.36</v>
      </c>
    </row>
    <row r="905" spans="1:16">
      <c r="A905" s="1" t="s">
        <v>567</v>
      </c>
      <c r="B905" s="3" t="s">
        <v>950</v>
      </c>
      <c r="C905" s="1" t="s">
        <v>18</v>
      </c>
      <c r="D905" s="1" t="s">
        <v>569</v>
      </c>
      <c r="E905" s="1" t="s">
        <v>573</v>
      </c>
      <c r="F905">
        <v>640.12</v>
      </c>
      <c r="G905">
        <v>7008.07</v>
      </c>
      <c r="H905">
        <v>2434.5100000000002</v>
      </c>
      <c r="I905">
        <v>146.93</v>
      </c>
      <c r="J905">
        <f>1.71/2</f>
        <v>0.85499999999999998</v>
      </c>
      <c r="K905">
        <v>478.82</v>
      </c>
      <c r="L905">
        <v>7.27</v>
      </c>
      <c r="M905">
        <v>30.5</v>
      </c>
      <c r="N905">
        <v>358.57</v>
      </c>
      <c r="O905">
        <v>27.17</v>
      </c>
      <c r="P905">
        <v>1.43</v>
      </c>
    </row>
    <row r="906" spans="1:16">
      <c r="A906" s="1" t="s">
        <v>567</v>
      </c>
      <c r="B906" s="3" t="s">
        <v>951</v>
      </c>
      <c r="C906" s="1" t="s">
        <v>18</v>
      </c>
      <c r="D906" s="1" t="s">
        <v>569</v>
      </c>
      <c r="E906" s="1" t="s">
        <v>573</v>
      </c>
      <c r="F906">
        <v>749.17</v>
      </c>
      <c r="G906">
        <v>10715.84</v>
      </c>
      <c r="H906">
        <v>2391.1</v>
      </c>
      <c r="I906">
        <v>152.97</v>
      </c>
      <c r="J906">
        <f>1.27/2</f>
        <v>0.63500000000000001</v>
      </c>
      <c r="K906">
        <v>501.64</v>
      </c>
      <c r="L906">
        <v>5.69</v>
      </c>
      <c r="M906">
        <v>32.49</v>
      </c>
      <c r="N906">
        <v>281.8</v>
      </c>
      <c r="O906">
        <v>39.31</v>
      </c>
      <c r="P906">
        <v>1.59</v>
      </c>
    </row>
    <row r="907" spans="1:16">
      <c r="A907" s="1" t="s">
        <v>567</v>
      </c>
      <c r="B907" s="3" t="s">
        <v>952</v>
      </c>
      <c r="C907" s="1" t="s">
        <v>18</v>
      </c>
      <c r="D907" s="1" t="s">
        <v>569</v>
      </c>
      <c r="E907" s="1" t="s">
        <v>573</v>
      </c>
      <c r="F907">
        <v>426.79</v>
      </c>
      <c r="G907">
        <v>2564.79</v>
      </c>
      <c r="H907">
        <v>1988.63</v>
      </c>
      <c r="I907">
        <v>205.49</v>
      </c>
      <c r="J907">
        <v>4.2</v>
      </c>
      <c r="K907">
        <v>409.69</v>
      </c>
      <c r="L907">
        <v>8.32</v>
      </c>
      <c r="M907">
        <v>27.25</v>
      </c>
      <c r="N907">
        <v>188.23</v>
      </c>
      <c r="O907">
        <v>19.190000000000001</v>
      </c>
      <c r="P907">
        <v>0.32</v>
      </c>
    </row>
    <row r="908" spans="1:16">
      <c r="A908" s="1" t="s">
        <v>567</v>
      </c>
      <c r="B908" s="3" t="s">
        <v>953</v>
      </c>
      <c r="C908" s="1" t="s">
        <v>18</v>
      </c>
      <c r="D908" s="1" t="s">
        <v>569</v>
      </c>
      <c r="E908" s="1" t="s">
        <v>573</v>
      </c>
      <c r="F908">
        <v>204.62</v>
      </c>
      <c r="G908">
        <v>2471.67</v>
      </c>
      <c r="H908">
        <v>861.52</v>
      </c>
      <c r="I908">
        <v>181.51</v>
      </c>
      <c r="J908">
        <f>1.18/2</f>
        <v>0.59</v>
      </c>
      <c r="K908">
        <v>342.89</v>
      </c>
      <c r="L908">
        <v>6.43</v>
      </c>
      <c r="M908">
        <v>27.39</v>
      </c>
      <c r="N908">
        <v>130.19999999999999</v>
      </c>
      <c r="O908">
        <v>20.85</v>
      </c>
      <c r="P908">
        <v>0.38500000000000001</v>
      </c>
    </row>
    <row r="909" spans="1:16">
      <c r="A909" s="1" t="s">
        <v>567</v>
      </c>
      <c r="B909" s="3" t="s">
        <v>954</v>
      </c>
      <c r="C909" s="1" t="s">
        <v>18</v>
      </c>
      <c r="D909" s="1" t="s">
        <v>569</v>
      </c>
      <c r="E909" s="1" t="s">
        <v>573</v>
      </c>
      <c r="F909">
        <v>899.64</v>
      </c>
      <c r="G909">
        <v>1999.81</v>
      </c>
      <c r="H909">
        <v>631.48</v>
      </c>
      <c r="I909">
        <v>181.37</v>
      </c>
      <c r="J909">
        <f>1.19/2</f>
        <v>0.59499999999999997</v>
      </c>
      <c r="K909">
        <v>610.65</v>
      </c>
      <c r="L909">
        <v>7.45</v>
      </c>
      <c r="M909">
        <v>36</v>
      </c>
      <c r="N909">
        <v>97.57</v>
      </c>
      <c r="O909">
        <v>16.96</v>
      </c>
      <c r="P909">
        <v>0.74</v>
      </c>
    </row>
    <row r="910" spans="1:16">
      <c r="A910" s="1" t="s">
        <v>567</v>
      </c>
      <c r="B910" s="3" t="s">
        <v>955</v>
      </c>
      <c r="C910" s="1" t="s">
        <v>18</v>
      </c>
      <c r="D910" s="1" t="s">
        <v>569</v>
      </c>
      <c r="E910" s="1" t="s">
        <v>573</v>
      </c>
      <c r="F910">
        <v>484.36</v>
      </c>
      <c r="G910">
        <v>5777.89</v>
      </c>
      <c r="H910">
        <v>1324.91</v>
      </c>
      <c r="I910">
        <v>140.56</v>
      </c>
      <c r="J910">
        <f>0.77/2</f>
        <v>0.38500000000000001</v>
      </c>
      <c r="K910">
        <v>451.59</v>
      </c>
      <c r="L910">
        <v>4.0599999999999996</v>
      </c>
      <c r="M910">
        <v>30.29</v>
      </c>
      <c r="N910">
        <v>55.16</v>
      </c>
      <c r="O910">
        <v>20.66</v>
      </c>
      <c r="P910">
        <v>0.77100000000000002</v>
      </c>
    </row>
    <row r="911" spans="1:16">
      <c r="A911" s="1" t="s">
        <v>567</v>
      </c>
      <c r="B911" s="3" t="s">
        <v>956</v>
      </c>
      <c r="C911" s="1" t="s">
        <v>18</v>
      </c>
      <c r="D911" s="1" t="s">
        <v>569</v>
      </c>
      <c r="E911" s="1" t="s">
        <v>573</v>
      </c>
      <c r="F911">
        <v>486.51</v>
      </c>
      <c r="G911">
        <v>4225.0600000000004</v>
      </c>
      <c r="H911">
        <v>1869.49</v>
      </c>
      <c r="I911">
        <v>172.89</v>
      </c>
      <c r="J911">
        <f>0.79/2</f>
        <v>0.39500000000000002</v>
      </c>
      <c r="K911">
        <v>348.66</v>
      </c>
      <c r="L911">
        <v>6.56</v>
      </c>
      <c r="M911">
        <v>29.17</v>
      </c>
      <c r="N911">
        <v>148.79</v>
      </c>
      <c r="O911">
        <v>18.96</v>
      </c>
      <c r="P911">
        <v>0.94</v>
      </c>
    </row>
    <row r="912" spans="1:16">
      <c r="A912" s="1" t="s">
        <v>567</v>
      </c>
      <c r="B912" s="3" t="s">
        <v>957</v>
      </c>
      <c r="C912" s="1" t="s">
        <v>18</v>
      </c>
      <c r="D912" s="1" t="s">
        <v>569</v>
      </c>
      <c r="E912" s="1" t="s">
        <v>573</v>
      </c>
      <c r="F912">
        <v>3164.35</v>
      </c>
      <c r="G912">
        <v>4812.38</v>
      </c>
      <c r="H912">
        <v>5918.67</v>
      </c>
      <c r="I912">
        <v>183.29</v>
      </c>
      <c r="J912">
        <v>1.59</v>
      </c>
      <c r="K912">
        <v>1978.98</v>
      </c>
      <c r="L912">
        <v>6.58</v>
      </c>
      <c r="M912">
        <v>31.85</v>
      </c>
      <c r="N912">
        <v>55.56</v>
      </c>
      <c r="O912">
        <v>18.88</v>
      </c>
      <c r="P912">
        <v>1.55</v>
      </c>
    </row>
    <row r="913" spans="1:16">
      <c r="A913" s="1" t="s">
        <v>567</v>
      </c>
      <c r="B913" s="3" t="s">
        <v>958</v>
      </c>
      <c r="C913" s="1" t="s">
        <v>18</v>
      </c>
      <c r="D913" s="1" t="s">
        <v>569</v>
      </c>
      <c r="E913" s="1" t="s">
        <v>573</v>
      </c>
      <c r="F913">
        <v>1276.1600000000001</v>
      </c>
      <c r="G913">
        <v>5687.8</v>
      </c>
      <c r="H913">
        <v>1350.64</v>
      </c>
      <c r="I913">
        <v>142.52000000000001</v>
      </c>
      <c r="J913">
        <f>1.61/2</f>
        <v>0.80500000000000005</v>
      </c>
      <c r="K913">
        <v>1063.5</v>
      </c>
      <c r="L913">
        <v>8.93</v>
      </c>
      <c r="M913">
        <v>36.28</v>
      </c>
      <c r="N913">
        <v>95.65</v>
      </c>
      <c r="O913">
        <v>29.26</v>
      </c>
      <c r="P913">
        <v>1.341</v>
      </c>
    </row>
    <row r="914" spans="1:16">
      <c r="A914" s="1" t="s">
        <v>567</v>
      </c>
      <c r="B914" s="3" t="s">
        <v>959</v>
      </c>
      <c r="C914" s="1" t="s">
        <v>18</v>
      </c>
      <c r="D914" s="1" t="s">
        <v>569</v>
      </c>
      <c r="E914" s="1" t="s">
        <v>573</v>
      </c>
      <c r="F914">
        <v>901.25</v>
      </c>
      <c r="G914">
        <v>6979.53</v>
      </c>
      <c r="H914">
        <v>3739.21</v>
      </c>
      <c r="I914">
        <v>145.63</v>
      </c>
      <c r="J914">
        <f>1.79/2</f>
        <v>0.89500000000000002</v>
      </c>
      <c r="K914">
        <v>606.79999999999995</v>
      </c>
      <c r="L914">
        <v>7.02</v>
      </c>
      <c r="M914">
        <v>37.21</v>
      </c>
      <c r="N914">
        <v>146.49</v>
      </c>
      <c r="O914">
        <v>33.619999999999997</v>
      </c>
      <c r="P914">
        <v>2.09</v>
      </c>
    </row>
    <row r="915" spans="1:16">
      <c r="A915" s="1" t="s">
        <v>567</v>
      </c>
      <c r="B915" s="3" t="s">
        <v>960</v>
      </c>
      <c r="C915" s="1" t="s">
        <v>18</v>
      </c>
      <c r="D915" s="1" t="s">
        <v>569</v>
      </c>
      <c r="E915" s="1" t="s">
        <v>573</v>
      </c>
      <c r="F915">
        <v>12456.98</v>
      </c>
      <c r="G915">
        <v>5412.15</v>
      </c>
      <c r="H915">
        <v>3464.69</v>
      </c>
      <c r="I915">
        <v>147.86000000000001</v>
      </c>
      <c r="J915">
        <f>1.43/2</f>
        <v>0.71499999999999997</v>
      </c>
      <c r="K915">
        <v>11627.17</v>
      </c>
      <c r="L915">
        <v>5.9</v>
      </c>
      <c r="M915">
        <v>31.98</v>
      </c>
      <c r="N915">
        <v>99.37</v>
      </c>
      <c r="O915">
        <v>16.3</v>
      </c>
      <c r="P915">
        <v>1.458</v>
      </c>
    </row>
    <row r="916" spans="1:16">
      <c r="A916" s="1" t="s">
        <v>567</v>
      </c>
      <c r="B916" s="3" t="s">
        <v>961</v>
      </c>
      <c r="C916" s="1" t="s">
        <v>18</v>
      </c>
      <c r="D916" s="1" t="s">
        <v>569</v>
      </c>
      <c r="E916" s="1" t="s">
        <v>573</v>
      </c>
      <c r="F916">
        <v>3417.04</v>
      </c>
      <c r="G916">
        <v>2877.94</v>
      </c>
      <c r="H916">
        <v>1653.32</v>
      </c>
      <c r="I916">
        <v>208.62</v>
      </c>
      <c r="J916">
        <v>2.63</v>
      </c>
      <c r="K916">
        <v>2870.76</v>
      </c>
      <c r="L916">
        <v>5.89</v>
      </c>
      <c r="M916">
        <v>31.55</v>
      </c>
      <c r="N916">
        <v>65.66</v>
      </c>
      <c r="O916">
        <v>16.68</v>
      </c>
      <c r="P916">
        <v>1.24</v>
      </c>
    </row>
    <row r="917" spans="1:16">
      <c r="A917" s="1" t="s">
        <v>567</v>
      </c>
      <c r="B917" s="3" t="s">
        <v>962</v>
      </c>
      <c r="C917" s="1" t="s">
        <v>18</v>
      </c>
      <c r="D917" s="1" t="s">
        <v>569</v>
      </c>
      <c r="E917" s="1" t="s">
        <v>573</v>
      </c>
      <c r="F917">
        <v>417.87</v>
      </c>
      <c r="G917">
        <v>7426.58</v>
      </c>
      <c r="H917">
        <v>2431.21</v>
      </c>
      <c r="I917">
        <v>136.69</v>
      </c>
      <c r="J917">
        <f>1.33/2</f>
        <v>0.66500000000000004</v>
      </c>
      <c r="K917">
        <v>419.95</v>
      </c>
      <c r="L917">
        <v>5.94</v>
      </c>
      <c r="M917">
        <v>30.76</v>
      </c>
      <c r="N917">
        <v>254.36</v>
      </c>
      <c r="O917">
        <v>33.950000000000003</v>
      </c>
      <c r="P917">
        <v>1.26</v>
      </c>
    </row>
    <row r="918" spans="1:16">
      <c r="A918" s="1" t="s">
        <v>567</v>
      </c>
      <c r="B918" s="3" t="s">
        <v>963</v>
      </c>
      <c r="C918" s="1" t="s">
        <v>18</v>
      </c>
      <c r="D918" s="1" t="s">
        <v>569</v>
      </c>
      <c r="E918" s="1" t="s">
        <v>573</v>
      </c>
      <c r="F918">
        <v>389.89</v>
      </c>
      <c r="G918">
        <v>2646.12</v>
      </c>
      <c r="H918">
        <v>1311.77</v>
      </c>
      <c r="I918">
        <v>231.23</v>
      </c>
      <c r="J918">
        <v>1.64</v>
      </c>
      <c r="K918">
        <v>441.51</v>
      </c>
      <c r="L918">
        <v>3.42</v>
      </c>
      <c r="M918">
        <v>24.1</v>
      </c>
      <c r="N918">
        <v>120.98</v>
      </c>
      <c r="O918">
        <v>19.18</v>
      </c>
      <c r="P918">
        <v>0.22</v>
      </c>
    </row>
    <row r="919" spans="1:16">
      <c r="A919" s="1" t="s">
        <v>567</v>
      </c>
      <c r="B919" s="3" t="s">
        <v>964</v>
      </c>
      <c r="C919" s="1" t="s">
        <v>18</v>
      </c>
      <c r="D919" s="1" t="s">
        <v>569</v>
      </c>
      <c r="E919" s="1" t="s">
        <v>573</v>
      </c>
      <c r="F919">
        <v>573.70000000000005</v>
      </c>
      <c r="G919">
        <v>3030.17</v>
      </c>
      <c r="H919">
        <v>1530.72</v>
      </c>
      <c r="I919">
        <v>178.09</v>
      </c>
      <c r="J919">
        <v>0.93</v>
      </c>
      <c r="K919">
        <v>680.77</v>
      </c>
      <c r="L919">
        <v>6.96</v>
      </c>
      <c r="M919">
        <v>27.02</v>
      </c>
      <c r="N919">
        <v>263.42</v>
      </c>
      <c r="O919">
        <v>17.25</v>
      </c>
      <c r="P919">
        <v>0.80800000000000005</v>
      </c>
    </row>
    <row r="920" spans="1:16">
      <c r="A920" s="1" t="s">
        <v>567</v>
      </c>
      <c r="B920" s="3" t="s">
        <v>965</v>
      </c>
      <c r="C920" s="1" t="s">
        <v>18</v>
      </c>
      <c r="D920" s="1" t="s">
        <v>569</v>
      </c>
      <c r="E920" s="1" t="s">
        <v>573</v>
      </c>
      <c r="F920">
        <v>133.03</v>
      </c>
      <c r="G920">
        <v>700.65</v>
      </c>
      <c r="H920">
        <v>534.47</v>
      </c>
      <c r="I920">
        <v>192.46</v>
      </c>
      <c r="J920">
        <f>1.03/2</f>
        <v>0.51500000000000001</v>
      </c>
      <c r="K920">
        <v>322.52999999999997</v>
      </c>
      <c r="L920">
        <v>3.47</v>
      </c>
      <c r="M920">
        <v>25.36</v>
      </c>
      <c r="N920">
        <v>52.54</v>
      </c>
      <c r="O920">
        <v>16.190000000000001</v>
      </c>
      <c r="P920">
        <v>0.16700000000000001</v>
      </c>
    </row>
    <row r="921" spans="1:16">
      <c r="A921" s="1" t="s">
        <v>567</v>
      </c>
      <c r="B921" s="3" t="s">
        <v>966</v>
      </c>
      <c r="C921" s="1" t="s">
        <v>18</v>
      </c>
      <c r="D921" s="1" t="s">
        <v>569</v>
      </c>
      <c r="E921" s="1" t="s">
        <v>573</v>
      </c>
      <c r="F921">
        <v>690.01</v>
      </c>
      <c r="G921">
        <v>4499.75</v>
      </c>
      <c r="H921">
        <v>2344.2399999999998</v>
      </c>
      <c r="I921">
        <v>180.19</v>
      </c>
      <c r="J921">
        <f>1.17/2</f>
        <v>0.58499999999999996</v>
      </c>
      <c r="K921">
        <v>542.84</v>
      </c>
      <c r="L921">
        <v>4.4000000000000004</v>
      </c>
      <c r="M921">
        <v>29.11</v>
      </c>
      <c r="N921">
        <v>68.25</v>
      </c>
      <c r="O921">
        <v>20.5</v>
      </c>
      <c r="P921">
        <v>1.58</v>
      </c>
    </row>
    <row r="922" spans="1:16">
      <c r="A922" s="1" t="s">
        <v>567</v>
      </c>
      <c r="B922" s="3" t="s">
        <v>967</v>
      </c>
      <c r="C922" s="1" t="s">
        <v>18</v>
      </c>
      <c r="D922" s="1" t="s">
        <v>569</v>
      </c>
      <c r="E922" s="1" t="s">
        <v>573</v>
      </c>
      <c r="F922">
        <v>1600.79</v>
      </c>
      <c r="G922">
        <v>3227.61</v>
      </c>
      <c r="H922">
        <v>1005.43</v>
      </c>
      <c r="I922">
        <v>152.47</v>
      </c>
      <c r="J922">
        <f>0.99/2</f>
        <v>0.495</v>
      </c>
      <c r="K922">
        <v>678.46</v>
      </c>
      <c r="L922">
        <v>3.41</v>
      </c>
      <c r="M922">
        <v>30.48</v>
      </c>
      <c r="N922">
        <v>50.79</v>
      </c>
      <c r="O922">
        <v>17.77</v>
      </c>
      <c r="P922">
        <v>0.38500000000000001</v>
      </c>
    </row>
    <row r="923" spans="1:16">
      <c r="A923" s="1" t="s">
        <v>567</v>
      </c>
      <c r="B923" s="3" t="s">
        <v>968</v>
      </c>
      <c r="C923" s="1" t="s">
        <v>18</v>
      </c>
      <c r="D923" s="1" t="s">
        <v>569</v>
      </c>
      <c r="E923" s="1" t="s">
        <v>573</v>
      </c>
      <c r="F923">
        <v>1031.44</v>
      </c>
      <c r="G923">
        <v>3873.38</v>
      </c>
      <c r="H923">
        <v>4350.67</v>
      </c>
      <c r="I923">
        <v>178.94</v>
      </c>
      <c r="J923">
        <v>1.95</v>
      </c>
      <c r="K923">
        <v>565.44000000000005</v>
      </c>
      <c r="L923">
        <v>3.83</v>
      </c>
      <c r="M923">
        <v>30.09</v>
      </c>
      <c r="N923">
        <v>51.53</v>
      </c>
      <c r="O923">
        <v>19.98</v>
      </c>
      <c r="P923">
        <v>1.0309999999999999</v>
      </c>
    </row>
    <row r="924" spans="1:16">
      <c r="A924" s="1" t="s">
        <v>567</v>
      </c>
      <c r="B924" s="3" t="s">
        <v>969</v>
      </c>
      <c r="C924" s="1" t="s">
        <v>18</v>
      </c>
      <c r="D924" s="1" t="s">
        <v>569</v>
      </c>
      <c r="E924" s="1" t="s">
        <v>573</v>
      </c>
      <c r="F924">
        <v>460.82</v>
      </c>
      <c r="G924">
        <v>5539.78</v>
      </c>
      <c r="H924">
        <v>1441.89</v>
      </c>
      <c r="I924">
        <v>117.68</v>
      </c>
      <c r="J924">
        <f>0.74/2</f>
        <v>0.37</v>
      </c>
      <c r="K924">
        <v>545.47</v>
      </c>
      <c r="L924">
        <v>5.83</v>
      </c>
      <c r="M924">
        <v>32.6</v>
      </c>
      <c r="N924">
        <v>296.3</v>
      </c>
      <c r="O924">
        <v>23.95</v>
      </c>
      <c r="P924">
        <v>0.97</v>
      </c>
    </row>
    <row r="925" spans="1:16">
      <c r="A925" s="1" t="s">
        <v>567</v>
      </c>
      <c r="B925" s="3" t="s">
        <v>970</v>
      </c>
      <c r="C925" s="1" t="s">
        <v>18</v>
      </c>
      <c r="D925" s="1" t="s">
        <v>569</v>
      </c>
      <c r="E925" s="1" t="s">
        <v>573</v>
      </c>
      <c r="F925">
        <v>1253.8900000000001</v>
      </c>
      <c r="G925">
        <v>1119.57</v>
      </c>
      <c r="H925">
        <v>1976.73</v>
      </c>
      <c r="I925">
        <v>244.8</v>
      </c>
      <c r="J925">
        <v>3.42</v>
      </c>
      <c r="K925">
        <v>909.84</v>
      </c>
      <c r="L925">
        <v>2.68</v>
      </c>
      <c r="M925">
        <v>25.9</v>
      </c>
      <c r="N925">
        <v>57.87</v>
      </c>
      <c r="O925">
        <v>12.24</v>
      </c>
      <c r="P925">
        <v>0.3</v>
      </c>
    </row>
    <row r="926" spans="1:16">
      <c r="A926" s="1" t="s">
        <v>567</v>
      </c>
      <c r="B926" s="3" t="s">
        <v>971</v>
      </c>
      <c r="C926" s="1" t="s">
        <v>18</v>
      </c>
      <c r="D926" s="1" t="s">
        <v>569</v>
      </c>
      <c r="E926" s="1" t="s">
        <v>573</v>
      </c>
      <c r="F926">
        <v>271.20999999999998</v>
      </c>
      <c r="G926">
        <v>2586.7800000000002</v>
      </c>
      <c r="H926">
        <v>795.39</v>
      </c>
      <c r="I926">
        <v>133.54</v>
      </c>
      <c r="J926">
        <v>1.78</v>
      </c>
      <c r="K926">
        <v>477.5</v>
      </c>
      <c r="L926">
        <v>6.28</v>
      </c>
      <c r="M926">
        <v>32.42</v>
      </c>
      <c r="N926">
        <v>92.72</v>
      </c>
      <c r="O926">
        <v>28.23</v>
      </c>
      <c r="P926">
        <v>0.25</v>
      </c>
    </row>
    <row r="927" spans="1:16">
      <c r="A927" s="1" t="s">
        <v>567</v>
      </c>
      <c r="B927" s="3" t="s">
        <v>972</v>
      </c>
      <c r="C927" s="1" t="s">
        <v>18</v>
      </c>
      <c r="D927" s="1" t="s">
        <v>569</v>
      </c>
      <c r="E927" s="1" t="s">
        <v>573</v>
      </c>
      <c r="F927">
        <v>687.45</v>
      </c>
      <c r="G927">
        <v>6709.28</v>
      </c>
      <c r="H927">
        <v>4521.1000000000004</v>
      </c>
      <c r="I927">
        <v>133.96</v>
      </c>
      <c r="J927">
        <v>1.01</v>
      </c>
      <c r="K927">
        <v>484.83</v>
      </c>
      <c r="L927">
        <v>7.41</v>
      </c>
      <c r="M927">
        <v>30.8</v>
      </c>
      <c r="N927">
        <v>164.88</v>
      </c>
      <c r="O927">
        <v>30.53</v>
      </c>
      <c r="P927">
        <v>1.9</v>
      </c>
    </row>
    <row r="928" spans="1:16">
      <c r="A928" s="1" t="s">
        <v>567</v>
      </c>
      <c r="B928" s="3" t="s">
        <v>973</v>
      </c>
      <c r="C928" s="1" t="s">
        <v>18</v>
      </c>
      <c r="D928" s="1" t="s">
        <v>569</v>
      </c>
      <c r="E928" s="1" t="s">
        <v>573</v>
      </c>
      <c r="F928">
        <v>614.04</v>
      </c>
      <c r="G928">
        <v>1834.48</v>
      </c>
      <c r="H928">
        <v>1864.9</v>
      </c>
      <c r="I928">
        <v>235.4</v>
      </c>
      <c r="J928">
        <v>3.48</v>
      </c>
      <c r="K928">
        <v>371.99</v>
      </c>
      <c r="L928">
        <v>2.4700000000000002</v>
      </c>
      <c r="M928">
        <v>28.9</v>
      </c>
      <c r="N928">
        <v>66.650000000000006</v>
      </c>
      <c r="O928">
        <v>14.89</v>
      </c>
      <c r="P928">
        <v>0.4</v>
      </c>
    </row>
    <row r="929" spans="1:16">
      <c r="A929" s="1" t="s">
        <v>567</v>
      </c>
      <c r="B929" s="3" t="s">
        <v>974</v>
      </c>
      <c r="C929" s="1" t="s">
        <v>18</v>
      </c>
      <c r="D929" s="1" t="s">
        <v>569</v>
      </c>
      <c r="E929" s="1" t="s">
        <v>573</v>
      </c>
      <c r="F929">
        <v>862.64</v>
      </c>
      <c r="G929">
        <v>915.39</v>
      </c>
      <c r="H929">
        <v>948.31</v>
      </c>
      <c r="I929">
        <v>249.5</v>
      </c>
      <c r="J929">
        <v>0.73</v>
      </c>
      <c r="K929">
        <v>543.55999999999995</v>
      </c>
      <c r="L929">
        <v>4.3</v>
      </c>
      <c r="M929">
        <v>24.03</v>
      </c>
      <c r="N929">
        <v>44.84</v>
      </c>
      <c r="O929">
        <v>14.1</v>
      </c>
      <c r="P929">
        <v>0.372</v>
      </c>
    </row>
    <row r="930" spans="1:16">
      <c r="A930" s="1" t="s">
        <v>567</v>
      </c>
      <c r="B930" s="3" t="s">
        <v>975</v>
      </c>
      <c r="C930" s="1" t="s">
        <v>18</v>
      </c>
      <c r="D930" s="1" t="s">
        <v>569</v>
      </c>
      <c r="E930" s="1" t="s">
        <v>573</v>
      </c>
      <c r="F930">
        <v>344.99</v>
      </c>
      <c r="G930">
        <v>1220.53</v>
      </c>
      <c r="H930">
        <v>1646.07</v>
      </c>
      <c r="I930">
        <v>184.78</v>
      </c>
      <c r="J930">
        <f>1.08/2</f>
        <v>0.54</v>
      </c>
      <c r="K930">
        <v>438.34</v>
      </c>
      <c r="L930">
        <v>4.95</v>
      </c>
      <c r="M930">
        <v>25.37</v>
      </c>
      <c r="N930">
        <v>61.62</v>
      </c>
      <c r="O930">
        <v>16.95</v>
      </c>
      <c r="P930">
        <v>0.47799999999999998</v>
      </c>
    </row>
    <row r="931" spans="1:16">
      <c r="A931" s="1" t="s">
        <v>567</v>
      </c>
      <c r="B931" s="3" t="s">
        <v>976</v>
      </c>
      <c r="C931" s="1" t="s">
        <v>18</v>
      </c>
      <c r="D931" s="1" t="s">
        <v>569</v>
      </c>
      <c r="E931" s="1" t="s">
        <v>573</v>
      </c>
      <c r="F931">
        <v>297.36</v>
      </c>
      <c r="G931">
        <v>5364.26</v>
      </c>
      <c r="H931">
        <v>1336.83</v>
      </c>
      <c r="I931">
        <v>191.51</v>
      </c>
      <c r="J931">
        <f>1.24/2</f>
        <v>0.62</v>
      </c>
      <c r="K931">
        <v>398.51</v>
      </c>
      <c r="L931">
        <v>5.19</v>
      </c>
      <c r="M931">
        <v>25.28</v>
      </c>
      <c r="N931">
        <v>385.9</v>
      </c>
      <c r="O931">
        <v>21.13</v>
      </c>
      <c r="P931">
        <v>0.74299999999999999</v>
      </c>
    </row>
    <row r="932" spans="1:16">
      <c r="A932" s="1" t="s">
        <v>567</v>
      </c>
      <c r="B932" s="3" t="s">
        <v>977</v>
      </c>
      <c r="C932" s="1" t="s">
        <v>18</v>
      </c>
      <c r="D932" s="1" t="s">
        <v>569</v>
      </c>
      <c r="E932" s="1" t="s">
        <v>573</v>
      </c>
      <c r="F932">
        <v>133.97</v>
      </c>
      <c r="G932">
        <v>409.49</v>
      </c>
      <c r="H932">
        <v>366.01</v>
      </c>
      <c r="I932">
        <v>173.79</v>
      </c>
      <c r="J932">
        <v>0.65</v>
      </c>
      <c r="K932">
        <v>254.48</v>
      </c>
      <c r="L932">
        <v>2.87</v>
      </c>
      <c r="M932">
        <v>29.57</v>
      </c>
      <c r="N932">
        <v>41.84</v>
      </c>
      <c r="O932">
        <v>17.68</v>
      </c>
      <c r="P932">
        <v>0.13300000000000001</v>
      </c>
    </row>
    <row r="933" spans="1:16">
      <c r="A933" s="1" t="s">
        <v>567</v>
      </c>
      <c r="B933" s="3" t="s">
        <v>978</v>
      </c>
      <c r="C933" s="1" t="s">
        <v>18</v>
      </c>
      <c r="D933" s="1" t="s">
        <v>569</v>
      </c>
      <c r="E933" s="1" t="s">
        <v>573</v>
      </c>
      <c r="F933">
        <v>468.41</v>
      </c>
      <c r="G933">
        <v>3482.6</v>
      </c>
      <c r="H933">
        <v>1815.86</v>
      </c>
      <c r="I933">
        <v>197.5</v>
      </c>
      <c r="J933">
        <f>0.82/2</f>
        <v>0.41</v>
      </c>
      <c r="K933">
        <v>380.05</v>
      </c>
      <c r="L933">
        <v>6.67</v>
      </c>
      <c r="M933">
        <v>29.17</v>
      </c>
      <c r="N933">
        <v>66.430000000000007</v>
      </c>
      <c r="O933">
        <v>18.71</v>
      </c>
      <c r="P933">
        <v>0.34100000000000003</v>
      </c>
    </row>
    <row r="934" spans="1:16">
      <c r="A934" s="1" t="s">
        <v>567</v>
      </c>
      <c r="B934" s="3" t="s">
        <v>979</v>
      </c>
      <c r="C934" s="1" t="s">
        <v>18</v>
      </c>
      <c r="D934" s="1" t="s">
        <v>569</v>
      </c>
      <c r="E934" s="1" t="s">
        <v>573</v>
      </c>
      <c r="F934">
        <v>463.94</v>
      </c>
      <c r="G934">
        <v>5547.59</v>
      </c>
      <c r="H934">
        <v>3006.27</v>
      </c>
      <c r="I934">
        <v>185.85</v>
      </c>
      <c r="J934">
        <f>0.75/2</f>
        <v>0.375</v>
      </c>
      <c r="K934">
        <v>409.61</v>
      </c>
      <c r="L934">
        <v>8.57</v>
      </c>
      <c r="M934">
        <v>28.3</v>
      </c>
      <c r="N934">
        <v>56.1</v>
      </c>
      <c r="O934">
        <v>18.04</v>
      </c>
      <c r="P934">
        <v>0.747</v>
      </c>
    </row>
    <row r="935" spans="1:16">
      <c r="A935" s="1" t="s">
        <v>567</v>
      </c>
      <c r="B935" s="3" t="s">
        <v>980</v>
      </c>
      <c r="C935" s="1" t="s">
        <v>18</v>
      </c>
      <c r="D935" s="1" t="s">
        <v>569</v>
      </c>
      <c r="E935" s="1" t="s">
        <v>573</v>
      </c>
      <c r="F935">
        <v>269.68</v>
      </c>
      <c r="G935">
        <v>1950.59</v>
      </c>
      <c r="H935">
        <v>1389.17</v>
      </c>
      <c r="I935">
        <v>176.59</v>
      </c>
      <c r="J935">
        <v>1.91</v>
      </c>
      <c r="K935">
        <v>338.3</v>
      </c>
      <c r="L935">
        <v>7.44</v>
      </c>
      <c r="M935">
        <v>28.66</v>
      </c>
      <c r="N935">
        <v>60.59</v>
      </c>
      <c r="O935">
        <v>16.82</v>
      </c>
      <c r="P935">
        <v>0.28599999999999998</v>
      </c>
    </row>
    <row r="936" spans="1:16">
      <c r="A936" s="1" t="s">
        <v>567</v>
      </c>
      <c r="B936" s="3" t="s">
        <v>981</v>
      </c>
      <c r="C936" s="1" t="s">
        <v>18</v>
      </c>
      <c r="D936" s="1" t="s">
        <v>569</v>
      </c>
      <c r="E936" s="1" t="s">
        <v>573</v>
      </c>
      <c r="F936">
        <v>463.23</v>
      </c>
      <c r="G936">
        <v>6232.67</v>
      </c>
      <c r="H936">
        <v>2450.88</v>
      </c>
      <c r="I936">
        <v>160.02000000000001</v>
      </c>
      <c r="J936">
        <f>1.23/2</f>
        <v>0.61499999999999999</v>
      </c>
      <c r="K936">
        <v>435.73</v>
      </c>
      <c r="L936">
        <v>5.53</v>
      </c>
      <c r="M936">
        <v>29.73</v>
      </c>
      <c r="N936">
        <v>85.84</v>
      </c>
      <c r="O936">
        <v>29.9</v>
      </c>
      <c r="P936">
        <v>0.94699999999999995</v>
      </c>
    </row>
    <row r="937" spans="1:16">
      <c r="A937" s="1" t="s">
        <v>567</v>
      </c>
      <c r="B937" s="3" t="s">
        <v>982</v>
      </c>
      <c r="C937" s="1" t="s">
        <v>18</v>
      </c>
      <c r="D937" s="1" t="s">
        <v>569</v>
      </c>
      <c r="E937" s="1" t="s">
        <v>573</v>
      </c>
      <c r="F937">
        <v>62689.54</v>
      </c>
      <c r="G937">
        <v>6070.59</v>
      </c>
      <c r="H937">
        <v>2488.9499999999998</v>
      </c>
      <c r="I937">
        <v>196.89</v>
      </c>
      <c r="J937">
        <v>8.51</v>
      </c>
      <c r="K937">
        <v>25945.49</v>
      </c>
      <c r="L937">
        <v>7.13</v>
      </c>
      <c r="M937">
        <v>20.47</v>
      </c>
      <c r="N937">
        <v>175.96</v>
      </c>
      <c r="O937">
        <v>8.6199999999999992</v>
      </c>
      <c r="P937">
        <v>1.1100000000000001</v>
      </c>
    </row>
    <row r="938" spans="1:16">
      <c r="A938" s="1" t="s">
        <v>567</v>
      </c>
      <c r="B938" s="3" t="s">
        <v>983</v>
      </c>
      <c r="C938" s="1" t="s">
        <v>18</v>
      </c>
      <c r="D938" s="1" t="s">
        <v>569</v>
      </c>
      <c r="E938" s="1" t="s">
        <v>573</v>
      </c>
      <c r="F938">
        <v>920.01</v>
      </c>
      <c r="G938">
        <v>3871</v>
      </c>
      <c r="H938">
        <v>2639.63</v>
      </c>
      <c r="I938">
        <v>167.41</v>
      </c>
      <c r="J938">
        <f>2.4/2</f>
        <v>1.2</v>
      </c>
      <c r="K938">
        <v>675.46</v>
      </c>
      <c r="L938">
        <v>8.08</v>
      </c>
      <c r="M938">
        <v>29</v>
      </c>
      <c r="N938">
        <v>160.13</v>
      </c>
      <c r="O938">
        <v>20.309999999999999</v>
      </c>
      <c r="P938">
        <v>1.45</v>
      </c>
    </row>
    <row r="939" spans="1:16">
      <c r="A939" s="1" t="s">
        <v>567</v>
      </c>
      <c r="B939" s="3" t="s">
        <v>984</v>
      </c>
      <c r="C939" s="1" t="s">
        <v>18</v>
      </c>
      <c r="D939" s="1" t="s">
        <v>569</v>
      </c>
      <c r="E939" s="1" t="s">
        <v>573</v>
      </c>
      <c r="F939">
        <v>136.58000000000001</v>
      </c>
      <c r="G939">
        <v>538.6</v>
      </c>
      <c r="H939">
        <v>546.76</v>
      </c>
      <c r="I939">
        <v>187.25</v>
      </c>
      <c r="J939">
        <v>1.1100000000000001</v>
      </c>
      <c r="K939">
        <v>298.5</v>
      </c>
      <c r="L939">
        <v>2.5099999999999998</v>
      </c>
      <c r="M939">
        <v>26.12</v>
      </c>
      <c r="N939">
        <v>41.37</v>
      </c>
      <c r="O939">
        <v>15.69</v>
      </c>
      <c r="P939">
        <v>0.19600000000000001</v>
      </c>
    </row>
    <row r="940" spans="1:16">
      <c r="A940" s="1" t="s">
        <v>567</v>
      </c>
      <c r="B940" s="3" t="s">
        <v>985</v>
      </c>
      <c r="C940" s="1" t="s">
        <v>18</v>
      </c>
      <c r="D940" s="1" t="s">
        <v>569</v>
      </c>
      <c r="E940" s="1" t="s">
        <v>573</v>
      </c>
      <c r="F940">
        <v>179.91</v>
      </c>
      <c r="G940">
        <v>593.49</v>
      </c>
      <c r="H940">
        <v>482.95</v>
      </c>
      <c r="I940">
        <v>188.8</v>
      </c>
      <c r="J940">
        <v>0.76</v>
      </c>
      <c r="K940">
        <v>280.31</v>
      </c>
      <c r="L940">
        <v>2.96</v>
      </c>
      <c r="M940">
        <v>26.27</v>
      </c>
      <c r="N940">
        <v>46.52</v>
      </c>
      <c r="O940">
        <v>16.350000000000001</v>
      </c>
      <c r="P940">
        <v>0.23</v>
      </c>
    </row>
    <row r="941" spans="1:16">
      <c r="A941" s="1" t="s">
        <v>567</v>
      </c>
      <c r="B941" s="3" t="s">
        <v>986</v>
      </c>
      <c r="C941" s="1" t="s">
        <v>18</v>
      </c>
      <c r="D941" s="1" t="s">
        <v>569</v>
      </c>
      <c r="E941" s="1" t="s">
        <v>573</v>
      </c>
      <c r="F941">
        <v>1221.82</v>
      </c>
      <c r="G941">
        <v>3880.95</v>
      </c>
      <c r="H941">
        <v>2141.5300000000002</v>
      </c>
      <c r="I941">
        <v>142.63999999999999</v>
      </c>
      <c r="J941">
        <f>2.77/2</f>
        <v>1.385</v>
      </c>
      <c r="K941">
        <v>990.88</v>
      </c>
      <c r="L941">
        <v>8.81</v>
      </c>
      <c r="M941">
        <v>32.630000000000003</v>
      </c>
      <c r="N941">
        <v>286.02999999999997</v>
      </c>
      <c r="O941">
        <v>21.57</v>
      </c>
      <c r="P941">
        <v>0.82</v>
      </c>
    </row>
    <row r="942" spans="1:16">
      <c r="A942" s="1" t="s">
        <v>567</v>
      </c>
      <c r="B942" s="3" t="s">
        <v>987</v>
      </c>
      <c r="C942" s="1" t="s">
        <v>18</v>
      </c>
      <c r="D942" s="1" t="s">
        <v>569</v>
      </c>
      <c r="E942" s="1" t="s">
        <v>573</v>
      </c>
      <c r="F942">
        <v>485.25</v>
      </c>
      <c r="G942">
        <v>6117.65</v>
      </c>
      <c r="H942">
        <v>1610.74</v>
      </c>
      <c r="I942">
        <v>134.15</v>
      </c>
      <c r="J942">
        <f>1.49/2</f>
        <v>0.745</v>
      </c>
      <c r="K942">
        <v>449.88</v>
      </c>
      <c r="L942">
        <v>9.3800000000000008</v>
      </c>
      <c r="M942">
        <v>34.06</v>
      </c>
      <c r="N942">
        <v>159.47</v>
      </c>
      <c r="O942">
        <v>25.23</v>
      </c>
      <c r="P942">
        <v>1.0149999999999999</v>
      </c>
    </row>
    <row r="943" spans="1:16">
      <c r="A943" s="1" t="s">
        <v>567</v>
      </c>
      <c r="B943" s="3" t="s">
        <v>988</v>
      </c>
      <c r="C943" s="1" t="s">
        <v>18</v>
      </c>
      <c r="D943" s="1" t="s">
        <v>569</v>
      </c>
      <c r="E943" s="1" t="s">
        <v>573</v>
      </c>
      <c r="F943">
        <v>446.75</v>
      </c>
      <c r="G943">
        <v>2193.37</v>
      </c>
      <c r="H943">
        <v>2393.59</v>
      </c>
      <c r="I943">
        <v>188.4</v>
      </c>
      <c r="J943">
        <f>0.79/2</f>
        <v>0.39500000000000002</v>
      </c>
      <c r="K943">
        <v>383.88</v>
      </c>
      <c r="L943">
        <v>2.87</v>
      </c>
      <c r="M943">
        <v>25.9</v>
      </c>
      <c r="N943">
        <v>60.65</v>
      </c>
      <c r="O943">
        <v>15.03</v>
      </c>
      <c r="P943">
        <v>0.63300000000000001</v>
      </c>
    </row>
    <row r="944" spans="1:16">
      <c r="A944" s="1" t="s">
        <v>567</v>
      </c>
      <c r="B944" s="3" t="s">
        <v>989</v>
      </c>
      <c r="C944" s="1" t="s">
        <v>18</v>
      </c>
      <c r="D944" s="1" t="s">
        <v>569</v>
      </c>
      <c r="E944" s="1" t="s">
        <v>573</v>
      </c>
      <c r="F944">
        <v>1697.54</v>
      </c>
      <c r="G944">
        <v>4782.47</v>
      </c>
      <c r="H944">
        <v>810.86</v>
      </c>
      <c r="I944">
        <v>148.44999999999999</v>
      </c>
      <c r="J944">
        <v>1.82</v>
      </c>
      <c r="K944">
        <v>1320.47</v>
      </c>
      <c r="L944">
        <v>6.19</v>
      </c>
      <c r="M944">
        <v>30.72</v>
      </c>
      <c r="N944">
        <v>167.6</v>
      </c>
      <c r="O944">
        <v>25.09</v>
      </c>
      <c r="P944">
        <v>0.55900000000000005</v>
      </c>
    </row>
    <row r="945" spans="1:16">
      <c r="A945" s="1" t="s">
        <v>567</v>
      </c>
      <c r="B945" s="3" t="s">
        <v>990</v>
      </c>
      <c r="C945" s="1" t="s">
        <v>18</v>
      </c>
      <c r="D945" s="1" t="s">
        <v>569</v>
      </c>
      <c r="E945" s="1" t="s">
        <v>573</v>
      </c>
      <c r="F945">
        <v>415.71</v>
      </c>
      <c r="G945">
        <v>2683.47</v>
      </c>
      <c r="H945">
        <v>575.1</v>
      </c>
      <c r="I945">
        <v>140.4</v>
      </c>
      <c r="J945">
        <v>1.65</v>
      </c>
      <c r="K945">
        <v>475.37</v>
      </c>
      <c r="L945">
        <v>6.28</v>
      </c>
      <c r="M945">
        <v>32.159999999999997</v>
      </c>
      <c r="N945">
        <v>58.41</v>
      </c>
      <c r="O945">
        <v>24.75</v>
      </c>
      <c r="P945">
        <v>0.28999999999999998</v>
      </c>
    </row>
    <row r="946" spans="1:16">
      <c r="A946" s="1" t="s">
        <v>567</v>
      </c>
      <c r="B946" s="3" t="s">
        <v>991</v>
      </c>
      <c r="C946" s="1" t="s">
        <v>18</v>
      </c>
      <c r="D946" s="1" t="s">
        <v>569</v>
      </c>
      <c r="E946" s="1" t="s">
        <v>573</v>
      </c>
      <c r="F946">
        <v>2199.5500000000002</v>
      </c>
      <c r="G946">
        <v>2824.23</v>
      </c>
      <c r="H946">
        <v>1058.8399999999999</v>
      </c>
      <c r="I946">
        <v>132.97999999999999</v>
      </c>
      <c r="J946">
        <f>0.97/2</f>
        <v>0.48499999999999999</v>
      </c>
      <c r="K946">
        <v>2906.99</v>
      </c>
      <c r="L946">
        <v>7.04</v>
      </c>
      <c r="M946">
        <v>36.24</v>
      </c>
      <c r="N946">
        <v>160.18</v>
      </c>
      <c r="O946">
        <v>24.99</v>
      </c>
      <c r="P946">
        <v>0.64</v>
      </c>
    </row>
    <row r="947" spans="1:16">
      <c r="A947" s="1" t="s">
        <v>567</v>
      </c>
      <c r="B947" s="3" t="s">
        <v>992</v>
      </c>
      <c r="C947" s="1" t="s">
        <v>18</v>
      </c>
      <c r="D947" s="1" t="s">
        <v>569</v>
      </c>
      <c r="E947" s="1" t="s">
        <v>573</v>
      </c>
      <c r="F947">
        <v>7958.54</v>
      </c>
      <c r="G947">
        <v>3220.17</v>
      </c>
      <c r="H947">
        <v>1509.26</v>
      </c>
      <c r="I947">
        <v>158.35</v>
      </c>
      <c r="J947">
        <f>1.83/2</f>
        <v>0.91500000000000004</v>
      </c>
      <c r="K947">
        <v>5808.01</v>
      </c>
      <c r="L947">
        <v>4.2</v>
      </c>
      <c r="M947">
        <v>26.25</v>
      </c>
      <c r="N947">
        <v>348.21</v>
      </c>
      <c r="O947">
        <v>23.61</v>
      </c>
      <c r="P947">
        <v>1.03</v>
      </c>
    </row>
    <row r="948" spans="1:16">
      <c r="A948" s="1" t="s">
        <v>567</v>
      </c>
      <c r="B948" s="3" t="s">
        <v>993</v>
      </c>
      <c r="C948" s="1" t="s">
        <v>18</v>
      </c>
      <c r="D948" s="1" t="s">
        <v>569</v>
      </c>
      <c r="E948" s="1" t="s">
        <v>573</v>
      </c>
      <c r="F948">
        <v>603.45000000000005</v>
      </c>
      <c r="G948">
        <v>5589.78</v>
      </c>
      <c r="H948">
        <v>1143.19</v>
      </c>
      <c r="I948">
        <v>523.49</v>
      </c>
      <c r="J948">
        <v>1.28</v>
      </c>
      <c r="K948">
        <v>397.04</v>
      </c>
      <c r="L948">
        <v>2.04</v>
      </c>
      <c r="M948">
        <v>25.02</v>
      </c>
      <c r="N948">
        <v>77.099999999999994</v>
      </c>
      <c r="O948">
        <v>28.01</v>
      </c>
      <c r="P948">
        <v>0.68300000000000005</v>
      </c>
    </row>
    <row r="949" spans="1:16">
      <c r="A949" s="1" t="s">
        <v>567</v>
      </c>
      <c r="B949" s="3" t="s">
        <v>994</v>
      </c>
      <c r="C949" s="1" t="s">
        <v>18</v>
      </c>
      <c r="D949" s="1" t="s">
        <v>569</v>
      </c>
      <c r="E949" s="1" t="s">
        <v>573</v>
      </c>
      <c r="F949">
        <v>928.67</v>
      </c>
      <c r="G949">
        <v>818.15</v>
      </c>
      <c r="H949">
        <v>1703.45</v>
      </c>
      <c r="I949">
        <v>201.48</v>
      </c>
      <c r="J949">
        <v>0.71</v>
      </c>
      <c r="K949">
        <v>931.76</v>
      </c>
      <c r="L949">
        <v>2.76</v>
      </c>
      <c r="M949">
        <v>23</v>
      </c>
      <c r="N949">
        <v>60.44</v>
      </c>
      <c r="O949">
        <v>16.739999999999998</v>
      </c>
      <c r="P949">
        <v>0.55000000000000004</v>
      </c>
    </row>
    <row r="950" spans="1:16">
      <c r="A950" s="1" t="s">
        <v>567</v>
      </c>
      <c r="B950" s="3" t="s">
        <v>995</v>
      </c>
      <c r="C950" s="1" t="s">
        <v>18</v>
      </c>
      <c r="D950" s="1" t="s">
        <v>569</v>
      </c>
      <c r="E950" s="1" t="s">
        <v>573</v>
      </c>
      <c r="F950">
        <v>332.81</v>
      </c>
      <c r="G950">
        <v>1700.39</v>
      </c>
      <c r="H950">
        <v>1955.65</v>
      </c>
      <c r="I950">
        <v>201.44</v>
      </c>
      <c r="J950">
        <f>1.34/2</f>
        <v>0.67</v>
      </c>
      <c r="K950">
        <v>346.62</v>
      </c>
      <c r="L950">
        <v>4.5599999999999996</v>
      </c>
      <c r="M950">
        <v>27.89</v>
      </c>
      <c r="N950">
        <v>72.95</v>
      </c>
      <c r="O950">
        <v>19.309999999999999</v>
      </c>
      <c r="P950">
        <v>0.61</v>
      </c>
    </row>
    <row r="951" spans="1:16">
      <c r="A951" s="1" t="s">
        <v>567</v>
      </c>
      <c r="B951" s="3" t="s">
        <v>996</v>
      </c>
      <c r="C951" s="1" t="s">
        <v>18</v>
      </c>
      <c r="D951" s="1" t="s">
        <v>569</v>
      </c>
      <c r="E951" s="1" t="s">
        <v>573</v>
      </c>
      <c r="F951">
        <v>436.85</v>
      </c>
      <c r="G951">
        <v>1333.28</v>
      </c>
      <c r="H951">
        <v>691.63</v>
      </c>
      <c r="I951">
        <v>184</v>
      </c>
      <c r="J951">
        <f>0.79/2</f>
        <v>0.39500000000000002</v>
      </c>
      <c r="K951">
        <v>413.1</v>
      </c>
      <c r="L951">
        <v>9.73</v>
      </c>
      <c r="M951">
        <v>29.5</v>
      </c>
      <c r="N951">
        <v>72.05</v>
      </c>
      <c r="O951">
        <v>21.37</v>
      </c>
      <c r="P951">
        <v>0.19600000000000001</v>
      </c>
    </row>
    <row r="952" spans="1:16">
      <c r="A952" s="1" t="s">
        <v>567</v>
      </c>
      <c r="B952" s="3" t="s">
        <v>997</v>
      </c>
      <c r="C952" s="1" t="s">
        <v>18</v>
      </c>
      <c r="D952" s="1" t="s">
        <v>569</v>
      </c>
      <c r="E952" s="1" t="s">
        <v>573</v>
      </c>
      <c r="F952">
        <v>1949.7</v>
      </c>
      <c r="G952">
        <v>845.96</v>
      </c>
      <c r="H952">
        <v>375.53</v>
      </c>
      <c r="I952">
        <v>220.23</v>
      </c>
      <c r="J952">
        <v>3.6</v>
      </c>
      <c r="K952">
        <v>814.81</v>
      </c>
      <c r="L952">
        <v>2.69</v>
      </c>
      <c r="M952">
        <v>32.44</v>
      </c>
      <c r="N952">
        <v>49.08</v>
      </c>
      <c r="O952">
        <v>15.7</v>
      </c>
      <c r="P952">
        <v>0.30399999999999999</v>
      </c>
    </row>
    <row r="953" spans="1:16">
      <c r="A953" s="1" t="s">
        <v>567</v>
      </c>
      <c r="B953" s="3" t="s">
        <v>998</v>
      </c>
      <c r="C953" s="1" t="s">
        <v>18</v>
      </c>
      <c r="D953" s="1" t="s">
        <v>569</v>
      </c>
      <c r="E953" s="1" t="s">
        <v>573</v>
      </c>
      <c r="F953">
        <v>117.75</v>
      </c>
      <c r="G953">
        <v>1207.02</v>
      </c>
      <c r="H953">
        <v>1205.3699999999999</v>
      </c>
      <c r="I953">
        <v>164.16</v>
      </c>
      <c r="J953">
        <v>1.04</v>
      </c>
      <c r="K953">
        <v>356.15</v>
      </c>
      <c r="L953">
        <v>2.34</v>
      </c>
      <c r="M953">
        <v>32.64</v>
      </c>
      <c r="N953">
        <v>80.11</v>
      </c>
      <c r="O953">
        <v>17.989999999999998</v>
      </c>
      <c r="P953">
        <v>0.34399999999999997</v>
      </c>
    </row>
    <row r="954" spans="1:16">
      <c r="A954" s="1" t="s">
        <v>567</v>
      </c>
      <c r="B954" s="3" t="s">
        <v>999</v>
      </c>
      <c r="C954" s="1" t="s">
        <v>18</v>
      </c>
      <c r="D954" s="1" t="s">
        <v>569</v>
      </c>
      <c r="E954" s="1" t="s">
        <v>573</v>
      </c>
      <c r="F954">
        <v>3869.44</v>
      </c>
      <c r="G954">
        <v>4607.59</v>
      </c>
      <c r="H954">
        <v>3824.43</v>
      </c>
      <c r="I954">
        <v>191.97</v>
      </c>
      <c r="J954">
        <v>2.2599999999999998</v>
      </c>
      <c r="K954">
        <v>3161.28</v>
      </c>
      <c r="L954">
        <v>2.5099999999999998</v>
      </c>
      <c r="M954">
        <v>27.19</v>
      </c>
      <c r="N954">
        <v>58.14</v>
      </c>
      <c r="O954">
        <v>15.86</v>
      </c>
      <c r="P954">
        <v>1.41</v>
      </c>
    </row>
    <row r="955" spans="1:16">
      <c r="A955" s="1" t="s">
        <v>567</v>
      </c>
      <c r="B955" s="3" t="s">
        <v>1000</v>
      </c>
      <c r="C955" s="1" t="s">
        <v>18</v>
      </c>
      <c r="D955" s="1" t="s">
        <v>569</v>
      </c>
      <c r="E955" s="1" t="s">
        <v>573</v>
      </c>
      <c r="F955">
        <v>217.05</v>
      </c>
      <c r="G955">
        <v>1670.74</v>
      </c>
      <c r="H955">
        <v>1441.82</v>
      </c>
      <c r="I955">
        <v>173.76</v>
      </c>
      <c r="J955">
        <f>1.07/2</f>
        <v>0.53500000000000003</v>
      </c>
      <c r="K955">
        <v>365.77</v>
      </c>
      <c r="L955">
        <v>4.8</v>
      </c>
      <c r="M955">
        <v>27.11</v>
      </c>
      <c r="N955">
        <v>63.09</v>
      </c>
      <c r="O955">
        <v>16.8</v>
      </c>
      <c r="P955">
        <v>0.33</v>
      </c>
    </row>
    <row r="956" spans="1:16">
      <c r="A956" s="1" t="s">
        <v>567</v>
      </c>
      <c r="B956" s="3" t="s">
        <v>1001</v>
      </c>
      <c r="C956" s="1" t="s">
        <v>18</v>
      </c>
      <c r="D956" s="1" t="s">
        <v>569</v>
      </c>
      <c r="E956" s="1" t="s">
        <v>573</v>
      </c>
      <c r="F956">
        <v>709.17</v>
      </c>
      <c r="G956">
        <v>2495.92</v>
      </c>
      <c r="H956">
        <v>1864.88</v>
      </c>
      <c r="I956">
        <v>203.46</v>
      </c>
      <c r="J956">
        <f>2.7/2</f>
        <v>1.35</v>
      </c>
      <c r="K956">
        <v>361.74</v>
      </c>
      <c r="L956">
        <v>5.2</v>
      </c>
      <c r="M956">
        <v>29.34</v>
      </c>
      <c r="N956">
        <v>79.150000000000006</v>
      </c>
      <c r="O956">
        <v>19.059999999999999</v>
      </c>
      <c r="P956">
        <v>0.48599999999999999</v>
      </c>
    </row>
    <row r="957" spans="1:16">
      <c r="A957" s="1" t="s">
        <v>567</v>
      </c>
      <c r="B957" s="3" t="s">
        <v>1002</v>
      </c>
      <c r="C957" s="1" t="s">
        <v>18</v>
      </c>
      <c r="D957" s="1" t="s">
        <v>569</v>
      </c>
      <c r="E957" s="1" t="s">
        <v>573</v>
      </c>
      <c r="F957">
        <v>8405.35</v>
      </c>
      <c r="G957">
        <v>763.64</v>
      </c>
      <c r="H957">
        <v>367.47</v>
      </c>
      <c r="I957">
        <v>196.46</v>
      </c>
      <c r="J957">
        <v>1.46</v>
      </c>
      <c r="K957">
        <v>5573.44</v>
      </c>
      <c r="L957">
        <v>3.2</v>
      </c>
      <c r="M957">
        <v>23.26</v>
      </c>
      <c r="N957">
        <v>67.290000000000006</v>
      </c>
      <c r="O957">
        <v>15.63</v>
      </c>
      <c r="P957">
        <v>0.40300000000000002</v>
      </c>
    </row>
    <row r="958" spans="1:16">
      <c r="A958" s="1" t="s">
        <v>567</v>
      </c>
      <c r="B958" s="3" t="s">
        <v>1003</v>
      </c>
      <c r="C958" s="1" t="s">
        <v>18</v>
      </c>
      <c r="D958" s="1" t="s">
        <v>569</v>
      </c>
      <c r="E958" s="1" t="s">
        <v>573</v>
      </c>
      <c r="F958">
        <v>1559.64</v>
      </c>
      <c r="G958">
        <v>8453.17</v>
      </c>
      <c r="H958">
        <v>1026.06</v>
      </c>
      <c r="I958">
        <v>154.1</v>
      </c>
      <c r="J958">
        <f>1.92/2</f>
        <v>0.96</v>
      </c>
      <c r="K958">
        <v>1079.68</v>
      </c>
      <c r="L958">
        <v>4.13</v>
      </c>
      <c r="M958">
        <v>29.67</v>
      </c>
      <c r="N958">
        <v>106.02</v>
      </c>
      <c r="O958">
        <v>32.08</v>
      </c>
      <c r="P958">
        <v>0.94</v>
      </c>
    </row>
    <row r="959" spans="1:16">
      <c r="A959" s="1" t="s">
        <v>567</v>
      </c>
      <c r="B959" s="3" t="s">
        <v>1004</v>
      </c>
      <c r="C959" s="1" t="s">
        <v>18</v>
      </c>
      <c r="D959" s="1" t="s">
        <v>569</v>
      </c>
      <c r="E959" s="1" t="s">
        <v>573</v>
      </c>
      <c r="F959">
        <v>2268.09</v>
      </c>
      <c r="G959">
        <v>4913.6499999999996</v>
      </c>
      <c r="H959">
        <v>1545.09</v>
      </c>
      <c r="I959">
        <v>180.04</v>
      </c>
      <c r="J959">
        <f>1.11/2</f>
        <v>0.55500000000000005</v>
      </c>
      <c r="K959">
        <v>1575.27</v>
      </c>
      <c r="L959">
        <v>3.32</v>
      </c>
      <c r="M959">
        <v>33.26</v>
      </c>
      <c r="N959">
        <v>71.36</v>
      </c>
      <c r="O959">
        <v>23.98</v>
      </c>
      <c r="P959">
        <v>0.74199999999999999</v>
      </c>
    </row>
    <row r="960" spans="1:16">
      <c r="A960" s="1" t="s">
        <v>567</v>
      </c>
      <c r="B960" s="3" t="s">
        <v>1005</v>
      </c>
      <c r="C960" s="1" t="s">
        <v>18</v>
      </c>
      <c r="D960" s="1" t="s">
        <v>569</v>
      </c>
      <c r="E960" s="1" t="s">
        <v>573</v>
      </c>
      <c r="F960">
        <v>2703.05</v>
      </c>
      <c r="G960">
        <v>1744.33</v>
      </c>
      <c r="H960">
        <v>1008.18</v>
      </c>
      <c r="I960">
        <v>193.18</v>
      </c>
      <c r="J960">
        <v>1.46</v>
      </c>
      <c r="K960">
        <v>1548.9</v>
      </c>
      <c r="L960">
        <v>2.67</v>
      </c>
      <c r="M960">
        <v>25.18</v>
      </c>
      <c r="N960">
        <v>110.23</v>
      </c>
      <c r="O960">
        <v>17.45</v>
      </c>
      <c r="P960">
        <v>0.34200000000000003</v>
      </c>
    </row>
    <row r="961" spans="1:16">
      <c r="A961" s="1" t="s">
        <v>567</v>
      </c>
      <c r="B961" s="3" t="s">
        <v>1006</v>
      </c>
      <c r="C961" s="1" t="s">
        <v>18</v>
      </c>
      <c r="D961" s="1" t="s">
        <v>569</v>
      </c>
      <c r="E961" s="1" t="s">
        <v>573</v>
      </c>
      <c r="F961">
        <v>4250.37</v>
      </c>
      <c r="G961">
        <v>5940.06</v>
      </c>
      <c r="H961">
        <v>1820.34</v>
      </c>
      <c r="I961">
        <v>159.91999999999999</v>
      </c>
      <c r="J961">
        <f>1.66/2</f>
        <v>0.83</v>
      </c>
      <c r="K961">
        <v>1804.8</v>
      </c>
      <c r="L961">
        <v>4.28</v>
      </c>
      <c r="M961">
        <v>36.54</v>
      </c>
      <c r="N961">
        <v>77.47</v>
      </c>
      <c r="O961">
        <v>28.01</v>
      </c>
      <c r="P961">
        <v>1.008</v>
      </c>
    </row>
    <row r="962" spans="1:16">
      <c r="A962" s="1" t="s">
        <v>567</v>
      </c>
      <c r="B962" s="3" t="s">
        <v>1007</v>
      </c>
      <c r="C962" s="1" t="s">
        <v>18</v>
      </c>
      <c r="D962" s="1" t="s">
        <v>569</v>
      </c>
      <c r="E962" s="1" t="s">
        <v>573</v>
      </c>
      <c r="F962">
        <v>15373.84</v>
      </c>
      <c r="G962">
        <v>2842.67</v>
      </c>
      <c r="H962">
        <v>2053.27</v>
      </c>
      <c r="I962">
        <v>198.82</v>
      </c>
      <c r="J962">
        <v>11.71</v>
      </c>
      <c r="K962">
        <v>12453.66</v>
      </c>
      <c r="L962">
        <v>3.05</v>
      </c>
      <c r="M962">
        <v>24.37</v>
      </c>
      <c r="N962">
        <v>84.19</v>
      </c>
      <c r="O962">
        <v>15.83</v>
      </c>
      <c r="P962">
        <v>0.60599999999999998</v>
      </c>
    </row>
    <row r="963" spans="1:16">
      <c r="A963" s="1" t="s">
        <v>567</v>
      </c>
      <c r="B963" s="3" t="s">
        <v>1008</v>
      </c>
      <c r="C963" s="1" t="s">
        <v>18</v>
      </c>
      <c r="D963" s="1" t="s">
        <v>569</v>
      </c>
      <c r="E963" s="1" t="s">
        <v>573</v>
      </c>
      <c r="F963">
        <v>5171.55</v>
      </c>
      <c r="G963">
        <v>1621.75</v>
      </c>
      <c r="H963">
        <v>7330.78</v>
      </c>
      <c r="I963">
        <v>229.73</v>
      </c>
      <c r="J963">
        <v>5.68</v>
      </c>
      <c r="K963">
        <v>1928.7</v>
      </c>
      <c r="L963">
        <v>3.57</v>
      </c>
      <c r="M963">
        <v>33.64</v>
      </c>
      <c r="N963">
        <v>54.22</v>
      </c>
      <c r="O963">
        <v>14.61</v>
      </c>
      <c r="P963">
        <v>2.4300000000000002</v>
      </c>
    </row>
    <row r="964" spans="1:16">
      <c r="A964" s="1" t="s">
        <v>567</v>
      </c>
      <c r="B964" s="3" t="s">
        <v>1009</v>
      </c>
      <c r="C964" s="1" t="s">
        <v>18</v>
      </c>
      <c r="D964" s="1" t="s">
        <v>569</v>
      </c>
      <c r="E964" s="1" t="s">
        <v>573</v>
      </c>
      <c r="F964">
        <v>530.24</v>
      </c>
      <c r="G964">
        <v>1533.37</v>
      </c>
      <c r="H964">
        <v>1211.6300000000001</v>
      </c>
      <c r="I964">
        <v>197.74</v>
      </c>
      <c r="J964">
        <f>1.26/2</f>
        <v>0.63</v>
      </c>
      <c r="K964">
        <v>371.47</v>
      </c>
      <c r="L964">
        <v>3.97</v>
      </c>
      <c r="M964">
        <v>25.11</v>
      </c>
      <c r="N964">
        <v>54.14</v>
      </c>
      <c r="O964">
        <v>16.82</v>
      </c>
      <c r="P964">
        <v>0.31900000000000001</v>
      </c>
    </row>
    <row r="965" spans="1:16">
      <c r="A965" s="1" t="s">
        <v>567</v>
      </c>
      <c r="B965" s="3" t="s">
        <v>1010</v>
      </c>
      <c r="C965" s="1" t="s">
        <v>18</v>
      </c>
      <c r="D965" s="1" t="s">
        <v>569</v>
      </c>
      <c r="E965" s="1" t="s">
        <v>573</v>
      </c>
      <c r="F965">
        <v>5609.15</v>
      </c>
      <c r="G965">
        <v>5604.74</v>
      </c>
      <c r="H965">
        <v>2534.3200000000002</v>
      </c>
      <c r="I965">
        <v>185.83</v>
      </c>
      <c r="J965">
        <v>2.34</v>
      </c>
      <c r="K965">
        <v>4467.67</v>
      </c>
      <c r="L965">
        <v>5.8</v>
      </c>
      <c r="M965">
        <v>30.88</v>
      </c>
      <c r="N965">
        <v>81.709999999999994</v>
      </c>
      <c r="O965">
        <v>18.850000000000001</v>
      </c>
      <c r="P965">
        <v>0.97899999999999998</v>
      </c>
    </row>
    <row r="966" spans="1:16">
      <c r="A966" s="1" t="s">
        <v>567</v>
      </c>
      <c r="B966" s="3" t="s">
        <v>1011</v>
      </c>
      <c r="C966" s="1" t="s">
        <v>18</v>
      </c>
      <c r="D966" s="1" t="s">
        <v>569</v>
      </c>
      <c r="E966" s="1" t="s">
        <v>573</v>
      </c>
      <c r="F966">
        <v>8971.5499999999993</v>
      </c>
      <c r="G966">
        <v>6629.79</v>
      </c>
      <c r="H966">
        <v>1245.42</v>
      </c>
      <c r="I966">
        <v>284.55</v>
      </c>
      <c r="J966">
        <v>2.77</v>
      </c>
      <c r="K966">
        <v>2641.57</v>
      </c>
      <c r="L966">
        <v>3.08</v>
      </c>
      <c r="M966">
        <v>26.97</v>
      </c>
      <c r="N966">
        <v>68.14</v>
      </c>
      <c r="O966">
        <v>14.76</v>
      </c>
      <c r="P966">
        <v>0.81399999999999995</v>
      </c>
    </row>
    <row r="967" spans="1:16">
      <c r="A967" s="1" t="s">
        <v>567</v>
      </c>
      <c r="B967" s="3" t="s">
        <v>1012</v>
      </c>
      <c r="C967" s="1" t="s">
        <v>18</v>
      </c>
      <c r="D967" s="1" t="s">
        <v>569</v>
      </c>
      <c r="E967" s="1" t="s">
        <v>573</v>
      </c>
      <c r="F967">
        <v>959.59</v>
      </c>
      <c r="G967">
        <v>4433.51</v>
      </c>
      <c r="H967">
        <v>1441.26</v>
      </c>
      <c r="I967">
        <v>126.42</v>
      </c>
      <c r="J967">
        <v>1.31</v>
      </c>
      <c r="K967">
        <v>839.58</v>
      </c>
      <c r="L967">
        <v>10.210000000000001</v>
      </c>
      <c r="M967">
        <v>35.659999999999997</v>
      </c>
      <c r="N967">
        <v>434.84</v>
      </c>
      <c r="O967">
        <v>21.9</v>
      </c>
      <c r="P967">
        <v>1.006</v>
      </c>
    </row>
    <row r="968" spans="1:16">
      <c r="A968" s="1" t="s">
        <v>567</v>
      </c>
      <c r="B968" s="3" t="s">
        <v>1013</v>
      </c>
      <c r="C968" s="1" t="s">
        <v>18</v>
      </c>
      <c r="D968" s="1" t="s">
        <v>569</v>
      </c>
      <c r="E968" s="1" t="s">
        <v>573</v>
      </c>
      <c r="F968">
        <v>6925.01</v>
      </c>
      <c r="G968">
        <v>6001.06</v>
      </c>
      <c r="H968">
        <v>2838.88</v>
      </c>
      <c r="I968">
        <v>217.87</v>
      </c>
      <c r="J968">
        <f>1.47/2</f>
        <v>0.73499999999999999</v>
      </c>
      <c r="K968">
        <v>3531.16</v>
      </c>
      <c r="L968">
        <v>7.75</v>
      </c>
      <c r="M968">
        <v>26.97</v>
      </c>
      <c r="N968">
        <v>127.93</v>
      </c>
      <c r="O968">
        <v>17.899999999999999</v>
      </c>
      <c r="P968">
        <v>0.52400000000000002</v>
      </c>
    </row>
    <row r="969" spans="1:16">
      <c r="A969" s="1" t="s">
        <v>567</v>
      </c>
      <c r="B969" s="3" t="s">
        <v>1014</v>
      </c>
      <c r="C969" s="1" t="s">
        <v>18</v>
      </c>
      <c r="D969" s="1" t="s">
        <v>569</v>
      </c>
      <c r="E969" s="1" t="s">
        <v>573</v>
      </c>
      <c r="F969">
        <v>2450.94</v>
      </c>
      <c r="G969">
        <v>3632.39</v>
      </c>
      <c r="H969">
        <v>1444.42</v>
      </c>
      <c r="I969">
        <v>200.5</v>
      </c>
      <c r="J969">
        <f>1.32/2</f>
        <v>0.66</v>
      </c>
      <c r="K969">
        <v>1599.71</v>
      </c>
      <c r="L969">
        <v>10.29</v>
      </c>
      <c r="M969">
        <v>28.36</v>
      </c>
      <c r="N969">
        <v>54.26</v>
      </c>
      <c r="O969">
        <v>16.61</v>
      </c>
      <c r="P969">
        <v>0.43099999999999999</v>
      </c>
    </row>
    <row r="970" spans="1:16">
      <c r="A970" s="1" t="s">
        <v>567</v>
      </c>
      <c r="B970" s="3" t="s">
        <v>1015</v>
      </c>
      <c r="C970" s="1" t="s">
        <v>18</v>
      </c>
      <c r="D970" s="1" t="s">
        <v>569</v>
      </c>
      <c r="E970" s="1" t="s">
        <v>573</v>
      </c>
      <c r="F970">
        <v>4168.13</v>
      </c>
      <c r="G970">
        <v>3885.82</v>
      </c>
      <c r="H970">
        <v>2816.82</v>
      </c>
      <c r="I970">
        <v>169.89</v>
      </c>
      <c r="J970">
        <v>2.14</v>
      </c>
      <c r="K970">
        <v>5130.93</v>
      </c>
      <c r="L970">
        <v>6.41</v>
      </c>
      <c r="M970">
        <v>31.89</v>
      </c>
      <c r="N970">
        <v>201.42</v>
      </c>
      <c r="O970">
        <v>18.36</v>
      </c>
      <c r="P970">
        <v>1.74</v>
      </c>
    </row>
    <row r="971" spans="1:16">
      <c r="A971" s="1" t="s">
        <v>567</v>
      </c>
      <c r="B971" s="3" t="s">
        <v>1016</v>
      </c>
      <c r="C971" s="1" t="s">
        <v>18</v>
      </c>
      <c r="D971" s="1" t="s">
        <v>569</v>
      </c>
      <c r="E971" s="1" t="s">
        <v>573</v>
      </c>
      <c r="F971">
        <v>966.83</v>
      </c>
      <c r="G971">
        <v>1255.8499999999999</v>
      </c>
      <c r="H971">
        <v>1274.3399999999999</v>
      </c>
      <c r="I971">
        <v>168.39</v>
      </c>
      <c r="J971">
        <f>1.58/2</f>
        <v>0.79</v>
      </c>
      <c r="K971">
        <v>657.75</v>
      </c>
      <c r="L971">
        <v>2.91</v>
      </c>
      <c r="M971">
        <v>32.43</v>
      </c>
      <c r="N971">
        <v>77.08</v>
      </c>
      <c r="O971">
        <v>14.98</v>
      </c>
      <c r="P971">
        <v>0.38900000000000001</v>
      </c>
    </row>
    <row r="972" spans="1:16">
      <c r="A972" s="1" t="s">
        <v>567</v>
      </c>
      <c r="B972" s="3" t="s">
        <v>1017</v>
      </c>
      <c r="C972" s="1" t="s">
        <v>18</v>
      </c>
      <c r="D972" s="1" t="s">
        <v>569</v>
      </c>
      <c r="E972" s="1" t="s">
        <v>573</v>
      </c>
      <c r="F972">
        <v>4769.76</v>
      </c>
      <c r="G972">
        <v>2604.23</v>
      </c>
      <c r="H972">
        <v>1089.75</v>
      </c>
      <c r="I972">
        <v>261.95</v>
      </c>
      <c r="J972">
        <v>2.41</v>
      </c>
      <c r="K972">
        <v>2587.7800000000002</v>
      </c>
      <c r="L972">
        <v>2.34</v>
      </c>
      <c r="M972">
        <v>25.32</v>
      </c>
      <c r="N972">
        <v>111.28</v>
      </c>
      <c r="O972">
        <v>15.16</v>
      </c>
      <c r="P972">
        <v>0.35799999999999998</v>
      </c>
    </row>
    <row r="973" spans="1:16">
      <c r="A973" s="1" t="s">
        <v>567</v>
      </c>
      <c r="B973" s="3" t="s">
        <v>1018</v>
      </c>
      <c r="C973" s="1" t="s">
        <v>18</v>
      </c>
      <c r="D973" s="1" t="s">
        <v>569</v>
      </c>
      <c r="E973" s="1" t="s">
        <v>573</v>
      </c>
      <c r="F973">
        <v>4192.25</v>
      </c>
      <c r="G973">
        <v>6506.12</v>
      </c>
      <c r="H973">
        <v>34684.03</v>
      </c>
      <c r="I973">
        <v>235.84</v>
      </c>
      <c r="J973">
        <f>1.56/2</f>
        <v>0.78</v>
      </c>
      <c r="K973">
        <v>2380.23</v>
      </c>
      <c r="L973">
        <v>4.72</v>
      </c>
      <c r="M973">
        <v>30.94</v>
      </c>
      <c r="N973">
        <v>79.430000000000007</v>
      </c>
      <c r="O973">
        <v>20.81</v>
      </c>
      <c r="P973">
        <v>15.01</v>
      </c>
    </row>
    <row r="974" spans="1:16">
      <c r="A974" s="1" t="s">
        <v>567</v>
      </c>
      <c r="B974" s="3" t="s">
        <v>1019</v>
      </c>
      <c r="C974" s="1" t="s">
        <v>18</v>
      </c>
      <c r="D974" s="1" t="s">
        <v>569</v>
      </c>
      <c r="E974" s="1" t="s">
        <v>573</v>
      </c>
      <c r="F974">
        <v>1056.75</v>
      </c>
      <c r="G974">
        <v>2764.76</v>
      </c>
      <c r="H974">
        <v>1772.28</v>
      </c>
      <c r="I974">
        <v>144.56</v>
      </c>
      <c r="J974">
        <f>1.44/2</f>
        <v>0.72</v>
      </c>
      <c r="K974">
        <v>645.21</v>
      </c>
      <c r="L974">
        <v>6.86</v>
      </c>
      <c r="M974">
        <v>32.51</v>
      </c>
      <c r="N974">
        <v>120.28</v>
      </c>
      <c r="O974">
        <v>22.75</v>
      </c>
      <c r="P974">
        <v>0.73399999999999999</v>
      </c>
    </row>
    <row r="975" spans="1:16">
      <c r="A975" s="1" t="s">
        <v>567</v>
      </c>
      <c r="B975" s="3" t="s">
        <v>1020</v>
      </c>
      <c r="C975" s="1" t="s">
        <v>18</v>
      </c>
      <c r="D975" s="1" t="s">
        <v>569</v>
      </c>
      <c r="E975" s="1" t="s">
        <v>573</v>
      </c>
      <c r="F975">
        <v>797.73</v>
      </c>
      <c r="G975">
        <v>3298.52</v>
      </c>
      <c r="H975">
        <v>1497.36</v>
      </c>
      <c r="I975">
        <v>205.26</v>
      </c>
      <c r="J975">
        <f>1.32/2</f>
        <v>0.66</v>
      </c>
      <c r="K975">
        <v>579.65</v>
      </c>
      <c r="L975">
        <v>3.04</v>
      </c>
      <c r="M975">
        <v>25.77</v>
      </c>
      <c r="N975">
        <v>86.05</v>
      </c>
      <c r="O975">
        <v>17.149999999999999</v>
      </c>
      <c r="P975">
        <v>0.64300000000000002</v>
      </c>
    </row>
    <row r="976" spans="1:16">
      <c r="A976" s="1" t="s">
        <v>567</v>
      </c>
      <c r="B976" s="3" t="s">
        <v>1021</v>
      </c>
      <c r="C976" s="1" t="s">
        <v>18</v>
      </c>
      <c r="D976" s="1" t="s">
        <v>569</v>
      </c>
      <c r="E976" s="1" t="s">
        <v>573</v>
      </c>
      <c r="F976">
        <v>877.88</v>
      </c>
      <c r="G976">
        <v>1578.46</v>
      </c>
      <c r="H976">
        <v>1443.02</v>
      </c>
      <c r="I976">
        <v>203.95</v>
      </c>
      <c r="J976">
        <f>1.23/2</f>
        <v>0.61499999999999999</v>
      </c>
      <c r="K976">
        <v>530.67999999999995</v>
      </c>
      <c r="L976">
        <v>2.83</v>
      </c>
      <c r="M976">
        <v>24.65</v>
      </c>
      <c r="N976">
        <v>54.77</v>
      </c>
      <c r="O976">
        <v>14.17</v>
      </c>
      <c r="P976">
        <v>0.60199999999999998</v>
      </c>
    </row>
    <row r="977" spans="1:16">
      <c r="A977" s="1" t="s">
        <v>567</v>
      </c>
      <c r="B977" s="3" t="s">
        <v>1022</v>
      </c>
      <c r="C977" s="1" t="s">
        <v>18</v>
      </c>
      <c r="D977" s="1" t="s">
        <v>569</v>
      </c>
      <c r="E977" s="1" t="s">
        <v>573</v>
      </c>
      <c r="F977">
        <v>2984.45</v>
      </c>
      <c r="G977">
        <v>4564.24</v>
      </c>
      <c r="H977">
        <v>2996.83</v>
      </c>
      <c r="I977">
        <v>238.56</v>
      </c>
      <c r="J977">
        <v>1.96</v>
      </c>
      <c r="K977">
        <v>1448.84</v>
      </c>
      <c r="L977">
        <v>3.34</v>
      </c>
      <c r="M977">
        <v>24.88</v>
      </c>
      <c r="N977">
        <v>73.459999999999994</v>
      </c>
      <c r="O977">
        <v>20.149999999999999</v>
      </c>
      <c r="P977">
        <v>1.004</v>
      </c>
    </row>
    <row r="978" spans="1:16">
      <c r="A978" s="1" t="s">
        <v>567</v>
      </c>
      <c r="B978" s="3" t="s">
        <v>1023</v>
      </c>
      <c r="C978" s="1" t="s">
        <v>18</v>
      </c>
      <c r="D978" s="1" t="s">
        <v>569</v>
      </c>
      <c r="E978" s="1" t="s">
        <v>573</v>
      </c>
      <c r="F978">
        <v>6336.93</v>
      </c>
      <c r="G978">
        <v>4648.9799999999996</v>
      </c>
      <c r="H978">
        <v>1930.28</v>
      </c>
      <c r="I978">
        <v>177.68</v>
      </c>
      <c r="J978">
        <f>1.68/2</f>
        <v>0.84</v>
      </c>
      <c r="K978">
        <v>4131.67</v>
      </c>
      <c r="L978">
        <v>6.61</v>
      </c>
      <c r="M978">
        <v>32.96</v>
      </c>
      <c r="N978">
        <v>82.93</v>
      </c>
      <c r="O978">
        <v>26.32</v>
      </c>
      <c r="P978">
        <v>1.07</v>
      </c>
    </row>
    <row r="979" spans="1:16">
      <c r="A979" s="1" t="s">
        <v>567</v>
      </c>
      <c r="B979" s="3" t="s">
        <v>1024</v>
      </c>
      <c r="C979" s="1" t="s">
        <v>18</v>
      </c>
      <c r="D979" s="1" t="s">
        <v>569</v>
      </c>
      <c r="E979" s="1" t="s">
        <v>573</v>
      </c>
      <c r="F979">
        <v>3564.99</v>
      </c>
      <c r="G979">
        <v>5757.98</v>
      </c>
      <c r="H979">
        <v>2384.02</v>
      </c>
      <c r="I979">
        <v>125.48</v>
      </c>
      <c r="J979">
        <f>1.22/2</f>
        <v>0.61</v>
      </c>
      <c r="K979">
        <v>1230.27</v>
      </c>
      <c r="L979">
        <v>8.33</v>
      </c>
      <c r="M979">
        <v>34.130000000000003</v>
      </c>
      <c r="N979">
        <v>235.55</v>
      </c>
      <c r="O979">
        <v>22.33</v>
      </c>
      <c r="P979">
        <v>1.28</v>
      </c>
    </row>
    <row r="980" spans="1:16">
      <c r="A980" s="1" t="s">
        <v>567</v>
      </c>
      <c r="B980" s="3" t="s">
        <v>1025</v>
      </c>
      <c r="C980" s="1" t="s">
        <v>18</v>
      </c>
      <c r="D980" s="1" t="s">
        <v>569</v>
      </c>
      <c r="E980" s="1" t="s">
        <v>573</v>
      </c>
      <c r="F980">
        <v>3174.16</v>
      </c>
      <c r="G980">
        <v>3956.01</v>
      </c>
      <c r="H980">
        <v>2615.5500000000002</v>
      </c>
      <c r="I980">
        <v>149.84</v>
      </c>
      <c r="J980">
        <f>1.54/2</f>
        <v>0.77</v>
      </c>
      <c r="K980">
        <v>3157.06</v>
      </c>
      <c r="L980">
        <v>6.82</v>
      </c>
      <c r="M980">
        <v>31.63</v>
      </c>
      <c r="N980">
        <v>266.33</v>
      </c>
      <c r="O980">
        <v>22.3</v>
      </c>
      <c r="P980">
        <v>1.3560000000000001</v>
      </c>
    </row>
    <row r="981" spans="1:16">
      <c r="A981" s="1" t="s">
        <v>567</v>
      </c>
      <c r="B981" s="3" t="s">
        <v>1026</v>
      </c>
      <c r="C981" s="1" t="s">
        <v>18</v>
      </c>
      <c r="D981" s="1" t="s">
        <v>569</v>
      </c>
      <c r="E981" s="1" t="s">
        <v>573</v>
      </c>
      <c r="F981">
        <v>747.97</v>
      </c>
      <c r="G981">
        <v>8983.57</v>
      </c>
      <c r="H981">
        <v>2363.59</v>
      </c>
      <c r="I981">
        <v>135.82</v>
      </c>
      <c r="J981">
        <f>1.65/2</f>
        <v>0.82499999999999996</v>
      </c>
      <c r="K981">
        <v>424.92</v>
      </c>
      <c r="L981">
        <v>7.87</v>
      </c>
      <c r="M981">
        <v>34.28</v>
      </c>
      <c r="N981">
        <v>218.16</v>
      </c>
      <c r="O981">
        <v>29.19</v>
      </c>
      <c r="P981">
        <v>1.26</v>
      </c>
    </row>
    <row r="982" spans="1:16">
      <c r="A982" s="1" t="s">
        <v>567</v>
      </c>
      <c r="B982" s="3" t="s">
        <v>1027</v>
      </c>
      <c r="C982" s="1" t="s">
        <v>18</v>
      </c>
      <c r="D982" s="1" t="s">
        <v>569</v>
      </c>
      <c r="E982" s="1" t="s">
        <v>573</v>
      </c>
      <c r="F982">
        <v>1100.79</v>
      </c>
      <c r="G982">
        <v>2098.02</v>
      </c>
      <c r="H982">
        <v>1794.44</v>
      </c>
      <c r="I982">
        <v>188.8</v>
      </c>
      <c r="J982">
        <f>1.37/2</f>
        <v>0.68500000000000005</v>
      </c>
      <c r="K982">
        <v>1237.31</v>
      </c>
      <c r="L982">
        <v>2.83</v>
      </c>
      <c r="M982">
        <v>27.37</v>
      </c>
      <c r="N982">
        <v>87.39</v>
      </c>
      <c r="O982">
        <v>19.809999999999999</v>
      </c>
      <c r="P982">
        <v>0.82599999999999996</v>
      </c>
    </row>
    <row r="983" spans="1:16">
      <c r="A983" s="1" t="s">
        <v>567</v>
      </c>
      <c r="B983" s="3" t="s">
        <v>1028</v>
      </c>
      <c r="C983" s="1" t="s">
        <v>18</v>
      </c>
      <c r="D983" s="1" t="s">
        <v>569</v>
      </c>
      <c r="E983" s="1" t="s">
        <v>573</v>
      </c>
      <c r="F983">
        <v>5923.21</v>
      </c>
      <c r="G983">
        <v>1861.28</v>
      </c>
      <c r="H983">
        <v>322.89999999999998</v>
      </c>
      <c r="I983">
        <v>245.99</v>
      </c>
      <c r="J983">
        <v>7.86</v>
      </c>
      <c r="K983">
        <v>2586.92</v>
      </c>
      <c r="L983">
        <v>2.59</v>
      </c>
      <c r="M983">
        <v>25.21</v>
      </c>
      <c r="N983">
        <v>54.42</v>
      </c>
      <c r="O983">
        <v>11.72</v>
      </c>
      <c r="P983">
        <v>0.22900000000000001</v>
      </c>
    </row>
    <row r="984" spans="1:16">
      <c r="A984" s="1" t="s">
        <v>567</v>
      </c>
      <c r="B984" s="3" t="s">
        <v>1029</v>
      </c>
      <c r="C984" s="1" t="s">
        <v>18</v>
      </c>
      <c r="D984" s="1" t="s">
        <v>569</v>
      </c>
      <c r="E984" s="1" t="s">
        <v>573</v>
      </c>
      <c r="F984">
        <v>837.01</v>
      </c>
      <c r="G984">
        <v>3053.99</v>
      </c>
      <c r="H984">
        <v>1697.67</v>
      </c>
      <c r="I984">
        <v>187.33</v>
      </c>
      <c r="J984">
        <f>1.4/2</f>
        <v>0.7</v>
      </c>
      <c r="K984">
        <v>974.37</v>
      </c>
      <c r="L984">
        <v>2.4900000000000002</v>
      </c>
      <c r="M984">
        <v>25.89</v>
      </c>
      <c r="N984">
        <v>77.5</v>
      </c>
      <c r="O984">
        <v>16.54</v>
      </c>
      <c r="P984">
        <v>0.85299999999999998</v>
      </c>
    </row>
    <row r="985" spans="1:16">
      <c r="A985" s="1" t="s">
        <v>567</v>
      </c>
      <c r="B985" s="3" t="s">
        <v>1030</v>
      </c>
      <c r="C985" s="1" t="s">
        <v>18</v>
      </c>
      <c r="D985" s="1" t="s">
        <v>569</v>
      </c>
      <c r="E985" s="1" t="s">
        <v>573</v>
      </c>
      <c r="F985">
        <v>1450.56</v>
      </c>
      <c r="G985">
        <v>2374.06</v>
      </c>
      <c r="H985">
        <v>1650.7</v>
      </c>
      <c r="I985">
        <v>193.57</v>
      </c>
      <c r="J985">
        <v>1.94</v>
      </c>
      <c r="K985">
        <v>939.12</v>
      </c>
      <c r="L985">
        <v>2.4900000000000002</v>
      </c>
      <c r="M985">
        <v>25.62</v>
      </c>
      <c r="N985">
        <v>76.430000000000007</v>
      </c>
      <c r="O985">
        <v>17.25</v>
      </c>
      <c r="P985">
        <v>0.627</v>
      </c>
    </row>
    <row r="986" spans="1:16">
      <c r="A986" s="1" t="s">
        <v>567</v>
      </c>
      <c r="B986" s="3" t="s">
        <v>1031</v>
      </c>
      <c r="C986" s="1" t="s">
        <v>18</v>
      </c>
      <c r="D986" s="1" t="s">
        <v>569</v>
      </c>
      <c r="E986" s="1" t="s">
        <v>573</v>
      </c>
      <c r="F986">
        <v>489.05</v>
      </c>
      <c r="G986">
        <v>5474.37</v>
      </c>
      <c r="H986">
        <v>1078.3900000000001</v>
      </c>
      <c r="I986">
        <v>132.49</v>
      </c>
      <c r="J986">
        <f>1.55/2</f>
        <v>0.77500000000000002</v>
      </c>
      <c r="K986">
        <v>725.33</v>
      </c>
      <c r="L986">
        <v>8.75</v>
      </c>
      <c r="M986">
        <v>34.53</v>
      </c>
      <c r="N986">
        <v>345.93</v>
      </c>
      <c r="O986">
        <v>28.53</v>
      </c>
      <c r="P986">
        <v>1.28</v>
      </c>
    </row>
    <row r="987" spans="1:16">
      <c r="A987" s="1" t="s">
        <v>567</v>
      </c>
      <c r="B987" s="3" t="s">
        <v>1032</v>
      </c>
      <c r="C987" s="1" t="s">
        <v>18</v>
      </c>
      <c r="D987" s="1" t="s">
        <v>569</v>
      </c>
      <c r="E987" s="1" t="s">
        <v>573</v>
      </c>
      <c r="F987">
        <v>2999.21</v>
      </c>
      <c r="G987">
        <v>1993.73</v>
      </c>
      <c r="H987">
        <v>1710.51</v>
      </c>
      <c r="I987">
        <v>195.42</v>
      </c>
      <c r="J987">
        <f>1.22/2</f>
        <v>0.61</v>
      </c>
      <c r="K987">
        <v>805.82</v>
      </c>
      <c r="L987">
        <v>3.01</v>
      </c>
      <c r="M987">
        <v>28.61</v>
      </c>
      <c r="N987">
        <v>83.94</v>
      </c>
      <c r="O987">
        <v>15.26</v>
      </c>
      <c r="P987">
        <v>0.54</v>
      </c>
    </row>
    <row r="988" spans="1:16">
      <c r="A988" s="1" t="s">
        <v>567</v>
      </c>
      <c r="B988" s="3" t="s">
        <v>1033</v>
      </c>
      <c r="C988" s="1" t="s">
        <v>18</v>
      </c>
      <c r="D988" s="1" t="s">
        <v>569</v>
      </c>
      <c r="E988" s="1" t="s">
        <v>573</v>
      </c>
      <c r="F988">
        <v>3399.87</v>
      </c>
      <c r="G988">
        <v>4109.8</v>
      </c>
      <c r="H988">
        <v>3515.39</v>
      </c>
      <c r="I988">
        <v>156.5</v>
      </c>
      <c r="J988">
        <v>1.18</v>
      </c>
      <c r="K988">
        <v>2752.1</v>
      </c>
      <c r="L988">
        <v>6.98</v>
      </c>
      <c r="M988">
        <v>31.54</v>
      </c>
      <c r="N988">
        <v>110.76</v>
      </c>
      <c r="O988">
        <v>22.61</v>
      </c>
      <c r="P988">
        <v>1.052</v>
      </c>
    </row>
    <row r="989" spans="1:16">
      <c r="A989" s="1" t="s">
        <v>567</v>
      </c>
      <c r="B989" s="3" t="s">
        <v>1034</v>
      </c>
      <c r="C989" s="1" t="s">
        <v>18</v>
      </c>
      <c r="D989" s="1" t="s">
        <v>569</v>
      </c>
      <c r="E989" s="1" t="s">
        <v>573</v>
      </c>
      <c r="F989">
        <v>384.26</v>
      </c>
      <c r="G989">
        <v>4715.6099999999997</v>
      </c>
      <c r="H989">
        <v>6858.16</v>
      </c>
      <c r="I989">
        <v>468.15</v>
      </c>
      <c r="J989">
        <f>1.23/2</f>
        <v>0.61499999999999999</v>
      </c>
      <c r="K989">
        <v>429.18</v>
      </c>
      <c r="L989">
        <v>3.37</v>
      </c>
      <c r="M989">
        <v>23.58</v>
      </c>
      <c r="N989">
        <v>363.46</v>
      </c>
      <c r="O989">
        <v>31.99</v>
      </c>
      <c r="P989">
        <v>1.073</v>
      </c>
    </row>
    <row r="990" spans="1:16">
      <c r="A990" s="1" t="s">
        <v>567</v>
      </c>
      <c r="B990" s="3" t="s">
        <v>1035</v>
      </c>
      <c r="C990" s="1" t="s">
        <v>18</v>
      </c>
      <c r="D990" s="1" t="s">
        <v>569</v>
      </c>
      <c r="E990" s="1" t="s">
        <v>573</v>
      </c>
      <c r="F990">
        <v>15105.4</v>
      </c>
      <c r="G990">
        <v>3699.88</v>
      </c>
      <c r="H990">
        <v>3114.81</v>
      </c>
      <c r="I990">
        <v>152.87</v>
      </c>
      <c r="J990">
        <v>1.89</v>
      </c>
      <c r="K990">
        <v>13021.06</v>
      </c>
      <c r="L990">
        <v>8.1199999999999992</v>
      </c>
      <c r="M990">
        <v>26.54</v>
      </c>
      <c r="N990">
        <v>179.64</v>
      </c>
      <c r="O990">
        <v>17.2</v>
      </c>
      <c r="P990">
        <v>1.333</v>
      </c>
    </row>
    <row r="991" spans="1:16">
      <c r="A991" s="1" t="s">
        <v>567</v>
      </c>
      <c r="B991" s="3" t="s">
        <v>1036</v>
      </c>
      <c r="C991" s="1" t="s">
        <v>18</v>
      </c>
      <c r="D991" s="1" t="s">
        <v>569</v>
      </c>
      <c r="E991" s="1" t="s">
        <v>573</v>
      </c>
      <c r="F991">
        <v>4917.05</v>
      </c>
      <c r="G991">
        <v>2977.24</v>
      </c>
      <c r="H991">
        <v>4986.09</v>
      </c>
      <c r="I991">
        <v>223.69</v>
      </c>
      <c r="J991">
        <v>1.57</v>
      </c>
      <c r="K991">
        <v>2946.41</v>
      </c>
      <c r="L991">
        <v>3.18</v>
      </c>
      <c r="M991">
        <v>25.2</v>
      </c>
      <c r="N991">
        <v>93.61</v>
      </c>
      <c r="O991">
        <v>17.54</v>
      </c>
      <c r="P991">
        <v>1.37</v>
      </c>
    </row>
    <row r="992" spans="1:16">
      <c r="A992" s="1" t="s">
        <v>567</v>
      </c>
      <c r="B992" s="3" t="s">
        <v>1037</v>
      </c>
      <c r="C992" s="1" t="s">
        <v>18</v>
      </c>
      <c r="D992" s="1" t="s">
        <v>569</v>
      </c>
      <c r="E992" s="1" t="s">
        <v>573</v>
      </c>
      <c r="F992">
        <v>2213.33</v>
      </c>
      <c r="G992">
        <v>1043.01</v>
      </c>
      <c r="H992">
        <v>870.5</v>
      </c>
      <c r="I992">
        <v>180.64</v>
      </c>
      <c r="J992">
        <f>1.49/2</f>
        <v>0.745</v>
      </c>
      <c r="K992">
        <v>1429.09</v>
      </c>
      <c r="L992">
        <v>2.72</v>
      </c>
      <c r="M992">
        <v>25.52</v>
      </c>
      <c r="N992">
        <v>72.78</v>
      </c>
      <c r="O992">
        <v>16.77</v>
      </c>
      <c r="P992">
        <v>0.182</v>
      </c>
    </row>
    <row r="993" spans="1:16">
      <c r="A993" s="1" t="s">
        <v>567</v>
      </c>
      <c r="B993" s="3" t="s">
        <v>1038</v>
      </c>
      <c r="C993" s="1" t="s">
        <v>18</v>
      </c>
      <c r="D993" s="1" t="s">
        <v>569</v>
      </c>
      <c r="E993" s="1" t="s">
        <v>573</v>
      </c>
      <c r="F993">
        <v>446.19</v>
      </c>
      <c r="G993">
        <v>4909.3599999999997</v>
      </c>
      <c r="H993">
        <v>2462.23</v>
      </c>
      <c r="I993">
        <v>186.61</v>
      </c>
      <c r="J993">
        <f>1.29/2</f>
        <v>0.64500000000000002</v>
      </c>
      <c r="K993">
        <v>413.29</v>
      </c>
      <c r="L993">
        <v>3.72</v>
      </c>
      <c r="M993">
        <v>27.54</v>
      </c>
      <c r="N993">
        <v>88.17</v>
      </c>
      <c r="O993">
        <v>20.39</v>
      </c>
      <c r="P993">
        <v>0.91600000000000004</v>
      </c>
    </row>
    <row r="994" spans="1:16">
      <c r="A994" s="1" t="s">
        <v>567</v>
      </c>
      <c r="B994" s="3" t="s">
        <v>1039</v>
      </c>
      <c r="C994" s="1" t="s">
        <v>18</v>
      </c>
      <c r="D994" s="1" t="s">
        <v>569</v>
      </c>
      <c r="E994" s="1" t="s">
        <v>573</v>
      </c>
      <c r="F994">
        <v>3608.92</v>
      </c>
      <c r="G994">
        <v>1649.06</v>
      </c>
      <c r="H994">
        <v>2006.04</v>
      </c>
      <c r="I994">
        <v>241.6</v>
      </c>
      <c r="J994">
        <v>1.92</v>
      </c>
      <c r="K994">
        <v>1624.78</v>
      </c>
      <c r="L994">
        <v>3.23</v>
      </c>
      <c r="M994">
        <v>25.25</v>
      </c>
      <c r="N994">
        <v>64</v>
      </c>
      <c r="O994">
        <v>12.5</v>
      </c>
      <c r="P994">
        <v>1.44</v>
      </c>
    </row>
    <row r="995" spans="1:16">
      <c r="A995" s="1" t="s">
        <v>567</v>
      </c>
      <c r="B995" s="3" t="s">
        <v>1040</v>
      </c>
      <c r="C995" s="1" t="s">
        <v>18</v>
      </c>
      <c r="D995" s="1" t="s">
        <v>569</v>
      </c>
      <c r="E995" s="1" t="s">
        <v>573</v>
      </c>
      <c r="F995">
        <v>724.2</v>
      </c>
      <c r="G995">
        <v>3685.63</v>
      </c>
      <c r="H995">
        <v>1816.9</v>
      </c>
      <c r="I995">
        <v>195.9</v>
      </c>
      <c r="J995">
        <f>1.55/2</f>
        <v>0.77500000000000002</v>
      </c>
      <c r="K995">
        <v>402.86</v>
      </c>
      <c r="L995">
        <v>2.5099999999999998</v>
      </c>
      <c r="M995">
        <v>32.42</v>
      </c>
      <c r="N995">
        <v>54.02</v>
      </c>
      <c r="O995">
        <v>20.47</v>
      </c>
      <c r="P995">
        <v>0.59299999999999997</v>
      </c>
    </row>
    <row r="996" spans="1:16">
      <c r="A996" s="1" t="s">
        <v>567</v>
      </c>
      <c r="B996" s="3" t="s">
        <v>1041</v>
      </c>
      <c r="C996" s="1" t="s">
        <v>18</v>
      </c>
      <c r="D996" s="1" t="s">
        <v>569</v>
      </c>
      <c r="E996" s="1" t="s">
        <v>573</v>
      </c>
      <c r="F996">
        <v>221.95</v>
      </c>
      <c r="G996">
        <v>2708.85</v>
      </c>
      <c r="H996">
        <v>868.49</v>
      </c>
      <c r="I996">
        <v>178.89</v>
      </c>
      <c r="J996">
        <f>0.84/2</f>
        <v>0.42</v>
      </c>
      <c r="K996">
        <v>372.67</v>
      </c>
      <c r="L996">
        <v>5.08</v>
      </c>
      <c r="M996">
        <v>28.4</v>
      </c>
      <c r="N996">
        <v>235.92</v>
      </c>
      <c r="O996">
        <v>18.739999999999998</v>
      </c>
      <c r="P996">
        <v>0.29099999999999998</v>
      </c>
    </row>
    <row r="997" spans="1:16">
      <c r="A997" s="1" t="s">
        <v>567</v>
      </c>
      <c r="B997" s="3" t="s">
        <v>1042</v>
      </c>
      <c r="C997" s="1" t="s">
        <v>18</v>
      </c>
      <c r="D997" s="1" t="s">
        <v>569</v>
      </c>
      <c r="E997" s="1" t="s">
        <v>573</v>
      </c>
      <c r="F997">
        <v>175.86</v>
      </c>
      <c r="G997">
        <v>3691.01</v>
      </c>
      <c r="H997">
        <v>1209.3699999999999</v>
      </c>
      <c r="I997">
        <v>176.46</v>
      </c>
      <c r="J997">
        <f>1.2/2</f>
        <v>0.6</v>
      </c>
      <c r="K997">
        <v>363.96</v>
      </c>
      <c r="L997">
        <v>4.53</v>
      </c>
      <c r="M997">
        <v>26.83</v>
      </c>
      <c r="N997">
        <v>287.88</v>
      </c>
      <c r="O997">
        <v>23.98</v>
      </c>
      <c r="P997">
        <v>0.53</v>
      </c>
    </row>
    <row r="998" spans="1:16">
      <c r="A998" s="1" t="s">
        <v>567</v>
      </c>
      <c r="B998" s="3" t="s">
        <v>1043</v>
      </c>
      <c r="C998" s="1" t="s">
        <v>18</v>
      </c>
      <c r="D998" s="1" t="s">
        <v>569</v>
      </c>
      <c r="E998" s="1" t="s">
        <v>573</v>
      </c>
      <c r="F998">
        <v>17.04</v>
      </c>
      <c r="G998">
        <v>69.88</v>
      </c>
      <c r="H998">
        <v>425.6</v>
      </c>
      <c r="I998">
        <v>2.84</v>
      </c>
      <c r="J998">
        <v>2.64</v>
      </c>
      <c r="K998">
        <v>1.04</v>
      </c>
      <c r="L998">
        <v>5150.6000000000004</v>
      </c>
      <c r="M998">
        <v>61.75</v>
      </c>
      <c r="N998">
        <v>1.1499999999999999</v>
      </c>
      <c r="O998">
        <f>0.026/2</f>
        <v>1.2999999999999999E-2</v>
      </c>
      <c r="P998">
        <v>2.88</v>
      </c>
    </row>
    <row r="999" spans="1:16">
      <c r="A999" s="1" t="s">
        <v>567</v>
      </c>
      <c r="B999" s="3" t="s">
        <v>1044</v>
      </c>
      <c r="C999" s="1" t="s">
        <v>18</v>
      </c>
      <c r="D999" s="1" t="s">
        <v>569</v>
      </c>
      <c r="E999" s="1" t="s">
        <v>573</v>
      </c>
      <c r="F999">
        <v>3470.24</v>
      </c>
      <c r="G999">
        <v>8287.15</v>
      </c>
      <c r="H999">
        <v>1653.34</v>
      </c>
      <c r="I999">
        <v>472.31</v>
      </c>
      <c r="J999">
        <f>1.49/2</f>
        <v>0.745</v>
      </c>
      <c r="K999">
        <v>1237.4000000000001</v>
      </c>
      <c r="L999">
        <v>3.57</v>
      </c>
      <c r="M999">
        <v>27.12</v>
      </c>
      <c r="N999">
        <v>54.34</v>
      </c>
      <c r="O999">
        <v>20.55</v>
      </c>
      <c r="P999">
        <v>0.98199999999999998</v>
      </c>
    </row>
    <row r="1000" spans="1:16">
      <c r="A1000" s="1" t="s">
        <v>567</v>
      </c>
      <c r="B1000" s="3" t="s">
        <v>1045</v>
      </c>
      <c r="C1000" s="1" t="s">
        <v>18</v>
      </c>
      <c r="D1000" s="1" t="s">
        <v>569</v>
      </c>
      <c r="E1000" s="1" t="s">
        <v>573</v>
      </c>
      <c r="F1000">
        <v>74.34</v>
      </c>
      <c r="G1000">
        <v>1304.83</v>
      </c>
      <c r="H1000">
        <v>696.8</v>
      </c>
      <c r="I1000">
        <v>345.22</v>
      </c>
      <c r="J1000">
        <f>3.55/2</f>
        <v>1.7749999999999999</v>
      </c>
      <c r="K1000">
        <v>285.39999999999998</v>
      </c>
      <c r="L1000">
        <v>2.31</v>
      </c>
      <c r="M1000">
        <v>27.12</v>
      </c>
      <c r="N1000">
        <v>86.31</v>
      </c>
      <c r="O1000">
        <v>19.440000000000001</v>
      </c>
      <c r="P1000">
        <v>0.36</v>
      </c>
    </row>
    <row r="1001" spans="1:16">
      <c r="A1001" s="1" t="s">
        <v>567</v>
      </c>
      <c r="B1001" s="3" t="s">
        <v>1046</v>
      </c>
      <c r="C1001" s="1" t="s">
        <v>18</v>
      </c>
      <c r="D1001" s="1" t="s">
        <v>569</v>
      </c>
      <c r="E1001" s="1" t="s">
        <v>573</v>
      </c>
      <c r="F1001">
        <v>1344.09</v>
      </c>
      <c r="G1001">
        <v>2219.4499999999998</v>
      </c>
      <c r="H1001">
        <v>731.78</v>
      </c>
      <c r="I1001">
        <v>198.84</v>
      </c>
      <c r="J1001">
        <v>1.42</v>
      </c>
      <c r="K1001">
        <v>607.54999999999995</v>
      </c>
      <c r="L1001">
        <v>7.05</v>
      </c>
      <c r="M1001">
        <v>25.63</v>
      </c>
      <c r="N1001">
        <v>47.57</v>
      </c>
      <c r="O1001">
        <v>16.14</v>
      </c>
      <c r="P1001">
        <v>0.45900000000000002</v>
      </c>
    </row>
    <row r="1002" spans="1:16">
      <c r="A1002" s="1" t="s">
        <v>567</v>
      </c>
      <c r="B1002" s="3" t="s">
        <v>1047</v>
      </c>
      <c r="C1002" s="1" t="s">
        <v>18</v>
      </c>
      <c r="D1002" s="1" t="s">
        <v>569</v>
      </c>
      <c r="E1002" s="1" t="s">
        <v>573</v>
      </c>
      <c r="F1002">
        <v>736.24</v>
      </c>
      <c r="G1002">
        <v>5056.09</v>
      </c>
      <c r="H1002">
        <v>2733.26</v>
      </c>
      <c r="I1002">
        <v>186.13</v>
      </c>
      <c r="J1002">
        <f>1.17/2</f>
        <v>0.58499999999999996</v>
      </c>
      <c r="K1002">
        <v>549.24</v>
      </c>
      <c r="L1002">
        <v>7.08</v>
      </c>
      <c r="M1002">
        <v>28.14</v>
      </c>
      <c r="N1002">
        <v>65.33</v>
      </c>
      <c r="O1002">
        <v>20.69</v>
      </c>
      <c r="P1002">
        <v>1.4490000000000001</v>
      </c>
    </row>
    <row r="1003" spans="1:16">
      <c r="A1003" s="1" t="s">
        <v>567</v>
      </c>
      <c r="B1003" s="3" t="s">
        <v>1048</v>
      </c>
      <c r="C1003" s="1" t="s">
        <v>18</v>
      </c>
      <c r="D1003" s="1" t="s">
        <v>569</v>
      </c>
      <c r="E1003" s="1" t="s">
        <v>573</v>
      </c>
      <c r="F1003">
        <v>1030.8</v>
      </c>
      <c r="G1003">
        <v>4959.59</v>
      </c>
      <c r="H1003">
        <v>1635.33</v>
      </c>
      <c r="I1003">
        <v>171.11</v>
      </c>
      <c r="J1003">
        <v>1.83</v>
      </c>
      <c r="K1003">
        <v>530.09</v>
      </c>
      <c r="L1003">
        <v>8.99</v>
      </c>
      <c r="M1003">
        <v>26.81</v>
      </c>
      <c r="N1003">
        <v>328.63</v>
      </c>
      <c r="O1003">
        <v>19.440000000000001</v>
      </c>
      <c r="P1003">
        <v>1.1220000000000001</v>
      </c>
    </row>
    <row r="1004" spans="1:16">
      <c r="A1004" s="1" t="s">
        <v>567</v>
      </c>
      <c r="B1004" s="3" t="s">
        <v>1049</v>
      </c>
      <c r="C1004" s="1" t="s">
        <v>18</v>
      </c>
      <c r="D1004" s="1" t="s">
        <v>569</v>
      </c>
      <c r="E1004" s="1" t="s">
        <v>573</v>
      </c>
      <c r="F1004">
        <v>685.7</v>
      </c>
      <c r="G1004">
        <v>4097.71</v>
      </c>
      <c r="H1004">
        <v>1226.3599999999999</v>
      </c>
      <c r="I1004">
        <v>178.12</v>
      </c>
      <c r="J1004">
        <f>1.13/2</f>
        <v>0.56499999999999995</v>
      </c>
      <c r="K1004">
        <v>476.3</v>
      </c>
      <c r="L1004">
        <v>10.23</v>
      </c>
      <c r="M1004">
        <v>25.04</v>
      </c>
      <c r="N1004">
        <v>369.47</v>
      </c>
      <c r="O1004">
        <v>18.850000000000001</v>
      </c>
      <c r="P1004">
        <v>0.69599999999999995</v>
      </c>
    </row>
    <row r="1005" spans="1:16">
      <c r="A1005" s="1" t="s">
        <v>567</v>
      </c>
      <c r="B1005" s="3" t="s">
        <v>1050</v>
      </c>
      <c r="C1005" s="1" t="s">
        <v>18</v>
      </c>
      <c r="D1005" s="1" t="s">
        <v>569</v>
      </c>
      <c r="E1005" s="1" t="s">
        <v>573</v>
      </c>
      <c r="F1005">
        <v>1742.58</v>
      </c>
      <c r="G1005">
        <v>3500.7</v>
      </c>
      <c r="H1005">
        <v>801.94</v>
      </c>
      <c r="I1005">
        <v>223.07</v>
      </c>
      <c r="J1005">
        <v>1.33</v>
      </c>
      <c r="K1005">
        <v>654.94000000000005</v>
      </c>
      <c r="L1005">
        <v>5.65</v>
      </c>
      <c r="M1005">
        <v>26.29</v>
      </c>
      <c r="N1005">
        <v>51.5</v>
      </c>
      <c r="O1005">
        <v>18.239999999999998</v>
      </c>
      <c r="P1005">
        <v>0.22900000000000001</v>
      </c>
    </row>
    <row r="1006" spans="1:16">
      <c r="A1006" s="1" t="s">
        <v>567</v>
      </c>
      <c r="B1006" s="3" t="s">
        <v>1051</v>
      </c>
      <c r="C1006" s="1" t="s">
        <v>18</v>
      </c>
      <c r="D1006" s="1" t="s">
        <v>569</v>
      </c>
      <c r="E1006" s="1" t="s">
        <v>573</v>
      </c>
      <c r="F1006">
        <v>731.01</v>
      </c>
      <c r="G1006">
        <v>3980.15</v>
      </c>
      <c r="H1006">
        <v>805.66</v>
      </c>
      <c r="I1006">
        <v>171.59</v>
      </c>
      <c r="J1006">
        <f>0.94/2</f>
        <v>0.47</v>
      </c>
      <c r="K1006">
        <v>474.11</v>
      </c>
      <c r="L1006">
        <v>5.71</v>
      </c>
      <c r="M1006">
        <v>26.58</v>
      </c>
      <c r="N1006">
        <v>310.41000000000003</v>
      </c>
      <c r="O1006">
        <v>19.71</v>
      </c>
      <c r="P1006">
        <v>0.56000000000000005</v>
      </c>
    </row>
    <row r="1007" spans="1:16">
      <c r="A1007" s="1" t="s">
        <v>567</v>
      </c>
      <c r="B1007" s="3" t="s">
        <v>1052</v>
      </c>
      <c r="C1007" s="1" t="s">
        <v>18</v>
      </c>
      <c r="D1007" s="1" t="s">
        <v>569</v>
      </c>
      <c r="E1007" s="1" t="s">
        <v>573</v>
      </c>
      <c r="F1007">
        <v>281.24</v>
      </c>
      <c r="G1007">
        <v>3773.22</v>
      </c>
      <c r="H1007">
        <v>826.95</v>
      </c>
      <c r="I1007">
        <v>182.98</v>
      </c>
      <c r="J1007">
        <f>1.22/2</f>
        <v>0.61</v>
      </c>
      <c r="K1007">
        <v>454.28</v>
      </c>
      <c r="L1007">
        <v>7.61</v>
      </c>
      <c r="M1007">
        <v>27.18</v>
      </c>
      <c r="N1007">
        <v>353.8</v>
      </c>
      <c r="O1007">
        <v>19.190000000000001</v>
      </c>
      <c r="P1007">
        <v>0.36799999999999999</v>
      </c>
    </row>
    <row r="1008" spans="1:16">
      <c r="A1008" s="1" t="s">
        <v>567</v>
      </c>
      <c r="B1008" s="3" t="s">
        <v>1053</v>
      </c>
      <c r="C1008" s="1" t="s">
        <v>18</v>
      </c>
      <c r="D1008" s="1" t="s">
        <v>569</v>
      </c>
      <c r="E1008" s="1" t="s">
        <v>573</v>
      </c>
      <c r="F1008">
        <v>1206.43</v>
      </c>
      <c r="G1008">
        <v>8632.4</v>
      </c>
      <c r="H1008">
        <v>2149.23</v>
      </c>
      <c r="I1008">
        <v>194.66</v>
      </c>
      <c r="J1008">
        <f>1.43/2</f>
        <v>0.71499999999999997</v>
      </c>
      <c r="K1008">
        <v>620.04999999999995</v>
      </c>
      <c r="L1008">
        <v>4.3600000000000003</v>
      </c>
      <c r="M1008">
        <v>27.56</v>
      </c>
      <c r="N1008">
        <v>165.63</v>
      </c>
      <c r="O1008">
        <v>22.67</v>
      </c>
      <c r="P1008">
        <v>1.77</v>
      </c>
    </row>
    <row r="1009" spans="1:16">
      <c r="A1009" s="1" t="s">
        <v>567</v>
      </c>
      <c r="B1009" s="3" t="s">
        <v>1054</v>
      </c>
      <c r="C1009" s="1" t="s">
        <v>18</v>
      </c>
      <c r="D1009" s="1" t="s">
        <v>569</v>
      </c>
      <c r="E1009" s="1" t="s">
        <v>573</v>
      </c>
      <c r="F1009">
        <v>3328.91</v>
      </c>
      <c r="G1009">
        <v>1223.53</v>
      </c>
      <c r="H1009">
        <v>442.45</v>
      </c>
      <c r="I1009">
        <v>218.28</v>
      </c>
      <c r="J1009">
        <f>2.51/2</f>
        <v>1.2549999999999999</v>
      </c>
      <c r="K1009">
        <v>996.68</v>
      </c>
      <c r="L1009">
        <v>2.71</v>
      </c>
      <c r="M1009">
        <v>22.1</v>
      </c>
      <c r="N1009">
        <v>70.58</v>
      </c>
      <c r="O1009">
        <v>16.670000000000002</v>
      </c>
      <c r="P1009">
        <v>0.33</v>
      </c>
    </row>
    <row r="1010" spans="1:16">
      <c r="A1010" s="1" t="s">
        <v>567</v>
      </c>
      <c r="B1010" s="3" t="s">
        <v>1055</v>
      </c>
      <c r="C1010" s="1" t="s">
        <v>18</v>
      </c>
      <c r="D1010" s="1" t="s">
        <v>569</v>
      </c>
      <c r="E1010" s="1" t="s">
        <v>573</v>
      </c>
      <c r="F1010">
        <v>432.76</v>
      </c>
      <c r="G1010">
        <v>3682.91</v>
      </c>
      <c r="H1010">
        <v>784.57</v>
      </c>
      <c r="I1010">
        <v>205.6</v>
      </c>
      <c r="J1010">
        <v>2.5499999999999998</v>
      </c>
      <c r="K1010">
        <v>353.5</v>
      </c>
      <c r="L1010">
        <v>4.4000000000000004</v>
      </c>
      <c r="M1010">
        <v>27.01</v>
      </c>
      <c r="N1010">
        <v>235.96</v>
      </c>
      <c r="O1010">
        <v>21.83</v>
      </c>
      <c r="P1010">
        <v>0.25900000000000001</v>
      </c>
    </row>
    <row r="1011" spans="1:16">
      <c r="A1011" s="1" t="s">
        <v>567</v>
      </c>
      <c r="B1011" s="3" t="s">
        <v>1056</v>
      </c>
      <c r="C1011" s="1" t="s">
        <v>18</v>
      </c>
      <c r="D1011" s="1" t="s">
        <v>569</v>
      </c>
      <c r="E1011" s="1" t="s">
        <v>573</v>
      </c>
      <c r="F1011">
        <v>780.62</v>
      </c>
      <c r="G1011">
        <v>2091.48</v>
      </c>
      <c r="H1011">
        <v>7685.05</v>
      </c>
      <c r="I1011">
        <v>512.16999999999996</v>
      </c>
      <c r="J1011">
        <v>46.75</v>
      </c>
      <c r="K1011">
        <v>488.78</v>
      </c>
      <c r="L1011">
        <v>1.403</v>
      </c>
      <c r="M1011">
        <v>20.76</v>
      </c>
      <c r="N1011">
        <v>81.8</v>
      </c>
      <c r="O1011">
        <v>16.100000000000001</v>
      </c>
      <c r="P1011">
        <v>2.52</v>
      </c>
    </row>
    <row r="1012" spans="1:16">
      <c r="A1012" s="1" t="s">
        <v>567</v>
      </c>
      <c r="B1012" s="3" t="s">
        <v>1057</v>
      </c>
      <c r="C1012" s="1" t="s">
        <v>18</v>
      </c>
      <c r="D1012" s="1" t="s">
        <v>569</v>
      </c>
      <c r="E1012" s="1" t="s">
        <v>573</v>
      </c>
      <c r="F1012">
        <v>460.45</v>
      </c>
      <c r="G1012">
        <v>1613.93</v>
      </c>
      <c r="H1012">
        <v>562.77</v>
      </c>
      <c r="I1012">
        <v>224.86</v>
      </c>
      <c r="J1012">
        <v>2.0099999999999998</v>
      </c>
      <c r="K1012">
        <v>344.62</v>
      </c>
      <c r="L1012">
        <v>6</v>
      </c>
      <c r="M1012">
        <v>24</v>
      </c>
      <c r="N1012">
        <v>44.71</v>
      </c>
      <c r="O1012">
        <v>19.010000000000002</v>
      </c>
      <c r="P1012">
        <v>0.17599999999999999</v>
      </c>
    </row>
    <row r="1013" spans="1:16">
      <c r="A1013" s="1" t="s">
        <v>567</v>
      </c>
      <c r="B1013" s="3" t="s">
        <v>1058</v>
      </c>
      <c r="C1013" s="1" t="s">
        <v>18</v>
      </c>
      <c r="D1013" s="1" t="s">
        <v>569</v>
      </c>
      <c r="E1013" s="1" t="s">
        <v>573</v>
      </c>
      <c r="F1013">
        <v>532.11</v>
      </c>
      <c r="G1013">
        <v>2737.34</v>
      </c>
      <c r="H1013">
        <v>1664.54</v>
      </c>
      <c r="I1013">
        <v>225.88</v>
      </c>
      <c r="J1013">
        <f>1.11/2</f>
        <v>0.55500000000000005</v>
      </c>
      <c r="K1013">
        <v>430.56</v>
      </c>
      <c r="L1013">
        <v>8.43</v>
      </c>
      <c r="M1013">
        <v>25.96</v>
      </c>
      <c r="N1013">
        <v>90.27</v>
      </c>
      <c r="O1013">
        <v>20.52</v>
      </c>
      <c r="P1013">
        <v>0.441</v>
      </c>
    </row>
    <row r="1014" spans="1:16">
      <c r="A1014" s="1" t="s">
        <v>567</v>
      </c>
      <c r="B1014" s="3" t="s">
        <v>1059</v>
      </c>
      <c r="C1014" s="1" t="s">
        <v>18</v>
      </c>
      <c r="D1014" s="1" t="s">
        <v>569</v>
      </c>
      <c r="E1014" s="1" t="s">
        <v>573</v>
      </c>
      <c r="F1014">
        <v>628.95000000000005</v>
      </c>
      <c r="G1014">
        <v>2572.64</v>
      </c>
      <c r="H1014">
        <v>1176.82</v>
      </c>
      <c r="I1014">
        <v>212.22</v>
      </c>
      <c r="J1014">
        <f>0.77/2</f>
        <v>0.38500000000000001</v>
      </c>
      <c r="K1014">
        <v>358.82</v>
      </c>
      <c r="L1014">
        <v>8.8000000000000007</v>
      </c>
      <c r="M1014">
        <v>24.15</v>
      </c>
      <c r="N1014">
        <v>51.97</v>
      </c>
      <c r="O1014">
        <v>18.13</v>
      </c>
      <c r="P1014">
        <v>0.27300000000000002</v>
      </c>
    </row>
    <row r="1015" spans="1:16">
      <c r="A1015" s="1" t="s">
        <v>567</v>
      </c>
      <c r="B1015" s="3" t="s">
        <v>1060</v>
      </c>
      <c r="C1015" s="1" t="s">
        <v>18</v>
      </c>
      <c r="D1015" s="1" t="s">
        <v>569</v>
      </c>
      <c r="E1015" s="1" t="s">
        <v>573</v>
      </c>
      <c r="F1015">
        <v>920.95</v>
      </c>
      <c r="G1015">
        <v>7635.2</v>
      </c>
      <c r="H1015">
        <v>1247.5999999999999</v>
      </c>
      <c r="I1015">
        <v>215.35</v>
      </c>
      <c r="J1015">
        <f>1.22/2</f>
        <v>0.61</v>
      </c>
      <c r="K1015">
        <v>398.78</v>
      </c>
      <c r="L1015">
        <v>9.64</v>
      </c>
      <c r="M1015">
        <v>25.07</v>
      </c>
      <c r="N1015">
        <v>46.24</v>
      </c>
      <c r="O1015">
        <v>20.49</v>
      </c>
      <c r="P1015">
        <v>0.70799999999999996</v>
      </c>
    </row>
    <row r="1016" spans="1:16">
      <c r="A1016" s="1" t="s">
        <v>567</v>
      </c>
      <c r="B1016" s="3" t="s">
        <v>1061</v>
      </c>
      <c r="C1016" s="1" t="s">
        <v>18</v>
      </c>
      <c r="D1016" s="1" t="s">
        <v>569</v>
      </c>
      <c r="E1016" s="1" t="s">
        <v>573</v>
      </c>
      <c r="F1016">
        <v>598.57000000000005</v>
      </c>
      <c r="G1016">
        <v>1427.53</v>
      </c>
      <c r="H1016">
        <v>556.88</v>
      </c>
      <c r="I1016">
        <v>205.03</v>
      </c>
      <c r="J1016">
        <f>0.65/2</f>
        <v>0.32500000000000001</v>
      </c>
      <c r="K1016">
        <v>449.85</v>
      </c>
      <c r="L1016">
        <v>8.57</v>
      </c>
      <c r="M1016">
        <v>26.95</v>
      </c>
      <c r="N1016">
        <v>47.56</v>
      </c>
      <c r="O1016">
        <v>16.989999999999998</v>
      </c>
      <c r="P1016">
        <v>0.255</v>
      </c>
    </row>
    <row r="1017" spans="1:16">
      <c r="A1017" s="1" t="s">
        <v>567</v>
      </c>
      <c r="B1017" s="3" t="s">
        <v>1062</v>
      </c>
      <c r="C1017" s="1" t="s">
        <v>18</v>
      </c>
      <c r="D1017" s="1" t="s">
        <v>569</v>
      </c>
      <c r="E1017" s="1" t="s">
        <v>573</v>
      </c>
      <c r="F1017">
        <v>2225.84</v>
      </c>
      <c r="G1017">
        <v>6003.22</v>
      </c>
      <c r="H1017">
        <v>1256.6099999999999</v>
      </c>
      <c r="I1017">
        <v>215.82</v>
      </c>
      <c r="J1017">
        <v>1.91</v>
      </c>
      <c r="K1017">
        <v>771.97</v>
      </c>
      <c r="L1017">
        <v>8.68</v>
      </c>
      <c r="M1017">
        <v>23.27</v>
      </c>
      <c r="N1017">
        <v>61.83</v>
      </c>
      <c r="O1017">
        <v>19.52</v>
      </c>
      <c r="P1017">
        <v>0.72799999999999998</v>
      </c>
    </row>
    <row r="1018" spans="1:16">
      <c r="A1018" s="1" t="s">
        <v>567</v>
      </c>
      <c r="B1018" s="3" t="s">
        <v>1063</v>
      </c>
      <c r="C1018" s="1" t="s">
        <v>18</v>
      </c>
      <c r="D1018" s="1" t="s">
        <v>569</v>
      </c>
      <c r="E1018" s="1" t="s">
        <v>573</v>
      </c>
      <c r="F1018">
        <v>1126.3399999999999</v>
      </c>
      <c r="G1018">
        <v>3129.33</v>
      </c>
      <c r="H1018">
        <v>1833.5</v>
      </c>
      <c r="I1018">
        <v>201.86</v>
      </c>
      <c r="J1018">
        <v>1.18</v>
      </c>
      <c r="K1018">
        <v>669.3</v>
      </c>
      <c r="L1018">
        <v>8.36</v>
      </c>
      <c r="M1018">
        <v>25.32</v>
      </c>
      <c r="N1018">
        <v>63.55</v>
      </c>
      <c r="O1018">
        <v>16.98</v>
      </c>
      <c r="P1018">
        <v>0.496</v>
      </c>
    </row>
    <row r="1019" spans="1:16">
      <c r="A1019" s="1" t="s">
        <v>567</v>
      </c>
      <c r="B1019" s="3" t="s">
        <v>1064</v>
      </c>
      <c r="C1019" s="1" t="s">
        <v>18</v>
      </c>
      <c r="D1019" s="1" t="s">
        <v>569</v>
      </c>
      <c r="E1019" s="1" t="s">
        <v>573</v>
      </c>
      <c r="F1019">
        <v>899.19</v>
      </c>
      <c r="G1019">
        <v>3306.48</v>
      </c>
      <c r="H1019">
        <v>2437.25</v>
      </c>
      <c r="I1019">
        <v>215.25</v>
      </c>
      <c r="J1019">
        <f>1.08/2</f>
        <v>0.54</v>
      </c>
      <c r="K1019">
        <v>449.28</v>
      </c>
      <c r="L1019">
        <v>6.47</v>
      </c>
      <c r="M1019">
        <v>26.68</v>
      </c>
      <c r="N1019">
        <v>94.66</v>
      </c>
      <c r="O1019">
        <v>23.06</v>
      </c>
      <c r="P1019">
        <v>0.54500000000000004</v>
      </c>
    </row>
    <row r="1020" spans="1:16">
      <c r="A1020" s="1" t="s">
        <v>567</v>
      </c>
      <c r="B1020" s="3" t="s">
        <v>1065</v>
      </c>
      <c r="C1020" s="1" t="s">
        <v>18</v>
      </c>
      <c r="D1020" s="1" t="s">
        <v>569</v>
      </c>
      <c r="E1020" s="1" t="s">
        <v>573</v>
      </c>
      <c r="F1020">
        <v>102.92</v>
      </c>
      <c r="G1020">
        <v>1490.1</v>
      </c>
      <c r="H1020">
        <v>664.94</v>
      </c>
      <c r="I1020">
        <v>206.86</v>
      </c>
      <c r="J1020">
        <f>0.91/2</f>
        <v>0.45500000000000002</v>
      </c>
      <c r="K1020">
        <v>337.69</v>
      </c>
      <c r="L1020">
        <v>5.77</v>
      </c>
      <c r="M1020">
        <v>27.07</v>
      </c>
      <c r="N1020">
        <v>54.96</v>
      </c>
      <c r="O1020">
        <v>20.37</v>
      </c>
      <c r="P1020">
        <v>0.13600000000000001</v>
      </c>
    </row>
    <row r="1021" spans="1:16">
      <c r="A1021" s="1" t="s">
        <v>567</v>
      </c>
      <c r="B1021" s="3" t="s">
        <v>1066</v>
      </c>
      <c r="C1021" s="1" t="s">
        <v>18</v>
      </c>
      <c r="D1021" s="1" t="s">
        <v>569</v>
      </c>
      <c r="E1021" s="1" t="s">
        <v>573</v>
      </c>
      <c r="F1021">
        <v>2820.17</v>
      </c>
      <c r="G1021">
        <v>3898.78</v>
      </c>
      <c r="H1021">
        <v>3061.72</v>
      </c>
      <c r="I1021">
        <v>246.05</v>
      </c>
      <c r="J1021">
        <v>4.33</v>
      </c>
      <c r="K1021">
        <v>698.08</v>
      </c>
      <c r="L1021">
        <v>4.08</v>
      </c>
      <c r="M1021">
        <v>25.79</v>
      </c>
      <c r="N1021">
        <v>58.38</v>
      </c>
      <c r="O1021">
        <v>19.100000000000001</v>
      </c>
      <c r="P1021">
        <v>2.14</v>
      </c>
    </row>
    <row r="1022" spans="1:16">
      <c r="A1022" s="1" t="s">
        <v>567</v>
      </c>
      <c r="B1022" s="3" t="s">
        <v>1067</v>
      </c>
      <c r="C1022" s="1" t="s">
        <v>18</v>
      </c>
      <c r="D1022" s="1" t="s">
        <v>569</v>
      </c>
      <c r="E1022" s="1" t="s">
        <v>573</v>
      </c>
      <c r="F1022">
        <v>366.75</v>
      </c>
      <c r="G1022">
        <v>2467.7800000000002</v>
      </c>
      <c r="H1022">
        <v>759.6</v>
      </c>
      <c r="I1022">
        <v>220.31</v>
      </c>
      <c r="J1022">
        <v>1.34</v>
      </c>
      <c r="K1022">
        <v>354.84</v>
      </c>
      <c r="L1022">
        <v>3.14</v>
      </c>
      <c r="M1022">
        <v>25.6</v>
      </c>
      <c r="N1022">
        <v>42.28</v>
      </c>
      <c r="O1022">
        <v>18.010000000000002</v>
      </c>
      <c r="P1022">
        <v>0.34799999999999998</v>
      </c>
    </row>
    <row r="1023" spans="1:16">
      <c r="A1023" s="1" t="s">
        <v>567</v>
      </c>
      <c r="B1023" s="3" t="s">
        <v>1068</v>
      </c>
      <c r="C1023" s="1" t="s">
        <v>18</v>
      </c>
      <c r="D1023" s="1" t="s">
        <v>569</v>
      </c>
      <c r="E1023" s="1" t="s">
        <v>573</v>
      </c>
      <c r="F1023">
        <v>2017.38</v>
      </c>
      <c r="G1023">
        <v>2507.34</v>
      </c>
      <c r="H1023">
        <v>1486.44</v>
      </c>
      <c r="I1023">
        <v>234.26</v>
      </c>
      <c r="J1023">
        <v>3.36</v>
      </c>
      <c r="K1023">
        <v>668.52</v>
      </c>
      <c r="L1023">
        <v>3.71</v>
      </c>
      <c r="M1023">
        <v>26.33</v>
      </c>
      <c r="N1023">
        <v>58.73</v>
      </c>
      <c r="O1023">
        <v>18.2</v>
      </c>
      <c r="P1023">
        <v>0.32500000000000001</v>
      </c>
    </row>
    <row r="1024" spans="1:16">
      <c r="A1024" s="1" t="s">
        <v>567</v>
      </c>
      <c r="B1024" s="3" t="s">
        <v>1069</v>
      </c>
      <c r="C1024" s="1" t="s">
        <v>18</v>
      </c>
      <c r="D1024" s="1" t="s">
        <v>569</v>
      </c>
      <c r="E1024" s="1" t="s">
        <v>573</v>
      </c>
      <c r="F1024">
        <v>1471.92</v>
      </c>
      <c r="G1024">
        <v>4086.8</v>
      </c>
      <c r="H1024">
        <v>3074.39</v>
      </c>
      <c r="I1024">
        <v>231.07</v>
      </c>
      <c r="J1024">
        <v>18.79</v>
      </c>
      <c r="K1024">
        <v>477.87</v>
      </c>
      <c r="L1024">
        <v>4.37</v>
      </c>
      <c r="M1024">
        <v>24.72</v>
      </c>
      <c r="N1024">
        <v>57.26</v>
      </c>
      <c r="O1024">
        <v>19.940000000000001</v>
      </c>
      <c r="P1024">
        <v>1.99</v>
      </c>
    </row>
    <row r="1025" spans="1:16">
      <c r="A1025" s="1" t="s">
        <v>567</v>
      </c>
      <c r="B1025" s="3" t="s">
        <v>1070</v>
      </c>
      <c r="C1025" s="1" t="s">
        <v>18</v>
      </c>
      <c r="D1025" s="1" t="s">
        <v>569</v>
      </c>
      <c r="E1025" s="1" t="s">
        <v>573</v>
      </c>
      <c r="F1025">
        <v>206.11</v>
      </c>
      <c r="G1025">
        <v>2258.35</v>
      </c>
      <c r="H1025">
        <v>837.49</v>
      </c>
      <c r="I1025">
        <v>218.19</v>
      </c>
      <c r="J1025">
        <v>0.78</v>
      </c>
      <c r="K1025">
        <v>390.8</v>
      </c>
      <c r="L1025">
        <v>2.5099999999999998</v>
      </c>
      <c r="M1025">
        <v>18.5</v>
      </c>
      <c r="N1025">
        <v>107.65</v>
      </c>
      <c r="O1025">
        <v>20.05</v>
      </c>
      <c r="P1025">
        <v>0.314</v>
      </c>
    </row>
    <row r="1026" spans="1:16">
      <c r="A1026" s="1" t="s">
        <v>567</v>
      </c>
      <c r="B1026" s="3" t="s">
        <v>1071</v>
      </c>
      <c r="C1026" s="1" t="s">
        <v>18</v>
      </c>
      <c r="D1026" s="1" t="s">
        <v>569</v>
      </c>
      <c r="E1026" s="1" t="s">
        <v>573</v>
      </c>
      <c r="F1026">
        <v>5281.08</v>
      </c>
      <c r="G1026">
        <v>7765.02</v>
      </c>
      <c r="H1026">
        <v>632.20000000000005</v>
      </c>
      <c r="I1026">
        <v>814.24</v>
      </c>
      <c r="J1026">
        <v>6.02</v>
      </c>
      <c r="K1026">
        <v>2321.39</v>
      </c>
      <c r="L1026">
        <v>6.49</v>
      </c>
      <c r="M1026">
        <v>34.619999999999997</v>
      </c>
      <c r="N1026">
        <v>82.39</v>
      </c>
      <c r="O1026">
        <v>14.13</v>
      </c>
      <c r="P1026">
        <v>0.255</v>
      </c>
    </row>
    <row r="1027" spans="1:16">
      <c r="A1027" s="1" t="s">
        <v>567</v>
      </c>
      <c r="B1027" s="3" t="s">
        <v>1072</v>
      </c>
      <c r="C1027" s="1" t="s">
        <v>18</v>
      </c>
      <c r="D1027" s="1" t="s">
        <v>569</v>
      </c>
      <c r="E1027" s="1" t="s">
        <v>573</v>
      </c>
      <c r="F1027">
        <v>3620.88</v>
      </c>
      <c r="G1027">
        <v>2928.67</v>
      </c>
      <c r="H1027">
        <v>1863.34</v>
      </c>
      <c r="I1027">
        <v>567.55999999999995</v>
      </c>
      <c r="J1027">
        <v>29.08</v>
      </c>
      <c r="K1027">
        <v>1564.34</v>
      </c>
      <c r="L1027">
        <v>1.56</v>
      </c>
      <c r="M1027">
        <v>24.96</v>
      </c>
      <c r="N1027">
        <v>38.58</v>
      </c>
      <c r="O1027">
        <v>11.57</v>
      </c>
      <c r="P1027">
        <v>0.91</v>
      </c>
    </row>
    <row r="1028" spans="1:16">
      <c r="A1028" s="1" t="s">
        <v>567</v>
      </c>
      <c r="B1028" s="3" t="s">
        <v>1073</v>
      </c>
      <c r="C1028" s="1" t="s">
        <v>18</v>
      </c>
      <c r="D1028" s="1" t="s">
        <v>569</v>
      </c>
      <c r="E1028" s="1" t="s">
        <v>573</v>
      </c>
      <c r="F1028">
        <v>4475.97</v>
      </c>
      <c r="G1028">
        <v>1372.18</v>
      </c>
      <c r="H1028">
        <v>31612.959999999999</v>
      </c>
      <c r="I1028">
        <v>482.53</v>
      </c>
      <c r="J1028">
        <v>51.67</v>
      </c>
      <c r="K1028">
        <v>1502.33</v>
      </c>
      <c r="L1028">
        <v>2.73</v>
      </c>
      <c r="M1028">
        <v>20.100000000000001</v>
      </c>
      <c r="N1028">
        <v>61.41</v>
      </c>
      <c r="O1028">
        <v>10.31</v>
      </c>
      <c r="P1028">
        <v>15.86</v>
      </c>
    </row>
    <row r="1029" spans="1:16">
      <c r="A1029" s="1" t="s">
        <v>1074</v>
      </c>
      <c r="B1029" s="1" t="s">
        <v>1075</v>
      </c>
      <c r="C1029" s="1" t="s">
        <v>105</v>
      </c>
      <c r="D1029" s="1" t="s">
        <v>106</v>
      </c>
      <c r="E1029" s="1" t="s">
        <v>1076</v>
      </c>
      <c r="F1029">
        <v>3.3</v>
      </c>
      <c r="G1029">
        <v>86.01</v>
      </c>
      <c r="H1029">
        <v>5.74</v>
      </c>
      <c r="I1029">
        <v>5.48</v>
      </c>
      <c r="J1029">
        <v>4.1900000000000004</v>
      </c>
      <c r="K1029">
        <v>8.84</v>
      </c>
      <c r="L1029">
        <v>0.71</v>
      </c>
      <c r="M1029">
        <v>2.29</v>
      </c>
      <c r="N1029">
        <v>1.62</v>
      </c>
      <c r="O1029">
        <v>0.78</v>
      </c>
      <c r="P1029">
        <v>0.19</v>
      </c>
    </row>
    <row r="1030" spans="1:16">
      <c r="A1030" s="1" t="s">
        <v>1074</v>
      </c>
      <c r="B1030" s="1" t="s">
        <v>1077</v>
      </c>
      <c r="C1030" s="1" t="s">
        <v>105</v>
      </c>
      <c r="D1030" s="1" t="s">
        <v>106</v>
      </c>
      <c r="E1030" s="1" t="s">
        <v>1076</v>
      </c>
      <c r="F1030">
        <v>3.71</v>
      </c>
      <c r="G1030">
        <v>183.72</v>
      </c>
      <c r="H1030">
        <v>10.210000000000001</v>
      </c>
      <c r="I1030">
        <v>5.0599999999999996</v>
      </c>
      <c r="J1030">
        <f>1.96/2</f>
        <v>0.98</v>
      </c>
      <c r="K1030">
        <v>10.93</v>
      </c>
      <c r="L1030">
        <v>0.83</v>
      </c>
      <c r="M1030">
        <v>2.9</v>
      </c>
      <c r="N1030">
        <v>1.98</v>
      </c>
      <c r="O1030">
        <v>0.82</v>
      </c>
      <c r="P1030">
        <f>0.16/2</f>
        <v>0.08</v>
      </c>
    </row>
    <row r="1031" spans="1:16">
      <c r="A1031" s="1" t="s">
        <v>1074</v>
      </c>
      <c r="B1031" s="1" t="s">
        <v>1078</v>
      </c>
      <c r="C1031" s="1" t="s">
        <v>105</v>
      </c>
      <c r="D1031" s="1" t="s">
        <v>106</v>
      </c>
      <c r="E1031" s="1" t="s">
        <v>1079</v>
      </c>
      <c r="F1031">
        <v>9.5</v>
      </c>
      <c r="G1031">
        <v>150.46</v>
      </c>
      <c r="H1031">
        <v>5.1100000000000003</v>
      </c>
      <c r="I1031">
        <v>4.93</v>
      </c>
      <c r="J1031">
        <f>1.55/2</f>
        <v>0.77500000000000002</v>
      </c>
      <c r="K1031">
        <v>14.88</v>
      </c>
      <c r="L1031">
        <v>0.74</v>
      </c>
      <c r="M1031">
        <v>2.25</v>
      </c>
      <c r="N1031">
        <f>1.52/2</f>
        <v>0.76</v>
      </c>
      <c r="O1031">
        <v>0.59</v>
      </c>
      <c r="P1031">
        <v>0.18</v>
      </c>
    </row>
    <row r="1032" spans="1:16">
      <c r="A1032" s="1" t="s">
        <v>1074</v>
      </c>
      <c r="B1032" s="1" t="s">
        <v>1080</v>
      </c>
      <c r="C1032" s="1" t="s">
        <v>105</v>
      </c>
      <c r="D1032" s="1" t="s">
        <v>106</v>
      </c>
      <c r="E1032" s="1" t="s">
        <v>1079</v>
      </c>
      <c r="F1032">
        <v>3.22</v>
      </c>
      <c r="G1032">
        <v>87.35</v>
      </c>
      <c r="H1032">
        <v>6.66</v>
      </c>
      <c r="I1032">
        <v>5.09</v>
      </c>
      <c r="J1032">
        <f>1.82/2</f>
        <v>0.91</v>
      </c>
      <c r="K1032">
        <v>7.63</v>
      </c>
      <c r="L1032">
        <v>1</v>
      </c>
      <c r="M1032">
        <v>2.66</v>
      </c>
      <c r="N1032">
        <v>1.67</v>
      </c>
      <c r="O1032">
        <v>0.54</v>
      </c>
      <c r="P1032">
        <v>0.39</v>
      </c>
    </row>
    <row r="1033" spans="1:16">
      <c r="A1033" s="1" t="s">
        <v>1074</v>
      </c>
      <c r="B1033" s="1" t="s">
        <v>1081</v>
      </c>
      <c r="C1033" s="1" t="s">
        <v>105</v>
      </c>
      <c r="D1033" s="1" t="s">
        <v>106</v>
      </c>
      <c r="E1033" s="1" t="s">
        <v>1079</v>
      </c>
      <c r="F1033">
        <v>14.11</v>
      </c>
      <c r="G1033">
        <v>246.36</v>
      </c>
      <c r="H1033">
        <v>7.81</v>
      </c>
      <c r="I1033">
        <v>5.64</v>
      </c>
      <c r="J1033">
        <f>1.94/2</f>
        <v>0.97</v>
      </c>
      <c r="K1033">
        <v>43.38</v>
      </c>
      <c r="L1033">
        <v>1.02</v>
      </c>
      <c r="M1033">
        <v>3.82</v>
      </c>
      <c r="N1033">
        <v>3.51</v>
      </c>
      <c r="O1033">
        <v>0.71</v>
      </c>
      <c r="P1033">
        <v>0.25</v>
      </c>
    </row>
    <row r="1034" spans="1:16">
      <c r="A1034" s="1" t="s">
        <v>1074</v>
      </c>
      <c r="B1034" s="1" t="s">
        <v>1082</v>
      </c>
      <c r="C1034" s="1" t="s">
        <v>105</v>
      </c>
      <c r="D1034" s="1" t="s">
        <v>106</v>
      </c>
      <c r="E1034" s="1" t="s">
        <v>1079</v>
      </c>
      <c r="F1034">
        <v>4.41</v>
      </c>
      <c r="G1034">
        <v>248.74</v>
      </c>
      <c r="H1034">
        <v>7.96</v>
      </c>
      <c r="I1034">
        <v>5.32</v>
      </c>
      <c r="J1034">
        <v>2.0699999999999998</v>
      </c>
      <c r="K1034">
        <v>8.36</v>
      </c>
      <c r="L1034">
        <v>0.87</v>
      </c>
      <c r="M1034">
        <v>2.11</v>
      </c>
      <c r="N1034">
        <v>4.03</v>
      </c>
      <c r="O1034">
        <v>0.86</v>
      </c>
      <c r="P1034">
        <v>0.17</v>
      </c>
    </row>
    <row r="1035" spans="1:16">
      <c r="A1035" s="1" t="s">
        <v>1074</v>
      </c>
      <c r="B1035" s="1" t="s">
        <v>1083</v>
      </c>
      <c r="C1035" s="1" t="s">
        <v>105</v>
      </c>
      <c r="D1035" s="1" t="s">
        <v>106</v>
      </c>
      <c r="E1035" s="1" t="s">
        <v>1079</v>
      </c>
      <c r="F1035">
        <v>4.25</v>
      </c>
      <c r="G1035">
        <v>148.47</v>
      </c>
      <c r="H1035">
        <v>7.04</v>
      </c>
      <c r="I1035">
        <v>4.8499999999999996</v>
      </c>
      <c r="J1035">
        <v>2.63</v>
      </c>
      <c r="K1035">
        <v>11.39</v>
      </c>
      <c r="L1035">
        <v>0.9</v>
      </c>
      <c r="M1035">
        <v>2.29</v>
      </c>
      <c r="N1035">
        <v>1.93</v>
      </c>
      <c r="O1035">
        <v>0.78</v>
      </c>
      <c r="P1035">
        <v>0.16</v>
      </c>
    </row>
    <row r="1036" spans="1:16">
      <c r="A1036" s="1" t="s">
        <v>1074</v>
      </c>
      <c r="B1036" s="1" t="s">
        <v>1084</v>
      </c>
      <c r="C1036" s="1" t="s">
        <v>105</v>
      </c>
      <c r="D1036" s="1" t="s">
        <v>106</v>
      </c>
      <c r="E1036" s="1" t="s">
        <v>1079</v>
      </c>
      <c r="F1036">
        <v>5.94</v>
      </c>
      <c r="G1036">
        <v>173.27</v>
      </c>
      <c r="H1036">
        <v>6.83</v>
      </c>
      <c r="I1036">
        <v>4.54</v>
      </c>
      <c r="J1036">
        <f>1.96/2</f>
        <v>0.98</v>
      </c>
      <c r="K1036">
        <v>12.51</v>
      </c>
      <c r="L1036">
        <v>1.1200000000000001</v>
      </c>
      <c r="M1036">
        <v>1.98</v>
      </c>
      <c r="N1036">
        <v>6.15</v>
      </c>
      <c r="O1036">
        <v>0.65</v>
      </c>
      <c r="P1036">
        <v>0.13</v>
      </c>
    </row>
    <row r="1037" spans="1:16">
      <c r="A1037" s="1" t="s">
        <v>1074</v>
      </c>
      <c r="B1037" s="1" t="s">
        <v>1085</v>
      </c>
      <c r="C1037" s="1" t="s">
        <v>105</v>
      </c>
      <c r="D1037" s="1" t="s">
        <v>106</v>
      </c>
      <c r="E1037" s="1" t="s">
        <v>1079</v>
      </c>
      <c r="F1037">
        <v>4.54</v>
      </c>
      <c r="G1037">
        <v>186.1</v>
      </c>
      <c r="H1037">
        <v>6.75</v>
      </c>
      <c r="I1037">
        <v>5.43</v>
      </c>
      <c r="J1037">
        <f>1.68/2</f>
        <v>0.84</v>
      </c>
      <c r="K1037">
        <v>7.74</v>
      </c>
      <c r="L1037">
        <v>1.01</v>
      </c>
      <c r="M1037">
        <v>1.6</v>
      </c>
      <c r="N1037">
        <v>2.6</v>
      </c>
      <c r="O1037">
        <v>0.69</v>
      </c>
      <c r="P1037">
        <v>0.16</v>
      </c>
    </row>
    <row r="1038" spans="1:16">
      <c r="A1038" s="1" t="s">
        <v>1074</v>
      </c>
      <c r="B1038" s="1" t="s">
        <v>1086</v>
      </c>
      <c r="C1038" s="1" t="s">
        <v>105</v>
      </c>
      <c r="D1038" s="1" t="s">
        <v>106</v>
      </c>
      <c r="E1038" s="1" t="s">
        <v>1079</v>
      </c>
      <c r="F1038">
        <v>4.28</v>
      </c>
      <c r="G1038">
        <v>74.069999999999993</v>
      </c>
      <c r="H1038">
        <v>8.49</v>
      </c>
      <c r="I1038">
        <v>5.72</v>
      </c>
      <c r="J1038">
        <v>2.4900000000000002</v>
      </c>
      <c r="K1038">
        <v>11.15</v>
      </c>
      <c r="L1038">
        <v>0.75</v>
      </c>
      <c r="M1038">
        <v>2.93</v>
      </c>
      <c r="N1038">
        <f>1.71/2</f>
        <v>0.85499999999999998</v>
      </c>
      <c r="O1038">
        <v>0.56000000000000005</v>
      </c>
      <c r="P1038">
        <f>0.09/2</f>
        <v>4.4999999999999998E-2</v>
      </c>
    </row>
    <row r="1039" spans="1:16">
      <c r="A1039" s="1" t="s">
        <v>1074</v>
      </c>
      <c r="B1039" s="1" t="s">
        <v>1087</v>
      </c>
      <c r="C1039" s="1" t="s">
        <v>105</v>
      </c>
      <c r="D1039" s="1" t="s">
        <v>106</v>
      </c>
      <c r="E1039" s="1" t="s">
        <v>1079</v>
      </c>
      <c r="F1039">
        <v>2.84</v>
      </c>
      <c r="G1039">
        <v>152.91999999999999</v>
      </c>
      <c r="H1039">
        <v>6.42</v>
      </c>
      <c r="I1039">
        <v>6.17</v>
      </c>
      <c r="J1039">
        <f>1.82/2</f>
        <v>0.91</v>
      </c>
      <c r="K1039">
        <v>9.4</v>
      </c>
      <c r="L1039">
        <v>1</v>
      </c>
      <c r="M1039">
        <v>2.0699999999999998</v>
      </c>
      <c r="N1039">
        <v>2.83</v>
      </c>
      <c r="O1039">
        <v>0.68</v>
      </c>
      <c r="P1039">
        <v>0.18</v>
      </c>
    </row>
    <row r="1040" spans="1:16">
      <c r="A1040" s="1" t="s">
        <v>1074</v>
      </c>
      <c r="B1040" s="1" t="s">
        <v>1088</v>
      </c>
      <c r="C1040" s="1" t="s">
        <v>105</v>
      </c>
      <c r="D1040" s="1" t="s">
        <v>106</v>
      </c>
      <c r="E1040" s="1" t="s">
        <v>1079</v>
      </c>
      <c r="F1040">
        <v>3.19</v>
      </c>
      <c r="G1040">
        <v>173.72</v>
      </c>
      <c r="H1040">
        <v>5.72</v>
      </c>
      <c r="I1040">
        <v>5.31</v>
      </c>
      <c r="J1040">
        <f>1.94/2</f>
        <v>0.97</v>
      </c>
      <c r="K1040">
        <v>8.1</v>
      </c>
      <c r="L1040">
        <v>0.77</v>
      </c>
      <c r="M1040">
        <v>2.11</v>
      </c>
      <c r="N1040" s="12">
        <f>1.34/2</f>
        <v>0.67</v>
      </c>
      <c r="O1040">
        <v>0.37</v>
      </c>
      <c r="P1040">
        <v>0.15</v>
      </c>
    </row>
    <row r="1041" spans="1:16">
      <c r="A1041" s="1" t="s">
        <v>1074</v>
      </c>
      <c r="B1041" s="1" t="s">
        <v>1089</v>
      </c>
      <c r="C1041" s="1" t="s">
        <v>105</v>
      </c>
      <c r="D1041" s="1" t="s">
        <v>106</v>
      </c>
      <c r="E1041" s="1" t="s">
        <v>1079</v>
      </c>
      <c r="F1041">
        <v>65.31</v>
      </c>
      <c r="G1041">
        <v>302.35000000000002</v>
      </c>
      <c r="H1041">
        <v>3.92</v>
      </c>
      <c r="I1041">
        <v>2.66</v>
      </c>
      <c r="J1041">
        <f>1.72/2</f>
        <v>0.86</v>
      </c>
      <c r="K1041">
        <v>33.29</v>
      </c>
      <c r="L1041">
        <v>0.65</v>
      </c>
      <c r="M1041">
        <v>2.4</v>
      </c>
      <c r="N1041">
        <v>7.2</v>
      </c>
      <c r="O1041">
        <v>0.57999999999999996</v>
      </c>
      <c r="P1041">
        <v>0.21</v>
      </c>
    </row>
    <row r="1042" spans="1:16">
      <c r="A1042" s="1" t="s">
        <v>1074</v>
      </c>
      <c r="B1042" s="1" t="s">
        <v>1090</v>
      </c>
      <c r="C1042" s="1" t="s">
        <v>105</v>
      </c>
      <c r="D1042" s="1" t="s">
        <v>106</v>
      </c>
      <c r="E1042" s="1" t="s">
        <v>1079</v>
      </c>
      <c r="F1042">
        <v>5.54</v>
      </c>
      <c r="G1042">
        <v>207.91</v>
      </c>
      <c r="H1042">
        <v>7.69</v>
      </c>
      <c r="I1042">
        <v>5.32</v>
      </c>
      <c r="J1042">
        <f>2.24/2</f>
        <v>1.1200000000000001</v>
      </c>
      <c r="K1042">
        <v>9.93</v>
      </c>
      <c r="L1042">
        <v>1.01</v>
      </c>
      <c r="M1042">
        <v>2.39</v>
      </c>
      <c r="N1042">
        <v>1.96</v>
      </c>
      <c r="O1042">
        <v>0.52</v>
      </c>
      <c r="P1042">
        <v>0.18</v>
      </c>
    </row>
    <row r="1043" spans="1:16">
      <c r="A1043" s="1" t="s">
        <v>1074</v>
      </c>
      <c r="B1043" s="1" t="s">
        <v>1091</v>
      </c>
      <c r="C1043" s="1" t="s">
        <v>105</v>
      </c>
      <c r="D1043" s="1" t="s">
        <v>106</v>
      </c>
      <c r="E1043" s="1" t="s">
        <v>1079</v>
      </c>
      <c r="F1043">
        <v>4.1462000000000003</v>
      </c>
      <c r="G1043">
        <v>43.403700000000001</v>
      </c>
      <c r="H1043">
        <v>7.2448300000000003</v>
      </c>
      <c r="I1043">
        <v>5.8904500000000004</v>
      </c>
      <c r="J1043" s="12">
        <f>1.91723/2</f>
        <v>0.95861499999999999</v>
      </c>
      <c r="K1043">
        <v>10.4861</v>
      </c>
      <c r="L1043">
        <v>0.96010099999999998</v>
      </c>
      <c r="M1043">
        <v>2.33832</v>
      </c>
      <c r="N1043">
        <v>2.6005600000000002</v>
      </c>
      <c r="O1043">
        <v>0.91723900000000003</v>
      </c>
      <c r="P1043">
        <v>0.177509</v>
      </c>
    </row>
    <row r="1044" spans="1:16">
      <c r="A1044" s="1" t="s">
        <v>1074</v>
      </c>
      <c r="B1044" s="1" t="s">
        <v>1092</v>
      </c>
      <c r="C1044" s="1" t="s">
        <v>105</v>
      </c>
      <c r="D1044" s="1" t="s">
        <v>106</v>
      </c>
      <c r="E1044" s="1" t="s">
        <v>1079</v>
      </c>
      <c r="F1044">
        <v>6.22</v>
      </c>
      <c r="G1044">
        <v>56.22</v>
      </c>
      <c r="H1044">
        <v>13.04</v>
      </c>
      <c r="I1044">
        <v>8.8800000000000008</v>
      </c>
      <c r="J1044">
        <f>1.95/2</f>
        <v>0.97499999999999998</v>
      </c>
      <c r="K1044">
        <v>9.9600000000000009</v>
      </c>
      <c r="L1044">
        <v>1.1399999999999999</v>
      </c>
      <c r="M1044">
        <v>3.44</v>
      </c>
      <c r="N1044">
        <v>6.24</v>
      </c>
      <c r="O1044">
        <v>0.96</v>
      </c>
      <c r="P1044">
        <v>0.18</v>
      </c>
    </row>
    <row r="1045" spans="1:16">
      <c r="A1045" s="1" t="s">
        <v>1074</v>
      </c>
      <c r="B1045" s="1" t="s">
        <v>1093</v>
      </c>
      <c r="C1045" s="1" t="s">
        <v>105</v>
      </c>
      <c r="D1045" s="1" t="s">
        <v>106</v>
      </c>
      <c r="E1045" s="1" t="s">
        <v>1079</v>
      </c>
      <c r="F1045">
        <v>3.88</v>
      </c>
      <c r="G1045">
        <v>89.34</v>
      </c>
      <c r="H1045">
        <v>9.66</v>
      </c>
      <c r="I1045">
        <v>4.96</v>
      </c>
      <c r="J1045">
        <f>2.05/2</f>
        <v>1.0249999999999999</v>
      </c>
      <c r="K1045">
        <v>10.29</v>
      </c>
      <c r="L1045">
        <v>0.69</v>
      </c>
      <c r="M1045">
        <v>2.6</v>
      </c>
      <c r="N1045">
        <f>1.74/2</f>
        <v>0.87</v>
      </c>
      <c r="O1045">
        <v>0.78</v>
      </c>
      <c r="P1045">
        <v>0.17</v>
      </c>
    </row>
    <row r="1046" spans="1:16">
      <c r="A1046" s="1" t="s">
        <v>1074</v>
      </c>
      <c r="B1046" s="1" t="s">
        <v>1094</v>
      </c>
      <c r="C1046" s="1" t="s">
        <v>105</v>
      </c>
      <c r="D1046" s="1" t="s">
        <v>106</v>
      </c>
      <c r="E1046" s="1" t="s">
        <v>1079</v>
      </c>
      <c r="F1046">
        <v>5.35</v>
      </c>
      <c r="G1046">
        <v>108.94</v>
      </c>
      <c r="H1046">
        <v>4.96</v>
      </c>
      <c r="I1046">
        <v>5.41</v>
      </c>
      <c r="J1046">
        <f>1.88/2</f>
        <v>0.94</v>
      </c>
      <c r="K1046">
        <v>8.9499999999999993</v>
      </c>
      <c r="L1046">
        <v>0.61</v>
      </c>
      <c r="M1046">
        <v>1.93</v>
      </c>
      <c r="N1046">
        <f>1.61/2</f>
        <v>0.80500000000000005</v>
      </c>
      <c r="O1046">
        <v>0.5</v>
      </c>
      <c r="P1046">
        <v>0.25</v>
      </c>
    </row>
    <row r="1047" spans="1:16">
      <c r="A1047" s="1" t="s">
        <v>1074</v>
      </c>
      <c r="B1047" s="1" t="s">
        <v>1095</v>
      </c>
      <c r="C1047" s="1" t="s">
        <v>105</v>
      </c>
      <c r="D1047" s="1" t="s">
        <v>106</v>
      </c>
      <c r="E1047" s="1" t="s">
        <v>1079</v>
      </c>
      <c r="F1047">
        <v>37.479999999999997</v>
      </c>
      <c r="G1047">
        <v>342.32</v>
      </c>
      <c r="H1047">
        <v>6.41</v>
      </c>
      <c r="I1047">
        <v>6.14</v>
      </c>
      <c r="J1047">
        <v>2.4700000000000002</v>
      </c>
      <c r="K1047">
        <v>14.78</v>
      </c>
      <c r="L1047">
        <v>0.73</v>
      </c>
      <c r="M1047">
        <v>2.41</v>
      </c>
      <c r="N1047">
        <v>3.5</v>
      </c>
      <c r="O1047">
        <v>0.64</v>
      </c>
      <c r="P1047">
        <f>0.15/2</f>
        <v>7.4999999999999997E-2</v>
      </c>
    </row>
    <row r="1048" spans="1:16">
      <c r="A1048" s="1" t="s">
        <v>1074</v>
      </c>
      <c r="B1048" s="1" t="s">
        <v>1096</v>
      </c>
      <c r="C1048" s="1" t="s">
        <v>105</v>
      </c>
      <c r="D1048" s="1" t="s">
        <v>106</v>
      </c>
      <c r="E1048" s="1" t="s">
        <v>1079</v>
      </c>
      <c r="F1048">
        <v>6.53</v>
      </c>
      <c r="G1048">
        <v>109.23</v>
      </c>
      <c r="H1048">
        <v>5.32</v>
      </c>
      <c r="I1048">
        <v>5.03</v>
      </c>
      <c r="J1048">
        <f>1.65/2</f>
        <v>0.82499999999999996</v>
      </c>
      <c r="K1048">
        <v>19.489999999999998</v>
      </c>
      <c r="L1048">
        <v>0.63</v>
      </c>
      <c r="M1048">
        <v>2.77</v>
      </c>
      <c r="N1048">
        <v>4.28</v>
      </c>
      <c r="O1048">
        <v>0.76</v>
      </c>
      <c r="P1048">
        <f>0.13/2</f>
        <v>6.5000000000000002E-2</v>
      </c>
    </row>
    <row r="1049" spans="1:16">
      <c r="A1049" s="1" t="s">
        <v>1074</v>
      </c>
      <c r="B1049" s="1" t="s">
        <v>1097</v>
      </c>
      <c r="C1049" s="1" t="s">
        <v>105</v>
      </c>
      <c r="D1049" s="1" t="s">
        <v>106</v>
      </c>
      <c r="E1049" s="1" t="s">
        <v>1079</v>
      </c>
      <c r="F1049">
        <v>13.26</v>
      </c>
      <c r="G1049">
        <v>271.93</v>
      </c>
      <c r="H1049">
        <v>7.57</v>
      </c>
      <c r="I1049">
        <v>6.75</v>
      </c>
      <c r="J1049">
        <f>1.82/2</f>
        <v>0.91</v>
      </c>
      <c r="K1049">
        <v>30.23</v>
      </c>
      <c r="L1049">
        <v>0.86</v>
      </c>
      <c r="M1049">
        <v>1.68</v>
      </c>
      <c r="N1049">
        <v>4.2300000000000004</v>
      </c>
      <c r="O1049">
        <v>0.81</v>
      </c>
      <c r="P1049">
        <v>0.18</v>
      </c>
    </row>
    <row r="1050" spans="1:16">
      <c r="A1050" s="1" t="s">
        <v>1074</v>
      </c>
      <c r="B1050" s="1" t="s">
        <v>1098</v>
      </c>
      <c r="C1050" s="1" t="s">
        <v>105</v>
      </c>
      <c r="D1050" s="1" t="s">
        <v>106</v>
      </c>
      <c r="E1050" s="1" t="s">
        <v>1079</v>
      </c>
      <c r="F1050">
        <v>3.51</v>
      </c>
      <c r="G1050">
        <v>49.61</v>
      </c>
      <c r="H1050">
        <v>5.19</v>
      </c>
      <c r="I1050">
        <v>4.8</v>
      </c>
      <c r="J1050">
        <v>4.93</v>
      </c>
      <c r="K1050">
        <v>8.77</v>
      </c>
      <c r="L1050">
        <v>0.78</v>
      </c>
      <c r="M1050">
        <v>1</v>
      </c>
      <c r="N1050">
        <v>6.07</v>
      </c>
      <c r="O1050">
        <v>0.7</v>
      </c>
      <c r="P1050">
        <v>0.11</v>
      </c>
    </row>
    <row r="1051" spans="1:16">
      <c r="A1051" s="1" t="s">
        <v>1074</v>
      </c>
      <c r="B1051" s="1" t="s">
        <v>1099</v>
      </c>
      <c r="C1051" s="1" t="s">
        <v>105</v>
      </c>
      <c r="D1051" s="1" t="s">
        <v>106</v>
      </c>
      <c r="E1051" s="1" t="s">
        <v>1079</v>
      </c>
      <c r="F1051">
        <v>15.51</v>
      </c>
      <c r="G1051">
        <v>154.81</v>
      </c>
      <c r="H1051">
        <v>6.4</v>
      </c>
      <c r="I1051">
        <v>4.3499999999999996</v>
      </c>
      <c r="J1051">
        <v>1.86</v>
      </c>
      <c r="K1051">
        <v>13.65</v>
      </c>
      <c r="L1051">
        <v>0.97</v>
      </c>
      <c r="M1051">
        <v>1.88</v>
      </c>
      <c r="N1051">
        <f>1.57</f>
        <v>1.57</v>
      </c>
      <c r="O1051">
        <v>0.7</v>
      </c>
      <c r="P1051">
        <f>0.11/2</f>
        <v>5.5E-2</v>
      </c>
    </row>
    <row r="1052" spans="1:16">
      <c r="A1052" s="1" t="s">
        <v>1074</v>
      </c>
      <c r="B1052" s="1" t="s">
        <v>1100</v>
      </c>
      <c r="C1052" s="1" t="s">
        <v>105</v>
      </c>
      <c r="D1052" s="1" t="s">
        <v>106</v>
      </c>
      <c r="E1052" s="1" t="s">
        <v>1079</v>
      </c>
      <c r="F1052">
        <v>167.7</v>
      </c>
      <c r="G1052">
        <v>115.08</v>
      </c>
      <c r="H1052">
        <v>12.92</v>
      </c>
      <c r="I1052">
        <v>8.4700000000000006</v>
      </c>
      <c r="J1052">
        <f>2.04/2</f>
        <v>1.02</v>
      </c>
      <c r="K1052">
        <v>8.73</v>
      </c>
      <c r="L1052">
        <v>1.05</v>
      </c>
      <c r="M1052">
        <v>2.67</v>
      </c>
      <c r="N1052">
        <v>5.0599999999999996</v>
      </c>
      <c r="O1052">
        <v>0.75</v>
      </c>
      <c r="P1052">
        <f>0.13/2</f>
        <v>6.5000000000000002E-2</v>
      </c>
    </row>
    <row r="1053" spans="1:16">
      <c r="A1053" s="1" t="s">
        <v>1074</v>
      </c>
      <c r="B1053" s="1" t="s">
        <v>1101</v>
      </c>
      <c r="C1053" s="1" t="s">
        <v>105</v>
      </c>
      <c r="D1053" s="1" t="s">
        <v>106</v>
      </c>
      <c r="E1053" s="1" t="s">
        <v>1079</v>
      </c>
      <c r="F1053">
        <v>3.46</v>
      </c>
      <c r="G1053">
        <v>77.23</v>
      </c>
      <c r="H1053">
        <v>5.48</v>
      </c>
      <c r="I1053">
        <v>5.57</v>
      </c>
      <c r="J1053">
        <v>1.86</v>
      </c>
      <c r="K1053">
        <v>9.77</v>
      </c>
      <c r="L1053">
        <v>1.05</v>
      </c>
      <c r="M1053">
        <v>2.0499999999999998</v>
      </c>
      <c r="N1053">
        <v>1.86</v>
      </c>
      <c r="O1053">
        <v>0.48</v>
      </c>
      <c r="P1053">
        <v>0.37</v>
      </c>
    </row>
    <row r="1054" spans="1:16">
      <c r="A1054" s="1" t="s">
        <v>1074</v>
      </c>
      <c r="B1054" s="1" t="s">
        <v>1102</v>
      </c>
      <c r="C1054" s="1" t="s">
        <v>105</v>
      </c>
      <c r="D1054" s="1" t="s">
        <v>106</v>
      </c>
      <c r="E1054" s="1" t="s">
        <v>1079</v>
      </c>
      <c r="F1054">
        <v>3.69</v>
      </c>
      <c r="G1054">
        <v>46.76</v>
      </c>
      <c r="H1054">
        <v>7.1</v>
      </c>
      <c r="I1054">
        <v>6.74</v>
      </c>
      <c r="J1054">
        <f>2.3/2</f>
        <v>1.1499999999999999</v>
      </c>
      <c r="K1054">
        <v>8.92</v>
      </c>
      <c r="L1054">
        <v>1.05</v>
      </c>
      <c r="M1054">
        <v>1.46</v>
      </c>
      <c r="N1054">
        <v>4.83</v>
      </c>
      <c r="O1054">
        <v>0.75</v>
      </c>
      <c r="P1054">
        <v>0.13</v>
      </c>
    </row>
    <row r="1055" spans="1:16">
      <c r="A1055" s="1" t="s">
        <v>1074</v>
      </c>
      <c r="B1055" s="1" t="s">
        <v>1103</v>
      </c>
      <c r="C1055" s="1" t="s">
        <v>105</v>
      </c>
      <c r="D1055" s="1" t="s">
        <v>106</v>
      </c>
      <c r="E1055" s="1" t="s">
        <v>1079</v>
      </c>
      <c r="F1055">
        <v>6.06</v>
      </c>
      <c r="G1055">
        <v>114.43</v>
      </c>
      <c r="H1055">
        <v>4.9800000000000004</v>
      </c>
      <c r="I1055">
        <v>5.04</v>
      </c>
      <c r="J1055">
        <f>2.15/2</f>
        <v>1.075</v>
      </c>
      <c r="K1055">
        <v>8.94</v>
      </c>
      <c r="L1055">
        <v>0.85</v>
      </c>
      <c r="M1055">
        <v>1.87</v>
      </c>
      <c r="N1055">
        <f>1.39/2</f>
        <v>0.69499999999999995</v>
      </c>
      <c r="O1055">
        <v>0.53</v>
      </c>
      <c r="P1055">
        <f>0.16/2</f>
        <v>0.08</v>
      </c>
    </row>
    <row r="1056" spans="1:16">
      <c r="A1056" s="1" t="s">
        <v>1074</v>
      </c>
      <c r="B1056" s="1" t="s">
        <v>1104</v>
      </c>
      <c r="C1056" s="1" t="s">
        <v>105</v>
      </c>
      <c r="D1056" s="1" t="s">
        <v>106</v>
      </c>
      <c r="E1056" s="1" t="s">
        <v>1079</v>
      </c>
      <c r="F1056">
        <v>7.96</v>
      </c>
      <c r="G1056">
        <v>143.22</v>
      </c>
      <c r="H1056">
        <v>5.77</v>
      </c>
      <c r="I1056">
        <v>5.43</v>
      </c>
      <c r="J1056">
        <f>1.98/2</f>
        <v>0.99</v>
      </c>
      <c r="K1056">
        <v>13.66</v>
      </c>
      <c r="L1056">
        <v>0.75</v>
      </c>
      <c r="M1056">
        <v>2.9</v>
      </c>
      <c r="N1056">
        <v>3.82</v>
      </c>
      <c r="O1056">
        <v>0.65</v>
      </c>
      <c r="P1056">
        <v>0.23</v>
      </c>
    </row>
    <row r="1057" spans="1:16">
      <c r="A1057" s="1" t="s">
        <v>1074</v>
      </c>
      <c r="B1057" s="1" t="s">
        <v>1105</v>
      </c>
      <c r="C1057" s="1" t="s">
        <v>105</v>
      </c>
      <c r="D1057" s="1" t="s">
        <v>106</v>
      </c>
      <c r="E1057" s="1" t="s">
        <v>1079</v>
      </c>
      <c r="F1057">
        <v>6.92</v>
      </c>
      <c r="G1057">
        <v>64.989999999999995</v>
      </c>
      <c r="H1057">
        <v>7.68</v>
      </c>
      <c r="I1057">
        <v>4.97</v>
      </c>
      <c r="J1057">
        <f>1.8/2</f>
        <v>0.9</v>
      </c>
      <c r="K1057">
        <v>11.43</v>
      </c>
      <c r="L1057">
        <v>1.0900000000000001</v>
      </c>
      <c r="M1057">
        <v>2.64</v>
      </c>
      <c r="N1057">
        <v>3.13</v>
      </c>
      <c r="O1057">
        <v>0.51</v>
      </c>
      <c r="P1057">
        <v>0.11</v>
      </c>
    </row>
    <row r="1058" spans="1:16">
      <c r="A1058" s="1" t="s">
        <v>1074</v>
      </c>
      <c r="B1058" s="1" t="s">
        <v>1106</v>
      </c>
      <c r="C1058" s="1" t="s">
        <v>105</v>
      </c>
      <c r="D1058" s="1" t="s">
        <v>106</v>
      </c>
      <c r="E1058" s="1" t="s">
        <v>1079</v>
      </c>
      <c r="F1058">
        <v>15.33</v>
      </c>
      <c r="G1058">
        <v>220.82</v>
      </c>
      <c r="H1058">
        <v>6.33</v>
      </c>
      <c r="I1058">
        <v>6.25</v>
      </c>
      <c r="J1058">
        <f>1.81/2</f>
        <v>0.90500000000000003</v>
      </c>
      <c r="K1058">
        <v>9.8699999999999992</v>
      </c>
      <c r="L1058">
        <f>1.34/2</f>
        <v>0.67</v>
      </c>
      <c r="M1058">
        <v>1.5</v>
      </c>
      <c r="N1058">
        <v>0.85</v>
      </c>
      <c r="O1058">
        <v>0.75</v>
      </c>
      <c r="P1058">
        <v>0.12</v>
      </c>
    </row>
    <row r="1059" spans="1:16">
      <c r="A1059" s="1" t="s">
        <v>1074</v>
      </c>
      <c r="B1059" s="1" t="s">
        <v>1107</v>
      </c>
      <c r="C1059" s="1" t="s">
        <v>105</v>
      </c>
      <c r="D1059" s="1" t="s">
        <v>106</v>
      </c>
      <c r="E1059" s="1" t="s">
        <v>1079</v>
      </c>
      <c r="F1059">
        <v>17.309999999999999</v>
      </c>
      <c r="G1059">
        <v>253.82</v>
      </c>
      <c r="H1059">
        <v>6.66</v>
      </c>
      <c r="I1059">
        <v>3.99</v>
      </c>
      <c r="J1059">
        <f>2.3/2</f>
        <v>1.1499999999999999</v>
      </c>
      <c r="K1059">
        <v>8.56</v>
      </c>
      <c r="L1059">
        <v>0.61</v>
      </c>
      <c r="M1059">
        <v>2.23</v>
      </c>
      <c r="N1059">
        <v>1.66</v>
      </c>
      <c r="O1059">
        <v>0.46</v>
      </c>
      <c r="P1059">
        <f>0.13/2</f>
        <v>6.5000000000000002E-2</v>
      </c>
    </row>
    <row r="1060" spans="1:16">
      <c r="A1060" s="1" t="s">
        <v>1074</v>
      </c>
      <c r="B1060" s="1" t="s">
        <v>1108</v>
      </c>
      <c r="C1060" s="1" t="s">
        <v>105</v>
      </c>
      <c r="D1060" s="1" t="s">
        <v>106</v>
      </c>
      <c r="E1060" s="1" t="s">
        <v>1079</v>
      </c>
      <c r="F1060">
        <v>5.92</v>
      </c>
      <c r="G1060">
        <v>316.92</v>
      </c>
      <c r="H1060">
        <v>10.32</v>
      </c>
      <c r="I1060">
        <v>5.83</v>
      </c>
      <c r="J1060">
        <f>1.99/2</f>
        <v>0.995</v>
      </c>
      <c r="K1060">
        <v>5.92</v>
      </c>
      <c r="L1060">
        <v>0.72</v>
      </c>
      <c r="M1060">
        <v>1.72</v>
      </c>
      <c r="N1060">
        <v>4.1100000000000003</v>
      </c>
      <c r="O1060">
        <v>0.79</v>
      </c>
      <c r="P1060">
        <v>0.25</v>
      </c>
    </row>
    <row r="1061" spans="1:16">
      <c r="A1061" s="1" t="s">
        <v>1074</v>
      </c>
      <c r="B1061" s="1" t="s">
        <v>1109</v>
      </c>
      <c r="C1061" s="1" t="s">
        <v>105</v>
      </c>
      <c r="D1061" s="1" t="s">
        <v>106</v>
      </c>
      <c r="E1061" s="1" t="s">
        <v>1079</v>
      </c>
      <c r="F1061">
        <v>6.32</v>
      </c>
      <c r="G1061">
        <v>58.42</v>
      </c>
      <c r="H1061">
        <v>8.35</v>
      </c>
      <c r="I1061">
        <v>5.59</v>
      </c>
      <c r="J1061">
        <f>1.89/2</f>
        <v>0.94499999999999995</v>
      </c>
      <c r="K1061">
        <v>9.1199999999999992</v>
      </c>
      <c r="L1061">
        <v>0.85</v>
      </c>
      <c r="M1061">
        <v>1.91</v>
      </c>
      <c r="N1061">
        <v>2.5099999999999998</v>
      </c>
      <c r="O1061">
        <v>0.8</v>
      </c>
      <c r="P1061">
        <v>0.34</v>
      </c>
    </row>
    <row r="1062" spans="1:16">
      <c r="A1062" s="1" t="s">
        <v>1074</v>
      </c>
      <c r="B1062" s="1" t="s">
        <v>1110</v>
      </c>
      <c r="C1062" s="1" t="s">
        <v>105</v>
      </c>
      <c r="D1062" s="1" t="s">
        <v>106</v>
      </c>
      <c r="E1062" s="1" t="s">
        <v>1079</v>
      </c>
      <c r="F1062">
        <v>37.78</v>
      </c>
      <c r="G1062">
        <v>356.37</v>
      </c>
      <c r="H1062">
        <v>8.0299999999999994</v>
      </c>
      <c r="I1062">
        <v>5.31</v>
      </c>
      <c r="J1062">
        <v>3.01</v>
      </c>
      <c r="K1062">
        <v>28.22</v>
      </c>
      <c r="L1062">
        <v>0.9</v>
      </c>
      <c r="M1062">
        <v>1.3</v>
      </c>
      <c r="N1062">
        <v>5.47</v>
      </c>
      <c r="O1062">
        <v>0.91</v>
      </c>
      <c r="P1062">
        <v>0.43</v>
      </c>
    </row>
    <row r="1063" spans="1:16">
      <c r="A1063" s="1" t="s">
        <v>1074</v>
      </c>
      <c r="B1063" s="1" t="s">
        <v>1111</v>
      </c>
      <c r="C1063" s="1" t="s">
        <v>105</v>
      </c>
      <c r="D1063" s="1" t="s">
        <v>106</v>
      </c>
      <c r="E1063" s="1" t="s">
        <v>1079</v>
      </c>
      <c r="F1063">
        <v>3.23</v>
      </c>
      <c r="G1063">
        <v>67.069999999999993</v>
      </c>
      <c r="H1063">
        <v>7.31</v>
      </c>
      <c r="I1063">
        <v>6.27</v>
      </c>
      <c r="J1063">
        <f>1.68/2</f>
        <v>0.84</v>
      </c>
      <c r="K1063">
        <v>9.82</v>
      </c>
      <c r="L1063">
        <v>1.1000000000000001</v>
      </c>
      <c r="M1063">
        <v>2.36</v>
      </c>
      <c r="N1063">
        <v>1.73</v>
      </c>
      <c r="O1063">
        <v>0.59</v>
      </c>
      <c r="P1063">
        <v>0.1</v>
      </c>
    </row>
    <row r="1064" spans="1:16">
      <c r="A1064" s="1" t="s">
        <v>1074</v>
      </c>
      <c r="B1064" s="1" t="s">
        <v>1112</v>
      </c>
      <c r="C1064" s="1" t="s">
        <v>105</v>
      </c>
      <c r="D1064" s="1" t="s">
        <v>106</v>
      </c>
      <c r="E1064" s="1" t="s">
        <v>1079</v>
      </c>
      <c r="F1064">
        <v>8.84</v>
      </c>
      <c r="G1064">
        <v>172.65</v>
      </c>
      <c r="H1064">
        <v>9.23</v>
      </c>
      <c r="I1064">
        <v>5.64</v>
      </c>
      <c r="J1064">
        <f>1.69/2</f>
        <v>0.84499999999999997</v>
      </c>
      <c r="K1064">
        <v>8.27</v>
      </c>
      <c r="L1064">
        <v>0.79</v>
      </c>
      <c r="M1064">
        <v>1.71</v>
      </c>
      <c r="N1064">
        <v>4.49</v>
      </c>
      <c r="O1064">
        <v>0.63</v>
      </c>
      <c r="P1064">
        <v>0.37</v>
      </c>
    </row>
    <row r="1065" spans="1:16">
      <c r="A1065" s="1" t="s">
        <v>1074</v>
      </c>
      <c r="B1065" s="1" t="s">
        <v>1113</v>
      </c>
      <c r="C1065" s="1" t="s">
        <v>105</v>
      </c>
      <c r="D1065" s="1" t="s">
        <v>106</v>
      </c>
      <c r="E1065" s="1" t="s">
        <v>1079</v>
      </c>
      <c r="F1065">
        <v>4.67</v>
      </c>
      <c r="G1065">
        <v>197.54</v>
      </c>
      <c r="H1065">
        <v>5.83</v>
      </c>
      <c r="I1065">
        <v>5.44</v>
      </c>
      <c r="J1065">
        <v>2.7</v>
      </c>
      <c r="K1065">
        <v>8.0399999999999991</v>
      </c>
      <c r="L1065">
        <v>1.05</v>
      </c>
      <c r="M1065">
        <v>2.02</v>
      </c>
      <c r="N1065">
        <v>1.74</v>
      </c>
      <c r="O1065">
        <v>0.61</v>
      </c>
      <c r="P1065">
        <f>0.13/2</f>
        <v>6.5000000000000002E-2</v>
      </c>
    </row>
    <row r="1066" spans="1:16">
      <c r="A1066" s="1" t="s">
        <v>1074</v>
      </c>
      <c r="B1066" s="1" t="s">
        <v>1114</v>
      </c>
      <c r="C1066" s="1" t="s">
        <v>105</v>
      </c>
      <c r="D1066" s="1" t="s">
        <v>106</v>
      </c>
      <c r="E1066" s="1" t="s">
        <v>1079</v>
      </c>
      <c r="F1066">
        <v>5.52</v>
      </c>
      <c r="G1066">
        <v>130.16999999999999</v>
      </c>
      <c r="H1066">
        <v>6</v>
      </c>
      <c r="I1066">
        <v>4.5999999999999996</v>
      </c>
      <c r="J1066">
        <f>2.67/2</f>
        <v>1.335</v>
      </c>
      <c r="K1066">
        <v>13.52</v>
      </c>
      <c r="L1066">
        <v>0.92</v>
      </c>
      <c r="M1066">
        <v>2.75</v>
      </c>
      <c r="N1066">
        <v>3.59</v>
      </c>
      <c r="O1066">
        <v>0.74</v>
      </c>
      <c r="P1066">
        <v>0.13</v>
      </c>
    </row>
    <row r="1067" spans="1:16">
      <c r="A1067" s="1" t="s">
        <v>1074</v>
      </c>
      <c r="B1067" s="1" t="s">
        <v>1115</v>
      </c>
      <c r="C1067" s="1" t="s">
        <v>105</v>
      </c>
      <c r="D1067" s="1" t="s">
        <v>106</v>
      </c>
      <c r="E1067" s="1" t="s">
        <v>1079</v>
      </c>
      <c r="F1067">
        <v>2.86</v>
      </c>
      <c r="G1067">
        <v>88.08</v>
      </c>
      <c r="H1067">
        <v>7.89</v>
      </c>
      <c r="I1067">
        <v>6.06</v>
      </c>
      <c r="J1067">
        <v>2.79</v>
      </c>
      <c r="K1067">
        <v>11.78</v>
      </c>
      <c r="L1067">
        <v>0.83</v>
      </c>
      <c r="M1067">
        <v>2.13</v>
      </c>
      <c r="N1067">
        <f>1.7/2</f>
        <v>0.85</v>
      </c>
      <c r="O1067">
        <v>0.52</v>
      </c>
      <c r="P1067">
        <f>0.14/2</f>
        <v>7.0000000000000007E-2</v>
      </c>
    </row>
    <row r="1068" spans="1:16">
      <c r="A1068" s="1" t="s">
        <v>1074</v>
      </c>
      <c r="B1068" s="1" t="s">
        <v>1116</v>
      </c>
      <c r="C1068" s="1" t="s">
        <v>105</v>
      </c>
      <c r="D1068" s="1" t="s">
        <v>106</v>
      </c>
      <c r="E1068" s="1" t="s">
        <v>1079</v>
      </c>
      <c r="F1068">
        <v>21.29</v>
      </c>
      <c r="G1068">
        <v>86.37</v>
      </c>
      <c r="H1068">
        <v>9.4700000000000006</v>
      </c>
      <c r="I1068">
        <v>5.36</v>
      </c>
      <c r="J1068">
        <f>2.08/2</f>
        <v>1.04</v>
      </c>
      <c r="K1068">
        <v>8.64</v>
      </c>
      <c r="L1068">
        <v>1.27</v>
      </c>
      <c r="M1068">
        <v>2.62</v>
      </c>
      <c r="N1068">
        <f>2.16/2</f>
        <v>1.08</v>
      </c>
      <c r="O1068">
        <v>0.76</v>
      </c>
      <c r="P1068">
        <v>0.3</v>
      </c>
    </row>
    <row r="1069" spans="1:16">
      <c r="A1069" s="1" t="s">
        <v>1074</v>
      </c>
      <c r="B1069" s="1" t="s">
        <v>1117</v>
      </c>
      <c r="C1069" s="1" t="s">
        <v>105</v>
      </c>
      <c r="D1069" s="1" t="s">
        <v>106</v>
      </c>
      <c r="E1069" s="1" t="s">
        <v>1079</v>
      </c>
      <c r="F1069">
        <v>38.03</v>
      </c>
      <c r="G1069">
        <v>92.27</v>
      </c>
      <c r="H1069">
        <v>8.23</v>
      </c>
      <c r="I1069">
        <v>4.8099999999999996</v>
      </c>
      <c r="J1069">
        <f>2.08/2</f>
        <v>1.04</v>
      </c>
      <c r="K1069">
        <v>9.36</v>
      </c>
      <c r="L1069">
        <v>0.6</v>
      </c>
      <c r="M1069">
        <v>2.41</v>
      </c>
      <c r="N1069">
        <v>1.95</v>
      </c>
      <c r="O1069">
        <v>0.7</v>
      </c>
      <c r="P1069">
        <f>0.17/2</f>
        <v>8.5000000000000006E-2</v>
      </c>
    </row>
    <row r="1070" spans="1:16">
      <c r="A1070" s="1" t="s">
        <v>1074</v>
      </c>
      <c r="B1070" s="1" t="s">
        <v>1118</v>
      </c>
      <c r="C1070" s="1" t="s">
        <v>105</v>
      </c>
      <c r="D1070" s="1" t="s">
        <v>106</v>
      </c>
      <c r="E1070" s="1" t="s">
        <v>1079</v>
      </c>
      <c r="F1070">
        <v>4.96</v>
      </c>
      <c r="G1070">
        <v>71.69</v>
      </c>
      <c r="H1070">
        <v>7.24</v>
      </c>
      <c r="I1070">
        <v>5.17</v>
      </c>
      <c r="J1070">
        <f>1.77/2</f>
        <v>0.88500000000000001</v>
      </c>
      <c r="K1070">
        <v>10.53</v>
      </c>
      <c r="L1070">
        <v>0.76</v>
      </c>
      <c r="M1070">
        <v>0.94</v>
      </c>
      <c r="N1070">
        <f>1.06/2</f>
        <v>0.53</v>
      </c>
      <c r="O1070">
        <v>0.45</v>
      </c>
      <c r="P1070">
        <v>0.33</v>
      </c>
    </row>
    <row r="1071" spans="1:16">
      <c r="A1071" s="1" t="s">
        <v>1074</v>
      </c>
      <c r="B1071" s="1" t="s">
        <v>1119</v>
      </c>
      <c r="C1071" s="1" t="s">
        <v>105</v>
      </c>
      <c r="D1071" s="1" t="s">
        <v>106</v>
      </c>
      <c r="E1071" s="1" t="s">
        <v>1079</v>
      </c>
      <c r="F1071">
        <v>3.55</v>
      </c>
      <c r="G1071">
        <v>83.92</v>
      </c>
      <c r="H1071">
        <v>7.27</v>
      </c>
      <c r="I1071">
        <v>7.42</v>
      </c>
      <c r="J1071">
        <f>2.06/2</f>
        <v>1.03</v>
      </c>
      <c r="K1071">
        <v>8.7899999999999991</v>
      </c>
      <c r="L1071">
        <v>0.59</v>
      </c>
      <c r="M1071">
        <v>1.96</v>
      </c>
      <c r="N1071">
        <f>1.37/2</f>
        <v>0.68500000000000005</v>
      </c>
      <c r="O1071">
        <v>0.67</v>
      </c>
      <c r="P1071">
        <f>0.15/2</f>
        <v>7.4999999999999997E-2</v>
      </c>
    </row>
    <row r="1072" spans="1:16">
      <c r="A1072" s="1" t="s">
        <v>1074</v>
      </c>
      <c r="B1072" s="1" t="s">
        <v>1120</v>
      </c>
      <c r="C1072" s="1" t="s">
        <v>105</v>
      </c>
      <c r="D1072" s="1" t="s">
        <v>106</v>
      </c>
      <c r="E1072" s="1" t="s">
        <v>1079</v>
      </c>
      <c r="F1072">
        <v>3.71</v>
      </c>
      <c r="G1072">
        <v>196.96</v>
      </c>
      <c r="H1072">
        <v>5.62</v>
      </c>
      <c r="I1072">
        <v>5.47</v>
      </c>
      <c r="J1072">
        <f>2.12/2</f>
        <v>1.06</v>
      </c>
      <c r="K1072">
        <v>9.77</v>
      </c>
      <c r="L1072">
        <v>0.86</v>
      </c>
      <c r="M1072">
        <v>1.06</v>
      </c>
      <c r="N1072">
        <v>2.4300000000000002</v>
      </c>
      <c r="O1072">
        <v>0.62</v>
      </c>
      <c r="P1072">
        <v>0.16</v>
      </c>
    </row>
    <row r="1073" spans="1:16">
      <c r="A1073" s="1" t="s">
        <v>1074</v>
      </c>
      <c r="B1073" s="1" t="s">
        <v>1121</v>
      </c>
      <c r="C1073" s="1" t="s">
        <v>105</v>
      </c>
      <c r="D1073" s="1" t="s">
        <v>106</v>
      </c>
      <c r="E1073" s="1" t="s">
        <v>1079</v>
      </c>
      <c r="F1073">
        <v>10.45</v>
      </c>
      <c r="G1073">
        <v>249.77</v>
      </c>
      <c r="H1073">
        <v>6.14</v>
      </c>
      <c r="I1073">
        <v>4.43</v>
      </c>
      <c r="J1073">
        <f>2.04/2</f>
        <v>1.02</v>
      </c>
      <c r="K1073">
        <v>14.01</v>
      </c>
      <c r="L1073">
        <v>1.04</v>
      </c>
      <c r="M1073">
        <v>2.2799999999999998</v>
      </c>
      <c r="N1073">
        <v>6.66</v>
      </c>
      <c r="O1073">
        <v>0.67</v>
      </c>
      <c r="P1073">
        <v>0.24</v>
      </c>
    </row>
    <row r="1074" spans="1:16">
      <c r="A1074" s="1" t="s">
        <v>1074</v>
      </c>
      <c r="B1074" s="1" t="s">
        <v>1122</v>
      </c>
      <c r="C1074" s="1" t="s">
        <v>105</v>
      </c>
      <c r="D1074" s="1" t="s">
        <v>106</v>
      </c>
      <c r="E1074" s="1" t="s">
        <v>1079</v>
      </c>
      <c r="F1074">
        <v>49.993400000000001</v>
      </c>
      <c r="G1074">
        <v>51.245800000000003</v>
      </c>
      <c r="H1074">
        <v>10.304600000000001</v>
      </c>
      <c r="I1074">
        <v>5.1367700000000003</v>
      </c>
      <c r="J1074">
        <f>2.04/2</f>
        <v>1.02</v>
      </c>
      <c r="K1074">
        <v>9.1502400000000002</v>
      </c>
      <c r="L1074">
        <v>1.1222000000000001</v>
      </c>
      <c r="M1074">
        <v>3.1726700000000001</v>
      </c>
      <c r="N1074">
        <v>12.042</v>
      </c>
      <c r="O1074">
        <v>0.85052399999999995</v>
      </c>
      <c r="P1074">
        <v>0.240595</v>
      </c>
    </row>
    <row r="1075" spans="1:16">
      <c r="A1075" s="1" t="s">
        <v>1074</v>
      </c>
      <c r="B1075" s="1" t="s">
        <v>1123</v>
      </c>
      <c r="C1075" s="1" t="s">
        <v>105</v>
      </c>
      <c r="D1075" s="1" t="s">
        <v>106</v>
      </c>
      <c r="E1075" s="1" t="s">
        <v>1079</v>
      </c>
      <c r="F1075">
        <v>3.17916</v>
      </c>
      <c r="G1075">
        <v>288.89600000000002</v>
      </c>
      <c r="H1075">
        <v>9.7588799999999996</v>
      </c>
      <c r="I1075">
        <v>4.3033000000000001</v>
      </c>
      <c r="J1075">
        <f>1.59/2</f>
        <v>0.79500000000000004</v>
      </c>
      <c r="K1075">
        <v>9.2912099999999995</v>
      </c>
      <c r="L1075">
        <v>1.03668</v>
      </c>
      <c r="M1075">
        <v>1.6197699999999999</v>
      </c>
      <c r="N1075">
        <f>1.39/2</f>
        <v>0.69499999999999995</v>
      </c>
      <c r="O1075">
        <v>0.64330299999999996</v>
      </c>
      <c r="P1075">
        <v>0.355771</v>
      </c>
    </row>
    <row r="1076" spans="1:16">
      <c r="A1076" s="1" t="s">
        <v>1074</v>
      </c>
      <c r="B1076" s="1" t="s">
        <v>1124</v>
      </c>
      <c r="C1076" s="1" t="s">
        <v>105</v>
      </c>
      <c r="D1076" s="1" t="s">
        <v>106</v>
      </c>
      <c r="E1076" s="1" t="s">
        <v>1079</v>
      </c>
      <c r="F1076">
        <v>16.600000000000001</v>
      </c>
      <c r="G1076">
        <v>86.11</v>
      </c>
      <c r="H1076">
        <v>8.1999999999999993</v>
      </c>
      <c r="I1076">
        <v>3.92</v>
      </c>
      <c r="J1076">
        <v>1.78</v>
      </c>
      <c r="K1076">
        <v>10.09</v>
      </c>
      <c r="L1076">
        <v>1.03</v>
      </c>
      <c r="M1076">
        <v>3.51</v>
      </c>
      <c r="N1076">
        <v>5.23</v>
      </c>
      <c r="O1076">
        <v>0.56999999999999995</v>
      </c>
      <c r="P1076">
        <f>0.12/2</f>
        <v>0.06</v>
      </c>
    </row>
    <row r="1077" spans="1:16">
      <c r="A1077" s="1" t="s">
        <v>1074</v>
      </c>
      <c r="B1077" s="1" t="s">
        <v>1125</v>
      </c>
      <c r="C1077" s="1" t="s">
        <v>105</v>
      </c>
      <c r="D1077" s="1" t="s">
        <v>106</v>
      </c>
      <c r="E1077" s="1" t="s">
        <v>1079</v>
      </c>
      <c r="F1077">
        <v>4.4800000000000004</v>
      </c>
      <c r="G1077">
        <v>196</v>
      </c>
      <c r="H1077">
        <v>8.0299999999999994</v>
      </c>
      <c r="I1077">
        <v>3.82</v>
      </c>
      <c r="J1077">
        <f>2.03/2</f>
        <v>1.0149999999999999</v>
      </c>
      <c r="K1077">
        <v>7.57</v>
      </c>
      <c r="L1077">
        <v>1.27</v>
      </c>
      <c r="M1077">
        <v>1.97</v>
      </c>
      <c r="N1077">
        <f>1.66</f>
        <v>1.66</v>
      </c>
      <c r="O1077">
        <v>0.53</v>
      </c>
      <c r="P1077">
        <f>0.18/2</f>
        <v>0.09</v>
      </c>
    </row>
    <row r="1078" spans="1:16">
      <c r="A1078" s="1" t="s">
        <v>1074</v>
      </c>
      <c r="B1078" s="1" t="s">
        <v>1126</v>
      </c>
      <c r="C1078" s="1" t="s">
        <v>105</v>
      </c>
      <c r="D1078" s="1" t="s">
        <v>106</v>
      </c>
      <c r="E1078" s="1" t="s">
        <v>1079</v>
      </c>
      <c r="F1078">
        <v>20.03</v>
      </c>
      <c r="G1078">
        <v>152.03</v>
      </c>
      <c r="H1078">
        <v>45.97</v>
      </c>
      <c r="I1078">
        <v>7.6</v>
      </c>
      <c r="J1078">
        <f>1.78/2</f>
        <v>0.89</v>
      </c>
      <c r="K1078">
        <v>10.08</v>
      </c>
      <c r="L1078">
        <v>1.0900000000000001</v>
      </c>
      <c r="M1078">
        <v>4.0599999999999996</v>
      </c>
      <c r="N1078">
        <v>4.09</v>
      </c>
      <c r="O1078">
        <v>0.64</v>
      </c>
      <c r="P1078">
        <v>0.26</v>
      </c>
    </row>
    <row r="1079" spans="1:16">
      <c r="A1079" s="1" t="s">
        <v>1074</v>
      </c>
      <c r="B1079" s="1" t="s">
        <v>1127</v>
      </c>
      <c r="C1079" s="1" t="s">
        <v>105</v>
      </c>
      <c r="D1079" s="1" t="s">
        <v>106</v>
      </c>
      <c r="E1079" s="1" t="s">
        <v>1079</v>
      </c>
      <c r="F1079">
        <v>20.63</v>
      </c>
      <c r="G1079">
        <v>117.77</v>
      </c>
      <c r="H1079">
        <v>4.66</v>
      </c>
      <c r="I1079">
        <v>5.6</v>
      </c>
      <c r="J1079">
        <f>2.04/2</f>
        <v>1.02</v>
      </c>
      <c r="K1079">
        <v>20.88</v>
      </c>
      <c r="L1079">
        <v>1.23</v>
      </c>
      <c r="M1079">
        <v>2.0699999999999998</v>
      </c>
      <c r="N1079">
        <v>1.64</v>
      </c>
      <c r="O1079">
        <v>0.56000000000000005</v>
      </c>
      <c r="P1079">
        <v>0.26</v>
      </c>
    </row>
    <row r="1080" spans="1:16">
      <c r="A1080" s="1" t="s">
        <v>1074</v>
      </c>
      <c r="B1080" s="1" t="s">
        <v>1128</v>
      </c>
      <c r="C1080" s="1" t="s">
        <v>105</v>
      </c>
      <c r="D1080" s="1" t="s">
        <v>106</v>
      </c>
      <c r="E1080" s="1" t="s">
        <v>1079</v>
      </c>
      <c r="F1080">
        <v>88.43</v>
      </c>
      <c r="G1080">
        <v>443.04</v>
      </c>
      <c r="H1080">
        <v>6.97</v>
      </c>
      <c r="I1080">
        <v>5.26</v>
      </c>
      <c r="J1080">
        <f>2.03/2</f>
        <v>1.0149999999999999</v>
      </c>
      <c r="K1080">
        <v>43.52</v>
      </c>
      <c r="L1080">
        <f>0.29/2</f>
        <v>0.14499999999999999</v>
      </c>
      <c r="M1080">
        <v>2.2599999999999998</v>
      </c>
      <c r="N1080">
        <v>3.01</v>
      </c>
      <c r="O1080">
        <v>0.8</v>
      </c>
      <c r="P1080">
        <v>0.13</v>
      </c>
    </row>
    <row r="1081" spans="1:16">
      <c r="A1081" s="1" t="s">
        <v>1074</v>
      </c>
      <c r="B1081" s="1" t="s">
        <v>1129</v>
      </c>
      <c r="C1081" s="1" t="s">
        <v>105</v>
      </c>
      <c r="D1081" s="1" t="s">
        <v>106</v>
      </c>
      <c r="E1081" s="1" t="s">
        <v>1079</v>
      </c>
      <c r="F1081">
        <v>11.9</v>
      </c>
      <c r="G1081">
        <v>100.26</v>
      </c>
      <c r="H1081">
        <v>7.73</v>
      </c>
      <c r="I1081">
        <v>3.44</v>
      </c>
      <c r="J1081">
        <f>1.78/2</f>
        <v>0.89</v>
      </c>
      <c r="K1081">
        <v>45.76</v>
      </c>
      <c r="L1081">
        <v>0.46</v>
      </c>
      <c r="M1081">
        <v>2.2200000000000002</v>
      </c>
      <c r="N1081">
        <v>3.78</v>
      </c>
      <c r="O1081">
        <v>0.74</v>
      </c>
      <c r="P1081">
        <f>0.13/2</f>
        <v>6.5000000000000002E-2</v>
      </c>
    </row>
    <row r="1082" spans="1:16">
      <c r="A1082" s="1" t="s">
        <v>1074</v>
      </c>
      <c r="B1082" s="1" t="s">
        <v>1130</v>
      </c>
      <c r="C1082" s="1" t="s">
        <v>105</v>
      </c>
      <c r="D1082" s="1" t="s">
        <v>106</v>
      </c>
      <c r="E1082" s="1" t="s">
        <v>1079</v>
      </c>
      <c r="F1082">
        <v>45.84</v>
      </c>
      <c r="G1082">
        <v>840.4</v>
      </c>
      <c r="H1082">
        <v>1.58</v>
      </c>
      <c r="I1082">
        <v>5.36</v>
      </c>
      <c r="J1082">
        <f>2/2</f>
        <v>1</v>
      </c>
      <c r="K1082">
        <v>21.76</v>
      </c>
      <c r="L1082">
        <v>0.62</v>
      </c>
      <c r="M1082">
        <v>3.68</v>
      </c>
      <c r="N1082">
        <v>5.05</v>
      </c>
      <c r="O1082">
        <v>0.45</v>
      </c>
      <c r="P1082">
        <v>0.19</v>
      </c>
    </row>
    <row r="1083" spans="1:16">
      <c r="A1083" s="1" t="s">
        <v>1074</v>
      </c>
      <c r="B1083" s="1" t="s">
        <v>1131</v>
      </c>
      <c r="C1083" s="1" t="s">
        <v>105</v>
      </c>
      <c r="D1083" s="1" t="s">
        <v>106</v>
      </c>
      <c r="E1083" s="1" t="s">
        <v>1079</v>
      </c>
      <c r="F1083">
        <v>6.5</v>
      </c>
      <c r="G1083">
        <v>343.79</v>
      </c>
      <c r="H1083">
        <v>7.55</v>
      </c>
      <c r="I1083">
        <v>4.96</v>
      </c>
      <c r="J1083">
        <f>2.27/2</f>
        <v>1.135</v>
      </c>
      <c r="K1083">
        <v>12</v>
      </c>
      <c r="L1083">
        <v>1.27</v>
      </c>
      <c r="M1083">
        <v>2.46</v>
      </c>
      <c r="N1083">
        <v>4.78</v>
      </c>
      <c r="O1083">
        <v>0.75</v>
      </c>
      <c r="P1083">
        <v>0.36</v>
      </c>
    </row>
    <row r="1084" spans="1:16">
      <c r="A1084" s="1" t="s">
        <v>1074</v>
      </c>
      <c r="B1084" s="1" t="s">
        <v>1132</v>
      </c>
      <c r="C1084" s="1" t="s">
        <v>105</v>
      </c>
      <c r="D1084" s="1" t="s">
        <v>106</v>
      </c>
      <c r="E1084" s="1" t="s">
        <v>1079</v>
      </c>
      <c r="F1084">
        <v>12.68</v>
      </c>
      <c r="G1084">
        <v>171.6</v>
      </c>
      <c r="H1084">
        <v>7.44</v>
      </c>
      <c r="I1084">
        <v>5.68</v>
      </c>
      <c r="J1084">
        <f>1.58/2</f>
        <v>0.79</v>
      </c>
      <c r="K1084">
        <v>27.16</v>
      </c>
      <c r="L1084">
        <v>1.29</v>
      </c>
      <c r="M1084">
        <v>1.64</v>
      </c>
      <c r="N1084">
        <v>6.61</v>
      </c>
      <c r="O1084">
        <v>0.68</v>
      </c>
      <c r="P1084">
        <v>0.37</v>
      </c>
    </row>
    <row r="1085" spans="1:16">
      <c r="A1085" s="1" t="s">
        <v>1074</v>
      </c>
      <c r="B1085" s="1" t="s">
        <v>1133</v>
      </c>
      <c r="C1085" s="1" t="s">
        <v>105</v>
      </c>
      <c r="D1085" s="1" t="s">
        <v>106</v>
      </c>
      <c r="E1085" s="1" t="s">
        <v>1079</v>
      </c>
      <c r="F1085">
        <v>3.3</v>
      </c>
      <c r="G1085">
        <v>40.17</v>
      </c>
      <c r="H1085">
        <v>6.96</v>
      </c>
      <c r="I1085">
        <v>6.96</v>
      </c>
      <c r="J1085">
        <f>1.67/2</f>
        <v>0.83499999999999996</v>
      </c>
      <c r="K1085">
        <v>8.42</v>
      </c>
      <c r="L1085">
        <v>1.1200000000000001</v>
      </c>
      <c r="M1085">
        <v>3.41</v>
      </c>
      <c r="N1085">
        <v>1.47</v>
      </c>
      <c r="O1085">
        <v>0.77</v>
      </c>
      <c r="P1085">
        <v>0.18</v>
      </c>
    </row>
    <row r="1086" spans="1:16">
      <c r="A1086" s="1" t="s">
        <v>1074</v>
      </c>
      <c r="B1086" s="1" t="s">
        <v>1134</v>
      </c>
      <c r="C1086" s="1" t="s">
        <v>105</v>
      </c>
      <c r="D1086" s="1" t="s">
        <v>106</v>
      </c>
      <c r="E1086" s="1" t="s">
        <v>1079</v>
      </c>
      <c r="F1086">
        <v>5.56</v>
      </c>
      <c r="G1086">
        <v>138.43</v>
      </c>
      <c r="H1086">
        <v>12.38</v>
      </c>
      <c r="I1086">
        <v>3.51</v>
      </c>
      <c r="J1086">
        <f>2.21/2</f>
        <v>1.105</v>
      </c>
      <c r="K1086">
        <v>8.1</v>
      </c>
      <c r="L1086">
        <v>0.84</v>
      </c>
      <c r="M1086">
        <v>3.22</v>
      </c>
      <c r="N1086">
        <v>1.6</v>
      </c>
      <c r="O1086">
        <v>0.57999999999999996</v>
      </c>
      <c r="P1086">
        <v>0.25</v>
      </c>
    </row>
    <row r="1087" spans="1:16">
      <c r="A1087" s="1" t="s">
        <v>1074</v>
      </c>
      <c r="B1087" s="1" t="s">
        <v>1135</v>
      </c>
      <c r="C1087" s="1" t="s">
        <v>105</v>
      </c>
      <c r="D1087" s="1" t="s">
        <v>106</v>
      </c>
      <c r="E1087" s="1" t="s">
        <v>1079</v>
      </c>
      <c r="F1087">
        <v>3.51</v>
      </c>
      <c r="G1087">
        <v>159.77000000000001</v>
      </c>
      <c r="H1087">
        <v>8.5500000000000007</v>
      </c>
      <c r="I1087">
        <v>3.2</v>
      </c>
      <c r="J1087">
        <f>2.01/2</f>
        <v>1.0049999999999999</v>
      </c>
      <c r="K1087">
        <v>7.9</v>
      </c>
      <c r="L1087">
        <v>0.91</v>
      </c>
      <c r="M1087">
        <v>2.52</v>
      </c>
      <c r="N1087">
        <v>2.34</v>
      </c>
      <c r="O1087">
        <v>0.75</v>
      </c>
      <c r="P1087">
        <v>0.14000000000000001</v>
      </c>
    </row>
    <row r="1088" spans="1:16">
      <c r="A1088" s="1" t="s">
        <v>1074</v>
      </c>
      <c r="B1088" s="1" t="s">
        <v>1136</v>
      </c>
      <c r="C1088" s="1" t="s">
        <v>105</v>
      </c>
      <c r="D1088" s="1" t="s">
        <v>106</v>
      </c>
      <c r="E1088" s="1" t="s">
        <v>1079</v>
      </c>
      <c r="F1088">
        <v>3.89</v>
      </c>
      <c r="G1088">
        <v>211.72</v>
      </c>
      <c r="H1088">
        <v>8.2200000000000006</v>
      </c>
      <c r="I1088">
        <v>3.63</v>
      </c>
      <c r="J1088">
        <f>1.91/2</f>
        <v>0.95499999999999996</v>
      </c>
      <c r="K1088">
        <v>9.49</v>
      </c>
      <c r="L1088">
        <v>1.06</v>
      </c>
      <c r="M1088">
        <v>2.57</v>
      </c>
      <c r="N1088">
        <v>1.62</v>
      </c>
      <c r="O1088">
        <v>0.67</v>
      </c>
      <c r="P1088">
        <v>0.13</v>
      </c>
    </row>
    <row r="1089" spans="1:16">
      <c r="A1089" s="1" t="s">
        <v>1074</v>
      </c>
      <c r="B1089" s="1" t="s">
        <v>1137</v>
      </c>
      <c r="C1089" s="1" t="s">
        <v>105</v>
      </c>
      <c r="D1089" s="1" t="s">
        <v>106</v>
      </c>
      <c r="E1089" s="1" t="s">
        <v>1079</v>
      </c>
      <c r="F1089">
        <v>1.03</v>
      </c>
      <c r="G1089">
        <v>45.81</v>
      </c>
      <c r="H1089">
        <v>5.03</v>
      </c>
      <c r="I1089">
        <v>4.1399999999999997</v>
      </c>
      <c r="J1089">
        <f>2.33/2</f>
        <v>1.165</v>
      </c>
      <c r="K1089">
        <v>7.44</v>
      </c>
      <c r="L1089">
        <v>0.49</v>
      </c>
      <c r="M1089">
        <v>2.14</v>
      </c>
      <c r="N1089">
        <v>8.0299999999999994</v>
      </c>
      <c r="O1089">
        <v>0.6</v>
      </c>
      <c r="P1089">
        <f>0.13/2</f>
        <v>6.5000000000000002E-2</v>
      </c>
    </row>
    <row r="1090" spans="1:16">
      <c r="A1090" s="1" t="s">
        <v>1074</v>
      </c>
      <c r="B1090" s="1" t="s">
        <v>1138</v>
      </c>
      <c r="C1090" s="1" t="s">
        <v>105</v>
      </c>
      <c r="D1090" s="1" t="s">
        <v>106</v>
      </c>
      <c r="E1090" s="1" t="s">
        <v>1079</v>
      </c>
      <c r="F1090">
        <v>3.49</v>
      </c>
      <c r="G1090">
        <v>64.010000000000005</v>
      </c>
      <c r="H1090">
        <v>7.6</v>
      </c>
      <c r="I1090">
        <v>3.83</v>
      </c>
      <c r="J1090">
        <f>1.7/2</f>
        <v>0.85</v>
      </c>
      <c r="K1090">
        <v>9.3000000000000007</v>
      </c>
      <c r="L1090">
        <v>0.86</v>
      </c>
      <c r="M1090">
        <v>2.02</v>
      </c>
      <c r="N1090">
        <f>1.53/2</f>
        <v>0.76500000000000001</v>
      </c>
      <c r="O1090">
        <v>0.74</v>
      </c>
      <c r="P1090">
        <f>0.13/2</f>
        <v>6.5000000000000002E-2</v>
      </c>
    </row>
    <row r="1091" spans="1:16">
      <c r="A1091" s="1" t="s">
        <v>1074</v>
      </c>
      <c r="B1091" s="1" t="s">
        <v>1139</v>
      </c>
      <c r="C1091" s="1" t="s">
        <v>105</v>
      </c>
      <c r="D1091" s="1" t="s">
        <v>106</v>
      </c>
      <c r="E1091" s="1" t="s">
        <v>1079</v>
      </c>
      <c r="F1091">
        <v>7.04</v>
      </c>
      <c r="G1091">
        <v>286.58</v>
      </c>
      <c r="H1091">
        <f>1.26/2</f>
        <v>0.63</v>
      </c>
      <c r="I1091">
        <v>0.75</v>
      </c>
      <c r="J1091">
        <f>1.43/2</f>
        <v>0.71499999999999997</v>
      </c>
      <c r="K1091">
        <v>3.7</v>
      </c>
      <c r="L1091">
        <f>0.27/2</f>
        <v>0.13500000000000001</v>
      </c>
      <c r="M1091">
        <v>7</v>
      </c>
      <c r="N1091">
        <v>2.38</v>
      </c>
      <c r="O1091">
        <v>0.56000000000000005</v>
      </c>
      <c r="P1091">
        <f>0.08/2</f>
        <v>0.04</v>
      </c>
    </row>
    <row r="1092" spans="1:16">
      <c r="A1092" s="1" t="s">
        <v>1074</v>
      </c>
      <c r="B1092" s="1" t="s">
        <v>1140</v>
      </c>
      <c r="C1092" s="1" t="s">
        <v>105</v>
      </c>
      <c r="D1092" s="1" t="s">
        <v>106</v>
      </c>
      <c r="E1092" s="1" t="s">
        <v>1079</v>
      </c>
      <c r="F1092">
        <v>5.01</v>
      </c>
      <c r="G1092">
        <v>97.3</v>
      </c>
      <c r="H1092">
        <v>10.45</v>
      </c>
      <c r="I1092">
        <v>3.81</v>
      </c>
      <c r="J1092">
        <f>2.05/2</f>
        <v>1.0249999999999999</v>
      </c>
      <c r="K1092">
        <v>9.9600000000000009</v>
      </c>
      <c r="L1092">
        <v>0.89</v>
      </c>
      <c r="M1092">
        <v>2.35</v>
      </c>
      <c r="N1092">
        <f>1.41/2</f>
        <v>0.70499999999999996</v>
      </c>
      <c r="O1092">
        <v>0.46</v>
      </c>
      <c r="P1092">
        <f>0.13/2</f>
        <v>6.5000000000000002E-2</v>
      </c>
    </row>
    <row r="1093" spans="1:16">
      <c r="A1093" s="1" t="s">
        <v>1074</v>
      </c>
      <c r="B1093" s="1" t="s">
        <v>1141</v>
      </c>
      <c r="C1093" s="1" t="s">
        <v>105</v>
      </c>
      <c r="D1093" s="1" t="s">
        <v>106</v>
      </c>
      <c r="E1093" s="1" t="s">
        <v>1079</v>
      </c>
      <c r="F1093">
        <v>22.65</v>
      </c>
      <c r="G1093">
        <v>170.29</v>
      </c>
      <c r="H1093">
        <v>6.29</v>
      </c>
      <c r="I1093">
        <v>2.1</v>
      </c>
      <c r="J1093">
        <f>2.82/2</f>
        <v>1.41</v>
      </c>
      <c r="K1093">
        <v>10.82</v>
      </c>
      <c r="L1093">
        <v>1.93</v>
      </c>
      <c r="M1093">
        <v>5.86</v>
      </c>
      <c r="N1093">
        <v>12.25</v>
      </c>
      <c r="O1093">
        <v>0.7</v>
      </c>
      <c r="P1093">
        <f>0.13/2</f>
        <v>6.5000000000000002E-2</v>
      </c>
    </row>
    <row r="1094" spans="1:16">
      <c r="A1094" s="1" t="s">
        <v>1074</v>
      </c>
      <c r="B1094" s="1" t="s">
        <v>1142</v>
      </c>
      <c r="C1094" s="1" t="s">
        <v>105</v>
      </c>
      <c r="D1094" s="1" t="s">
        <v>106</v>
      </c>
      <c r="E1094" s="1" t="s">
        <v>1079</v>
      </c>
      <c r="F1094">
        <v>2.6869100000000001</v>
      </c>
      <c r="G1094">
        <v>73.284199999999998</v>
      </c>
      <c r="H1094">
        <v>2.5331399999999999</v>
      </c>
      <c r="I1094">
        <v>2.6660599999999999</v>
      </c>
      <c r="J1094">
        <f>1.74/2</f>
        <v>0.87</v>
      </c>
      <c r="K1094">
        <v>7.0915400000000002</v>
      </c>
      <c r="L1094">
        <v>3.0960299999999998</v>
      </c>
      <c r="M1094">
        <v>3.46082</v>
      </c>
      <c r="N1094">
        <v>1.95723</v>
      </c>
      <c r="O1094">
        <v>0.81661099999999998</v>
      </c>
      <c r="P1094">
        <v>0.102341</v>
      </c>
    </row>
    <row r="1095" spans="1:16">
      <c r="A1095" s="1" t="s">
        <v>1074</v>
      </c>
      <c r="B1095" s="1" t="s">
        <v>1143</v>
      </c>
      <c r="C1095" s="1" t="s">
        <v>105</v>
      </c>
      <c r="D1095" s="1" t="s">
        <v>106</v>
      </c>
      <c r="E1095" s="1" t="s">
        <v>1079</v>
      </c>
      <c r="F1095">
        <v>15.4986</v>
      </c>
      <c r="G1095">
        <v>644.41999999999996</v>
      </c>
      <c r="H1095">
        <v>1.6213</v>
      </c>
      <c r="I1095">
        <v>3.0136599999999998</v>
      </c>
      <c r="J1095">
        <v>10.257199999999999</v>
      </c>
      <c r="K1095">
        <v>14.3245</v>
      </c>
      <c r="L1095">
        <v>1.27311</v>
      </c>
      <c r="M1095">
        <v>4.2397099999999996</v>
      </c>
      <c r="N1095">
        <v>9.4062800000000006</v>
      </c>
      <c r="O1095">
        <v>1.0422499999999999</v>
      </c>
      <c r="P1095">
        <v>0.48416900000000002</v>
      </c>
    </row>
    <row r="1096" spans="1:16">
      <c r="A1096" s="1" t="s">
        <v>1074</v>
      </c>
      <c r="B1096" s="1" t="s">
        <v>1144</v>
      </c>
      <c r="C1096" s="1" t="s">
        <v>105</v>
      </c>
      <c r="D1096" s="1" t="s">
        <v>106</v>
      </c>
      <c r="E1096" s="1" t="s">
        <v>1079</v>
      </c>
      <c r="F1096">
        <v>224.77799999999999</v>
      </c>
      <c r="G1096">
        <v>222.44300000000001</v>
      </c>
      <c r="H1096">
        <f>1.46215/2</f>
        <v>0.73107500000000003</v>
      </c>
      <c r="I1096">
        <v>1.8898299999999999</v>
      </c>
      <c r="J1096">
        <f>2.05/2</f>
        <v>1.0249999999999999</v>
      </c>
      <c r="K1096">
        <v>22.738800000000001</v>
      </c>
      <c r="L1096">
        <v>0.91161199999999998</v>
      </c>
      <c r="M1096">
        <v>3.3615200000000001</v>
      </c>
      <c r="N1096">
        <v>10.795500000000001</v>
      </c>
      <c r="O1096">
        <v>0.73787400000000003</v>
      </c>
      <c r="P1096">
        <f>0.15/2</f>
        <v>7.4999999999999997E-2</v>
      </c>
    </row>
    <row r="1097" spans="1:16">
      <c r="A1097" s="1" t="s">
        <v>1074</v>
      </c>
      <c r="B1097" s="1" t="s">
        <v>1145</v>
      </c>
      <c r="C1097" s="1" t="s">
        <v>105</v>
      </c>
      <c r="D1097" s="1" t="s">
        <v>106</v>
      </c>
      <c r="E1097" s="1" t="s">
        <v>1079</v>
      </c>
      <c r="F1097">
        <v>5.1736800000000001</v>
      </c>
      <c r="G1097">
        <v>222.81399999999999</v>
      </c>
      <c r="H1097">
        <v>2.7326800000000002</v>
      </c>
      <c r="I1097">
        <v>1.88463</v>
      </c>
      <c r="J1097">
        <f>1.87/2</f>
        <v>0.93500000000000005</v>
      </c>
      <c r="K1097">
        <v>12.3895</v>
      </c>
      <c r="L1097">
        <v>0.91208599999999995</v>
      </c>
      <c r="M1097">
        <v>3.77305</v>
      </c>
      <c r="N1097">
        <v>4.1117499999999998</v>
      </c>
      <c r="O1097">
        <v>0.74664200000000003</v>
      </c>
      <c r="P1097">
        <f>0.14/2</f>
        <v>7.0000000000000007E-2</v>
      </c>
    </row>
    <row r="1098" spans="1:16">
      <c r="A1098" s="1" t="s">
        <v>1074</v>
      </c>
      <c r="B1098" s="1" t="s">
        <v>1146</v>
      </c>
      <c r="C1098" s="1" t="s">
        <v>105</v>
      </c>
      <c r="D1098" s="1" t="s">
        <v>106</v>
      </c>
      <c r="E1098" s="1" t="s">
        <v>1079</v>
      </c>
      <c r="F1098">
        <v>23.282299999999999</v>
      </c>
      <c r="G1098">
        <v>266.99900000000002</v>
      </c>
      <c r="H1098">
        <v>12.142099999999999</v>
      </c>
      <c r="I1098">
        <v>4.0202099999999996</v>
      </c>
      <c r="J1098">
        <f>1.59/2</f>
        <v>0.79500000000000004</v>
      </c>
      <c r="K1098">
        <v>12.632400000000001</v>
      </c>
      <c r="L1098">
        <v>2.4229099999999999</v>
      </c>
      <c r="M1098">
        <v>4.4264099999999997</v>
      </c>
      <c r="N1098">
        <v>11.5396</v>
      </c>
      <c r="O1098">
        <v>0.61569600000000002</v>
      </c>
      <c r="P1098">
        <f>0.16/2</f>
        <v>0.08</v>
      </c>
    </row>
    <row r="1099" spans="1:16">
      <c r="A1099" s="1" t="s">
        <v>1074</v>
      </c>
      <c r="B1099" s="1" t="s">
        <v>1147</v>
      </c>
      <c r="C1099" s="1" t="s">
        <v>105</v>
      </c>
      <c r="D1099" s="1" t="s">
        <v>106</v>
      </c>
      <c r="E1099" s="1" t="s">
        <v>1079</v>
      </c>
      <c r="F1099">
        <v>3.31</v>
      </c>
      <c r="G1099">
        <v>176.92</v>
      </c>
      <c r="H1099">
        <v>4.97</v>
      </c>
      <c r="I1099">
        <v>3.21</v>
      </c>
      <c r="J1099">
        <v>3.54</v>
      </c>
      <c r="K1099">
        <v>9.2200000000000006</v>
      </c>
      <c r="L1099">
        <v>2.3199999999999998</v>
      </c>
      <c r="M1099">
        <v>2.57</v>
      </c>
      <c r="N1099">
        <v>3.13</v>
      </c>
      <c r="O1099">
        <v>0.75</v>
      </c>
      <c r="P1099">
        <f>0.1/2</f>
        <v>0.05</v>
      </c>
    </row>
    <row r="1100" spans="1:16">
      <c r="A1100" s="1" t="s">
        <v>1074</v>
      </c>
      <c r="B1100" s="1" t="s">
        <v>1148</v>
      </c>
      <c r="C1100" s="1" t="s">
        <v>105</v>
      </c>
      <c r="D1100" s="1" t="s">
        <v>106</v>
      </c>
      <c r="E1100" s="1" t="s">
        <v>1079</v>
      </c>
      <c r="F1100">
        <v>4.17</v>
      </c>
      <c r="G1100">
        <v>286.18</v>
      </c>
      <c r="H1100">
        <v>9.08</v>
      </c>
      <c r="I1100">
        <v>2.97</v>
      </c>
      <c r="J1100">
        <f>1.94/2</f>
        <v>0.97</v>
      </c>
      <c r="K1100">
        <v>9.67</v>
      </c>
      <c r="L1100">
        <v>1.65</v>
      </c>
      <c r="M1100">
        <v>4.12</v>
      </c>
      <c r="N1100">
        <v>10.34</v>
      </c>
      <c r="O1100">
        <v>0.77</v>
      </c>
      <c r="P1100">
        <v>0.11</v>
      </c>
    </row>
    <row r="1101" spans="1:16">
      <c r="A1101" s="1" t="s">
        <v>1074</v>
      </c>
      <c r="B1101" s="1" t="s">
        <v>1149</v>
      </c>
      <c r="C1101" s="1" t="s">
        <v>105</v>
      </c>
      <c r="D1101" s="1" t="s">
        <v>106</v>
      </c>
      <c r="E1101" s="1" t="s">
        <v>1079</v>
      </c>
      <c r="F1101">
        <v>463.06</v>
      </c>
      <c r="G1101">
        <v>496.91</v>
      </c>
      <c r="H1101">
        <v>8.0299999999999994</v>
      </c>
      <c r="I1101">
        <v>3.21</v>
      </c>
      <c r="J1101">
        <v>3.04</v>
      </c>
      <c r="K1101">
        <v>29.75</v>
      </c>
      <c r="L1101">
        <v>2.31</v>
      </c>
      <c r="M1101">
        <v>6.24</v>
      </c>
      <c r="N1101">
        <v>8.18</v>
      </c>
      <c r="O1101">
        <v>1.22</v>
      </c>
      <c r="P1101">
        <v>0.3</v>
      </c>
    </row>
    <row r="1102" spans="1:16">
      <c r="A1102" s="1" t="s">
        <v>1074</v>
      </c>
      <c r="B1102" s="1" t="s">
        <v>1150</v>
      </c>
      <c r="C1102" s="1" t="s">
        <v>105</v>
      </c>
      <c r="D1102" s="1" t="s">
        <v>106</v>
      </c>
      <c r="E1102" s="1" t="s">
        <v>1079</v>
      </c>
      <c r="F1102">
        <v>5.38</v>
      </c>
      <c r="G1102">
        <v>133.54</v>
      </c>
      <c r="H1102">
        <v>6.31</v>
      </c>
      <c r="I1102">
        <v>2.8</v>
      </c>
      <c r="J1102">
        <v>2.66</v>
      </c>
      <c r="K1102">
        <v>7.92</v>
      </c>
      <c r="L1102">
        <v>1.41</v>
      </c>
      <c r="M1102">
        <v>5.43</v>
      </c>
      <c r="N1102">
        <v>6.81</v>
      </c>
      <c r="O1102">
        <v>0.68</v>
      </c>
      <c r="P1102">
        <v>0.34</v>
      </c>
    </row>
    <row r="1103" spans="1:16">
      <c r="A1103" s="1" t="s">
        <v>1074</v>
      </c>
      <c r="B1103" s="1" t="s">
        <v>1151</v>
      </c>
      <c r="C1103" s="1" t="s">
        <v>105</v>
      </c>
      <c r="D1103" s="1" t="s">
        <v>106</v>
      </c>
      <c r="E1103" s="1" t="s">
        <v>1079</v>
      </c>
      <c r="F1103">
        <v>5.93</v>
      </c>
      <c r="G1103">
        <v>278.85000000000002</v>
      </c>
      <c r="H1103">
        <v>6.13</v>
      </c>
      <c r="I1103">
        <v>2.94</v>
      </c>
      <c r="J1103">
        <v>1.82</v>
      </c>
      <c r="K1103">
        <v>7.72</v>
      </c>
      <c r="L1103">
        <v>1.06</v>
      </c>
      <c r="M1103">
        <v>7.02</v>
      </c>
      <c r="N1103">
        <v>7.26</v>
      </c>
      <c r="O1103">
        <v>1.04</v>
      </c>
      <c r="P1103">
        <v>0.18</v>
      </c>
    </row>
    <row r="1104" spans="1:16">
      <c r="A1104" s="1" t="s">
        <v>1074</v>
      </c>
      <c r="B1104" s="1" t="s">
        <v>1152</v>
      </c>
      <c r="C1104" s="1" t="s">
        <v>105</v>
      </c>
      <c r="D1104" s="1" t="s">
        <v>106</v>
      </c>
      <c r="E1104" s="1" t="s">
        <v>1079</v>
      </c>
      <c r="F1104">
        <v>3.95</v>
      </c>
      <c r="G1104">
        <v>179.02</v>
      </c>
      <c r="H1104">
        <v>17.63</v>
      </c>
      <c r="I1104">
        <v>6.76</v>
      </c>
      <c r="J1104">
        <f>2.24/2</f>
        <v>1.1200000000000001</v>
      </c>
      <c r="K1104">
        <v>8.5</v>
      </c>
      <c r="L1104">
        <v>2.5499999999999998</v>
      </c>
      <c r="M1104">
        <v>6.52</v>
      </c>
      <c r="N1104">
        <v>5.62</v>
      </c>
      <c r="O1104">
        <v>1.28</v>
      </c>
      <c r="P1104">
        <v>0.36</v>
      </c>
    </row>
    <row r="1105" spans="1:16">
      <c r="A1105" s="1" t="s">
        <v>1074</v>
      </c>
      <c r="B1105" s="1" t="s">
        <v>1153</v>
      </c>
      <c r="C1105" s="1" t="s">
        <v>105</v>
      </c>
      <c r="D1105" s="1" t="s">
        <v>106</v>
      </c>
      <c r="E1105" s="1" t="s">
        <v>1079</v>
      </c>
      <c r="F1105">
        <v>10.34</v>
      </c>
      <c r="G1105">
        <v>243.16</v>
      </c>
      <c r="H1105">
        <v>4.5</v>
      </c>
      <c r="I1105">
        <v>4.59</v>
      </c>
      <c r="J1105">
        <v>2.65</v>
      </c>
      <c r="K1105">
        <v>11.98</v>
      </c>
      <c r="L1105">
        <v>2.5099999999999998</v>
      </c>
      <c r="M1105">
        <v>5.08</v>
      </c>
      <c r="N1105">
        <v>10.85</v>
      </c>
      <c r="O1105">
        <v>0.91</v>
      </c>
      <c r="P1105">
        <v>0.62</v>
      </c>
    </row>
    <row r="1106" spans="1:16">
      <c r="A1106" s="1" t="s">
        <v>1074</v>
      </c>
      <c r="B1106" s="1" t="s">
        <v>1154</v>
      </c>
      <c r="C1106" s="1" t="s">
        <v>105</v>
      </c>
      <c r="D1106" s="1" t="s">
        <v>106</v>
      </c>
      <c r="E1106" s="1" t="s">
        <v>1079</v>
      </c>
      <c r="F1106">
        <v>25.86</v>
      </c>
      <c r="G1106">
        <v>263.31</v>
      </c>
      <c r="H1106">
        <v>32.28</v>
      </c>
      <c r="I1106">
        <v>8.16</v>
      </c>
      <c r="J1106">
        <v>3.89</v>
      </c>
      <c r="K1106">
        <v>6.62</v>
      </c>
      <c r="L1106">
        <v>0.83</v>
      </c>
      <c r="M1106">
        <v>4.9000000000000004</v>
      </c>
      <c r="N1106">
        <v>9.7100000000000009</v>
      </c>
      <c r="O1106">
        <v>0.74</v>
      </c>
      <c r="P1106">
        <f>0.12/2</f>
        <v>0.06</v>
      </c>
    </row>
    <row r="1107" spans="1:16">
      <c r="A1107" s="1" t="s">
        <v>1074</v>
      </c>
      <c r="B1107" s="1" t="s">
        <v>1155</v>
      </c>
      <c r="C1107" s="1" t="s">
        <v>105</v>
      </c>
      <c r="D1107" s="1" t="s">
        <v>106</v>
      </c>
      <c r="E1107" s="1" t="s">
        <v>1079</v>
      </c>
      <c r="F1107">
        <v>170.2</v>
      </c>
      <c r="G1107">
        <v>230.04</v>
      </c>
      <c r="H1107">
        <v>18.73</v>
      </c>
      <c r="I1107">
        <v>8.5</v>
      </c>
      <c r="J1107">
        <v>11.47</v>
      </c>
      <c r="K1107">
        <v>18.600000000000001</v>
      </c>
      <c r="L1107">
        <v>2.2400000000000002</v>
      </c>
      <c r="M1107">
        <v>6.06</v>
      </c>
      <c r="N1107">
        <v>4.32</v>
      </c>
      <c r="O1107">
        <v>1.07</v>
      </c>
      <c r="P1107">
        <f>0.17/2</f>
        <v>8.5000000000000006E-2</v>
      </c>
    </row>
    <row r="1108" spans="1:16">
      <c r="A1108" s="1" t="s">
        <v>1074</v>
      </c>
      <c r="B1108" s="1" t="s">
        <v>1156</v>
      </c>
      <c r="C1108" s="1" t="s">
        <v>105</v>
      </c>
      <c r="D1108" s="1" t="s">
        <v>106</v>
      </c>
      <c r="E1108" s="1" t="s">
        <v>1079</v>
      </c>
      <c r="F1108">
        <v>324.60000000000002</v>
      </c>
      <c r="G1108">
        <v>374.98</v>
      </c>
      <c r="H1108">
        <v>27.17</v>
      </c>
      <c r="I1108">
        <v>7.29</v>
      </c>
      <c r="J1108">
        <v>9.89</v>
      </c>
      <c r="K1108">
        <v>25.6</v>
      </c>
      <c r="L1108">
        <v>2.52</v>
      </c>
      <c r="M1108">
        <v>7.22</v>
      </c>
      <c r="N1108">
        <v>2.89</v>
      </c>
      <c r="O1108">
        <v>0.73</v>
      </c>
      <c r="P1108">
        <f>0.14/2</f>
        <v>7.0000000000000007E-2</v>
      </c>
    </row>
    <row r="1109" spans="1:16">
      <c r="A1109" s="1" t="s">
        <v>1074</v>
      </c>
      <c r="B1109" s="1" t="s">
        <v>1157</v>
      </c>
      <c r="C1109" s="1" t="s">
        <v>105</v>
      </c>
      <c r="D1109" s="1" t="s">
        <v>106</v>
      </c>
      <c r="E1109" s="1" t="s">
        <v>1079</v>
      </c>
      <c r="F1109">
        <v>26.77</v>
      </c>
      <c r="G1109">
        <v>204.29</v>
      </c>
      <c r="H1109">
        <v>23.71</v>
      </c>
      <c r="I1109">
        <v>6.99</v>
      </c>
      <c r="J1109">
        <v>9.94</v>
      </c>
      <c r="K1109">
        <v>29.96</v>
      </c>
      <c r="L1109">
        <v>0.82</v>
      </c>
      <c r="M1109">
        <v>5.72</v>
      </c>
      <c r="N1109">
        <v>10.79</v>
      </c>
      <c r="O1109">
        <v>0.76</v>
      </c>
      <c r="P1109">
        <f>0.12/2</f>
        <v>0.06</v>
      </c>
    </row>
    <row r="1110" spans="1:16">
      <c r="A1110" s="1" t="s">
        <v>1074</v>
      </c>
      <c r="B1110" s="1" t="s">
        <v>1158</v>
      </c>
      <c r="C1110" s="1" t="s">
        <v>105</v>
      </c>
      <c r="D1110" s="1" t="s">
        <v>106</v>
      </c>
      <c r="E1110" s="1" t="s">
        <v>1079</v>
      </c>
      <c r="F1110">
        <v>18.682200000000002</v>
      </c>
      <c r="G1110">
        <v>319.52100000000002</v>
      </c>
      <c r="H1110">
        <v>22.727399999999999</v>
      </c>
      <c r="I1110">
        <v>7.8599899999999998</v>
      </c>
      <c r="J1110">
        <v>13.095499999999999</v>
      </c>
      <c r="K1110">
        <v>9.5821000000000005</v>
      </c>
      <c r="L1110">
        <v>1.2941100000000001</v>
      </c>
      <c r="M1110">
        <v>6.1218300000000001</v>
      </c>
      <c r="N1110">
        <v>10.187900000000001</v>
      </c>
      <c r="O1110">
        <v>1.14605</v>
      </c>
      <c r="P1110">
        <v>0.213367</v>
      </c>
    </row>
    <row r="1111" spans="1:16">
      <c r="A1111" s="1" t="s">
        <v>1074</v>
      </c>
      <c r="B1111" s="1" t="s">
        <v>1159</v>
      </c>
      <c r="C1111" s="1" t="s">
        <v>105</v>
      </c>
      <c r="D1111" s="1" t="s">
        <v>106</v>
      </c>
      <c r="E1111" s="1" t="s">
        <v>1079</v>
      </c>
      <c r="F1111">
        <v>5.8</v>
      </c>
      <c r="G1111">
        <v>162</v>
      </c>
      <c r="H1111">
        <v>25.4</v>
      </c>
      <c r="I1111">
        <v>4.2699999999999996</v>
      </c>
      <c r="J1111">
        <v>2.84</v>
      </c>
      <c r="K1111">
        <v>8.98</v>
      </c>
      <c r="L1111">
        <v>2.4300000000000002</v>
      </c>
      <c r="M1111">
        <v>3.42</v>
      </c>
      <c r="N1111">
        <v>3.68</v>
      </c>
      <c r="O1111">
        <v>0.96</v>
      </c>
      <c r="P1111">
        <f>0.15/2</f>
        <v>7.4999999999999997E-2</v>
      </c>
    </row>
    <row r="1112" spans="1:16">
      <c r="A1112" s="1" t="s">
        <v>1074</v>
      </c>
      <c r="B1112" s="1" t="s">
        <v>1160</v>
      </c>
      <c r="C1112" s="1" t="s">
        <v>105</v>
      </c>
      <c r="D1112" s="1" t="s">
        <v>106</v>
      </c>
      <c r="E1112" s="1" t="s">
        <v>1079</v>
      </c>
      <c r="F1112">
        <v>6.1</v>
      </c>
      <c r="G1112">
        <v>277.94</v>
      </c>
      <c r="H1112">
        <v>26.75</v>
      </c>
      <c r="I1112">
        <v>4.22</v>
      </c>
      <c r="J1112">
        <v>3.5</v>
      </c>
      <c r="K1112">
        <v>11.45</v>
      </c>
      <c r="L1112">
        <v>2.77</v>
      </c>
      <c r="M1112">
        <v>2.2400000000000002</v>
      </c>
      <c r="N1112">
        <v>25.02</v>
      </c>
      <c r="O1112">
        <v>0.79</v>
      </c>
      <c r="P1112">
        <v>0.14000000000000001</v>
      </c>
    </row>
    <row r="1113" spans="1:16">
      <c r="A1113" s="1" t="s">
        <v>1161</v>
      </c>
      <c r="B1113" s="1" t="s">
        <v>1162</v>
      </c>
      <c r="C1113" s="1" t="s">
        <v>105</v>
      </c>
      <c r="D1113" s="1" t="s">
        <v>5789</v>
      </c>
      <c r="E1113" s="1" t="s">
        <v>1163</v>
      </c>
      <c r="F1113">
        <v>99</v>
      </c>
      <c r="G1113">
        <v>556</v>
      </c>
      <c r="H1113">
        <v>370</v>
      </c>
      <c r="I1113">
        <v>455</v>
      </c>
      <c r="J1113">
        <v>31.4</v>
      </c>
      <c r="K1113">
        <v>203</v>
      </c>
      <c r="L1113">
        <v>9.34</v>
      </c>
      <c r="M1113">
        <v>4.08</v>
      </c>
      <c r="N1113">
        <v>66.900000000000006</v>
      </c>
      <c r="O1113">
        <v>14.4</v>
      </c>
      <c r="P1113">
        <f>0.74/2</f>
        <v>0.37</v>
      </c>
    </row>
    <row r="1114" spans="1:16">
      <c r="A1114" s="1" t="s">
        <v>1161</v>
      </c>
      <c r="B1114" s="1" t="s">
        <v>1164</v>
      </c>
      <c r="C1114" s="1" t="s">
        <v>105</v>
      </c>
      <c r="D1114" s="1" t="s">
        <v>5789</v>
      </c>
      <c r="E1114" s="1" t="s">
        <v>1163</v>
      </c>
      <c r="F1114">
        <v>85</v>
      </c>
      <c r="G1114">
        <v>486</v>
      </c>
      <c r="H1114">
        <v>440</v>
      </c>
      <c r="I1114">
        <v>532</v>
      </c>
      <c r="J1114">
        <v>11.5</v>
      </c>
      <c r="K1114">
        <v>184</v>
      </c>
      <c r="L1114">
        <v>3.83</v>
      </c>
      <c r="M1114">
        <v>3.46</v>
      </c>
      <c r="N1114">
        <v>56.2</v>
      </c>
      <c r="O1114">
        <v>13.4</v>
      </c>
      <c r="P1114">
        <v>1.39</v>
      </c>
    </row>
    <row r="1115" spans="1:16">
      <c r="A1115" s="1" t="s">
        <v>1161</v>
      </c>
      <c r="B1115" s="1" t="s">
        <v>1165</v>
      </c>
      <c r="C1115" s="1" t="s">
        <v>105</v>
      </c>
      <c r="D1115" s="1" t="s">
        <v>5789</v>
      </c>
      <c r="E1115" s="1" t="s">
        <v>1166</v>
      </c>
      <c r="F1115">
        <v>127</v>
      </c>
      <c r="G1115">
        <v>611</v>
      </c>
      <c r="H1115">
        <v>509</v>
      </c>
      <c r="I1115">
        <v>490</v>
      </c>
      <c r="J1115">
        <v>37.5</v>
      </c>
      <c r="K1115">
        <v>211</v>
      </c>
      <c r="L1115">
        <v>9.1999999999999993</v>
      </c>
      <c r="M1115">
        <v>3.58</v>
      </c>
      <c r="N1115">
        <v>89.5</v>
      </c>
      <c r="O1115">
        <v>16.5</v>
      </c>
      <c r="P1115">
        <v>0.83</v>
      </c>
    </row>
    <row r="1116" spans="1:16">
      <c r="A1116" s="1" t="s">
        <v>1161</v>
      </c>
      <c r="B1116" s="1" t="s">
        <v>1167</v>
      </c>
      <c r="C1116" s="1" t="s">
        <v>105</v>
      </c>
      <c r="D1116" s="1" t="s">
        <v>5789</v>
      </c>
      <c r="E1116" s="1" t="s">
        <v>1166</v>
      </c>
      <c r="F1116">
        <v>95</v>
      </c>
      <c r="G1116">
        <v>523</v>
      </c>
      <c r="H1116">
        <v>623</v>
      </c>
      <c r="I1116">
        <v>582</v>
      </c>
      <c r="J1116">
        <v>54.3</v>
      </c>
      <c r="K1116">
        <v>182</v>
      </c>
      <c r="L1116">
        <v>9.7899999999999991</v>
      </c>
      <c r="M1116">
        <v>3.71</v>
      </c>
      <c r="N1116">
        <v>63.1</v>
      </c>
      <c r="O1116">
        <v>33.1</v>
      </c>
      <c r="P1116">
        <v>1.52</v>
      </c>
    </row>
    <row r="1117" spans="1:16">
      <c r="A1117" s="1" t="s">
        <v>1161</v>
      </c>
      <c r="B1117" s="1" t="s">
        <v>1168</v>
      </c>
      <c r="C1117" s="1" t="s">
        <v>105</v>
      </c>
      <c r="D1117" s="1" t="s">
        <v>5789</v>
      </c>
      <c r="E1117" s="1" t="s">
        <v>1166</v>
      </c>
      <c r="F1117">
        <v>114</v>
      </c>
      <c r="G1117">
        <v>573</v>
      </c>
      <c r="H1117">
        <v>647</v>
      </c>
      <c r="I1117">
        <v>569</v>
      </c>
      <c r="J1117">
        <v>19.7</v>
      </c>
      <c r="K1117">
        <v>200</v>
      </c>
      <c r="L1117">
        <v>6.17</v>
      </c>
      <c r="M1117">
        <v>2.6</v>
      </c>
      <c r="N1117">
        <v>66.400000000000006</v>
      </c>
      <c r="O1117">
        <v>23.3</v>
      </c>
      <c r="P1117">
        <v>0.99</v>
      </c>
    </row>
    <row r="1118" spans="1:16">
      <c r="A1118" s="1" t="s">
        <v>1161</v>
      </c>
      <c r="B1118" s="1" t="s">
        <v>1169</v>
      </c>
      <c r="C1118" s="1" t="s">
        <v>105</v>
      </c>
      <c r="D1118" s="1" t="s">
        <v>5789</v>
      </c>
      <c r="E1118" s="1" t="s">
        <v>1166</v>
      </c>
      <c r="F1118">
        <v>123</v>
      </c>
      <c r="G1118">
        <v>584</v>
      </c>
      <c r="H1118">
        <v>678</v>
      </c>
      <c r="I1118">
        <v>560</v>
      </c>
      <c r="J1118">
        <v>17.7</v>
      </c>
      <c r="K1118">
        <v>208</v>
      </c>
      <c r="L1118">
        <v>7.8</v>
      </c>
      <c r="M1118">
        <v>1.8</v>
      </c>
      <c r="N1118">
        <v>70.099999999999994</v>
      </c>
      <c r="O1118">
        <v>24.3</v>
      </c>
      <c r="P1118">
        <v>0.79</v>
      </c>
    </row>
    <row r="1119" spans="1:16">
      <c r="A1119" s="1" t="s">
        <v>1161</v>
      </c>
      <c r="B1119" s="1" t="s">
        <v>1170</v>
      </c>
      <c r="C1119" s="1" t="s">
        <v>105</v>
      </c>
      <c r="D1119" s="1" t="s">
        <v>5789</v>
      </c>
      <c r="E1119" s="1" t="s">
        <v>1166</v>
      </c>
      <c r="F1119">
        <v>51</v>
      </c>
      <c r="G1119">
        <v>346</v>
      </c>
      <c r="H1119">
        <v>500</v>
      </c>
      <c r="I1119">
        <v>611</v>
      </c>
      <c r="J1119">
        <v>11.6</v>
      </c>
      <c r="K1119">
        <v>141</v>
      </c>
      <c r="L1119">
        <v>6.02</v>
      </c>
      <c r="M1119">
        <v>3.35</v>
      </c>
      <c r="N1119">
        <v>28.4</v>
      </c>
      <c r="O1119">
        <v>21.8</v>
      </c>
      <c r="P1119">
        <f>0.74/2</f>
        <v>0.37</v>
      </c>
    </row>
    <row r="1120" spans="1:16">
      <c r="A1120" s="1" t="s">
        <v>1161</v>
      </c>
      <c r="B1120" s="1" t="s">
        <v>1171</v>
      </c>
      <c r="C1120" s="1" t="s">
        <v>105</v>
      </c>
      <c r="D1120" s="1" t="s">
        <v>5789</v>
      </c>
      <c r="E1120" s="1" t="s">
        <v>1166</v>
      </c>
      <c r="F1120">
        <v>96</v>
      </c>
      <c r="G1120">
        <v>447</v>
      </c>
      <c r="H1120">
        <v>505</v>
      </c>
      <c r="I1120">
        <v>493</v>
      </c>
      <c r="J1120">
        <f>2.08/2</f>
        <v>1.04</v>
      </c>
      <c r="K1120">
        <v>180</v>
      </c>
      <c r="L1120">
        <v>12.9</v>
      </c>
      <c r="M1120">
        <v>3.92</v>
      </c>
      <c r="N1120">
        <v>64.900000000000006</v>
      </c>
      <c r="O1120">
        <v>34</v>
      </c>
      <c r="P1120">
        <v>1.33</v>
      </c>
    </row>
    <row r="1121" spans="1:16">
      <c r="A1121" s="1" t="s">
        <v>1161</v>
      </c>
      <c r="B1121" s="1" t="s">
        <v>1172</v>
      </c>
      <c r="C1121" s="1" t="s">
        <v>105</v>
      </c>
      <c r="D1121" s="1" t="s">
        <v>5789</v>
      </c>
      <c r="E1121" s="1" t="s">
        <v>1166</v>
      </c>
      <c r="F1121">
        <v>65</v>
      </c>
      <c r="G1121">
        <v>444</v>
      </c>
      <c r="H1121">
        <v>383</v>
      </c>
      <c r="I1121">
        <v>496</v>
      </c>
      <c r="J1121">
        <v>78.7</v>
      </c>
      <c r="K1121">
        <v>155</v>
      </c>
      <c r="L1121">
        <v>11</v>
      </c>
      <c r="M1121">
        <v>4.57</v>
      </c>
      <c r="N1121">
        <v>62</v>
      </c>
      <c r="O1121">
        <v>17.8</v>
      </c>
      <c r="P1121">
        <f>0.74/2</f>
        <v>0.37</v>
      </c>
    </row>
    <row r="1122" spans="1:16">
      <c r="A1122" s="1" t="s">
        <v>1161</v>
      </c>
      <c r="B1122" s="1" t="s">
        <v>1173</v>
      </c>
      <c r="C1122" s="1" t="s">
        <v>105</v>
      </c>
      <c r="D1122" s="1" t="s">
        <v>5789</v>
      </c>
      <c r="E1122" s="1" t="s">
        <v>1166</v>
      </c>
      <c r="F1122">
        <v>277</v>
      </c>
      <c r="G1122">
        <v>91</v>
      </c>
      <c r="H1122">
        <v>56</v>
      </c>
      <c r="I1122">
        <v>159</v>
      </c>
      <c r="J1122">
        <f>2.08/2</f>
        <v>1.04</v>
      </c>
      <c r="K1122">
        <v>506</v>
      </c>
      <c r="L1122">
        <v>8.51</v>
      </c>
      <c r="M1122">
        <v>4.62</v>
      </c>
      <c r="N1122">
        <v>189</v>
      </c>
      <c r="O1122">
        <v>4.62</v>
      </c>
      <c r="P1122">
        <v>4.12</v>
      </c>
    </row>
    <row r="1123" spans="1:16">
      <c r="A1123" s="1" t="s">
        <v>1161</v>
      </c>
      <c r="B1123" s="1" t="s">
        <v>1174</v>
      </c>
      <c r="C1123" s="1" t="s">
        <v>105</v>
      </c>
      <c r="D1123" s="1" t="s">
        <v>5789</v>
      </c>
      <c r="E1123" s="1" t="s">
        <v>1166</v>
      </c>
      <c r="F1123">
        <v>228</v>
      </c>
      <c r="G1123">
        <v>53</v>
      </c>
      <c r="H1123">
        <v>52</v>
      </c>
      <c r="I1123">
        <v>151</v>
      </c>
      <c r="J1123">
        <f>2.08/2</f>
        <v>1.04</v>
      </c>
      <c r="K1123">
        <v>507</v>
      </c>
      <c r="L1123">
        <v>7.18</v>
      </c>
      <c r="M1123">
        <v>5.54</v>
      </c>
      <c r="N1123">
        <v>130</v>
      </c>
      <c r="O1123">
        <v>3.83</v>
      </c>
      <c r="P1123">
        <v>1.38</v>
      </c>
    </row>
    <row r="1124" spans="1:16">
      <c r="A1124" s="1" t="s">
        <v>1161</v>
      </c>
      <c r="B1124" s="1" t="s">
        <v>1175</v>
      </c>
      <c r="C1124" s="1" t="s">
        <v>105</v>
      </c>
      <c r="D1124" s="1" t="s">
        <v>5789</v>
      </c>
      <c r="E1124" s="1" t="s">
        <v>1166</v>
      </c>
      <c r="F1124">
        <v>332</v>
      </c>
      <c r="G1124">
        <v>66</v>
      </c>
      <c r="H1124">
        <v>43</v>
      </c>
      <c r="I1124">
        <v>156</v>
      </c>
      <c r="J1124">
        <f>2.08/2</f>
        <v>1.04</v>
      </c>
      <c r="K1124">
        <v>534</v>
      </c>
      <c r="L1124">
        <v>0.85</v>
      </c>
      <c r="M1124">
        <v>5.85</v>
      </c>
      <c r="N1124">
        <v>251</v>
      </c>
      <c r="O1124">
        <v>5.04</v>
      </c>
      <c r="P1124">
        <v>2.19</v>
      </c>
    </row>
    <row r="1125" spans="1:16">
      <c r="A1125" s="1" t="s">
        <v>1161</v>
      </c>
      <c r="B1125" s="1" t="s">
        <v>1176</v>
      </c>
      <c r="C1125" s="1" t="s">
        <v>105</v>
      </c>
      <c r="D1125" s="1" t="s">
        <v>5789</v>
      </c>
      <c r="E1125" s="1" t="s">
        <v>1166</v>
      </c>
      <c r="F1125">
        <v>364</v>
      </c>
      <c r="G1125">
        <v>90</v>
      </c>
      <c r="H1125">
        <v>43</v>
      </c>
      <c r="I1125">
        <v>156</v>
      </c>
      <c r="J1125">
        <v>3.72</v>
      </c>
      <c r="K1125">
        <v>565</v>
      </c>
      <c r="L1125">
        <v>0.78</v>
      </c>
      <c r="M1125">
        <v>6.1</v>
      </c>
      <c r="N1125">
        <v>268</v>
      </c>
      <c r="O1125">
        <v>5.33</v>
      </c>
      <c r="P1125">
        <v>2.69</v>
      </c>
    </row>
    <row r="1126" spans="1:16">
      <c r="A1126" s="1" t="s">
        <v>1161</v>
      </c>
      <c r="B1126" s="1" t="s">
        <v>1177</v>
      </c>
      <c r="C1126" s="1" t="s">
        <v>105</v>
      </c>
      <c r="D1126" s="1" t="s">
        <v>5789</v>
      </c>
      <c r="E1126" s="1" t="s">
        <v>1166</v>
      </c>
      <c r="F1126">
        <v>272</v>
      </c>
      <c r="G1126">
        <v>74</v>
      </c>
      <c r="H1126">
        <v>39</v>
      </c>
      <c r="I1126">
        <v>156</v>
      </c>
      <c r="J1126">
        <v>2.84</v>
      </c>
      <c r="K1126">
        <v>541</v>
      </c>
      <c r="L1126">
        <v>0.56000000000000005</v>
      </c>
      <c r="M1126">
        <v>4.4000000000000004</v>
      </c>
      <c r="N1126">
        <v>168</v>
      </c>
      <c r="O1126">
        <v>523</v>
      </c>
      <c r="P1126">
        <v>2.5099999999999998</v>
      </c>
    </row>
    <row r="1127" spans="1:16">
      <c r="A1127" s="1" t="s">
        <v>1161</v>
      </c>
      <c r="B1127" s="1" t="s">
        <v>1178</v>
      </c>
      <c r="C1127" s="1" t="s">
        <v>105</v>
      </c>
      <c r="D1127" s="1" t="s">
        <v>5789</v>
      </c>
      <c r="E1127" s="1" t="s">
        <v>1166</v>
      </c>
      <c r="F1127">
        <v>351</v>
      </c>
      <c r="G1127">
        <v>106</v>
      </c>
      <c r="H1127">
        <v>37</v>
      </c>
      <c r="I1127">
        <v>150</v>
      </c>
      <c r="J1127">
        <v>2.62</v>
      </c>
      <c r="K1127">
        <v>522</v>
      </c>
      <c r="L1127">
        <v>0.86</v>
      </c>
      <c r="M1127">
        <v>4.71</v>
      </c>
      <c r="N1127">
        <v>258</v>
      </c>
      <c r="O1127">
        <v>4.9800000000000004</v>
      </c>
      <c r="P1127">
        <v>3.77</v>
      </c>
    </row>
    <row r="1128" spans="1:16">
      <c r="A1128" s="1" t="s">
        <v>1161</v>
      </c>
      <c r="B1128" s="1" t="s">
        <v>1179</v>
      </c>
      <c r="C1128" s="1" t="s">
        <v>105</v>
      </c>
      <c r="D1128" s="1" t="s">
        <v>5789</v>
      </c>
      <c r="E1128" s="1" t="s">
        <v>1166</v>
      </c>
      <c r="F1128">
        <v>245</v>
      </c>
      <c r="G1128">
        <v>52</v>
      </c>
      <c r="H1128">
        <v>37</v>
      </c>
      <c r="I1128">
        <v>161</v>
      </c>
      <c r="J1128">
        <f>2.08/2</f>
        <v>1.04</v>
      </c>
      <c r="K1128">
        <v>509</v>
      </c>
      <c r="L1128">
        <v>0.62</v>
      </c>
      <c r="M1128">
        <v>4.41</v>
      </c>
      <c r="N1128">
        <v>163</v>
      </c>
      <c r="O1128">
        <v>4.68</v>
      </c>
      <c r="P1128">
        <v>2.5499999999999998</v>
      </c>
    </row>
    <row r="1129" spans="1:16">
      <c r="A1129" s="1" t="s">
        <v>1161</v>
      </c>
      <c r="B1129" s="1" t="s">
        <v>1180</v>
      </c>
      <c r="C1129" s="1" t="s">
        <v>105</v>
      </c>
      <c r="D1129" s="1" t="s">
        <v>5789</v>
      </c>
      <c r="E1129" s="1" t="s">
        <v>1166</v>
      </c>
      <c r="F1129">
        <v>203</v>
      </c>
      <c r="G1129">
        <v>57</v>
      </c>
      <c r="H1129">
        <v>43</v>
      </c>
      <c r="I1129">
        <v>161</v>
      </c>
      <c r="J1129">
        <v>2.54</v>
      </c>
      <c r="K1129">
        <v>483</v>
      </c>
      <c r="L1129">
        <v>1.27</v>
      </c>
      <c r="M1129">
        <v>5.04</v>
      </c>
      <c r="N1129">
        <v>109</v>
      </c>
      <c r="O1129">
        <v>3</v>
      </c>
      <c r="P1129">
        <v>1.77</v>
      </c>
    </row>
    <row r="1130" spans="1:16">
      <c r="A1130" s="1" t="s">
        <v>1161</v>
      </c>
      <c r="B1130" s="1" t="s">
        <v>1181</v>
      </c>
      <c r="C1130" s="1" t="s">
        <v>105</v>
      </c>
      <c r="D1130" s="1" t="s">
        <v>5789</v>
      </c>
      <c r="E1130" s="1" t="s">
        <v>1166</v>
      </c>
      <c r="F1130">
        <v>254</v>
      </c>
      <c r="G1130">
        <v>74</v>
      </c>
      <c r="H1130">
        <v>69</v>
      </c>
      <c r="I1130">
        <v>168</v>
      </c>
      <c r="J1130">
        <v>2.46</v>
      </c>
      <c r="K1130">
        <v>486</v>
      </c>
      <c r="L1130">
        <v>4.0199999999999996</v>
      </c>
      <c r="M1130">
        <v>3.62</v>
      </c>
      <c r="N1130">
        <v>143</v>
      </c>
      <c r="O1130">
        <v>2.69</v>
      </c>
      <c r="P1130">
        <v>3.26</v>
      </c>
    </row>
    <row r="1131" spans="1:16">
      <c r="A1131" s="1" t="s">
        <v>1161</v>
      </c>
      <c r="B1131" s="1" t="s">
        <v>1182</v>
      </c>
      <c r="C1131" s="1" t="s">
        <v>105</v>
      </c>
      <c r="D1131" s="1" t="s">
        <v>5789</v>
      </c>
      <c r="E1131" s="1" t="s">
        <v>1166</v>
      </c>
      <c r="F1131">
        <v>253</v>
      </c>
      <c r="G1131">
        <v>88</v>
      </c>
      <c r="H1131">
        <v>49</v>
      </c>
      <c r="I1131">
        <v>165</v>
      </c>
      <c r="J1131">
        <f>2.08/2</f>
        <v>1.04</v>
      </c>
      <c r="K1131">
        <v>494</v>
      </c>
      <c r="L1131">
        <v>1.44</v>
      </c>
      <c r="M1131">
        <v>4.18</v>
      </c>
      <c r="N1131">
        <v>180</v>
      </c>
      <c r="O1131">
        <v>4.3600000000000003</v>
      </c>
      <c r="P1131">
        <v>4.8099999999999996</v>
      </c>
    </row>
    <row r="1132" spans="1:16">
      <c r="A1132" s="1" t="s">
        <v>1161</v>
      </c>
      <c r="B1132" s="1" t="s">
        <v>1183</v>
      </c>
      <c r="C1132" s="1" t="s">
        <v>105</v>
      </c>
      <c r="D1132" s="1" t="s">
        <v>5789</v>
      </c>
      <c r="E1132" s="1" t="s">
        <v>1166</v>
      </c>
      <c r="F1132">
        <v>298</v>
      </c>
      <c r="G1132">
        <v>103</v>
      </c>
      <c r="H1132">
        <v>48</v>
      </c>
      <c r="I1132">
        <v>169</v>
      </c>
      <c r="J1132">
        <v>3.3</v>
      </c>
      <c r="K1132">
        <v>498</v>
      </c>
      <c r="L1132">
        <v>1.73</v>
      </c>
      <c r="M1132">
        <v>4.91</v>
      </c>
      <c r="N1132">
        <v>221</v>
      </c>
      <c r="O1132">
        <v>4.5999999999999996</v>
      </c>
      <c r="P1132">
        <v>4.3</v>
      </c>
    </row>
    <row r="1133" spans="1:16">
      <c r="A1133" s="1" t="s">
        <v>1161</v>
      </c>
      <c r="B1133" s="1" t="s">
        <v>1184</v>
      </c>
      <c r="C1133" s="1" t="s">
        <v>105</v>
      </c>
      <c r="D1133" s="1" t="s">
        <v>5789</v>
      </c>
      <c r="E1133" s="1" t="s">
        <v>1166</v>
      </c>
      <c r="F1133">
        <v>208</v>
      </c>
      <c r="G1133">
        <v>61</v>
      </c>
      <c r="H1133">
        <v>41</v>
      </c>
      <c r="I1133">
        <v>160</v>
      </c>
      <c r="J1133">
        <f>2.08/2</f>
        <v>1.04</v>
      </c>
      <c r="K1133">
        <v>482</v>
      </c>
      <c r="L1133">
        <v>3.91</v>
      </c>
      <c r="M1133">
        <v>4.54</v>
      </c>
      <c r="N1133">
        <v>122</v>
      </c>
      <c r="O1133">
        <v>2.2000000000000002</v>
      </c>
      <c r="P1133">
        <v>2.41</v>
      </c>
    </row>
    <row r="1134" spans="1:16">
      <c r="A1134" s="1" t="s">
        <v>1161</v>
      </c>
      <c r="B1134" s="1" t="s">
        <v>1185</v>
      </c>
      <c r="C1134" s="1" t="s">
        <v>105</v>
      </c>
      <c r="D1134" s="1" t="s">
        <v>5789</v>
      </c>
      <c r="E1134" s="1" t="s">
        <v>1166</v>
      </c>
      <c r="F1134">
        <v>255</v>
      </c>
      <c r="G1134">
        <v>94</v>
      </c>
      <c r="H1134">
        <v>38</v>
      </c>
      <c r="I1134">
        <v>165</v>
      </c>
      <c r="J1134">
        <v>3.7</v>
      </c>
      <c r="K1134">
        <v>487</v>
      </c>
      <c r="L1134">
        <v>1.96</v>
      </c>
      <c r="M1134">
        <v>4.08</v>
      </c>
      <c r="N1134">
        <v>186</v>
      </c>
      <c r="O1134">
        <v>2.87</v>
      </c>
      <c r="P1134">
        <v>4.13</v>
      </c>
    </row>
    <row r="1135" spans="1:16">
      <c r="A1135" s="1" t="s">
        <v>1161</v>
      </c>
      <c r="B1135" s="1" t="s">
        <v>1186</v>
      </c>
      <c r="C1135" s="1" t="s">
        <v>105</v>
      </c>
      <c r="D1135" s="1" t="s">
        <v>5789</v>
      </c>
      <c r="E1135" s="1" t="s">
        <v>1166</v>
      </c>
      <c r="F1135">
        <v>216</v>
      </c>
      <c r="G1135">
        <v>75</v>
      </c>
      <c r="H1135">
        <v>55</v>
      </c>
      <c r="I1135">
        <v>162</v>
      </c>
      <c r="J1135">
        <v>3.12</v>
      </c>
      <c r="K1135">
        <v>485</v>
      </c>
      <c r="L1135">
        <v>1.03</v>
      </c>
      <c r="M1135">
        <v>4.75</v>
      </c>
      <c r="N1135">
        <v>149</v>
      </c>
      <c r="O1135">
        <v>3.88</v>
      </c>
      <c r="P1135">
        <v>3.07</v>
      </c>
    </row>
    <row r="1136" spans="1:16">
      <c r="A1136" s="1" t="s">
        <v>1161</v>
      </c>
      <c r="B1136" s="1" t="s">
        <v>1187</v>
      </c>
      <c r="C1136" s="1" t="s">
        <v>105</v>
      </c>
      <c r="D1136" s="1" t="s">
        <v>5789</v>
      </c>
      <c r="E1136" s="1" t="s">
        <v>1166</v>
      </c>
      <c r="F1136">
        <v>247</v>
      </c>
      <c r="G1136">
        <v>92</v>
      </c>
      <c r="H1136">
        <v>70</v>
      </c>
      <c r="I1136">
        <v>171</v>
      </c>
      <c r="J1136">
        <f>2.08/2</f>
        <v>1.04</v>
      </c>
      <c r="K1136">
        <v>400</v>
      </c>
      <c r="L1136">
        <v>6.04</v>
      </c>
      <c r="M1136">
        <v>7.52</v>
      </c>
      <c r="N1136">
        <v>154</v>
      </c>
      <c r="O1136">
        <v>5.08</v>
      </c>
      <c r="P1136">
        <v>2.94</v>
      </c>
    </row>
    <row r="1137" spans="1:16">
      <c r="A1137" s="1" t="s">
        <v>1161</v>
      </c>
      <c r="B1137" s="1" t="s">
        <v>1188</v>
      </c>
      <c r="C1137" s="1" t="s">
        <v>105</v>
      </c>
      <c r="D1137" s="1" t="s">
        <v>5789</v>
      </c>
      <c r="E1137" s="1" t="s">
        <v>1166</v>
      </c>
      <c r="F1137">
        <v>226</v>
      </c>
      <c r="G1137">
        <v>37</v>
      </c>
      <c r="H1137">
        <v>54</v>
      </c>
      <c r="I1137">
        <v>165</v>
      </c>
      <c r="J1137">
        <v>3.23</v>
      </c>
      <c r="K1137">
        <v>467</v>
      </c>
      <c r="L1137">
        <v>5.43</v>
      </c>
      <c r="M1137">
        <v>6.3</v>
      </c>
      <c r="N1137">
        <v>99.4</v>
      </c>
      <c r="O1137">
        <v>3.97</v>
      </c>
      <c r="P1137">
        <v>147</v>
      </c>
    </row>
    <row r="1138" spans="1:16">
      <c r="A1138" s="1" t="s">
        <v>1161</v>
      </c>
      <c r="B1138" s="1" t="s">
        <v>1189</v>
      </c>
      <c r="C1138" s="1" t="s">
        <v>105</v>
      </c>
      <c r="D1138" s="1" t="s">
        <v>5789</v>
      </c>
      <c r="E1138" s="1" t="s">
        <v>1166</v>
      </c>
      <c r="F1138">
        <v>359</v>
      </c>
      <c r="G1138">
        <v>93</v>
      </c>
      <c r="H1138">
        <v>44</v>
      </c>
      <c r="I1138">
        <v>167</v>
      </c>
      <c r="J1138">
        <v>3.8</v>
      </c>
      <c r="K1138">
        <v>492</v>
      </c>
      <c r="L1138">
        <v>1.1399999999999999</v>
      </c>
      <c r="M1138">
        <v>9.66</v>
      </c>
      <c r="N1138">
        <v>223</v>
      </c>
      <c r="O1138">
        <v>4.8499999999999996</v>
      </c>
      <c r="P1138">
        <v>3.02</v>
      </c>
    </row>
    <row r="1139" spans="1:16">
      <c r="A1139" s="1" t="s">
        <v>1161</v>
      </c>
      <c r="B1139" s="1" t="s">
        <v>1190</v>
      </c>
      <c r="C1139" s="1" t="s">
        <v>105</v>
      </c>
      <c r="D1139" s="1" t="s">
        <v>5789</v>
      </c>
      <c r="E1139" s="1" t="s">
        <v>1166</v>
      </c>
      <c r="F1139">
        <v>182</v>
      </c>
      <c r="G1139">
        <v>322</v>
      </c>
      <c r="H1139">
        <v>384</v>
      </c>
      <c r="I1139">
        <v>419</v>
      </c>
      <c r="J1139">
        <v>15</v>
      </c>
      <c r="K1139">
        <v>185</v>
      </c>
      <c r="L1139">
        <v>6.95</v>
      </c>
      <c r="M1139">
        <v>1.73</v>
      </c>
      <c r="N1139">
        <v>84.1</v>
      </c>
      <c r="O1139">
        <v>21.7</v>
      </c>
      <c r="P1139">
        <v>3.37</v>
      </c>
    </row>
    <row r="1140" spans="1:16">
      <c r="A1140" s="1" t="s">
        <v>1161</v>
      </c>
      <c r="B1140" s="1" t="s">
        <v>1191</v>
      </c>
      <c r="C1140" s="1" t="s">
        <v>105</v>
      </c>
      <c r="D1140" s="1" t="s">
        <v>5789</v>
      </c>
      <c r="E1140" s="1" t="s">
        <v>1166</v>
      </c>
      <c r="F1140">
        <v>217</v>
      </c>
      <c r="G1140">
        <v>355</v>
      </c>
      <c r="H1140">
        <v>425</v>
      </c>
      <c r="I1140">
        <v>315</v>
      </c>
      <c r="J1140">
        <v>7.54</v>
      </c>
      <c r="K1140">
        <v>214</v>
      </c>
      <c r="L1140">
        <v>8.65</v>
      </c>
      <c r="M1140">
        <v>1.1299999999999999</v>
      </c>
      <c r="N1140">
        <v>101</v>
      </c>
      <c r="O1140">
        <v>23.7</v>
      </c>
      <c r="P1140">
        <v>3.2</v>
      </c>
    </row>
    <row r="1141" spans="1:16">
      <c r="A1141" s="1" t="s">
        <v>1161</v>
      </c>
      <c r="B1141" s="1" t="s">
        <v>1192</v>
      </c>
      <c r="C1141" s="1" t="s">
        <v>105</v>
      </c>
      <c r="D1141" s="1" t="s">
        <v>5789</v>
      </c>
      <c r="E1141" s="1" t="s">
        <v>1166</v>
      </c>
      <c r="F1141">
        <v>172</v>
      </c>
      <c r="G1141">
        <v>252</v>
      </c>
      <c r="H1141">
        <v>388</v>
      </c>
      <c r="I1141">
        <v>307</v>
      </c>
      <c r="J1141">
        <v>5.91</v>
      </c>
      <c r="K1141">
        <v>185</v>
      </c>
      <c r="L1141">
        <v>6.84</v>
      </c>
      <c r="M1141">
        <v>1.76</v>
      </c>
      <c r="N1141">
        <v>70.3</v>
      </c>
      <c r="O1141">
        <v>22.4</v>
      </c>
      <c r="P1141">
        <v>3.19</v>
      </c>
    </row>
    <row r="1142" spans="1:16">
      <c r="A1142" s="1" t="s">
        <v>1161</v>
      </c>
      <c r="B1142" s="1" t="s">
        <v>1193</v>
      </c>
      <c r="C1142" s="1" t="s">
        <v>105</v>
      </c>
      <c r="D1142" s="1" t="s">
        <v>5789</v>
      </c>
      <c r="E1142" s="1" t="s">
        <v>1166</v>
      </c>
      <c r="F1142">
        <v>177</v>
      </c>
      <c r="G1142">
        <v>311</v>
      </c>
      <c r="H1142">
        <v>408</v>
      </c>
      <c r="I1142">
        <v>299</v>
      </c>
      <c r="J1142">
        <v>11.5</v>
      </c>
      <c r="K1142">
        <v>168</v>
      </c>
      <c r="L1142">
        <v>1.62</v>
      </c>
      <c r="M1142">
        <v>230</v>
      </c>
      <c r="N1142">
        <v>76.2</v>
      </c>
      <c r="O1142">
        <v>24</v>
      </c>
      <c r="P1142">
        <v>3.38</v>
      </c>
    </row>
    <row r="1143" spans="1:16">
      <c r="A1143" s="1" t="s">
        <v>1161</v>
      </c>
      <c r="B1143" s="1" t="s">
        <v>1194</v>
      </c>
      <c r="C1143" s="1" t="s">
        <v>105</v>
      </c>
      <c r="D1143" s="1" t="s">
        <v>5789</v>
      </c>
      <c r="E1143" s="1" t="s">
        <v>1166</v>
      </c>
      <c r="F1143">
        <v>263</v>
      </c>
      <c r="G1143">
        <v>363</v>
      </c>
      <c r="H1143">
        <v>410</v>
      </c>
      <c r="I1143">
        <v>298</v>
      </c>
      <c r="J1143">
        <v>13.2</v>
      </c>
      <c r="K1143">
        <v>174</v>
      </c>
      <c r="L1143">
        <v>3.14</v>
      </c>
      <c r="M1143">
        <v>1.35</v>
      </c>
      <c r="N1143">
        <v>73.599999999999994</v>
      </c>
      <c r="O1143">
        <v>22.9</v>
      </c>
      <c r="P1143">
        <v>3.26</v>
      </c>
    </row>
    <row r="1144" spans="1:16">
      <c r="A1144" s="1" t="s">
        <v>1161</v>
      </c>
      <c r="B1144" s="1" t="s">
        <v>1195</v>
      </c>
      <c r="C1144" s="1" t="s">
        <v>105</v>
      </c>
      <c r="D1144" s="1" t="s">
        <v>5789</v>
      </c>
      <c r="E1144" s="1" t="s">
        <v>1166</v>
      </c>
      <c r="F1144">
        <v>205</v>
      </c>
      <c r="G1144">
        <v>314</v>
      </c>
      <c r="H1144">
        <v>474</v>
      </c>
      <c r="I1144">
        <v>418</v>
      </c>
      <c r="J1144">
        <v>14.3</v>
      </c>
      <c r="K1144">
        <v>177</v>
      </c>
      <c r="L1144">
        <v>2.29</v>
      </c>
      <c r="M1144">
        <v>2.06</v>
      </c>
      <c r="N1144">
        <v>89.5</v>
      </c>
      <c r="O1144">
        <v>24.1</v>
      </c>
      <c r="P1144">
        <v>3.1</v>
      </c>
    </row>
    <row r="1145" spans="1:16">
      <c r="A1145" s="1" t="s">
        <v>1161</v>
      </c>
      <c r="B1145" s="1" t="s">
        <v>1196</v>
      </c>
      <c r="C1145" s="1" t="s">
        <v>105</v>
      </c>
      <c r="D1145" s="1" t="s">
        <v>5789</v>
      </c>
      <c r="E1145" s="1" t="s">
        <v>1166</v>
      </c>
      <c r="F1145">
        <v>148</v>
      </c>
      <c r="G1145">
        <v>304</v>
      </c>
      <c r="H1145">
        <v>275</v>
      </c>
      <c r="I1145">
        <v>335</v>
      </c>
      <c r="J1145">
        <v>16</v>
      </c>
      <c r="K1145">
        <v>177</v>
      </c>
      <c r="L1145">
        <v>1.51</v>
      </c>
      <c r="M1145">
        <v>1.63</v>
      </c>
      <c r="N1145">
        <v>65.8</v>
      </c>
      <c r="O1145">
        <v>16.8</v>
      </c>
      <c r="P1145">
        <v>3.91</v>
      </c>
    </row>
    <row r="1146" spans="1:16">
      <c r="A1146" s="1" t="s">
        <v>1161</v>
      </c>
      <c r="B1146" s="1" t="s">
        <v>1197</v>
      </c>
      <c r="C1146" s="1" t="s">
        <v>105</v>
      </c>
      <c r="D1146" s="1" t="s">
        <v>5789</v>
      </c>
      <c r="E1146" s="1" t="s">
        <v>1166</v>
      </c>
      <c r="F1146">
        <v>138</v>
      </c>
      <c r="G1146">
        <v>295</v>
      </c>
      <c r="H1146">
        <v>353</v>
      </c>
      <c r="I1146">
        <v>418</v>
      </c>
      <c r="J1146">
        <v>18.600000000000001</v>
      </c>
      <c r="K1146">
        <v>176</v>
      </c>
      <c r="L1146">
        <v>1.25</v>
      </c>
      <c r="M1146">
        <v>1.45</v>
      </c>
      <c r="N1146">
        <v>74.2</v>
      </c>
      <c r="O1146">
        <v>18.3</v>
      </c>
      <c r="P1146">
        <v>3.61</v>
      </c>
    </row>
    <row r="1147" spans="1:16">
      <c r="A1147" s="1" t="s">
        <v>1161</v>
      </c>
      <c r="B1147" s="1" t="s">
        <v>1198</v>
      </c>
      <c r="C1147" s="1" t="s">
        <v>105</v>
      </c>
      <c r="D1147" s="1" t="s">
        <v>5789</v>
      </c>
      <c r="E1147" s="1" t="s">
        <v>1166</v>
      </c>
      <c r="F1147">
        <v>132</v>
      </c>
      <c r="G1147">
        <v>280</v>
      </c>
      <c r="H1147">
        <v>362</v>
      </c>
      <c r="I1147">
        <v>425</v>
      </c>
      <c r="J1147">
        <v>31.1</v>
      </c>
      <c r="K1147">
        <v>156</v>
      </c>
      <c r="L1147">
        <v>3.71</v>
      </c>
      <c r="M1147">
        <v>0.69</v>
      </c>
      <c r="N1147">
        <v>56</v>
      </c>
      <c r="O1147">
        <v>18.2</v>
      </c>
      <c r="P1147">
        <v>3.23</v>
      </c>
    </row>
    <row r="1148" spans="1:16">
      <c r="A1148" s="1" t="s">
        <v>1161</v>
      </c>
      <c r="B1148" s="1" t="s">
        <v>1199</v>
      </c>
      <c r="C1148" s="1" t="s">
        <v>105</v>
      </c>
      <c r="D1148" s="1" t="s">
        <v>5789</v>
      </c>
      <c r="E1148" s="1" t="s">
        <v>1166</v>
      </c>
      <c r="F1148">
        <v>152</v>
      </c>
      <c r="G1148">
        <v>296</v>
      </c>
      <c r="H1148">
        <v>318</v>
      </c>
      <c r="I1148">
        <v>402</v>
      </c>
      <c r="J1148">
        <v>16.3</v>
      </c>
      <c r="K1148">
        <v>176</v>
      </c>
      <c r="L1148">
        <v>2.64</v>
      </c>
      <c r="M1148">
        <v>1.36</v>
      </c>
      <c r="N1148">
        <v>80.900000000000006</v>
      </c>
      <c r="O1148">
        <v>18.2</v>
      </c>
      <c r="P1148">
        <v>3.33</v>
      </c>
    </row>
    <row r="1149" spans="1:16">
      <c r="A1149" s="1" t="s">
        <v>1161</v>
      </c>
      <c r="B1149" s="1" t="s">
        <v>1200</v>
      </c>
      <c r="C1149" s="1" t="s">
        <v>105</v>
      </c>
      <c r="D1149" s="1" t="s">
        <v>5789</v>
      </c>
      <c r="E1149" s="1" t="s">
        <v>1166</v>
      </c>
      <c r="F1149">
        <v>231</v>
      </c>
      <c r="G1149">
        <v>283</v>
      </c>
      <c r="H1149">
        <v>279</v>
      </c>
      <c r="I1149">
        <v>386</v>
      </c>
      <c r="J1149">
        <v>22.4</v>
      </c>
      <c r="K1149">
        <v>187</v>
      </c>
      <c r="L1149">
        <v>3.1</v>
      </c>
      <c r="M1149">
        <v>2.16</v>
      </c>
      <c r="N1149">
        <v>67.8</v>
      </c>
      <c r="O1149">
        <v>15.8</v>
      </c>
      <c r="P1149">
        <v>3.25</v>
      </c>
    </row>
    <row r="1150" spans="1:16">
      <c r="A1150" s="1" t="s">
        <v>1161</v>
      </c>
      <c r="B1150" s="1" t="s">
        <v>1201</v>
      </c>
      <c r="C1150" s="1" t="s">
        <v>105</v>
      </c>
      <c r="D1150" s="1" t="s">
        <v>5789</v>
      </c>
      <c r="E1150" s="1" t="s">
        <v>1166</v>
      </c>
      <c r="F1150">
        <v>107</v>
      </c>
      <c r="G1150">
        <v>233</v>
      </c>
      <c r="H1150">
        <v>327</v>
      </c>
      <c r="I1150">
        <v>419</v>
      </c>
      <c r="J1150">
        <v>28</v>
      </c>
      <c r="K1150">
        <v>150</v>
      </c>
      <c r="L1150">
        <v>1.82</v>
      </c>
      <c r="M1150">
        <v>1.69</v>
      </c>
      <c r="N1150">
        <v>47.6</v>
      </c>
      <c r="O1150">
        <v>16.3</v>
      </c>
      <c r="P1150">
        <v>3.39</v>
      </c>
    </row>
    <row r="1151" spans="1:16">
      <c r="A1151" s="1" t="s">
        <v>1161</v>
      </c>
      <c r="B1151" s="1" t="s">
        <v>1202</v>
      </c>
      <c r="C1151" s="1" t="s">
        <v>105</v>
      </c>
      <c r="D1151" s="1" t="s">
        <v>5789</v>
      </c>
      <c r="E1151" s="1" t="s">
        <v>1166</v>
      </c>
      <c r="F1151">
        <v>169</v>
      </c>
      <c r="G1151">
        <v>298</v>
      </c>
      <c r="H1151">
        <v>341</v>
      </c>
      <c r="I1151">
        <v>388</v>
      </c>
      <c r="J1151">
        <v>12.6</v>
      </c>
      <c r="K1151">
        <v>190</v>
      </c>
      <c r="L1151">
        <v>7.89</v>
      </c>
      <c r="M1151">
        <f>1.07/2</f>
        <v>0.53500000000000003</v>
      </c>
      <c r="N1151">
        <v>86.8</v>
      </c>
      <c r="O1151">
        <v>22.1</v>
      </c>
      <c r="P1151">
        <v>3.87</v>
      </c>
    </row>
    <row r="1152" spans="1:16">
      <c r="A1152" s="1" t="s">
        <v>1161</v>
      </c>
      <c r="B1152" s="1" t="s">
        <v>1203</v>
      </c>
      <c r="C1152" s="1" t="s">
        <v>105</v>
      </c>
      <c r="D1152" s="1" t="s">
        <v>5789</v>
      </c>
      <c r="E1152" s="1" t="s">
        <v>1166</v>
      </c>
      <c r="F1152">
        <v>198</v>
      </c>
      <c r="G1152">
        <v>339</v>
      </c>
      <c r="H1152">
        <v>323</v>
      </c>
      <c r="I1152">
        <v>438</v>
      </c>
      <c r="J1152">
        <v>21.6</v>
      </c>
      <c r="K1152">
        <v>196</v>
      </c>
      <c r="L1152">
        <v>2.4300000000000002</v>
      </c>
      <c r="M1152">
        <v>2.2599999999999998</v>
      </c>
      <c r="N1152">
        <v>85.2</v>
      </c>
      <c r="O1152">
        <v>18</v>
      </c>
      <c r="P1152">
        <v>4.1399999999999997</v>
      </c>
    </row>
    <row r="1153" spans="1:16">
      <c r="A1153" s="1" t="s">
        <v>1161</v>
      </c>
      <c r="B1153" s="1" t="s">
        <v>1204</v>
      </c>
      <c r="C1153" s="1" t="s">
        <v>105</v>
      </c>
      <c r="D1153" s="1" t="s">
        <v>5789</v>
      </c>
      <c r="E1153" s="1" t="s">
        <v>1166</v>
      </c>
      <c r="F1153">
        <v>468</v>
      </c>
      <c r="G1153">
        <v>395</v>
      </c>
      <c r="H1153">
        <v>490</v>
      </c>
      <c r="I1153">
        <v>252</v>
      </c>
      <c r="J1153">
        <v>11.1</v>
      </c>
      <c r="K1153">
        <v>221</v>
      </c>
      <c r="L1153">
        <v>0.49</v>
      </c>
      <c r="M1153">
        <v>19</v>
      </c>
      <c r="N1153">
        <v>125</v>
      </c>
      <c r="O1153">
        <v>5.25</v>
      </c>
      <c r="P1153">
        <v>424</v>
      </c>
    </row>
    <row r="1154" spans="1:16">
      <c r="A1154" s="1" t="s">
        <v>1161</v>
      </c>
      <c r="B1154" s="1" t="s">
        <v>1205</v>
      </c>
      <c r="C1154" s="1" t="s">
        <v>105</v>
      </c>
      <c r="D1154" s="1" t="s">
        <v>5789</v>
      </c>
      <c r="E1154" s="1" t="s">
        <v>1166</v>
      </c>
      <c r="F1154">
        <v>361</v>
      </c>
      <c r="G1154">
        <v>381</v>
      </c>
      <c r="H1154">
        <v>463</v>
      </c>
      <c r="I1154">
        <v>250</v>
      </c>
      <c r="J1154">
        <v>2.79</v>
      </c>
      <c r="K1154">
        <v>156</v>
      </c>
      <c r="L1154">
        <v>1.61</v>
      </c>
      <c r="M1154">
        <v>25.5</v>
      </c>
      <c r="N1154">
        <v>59.7</v>
      </c>
      <c r="O1154">
        <v>5.67</v>
      </c>
      <c r="P1154">
        <v>3.62</v>
      </c>
    </row>
    <row r="1155" spans="1:16">
      <c r="A1155" s="1" t="s">
        <v>1161</v>
      </c>
      <c r="B1155" s="1" t="s">
        <v>1206</v>
      </c>
      <c r="C1155" s="1" t="s">
        <v>105</v>
      </c>
      <c r="D1155" s="1" t="s">
        <v>5789</v>
      </c>
      <c r="E1155" s="1" t="s">
        <v>1166</v>
      </c>
      <c r="F1155">
        <v>389</v>
      </c>
      <c r="G1155">
        <v>407</v>
      </c>
      <c r="H1155">
        <v>483</v>
      </c>
      <c r="I1155">
        <v>252</v>
      </c>
      <c r="J1155">
        <f>2.08/2</f>
        <v>1.04</v>
      </c>
      <c r="K1155">
        <v>164</v>
      </c>
      <c r="L1155">
        <v>1.68</v>
      </c>
      <c r="M1155">
        <v>25.5</v>
      </c>
      <c r="N1155">
        <v>95.8</v>
      </c>
      <c r="O1155">
        <v>5.18</v>
      </c>
      <c r="P1155">
        <v>7.2</v>
      </c>
    </row>
    <row r="1156" spans="1:16">
      <c r="A1156" s="1" t="s">
        <v>1161</v>
      </c>
      <c r="B1156" s="1" t="s">
        <v>1207</v>
      </c>
      <c r="C1156" s="1" t="s">
        <v>105</v>
      </c>
      <c r="D1156" s="1" t="s">
        <v>5789</v>
      </c>
      <c r="E1156" s="1" t="s">
        <v>1166</v>
      </c>
      <c r="F1156">
        <v>195</v>
      </c>
      <c r="G1156">
        <v>221</v>
      </c>
      <c r="H1156">
        <v>494</v>
      </c>
      <c r="I1156">
        <v>293</v>
      </c>
      <c r="J1156">
        <v>5.43</v>
      </c>
      <c r="K1156">
        <v>134</v>
      </c>
      <c r="L1156">
        <v>1.47</v>
      </c>
      <c r="M1156">
        <v>12.5</v>
      </c>
      <c r="N1156">
        <v>44.5</v>
      </c>
      <c r="O1156">
        <v>5.52</v>
      </c>
      <c r="P1156">
        <v>1.87</v>
      </c>
    </row>
    <row r="1157" spans="1:16">
      <c r="A1157" s="1" t="s">
        <v>1161</v>
      </c>
      <c r="B1157" s="1" t="s">
        <v>1208</v>
      </c>
      <c r="C1157" s="1" t="s">
        <v>105</v>
      </c>
      <c r="D1157" s="1" t="s">
        <v>5789</v>
      </c>
      <c r="E1157" s="1" t="s">
        <v>1166</v>
      </c>
      <c r="F1157">
        <v>245</v>
      </c>
      <c r="G1157">
        <v>241</v>
      </c>
      <c r="H1157">
        <v>582</v>
      </c>
      <c r="I1157">
        <v>329</v>
      </c>
      <c r="J1157">
        <f>2.08/2</f>
        <v>1.04</v>
      </c>
      <c r="K1157">
        <v>144</v>
      </c>
      <c r="L1157">
        <v>2.2599999999999998</v>
      </c>
      <c r="M1157">
        <v>9.61</v>
      </c>
      <c r="N1157">
        <v>64.099999999999994</v>
      </c>
      <c r="O1157">
        <v>5.33</v>
      </c>
      <c r="P1157">
        <v>14.4</v>
      </c>
    </row>
    <row r="1158" spans="1:16">
      <c r="A1158" s="1" t="s">
        <v>1161</v>
      </c>
      <c r="B1158" s="1" t="s">
        <v>1209</v>
      </c>
      <c r="C1158" s="1" t="s">
        <v>105</v>
      </c>
      <c r="D1158" s="1" t="s">
        <v>5789</v>
      </c>
      <c r="E1158" s="1" t="s">
        <v>1166</v>
      </c>
      <c r="F1158">
        <v>248</v>
      </c>
      <c r="G1158">
        <v>254</v>
      </c>
      <c r="H1158">
        <v>541</v>
      </c>
      <c r="I1158">
        <v>330</v>
      </c>
      <c r="J1158">
        <v>233</v>
      </c>
      <c r="K1158">
        <v>145</v>
      </c>
      <c r="L1158">
        <v>2.21</v>
      </c>
      <c r="M1158">
        <v>9.7799999999999994</v>
      </c>
      <c r="N1158">
        <v>55.6</v>
      </c>
      <c r="O1158">
        <v>5.47</v>
      </c>
      <c r="P1158">
        <v>7.64</v>
      </c>
    </row>
    <row r="1159" spans="1:16">
      <c r="A1159" s="1" t="s">
        <v>1161</v>
      </c>
      <c r="B1159" s="1" t="s">
        <v>1210</v>
      </c>
      <c r="C1159" s="1" t="s">
        <v>105</v>
      </c>
      <c r="D1159" s="1" t="s">
        <v>5789</v>
      </c>
      <c r="E1159" s="1" t="s">
        <v>1166</v>
      </c>
      <c r="F1159">
        <v>569</v>
      </c>
      <c r="G1159">
        <v>485</v>
      </c>
      <c r="H1159">
        <v>401</v>
      </c>
      <c r="I1159">
        <v>337</v>
      </c>
      <c r="J1159">
        <v>232</v>
      </c>
      <c r="K1159">
        <v>250</v>
      </c>
      <c r="L1159">
        <v>1.53</v>
      </c>
      <c r="M1159">
        <v>14.7</v>
      </c>
      <c r="N1159">
        <v>157</v>
      </c>
      <c r="O1159">
        <v>5.84</v>
      </c>
      <c r="P1159">
        <v>6.11</v>
      </c>
    </row>
    <row r="1160" spans="1:16">
      <c r="A1160" s="1" t="s">
        <v>1161</v>
      </c>
      <c r="B1160" s="1" t="s">
        <v>1211</v>
      </c>
      <c r="C1160" s="1" t="s">
        <v>105</v>
      </c>
      <c r="D1160" s="1" t="s">
        <v>5789</v>
      </c>
      <c r="E1160" s="1" t="s">
        <v>1166</v>
      </c>
      <c r="F1160">
        <v>403</v>
      </c>
      <c r="G1160">
        <v>304</v>
      </c>
      <c r="H1160">
        <v>518</v>
      </c>
      <c r="I1160">
        <v>278</v>
      </c>
      <c r="J1160">
        <f>2.08/2</f>
        <v>1.04</v>
      </c>
      <c r="K1160">
        <v>146</v>
      </c>
      <c r="L1160">
        <v>1.1399999999999999</v>
      </c>
      <c r="M1160">
        <v>13.2</v>
      </c>
      <c r="N1160">
        <v>77.8</v>
      </c>
      <c r="O1160">
        <v>4.9400000000000004</v>
      </c>
      <c r="P1160">
        <v>9.83</v>
      </c>
    </row>
    <row r="1161" spans="1:16">
      <c r="A1161" s="1" t="s">
        <v>1161</v>
      </c>
      <c r="B1161" s="1" t="s">
        <v>1212</v>
      </c>
      <c r="C1161" s="1" t="s">
        <v>105</v>
      </c>
      <c r="D1161" s="1" t="s">
        <v>5789</v>
      </c>
      <c r="E1161" s="1" t="s">
        <v>1166</v>
      </c>
      <c r="F1161">
        <v>386</v>
      </c>
      <c r="G1161">
        <v>320</v>
      </c>
      <c r="H1161">
        <v>508</v>
      </c>
      <c r="I1161">
        <v>277</v>
      </c>
      <c r="J1161">
        <f>2.08/2</f>
        <v>1.04</v>
      </c>
      <c r="K1161">
        <v>169</v>
      </c>
      <c r="L1161">
        <v>0.73</v>
      </c>
      <c r="M1161">
        <v>16.2</v>
      </c>
      <c r="N1161">
        <v>81.2</v>
      </c>
      <c r="O1161">
        <v>4.8499999999999996</v>
      </c>
      <c r="P1161">
        <v>3.68</v>
      </c>
    </row>
    <row r="1162" spans="1:16">
      <c r="A1162" s="1" t="s">
        <v>1161</v>
      </c>
      <c r="B1162" s="1" t="s">
        <v>1213</v>
      </c>
      <c r="C1162" s="1" t="s">
        <v>105</v>
      </c>
      <c r="D1162" s="1" t="s">
        <v>5789</v>
      </c>
      <c r="E1162" s="1" t="s">
        <v>1166</v>
      </c>
      <c r="F1162">
        <v>262</v>
      </c>
      <c r="G1162">
        <v>306</v>
      </c>
      <c r="H1162">
        <v>504</v>
      </c>
      <c r="I1162">
        <v>293</v>
      </c>
      <c r="J1162">
        <v>3.34</v>
      </c>
      <c r="K1162">
        <v>134</v>
      </c>
      <c r="L1162">
        <v>0.75</v>
      </c>
      <c r="M1162">
        <v>15.7</v>
      </c>
      <c r="N1162">
        <v>58.9</v>
      </c>
      <c r="O1162">
        <v>5.44</v>
      </c>
      <c r="P1162">
        <v>11.4</v>
      </c>
    </row>
    <row r="1163" spans="1:16">
      <c r="A1163" s="1" t="s">
        <v>1161</v>
      </c>
      <c r="B1163" s="1" t="s">
        <v>1214</v>
      </c>
      <c r="C1163" s="1" t="s">
        <v>105</v>
      </c>
      <c r="D1163" s="1" t="s">
        <v>5789</v>
      </c>
      <c r="E1163" s="1" t="s">
        <v>1166</v>
      </c>
      <c r="F1163">
        <v>363</v>
      </c>
      <c r="G1163">
        <v>274</v>
      </c>
      <c r="H1163">
        <v>632</v>
      </c>
      <c r="I1163">
        <v>377</v>
      </c>
      <c r="J1163">
        <v>4.25</v>
      </c>
      <c r="K1163">
        <v>152</v>
      </c>
      <c r="L1163">
        <v>0.26</v>
      </c>
      <c r="M1163">
        <v>12.4</v>
      </c>
      <c r="N1163">
        <v>92.2</v>
      </c>
      <c r="O1163">
        <v>5.9</v>
      </c>
      <c r="P1163">
        <v>7.68</v>
      </c>
    </row>
    <row r="1164" spans="1:16">
      <c r="A1164" s="1" t="s">
        <v>1161</v>
      </c>
      <c r="B1164" s="1" t="s">
        <v>1215</v>
      </c>
      <c r="C1164" s="1" t="s">
        <v>105</v>
      </c>
      <c r="D1164" s="1" t="s">
        <v>5789</v>
      </c>
      <c r="E1164" s="1" t="s">
        <v>1166</v>
      </c>
      <c r="F1164">
        <v>464</v>
      </c>
      <c r="G1164">
        <v>217</v>
      </c>
      <c r="H1164">
        <v>363</v>
      </c>
      <c r="I1164">
        <v>263</v>
      </c>
      <c r="J1164">
        <f>2.08/2</f>
        <v>1.04</v>
      </c>
      <c r="K1164">
        <v>152</v>
      </c>
      <c r="L1164">
        <v>0.56000000000000005</v>
      </c>
      <c r="M1164">
        <v>12.6</v>
      </c>
      <c r="N1164">
        <v>76.2</v>
      </c>
      <c r="O1164">
        <v>4.99</v>
      </c>
      <c r="P1164">
        <v>9.7799999999999994</v>
      </c>
    </row>
    <row r="1165" spans="1:16">
      <c r="A1165" s="1" t="s">
        <v>1161</v>
      </c>
      <c r="B1165" s="1" t="s">
        <v>1216</v>
      </c>
      <c r="C1165" s="1" t="s">
        <v>105</v>
      </c>
      <c r="D1165" s="1" t="s">
        <v>5789</v>
      </c>
      <c r="E1165" s="1" t="s">
        <v>1166</v>
      </c>
      <c r="F1165">
        <v>482</v>
      </c>
      <c r="G1165">
        <v>249</v>
      </c>
      <c r="H1165">
        <v>485</v>
      </c>
      <c r="I1165">
        <v>270</v>
      </c>
      <c r="J1165">
        <f>2.08/2</f>
        <v>1.04</v>
      </c>
      <c r="K1165">
        <v>155</v>
      </c>
      <c r="L1165">
        <v>0.74</v>
      </c>
      <c r="M1165">
        <v>14.1</v>
      </c>
      <c r="N1165">
        <v>82.6</v>
      </c>
      <c r="O1165">
        <v>5.64</v>
      </c>
      <c r="P1165">
        <v>14.8</v>
      </c>
    </row>
    <row r="1166" spans="1:16">
      <c r="A1166" s="1" t="s">
        <v>1161</v>
      </c>
      <c r="B1166" s="1" t="s">
        <v>1217</v>
      </c>
      <c r="C1166" s="1" t="s">
        <v>105</v>
      </c>
      <c r="D1166" s="1" t="s">
        <v>5789</v>
      </c>
      <c r="E1166" s="1" t="s">
        <v>1166</v>
      </c>
      <c r="F1166">
        <v>463</v>
      </c>
      <c r="G1166">
        <v>222</v>
      </c>
      <c r="H1166">
        <v>440</v>
      </c>
      <c r="I1166">
        <v>268</v>
      </c>
      <c r="J1166">
        <v>3.78</v>
      </c>
      <c r="K1166">
        <v>118</v>
      </c>
      <c r="L1166">
        <v>0.82</v>
      </c>
      <c r="M1166">
        <v>10.4</v>
      </c>
      <c r="N1166">
        <v>55.8</v>
      </c>
      <c r="O1166">
        <v>5.23</v>
      </c>
      <c r="P1166">
        <v>25.3</v>
      </c>
    </row>
    <row r="1167" spans="1:16">
      <c r="A1167" s="1" t="s">
        <v>1161</v>
      </c>
      <c r="B1167" s="1" t="s">
        <v>1218</v>
      </c>
      <c r="C1167" s="1" t="s">
        <v>105</v>
      </c>
      <c r="D1167" s="1" t="s">
        <v>5789</v>
      </c>
      <c r="E1167" s="1" t="s">
        <v>1166</v>
      </c>
      <c r="F1167">
        <v>335</v>
      </c>
      <c r="G1167">
        <v>202</v>
      </c>
      <c r="H1167">
        <v>578</v>
      </c>
      <c r="I1167">
        <v>329</v>
      </c>
      <c r="J1167">
        <v>3.07</v>
      </c>
      <c r="K1167">
        <v>160</v>
      </c>
      <c r="L1167">
        <v>0.21</v>
      </c>
      <c r="M1167">
        <v>13.1</v>
      </c>
      <c r="N1167">
        <v>77.400000000000006</v>
      </c>
      <c r="O1167">
        <v>4.82</v>
      </c>
      <c r="P1167">
        <v>16.5</v>
      </c>
    </row>
    <row r="1168" spans="1:16">
      <c r="A1168" s="1" t="s">
        <v>1161</v>
      </c>
      <c r="B1168" s="1" t="s">
        <v>1219</v>
      </c>
      <c r="C1168" s="1" t="s">
        <v>105</v>
      </c>
      <c r="D1168" s="1" t="s">
        <v>5789</v>
      </c>
      <c r="E1168" s="1" t="s">
        <v>1166</v>
      </c>
      <c r="F1168">
        <v>609</v>
      </c>
      <c r="G1168">
        <v>315</v>
      </c>
      <c r="H1168">
        <v>500</v>
      </c>
      <c r="I1168">
        <v>343</v>
      </c>
      <c r="J1168">
        <f>2.08/2</f>
        <v>1.04</v>
      </c>
      <c r="K1168">
        <v>139</v>
      </c>
      <c r="L1168">
        <v>0.25</v>
      </c>
      <c r="M1168">
        <v>14.6</v>
      </c>
      <c r="N1168">
        <v>78.900000000000006</v>
      </c>
      <c r="O1168">
        <v>5.25</v>
      </c>
      <c r="P1168">
        <v>12.6</v>
      </c>
    </row>
    <row r="1169" spans="1:16">
      <c r="A1169" s="1" t="s">
        <v>1161</v>
      </c>
      <c r="B1169" s="1" t="s">
        <v>1220</v>
      </c>
      <c r="C1169" s="1" t="s">
        <v>105</v>
      </c>
      <c r="D1169" s="1" t="s">
        <v>5789</v>
      </c>
      <c r="E1169" s="1" t="s">
        <v>1166</v>
      </c>
      <c r="F1169">
        <v>376</v>
      </c>
      <c r="G1169">
        <v>159</v>
      </c>
      <c r="H1169">
        <v>535</v>
      </c>
      <c r="I1169">
        <v>327</v>
      </c>
      <c r="J1169">
        <f>2.08/2</f>
        <v>1.04</v>
      </c>
      <c r="K1169">
        <v>116</v>
      </c>
      <c r="L1169">
        <f>0.036/2</f>
        <v>1.7999999999999999E-2</v>
      </c>
      <c r="M1169">
        <v>16.5</v>
      </c>
      <c r="N1169">
        <v>56.1</v>
      </c>
      <c r="O1169">
        <v>5.67</v>
      </c>
      <c r="P1169">
        <v>5.14</v>
      </c>
    </row>
    <row r="1170" spans="1:16">
      <c r="A1170" s="1" t="s">
        <v>1161</v>
      </c>
      <c r="B1170" s="1" t="s">
        <v>1221</v>
      </c>
      <c r="C1170" s="1" t="s">
        <v>105</v>
      </c>
      <c r="D1170" s="1" t="s">
        <v>5789</v>
      </c>
      <c r="E1170" s="1" t="s">
        <v>1166</v>
      </c>
      <c r="F1170">
        <v>287</v>
      </c>
      <c r="G1170">
        <v>116</v>
      </c>
      <c r="H1170">
        <v>154</v>
      </c>
      <c r="I1170">
        <v>175</v>
      </c>
      <c r="J1170">
        <v>3.86</v>
      </c>
      <c r="K1170">
        <v>411</v>
      </c>
      <c r="L1170">
        <v>5.14</v>
      </c>
      <c r="M1170">
        <f>1.07/2</f>
        <v>0.53500000000000003</v>
      </c>
      <c r="N1170">
        <v>49.2</v>
      </c>
      <c r="O1170">
        <v>4.3600000000000003</v>
      </c>
      <c r="P1170">
        <v>21.2</v>
      </c>
    </row>
    <row r="1171" spans="1:16">
      <c r="A1171" s="1" t="s">
        <v>1161</v>
      </c>
      <c r="B1171" s="1" t="s">
        <v>1222</v>
      </c>
      <c r="C1171" s="1" t="s">
        <v>105</v>
      </c>
      <c r="D1171" s="1" t="s">
        <v>5789</v>
      </c>
      <c r="E1171" s="1" t="s">
        <v>1166</v>
      </c>
      <c r="F1171">
        <v>362</v>
      </c>
      <c r="G1171">
        <v>155</v>
      </c>
      <c r="H1171">
        <v>136</v>
      </c>
      <c r="I1171">
        <v>179</v>
      </c>
      <c r="J1171">
        <v>4.0199999999999996</v>
      </c>
      <c r="K1171">
        <v>441</v>
      </c>
      <c r="L1171">
        <v>6.08</v>
      </c>
      <c r="M1171">
        <f>1.07/2</f>
        <v>0.53500000000000003</v>
      </c>
      <c r="N1171">
        <v>78.3</v>
      </c>
      <c r="O1171">
        <v>4.6399999999999997</v>
      </c>
      <c r="P1171">
        <v>10.199999999999999</v>
      </c>
    </row>
    <row r="1172" spans="1:16">
      <c r="A1172" s="1" t="s">
        <v>1161</v>
      </c>
      <c r="B1172" s="1" t="s">
        <v>1223</v>
      </c>
      <c r="C1172" s="1" t="s">
        <v>105</v>
      </c>
      <c r="D1172" s="1" t="s">
        <v>5789</v>
      </c>
      <c r="E1172" s="1" t="s">
        <v>1166</v>
      </c>
      <c r="F1172">
        <v>347</v>
      </c>
      <c r="G1172">
        <v>141</v>
      </c>
      <c r="H1172">
        <v>132</v>
      </c>
      <c r="I1172">
        <v>173</v>
      </c>
      <c r="J1172">
        <v>3.06</v>
      </c>
      <c r="K1172">
        <v>419</v>
      </c>
      <c r="L1172">
        <v>6.46</v>
      </c>
      <c r="M1172">
        <v>2.23</v>
      </c>
      <c r="N1172">
        <v>59</v>
      </c>
      <c r="O1172">
        <v>4.28</v>
      </c>
      <c r="P1172">
        <v>9.43</v>
      </c>
    </row>
    <row r="1173" spans="1:16">
      <c r="A1173" s="1" t="s">
        <v>1161</v>
      </c>
      <c r="B1173" s="1" t="s">
        <v>1224</v>
      </c>
      <c r="C1173" s="1" t="s">
        <v>105</v>
      </c>
      <c r="D1173" s="1" t="s">
        <v>5789</v>
      </c>
      <c r="E1173" s="1" t="s">
        <v>1166</v>
      </c>
      <c r="F1173">
        <v>285</v>
      </c>
      <c r="G1173">
        <v>97</v>
      </c>
      <c r="H1173">
        <v>147</v>
      </c>
      <c r="I1173">
        <v>170</v>
      </c>
      <c r="J1173">
        <f>2.08/2</f>
        <v>1.04</v>
      </c>
      <c r="K1173">
        <v>404</v>
      </c>
      <c r="L1173">
        <v>6</v>
      </c>
      <c r="M1173">
        <v>1.41</v>
      </c>
      <c r="N1173">
        <v>49.2</v>
      </c>
      <c r="O1173">
        <v>4.18</v>
      </c>
      <c r="P1173">
        <v>10.4</v>
      </c>
    </row>
    <row r="1174" spans="1:16">
      <c r="A1174" s="1" t="s">
        <v>1161</v>
      </c>
      <c r="B1174" s="1" t="s">
        <v>1225</v>
      </c>
      <c r="C1174" s="1" t="s">
        <v>105</v>
      </c>
      <c r="D1174" s="1" t="s">
        <v>5789</v>
      </c>
      <c r="E1174" s="1" t="s">
        <v>1166</v>
      </c>
      <c r="F1174">
        <v>310</v>
      </c>
      <c r="G1174">
        <v>134</v>
      </c>
      <c r="H1174">
        <v>135</v>
      </c>
      <c r="I1174">
        <v>164</v>
      </c>
      <c r="J1174">
        <f>2.08/2</f>
        <v>1.04</v>
      </c>
      <c r="K1174">
        <v>410</v>
      </c>
      <c r="L1174">
        <v>6.8</v>
      </c>
      <c r="M1174">
        <v>1.52</v>
      </c>
      <c r="N1174">
        <v>52.1</v>
      </c>
      <c r="O1174">
        <v>3.85</v>
      </c>
      <c r="P1174">
        <v>10.5</v>
      </c>
    </row>
    <row r="1175" spans="1:16">
      <c r="A1175" s="1" t="s">
        <v>1161</v>
      </c>
      <c r="B1175" s="1" t="s">
        <v>1226</v>
      </c>
      <c r="C1175" s="1" t="s">
        <v>105</v>
      </c>
      <c r="D1175" s="1" t="s">
        <v>5789</v>
      </c>
      <c r="E1175" s="1" t="s">
        <v>1166</v>
      </c>
      <c r="F1175">
        <v>422</v>
      </c>
      <c r="G1175">
        <v>148</v>
      </c>
      <c r="H1175">
        <v>139</v>
      </c>
      <c r="I1175">
        <v>174</v>
      </c>
      <c r="J1175">
        <v>3.07</v>
      </c>
      <c r="K1175">
        <v>415</v>
      </c>
      <c r="L1175">
        <v>7.75</v>
      </c>
      <c r="M1175">
        <f>1.07/2</f>
        <v>0.53500000000000003</v>
      </c>
      <c r="N1175">
        <v>79</v>
      </c>
      <c r="O1175">
        <v>4.8099999999999996</v>
      </c>
      <c r="P1175">
        <v>16.7</v>
      </c>
    </row>
    <row r="1176" spans="1:16">
      <c r="A1176" s="1" t="s">
        <v>1161</v>
      </c>
      <c r="B1176" s="1" t="s">
        <v>1227</v>
      </c>
      <c r="C1176" s="1" t="s">
        <v>105</v>
      </c>
      <c r="D1176" s="1" t="s">
        <v>5789</v>
      </c>
      <c r="E1176" s="1" t="s">
        <v>1166</v>
      </c>
      <c r="F1176">
        <v>254</v>
      </c>
      <c r="G1176">
        <v>89</v>
      </c>
      <c r="H1176">
        <v>132</v>
      </c>
      <c r="I1176">
        <v>168</v>
      </c>
      <c r="J1176">
        <v>3.22</v>
      </c>
      <c r="K1176">
        <v>389</v>
      </c>
      <c r="L1176">
        <v>7.19</v>
      </c>
      <c r="M1176">
        <f>1.07/2</f>
        <v>0.53500000000000003</v>
      </c>
      <c r="N1176">
        <v>38.1</v>
      </c>
      <c r="O1176">
        <v>4.18</v>
      </c>
      <c r="P1176">
        <v>7.93</v>
      </c>
    </row>
    <row r="1177" spans="1:16">
      <c r="A1177" s="1" t="s">
        <v>1161</v>
      </c>
      <c r="B1177" s="1" t="s">
        <v>1228</v>
      </c>
      <c r="C1177" s="1" t="s">
        <v>105</v>
      </c>
      <c r="D1177" s="1" t="s">
        <v>5789</v>
      </c>
      <c r="E1177" s="1" t="s">
        <v>1166</v>
      </c>
      <c r="F1177">
        <v>315</v>
      </c>
      <c r="G1177">
        <v>117</v>
      </c>
      <c r="H1177">
        <v>141</v>
      </c>
      <c r="I1177">
        <v>179</v>
      </c>
      <c r="J1177">
        <v>6.97</v>
      </c>
      <c r="K1177">
        <v>398</v>
      </c>
      <c r="L1177">
        <v>6.64</v>
      </c>
      <c r="M1177">
        <f>1.07/2</f>
        <v>0.53500000000000003</v>
      </c>
      <c r="N1177">
        <v>52.8</v>
      </c>
      <c r="O1177">
        <v>4.05</v>
      </c>
      <c r="P1177">
        <v>14.9</v>
      </c>
    </row>
    <row r="1178" spans="1:16">
      <c r="A1178" s="1" t="s">
        <v>1161</v>
      </c>
      <c r="B1178" s="1" t="s">
        <v>1229</v>
      </c>
      <c r="C1178" s="1" t="s">
        <v>105</v>
      </c>
      <c r="D1178" s="1" t="s">
        <v>5789</v>
      </c>
      <c r="E1178" s="1" t="s">
        <v>1166</v>
      </c>
      <c r="F1178">
        <v>299</v>
      </c>
      <c r="G1178">
        <v>112</v>
      </c>
      <c r="H1178">
        <v>146</v>
      </c>
      <c r="I1178">
        <v>179</v>
      </c>
      <c r="J1178">
        <v>11</v>
      </c>
      <c r="K1178">
        <v>393</v>
      </c>
      <c r="L1178">
        <v>7.53</v>
      </c>
      <c r="M1178">
        <v>3.86</v>
      </c>
      <c r="N1178">
        <v>45.7</v>
      </c>
      <c r="O1178">
        <v>4.6100000000000003</v>
      </c>
      <c r="P1178">
        <v>8.58</v>
      </c>
    </row>
    <row r="1179" spans="1:16">
      <c r="A1179" s="1" t="s">
        <v>1161</v>
      </c>
      <c r="B1179" s="1" t="s">
        <v>1230</v>
      </c>
      <c r="C1179" s="1" t="s">
        <v>105</v>
      </c>
      <c r="D1179" s="1" t="s">
        <v>5789</v>
      </c>
      <c r="E1179" s="1" t="s">
        <v>1166</v>
      </c>
      <c r="F1179">
        <v>278</v>
      </c>
      <c r="G1179">
        <v>94</v>
      </c>
      <c r="H1179">
        <v>147</v>
      </c>
      <c r="I1179">
        <v>176</v>
      </c>
      <c r="J1179">
        <v>9.3699999999999992</v>
      </c>
      <c r="K1179">
        <v>392</v>
      </c>
      <c r="L1179">
        <v>8.01</v>
      </c>
      <c r="M1179">
        <v>1.55</v>
      </c>
      <c r="N1179">
        <v>42.8</v>
      </c>
      <c r="O1179">
        <v>4.0599999999999996</v>
      </c>
      <c r="P1179">
        <v>8.23</v>
      </c>
    </row>
    <row r="1180" spans="1:16">
      <c r="A1180" s="1" t="s">
        <v>1161</v>
      </c>
      <c r="B1180" s="1" t="s">
        <v>1231</v>
      </c>
      <c r="C1180" s="1" t="s">
        <v>105</v>
      </c>
      <c r="D1180" s="1" t="s">
        <v>5789</v>
      </c>
      <c r="E1180" s="1" t="s">
        <v>1166</v>
      </c>
      <c r="F1180">
        <v>331</v>
      </c>
      <c r="G1180">
        <v>124</v>
      </c>
      <c r="H1180">
        <v>142</v>
      </c>
      <c r="I1180">
        <v>156</v>
      </c>
      <c r="J1180">
        <v>6.69</v>
      </c>
      <c r="K1180">
        <v>397</v>
      </c>
      <c r="L1180">
        <v>2.95</v>
      </c>
      <c r="M1180">
        <v>2.67</v>
      </c>
      <c r="N1180">
        <v>62.1</v>
      </c>
      <c r="O1180">
        <v>4.8</v>
      </c>
      <c r="P1180">
        <v>12.1</v>
      </c>
    </row>
    <row r="1181" spans="1:16">
      <c r="A1181" s="1" t="s">
        <v>1161</v>
      </c>
      <c r="B1181" s="1" t="s">
        <v>1232</v>
      </c>
      <c r="C1181" s="1" t="s">
        <v>105</v>
      </c>
      <c r="D1181" s="1" t="s">
        <v>5789</v>
      </c>
      <c r="E1181" s="1" t="s">
        <v>1166</v>
      </c>
      <c r="F1181">
        <v>293</v>
      </c>
      <c r="G1181">
        <v>119</v>
      </c>
      <c r="H1181">
        <v>165</v>
      </c>
      <c r="I1181">
        <v>181</v>
      </c>
      <c r="J1181">
        <v>1.51</v>
      </c>
      <c r="K1181">
        <v>365</v>
      </c>
      <c r="L1181">
        <v>9.42</v>
      </c>
      <c r="M1181">
        <v>3.56</v>
      </c>
      <c r="N1181">
        <v>45.8</v>
      </c>
      <c r="O1181">
        <v>4.4400000000000004</v>
      </c>
      <c r="P1181">
        <v>13.6</v>
      </c>
    </row>
    <row r="1182" spans="1:16">
      <c r="A1182" s="1" t="s">
        <v>1161</v>
      </c>
      <c r="B1182" s="1" t="s">
        <v>1233</v>
      </c>
      <c r="C1182" s="1" t="s">
        <v>105</v>
      </c>
      <c r="D1182" s="1" t="s">
        <v>5789</v>
      </c>
      <c r="E1182" s="1" t="s">
        <v>1166</v>
      </c>
      <c r="F1182">
        <v>351</v>
      </c>
      <c r="G1182">
        <v>137</v>
      </c>
      <c r="H1182">
        <v>164</v>
      </c>
      <c r="I1182">
        <v>173</v>
      </c>
      <c r="J1182">
        <v>2.2799999999999998</v>
      </c>
      <c r="K1182">
        <v>404</v>
      </c>
      <c r="L1182">
        <v>7.56</v>
      </c>
      <c r="M1182">
        <v>1.87</v>
      </c>
      <c r="N1182">
        <v>55.4</v>
      </c>
      <c r="O1182">
        <v>5.01</v>
      </c>
      <c r="P1182">
        <v>22.9</v>
      </c>
    </row>
    <row r="1183" spans="1:16">
      <c r="A1183" s="1" t="s">
        <v>1161</v>
      </c>
      <c r="B1183" s="1" t="s">
        <v>1234</v>
      </c>
      <c r="C1183" s="1" t="s">
        <v>105</v>
      </c>
      <c r="D1183" s="1" t="s">
        <v>5789</v>
      </c>
      <c r="E1183" s="1" t="s">
        <v>1166</v>
      </c>
      <c r="F1183">
        <v>307</v>
      </c>
      <c r="G1183">
        <v>127</v>
      </c>
      <c r="H1183">
        <v>148</v>
      </c>
      <c r="I1183">
        <v>167</v>
      </c>
      <c r="J1183">
        <v>3.88</v>
      </c>
      <c r="K1183">
        <v>394</v>
      </c>
      <c r="L1183">
        <v>723</v>
      </c>
      <c r="M1183">
        <v>1.31</v>
      </c>
      <c r="N1183">
        <v>48</v>
      </c>
      <c r="O1183">
        <v>4.01</v>
      </c>
      <c r="P1183">
        <v>8.76</v>
      </c>
    </row>
    <row r="1184" spans="1:16">
      <c r="A1184" s="1" t="s">
        <v>1161</v>
      </c>
      <c r="B1184" s="1" t="s">
        <v>1235</v>
      </c>
      <c r="C1184" s="1" t="s">
        <v>105</v>
      </c>
      <c r="D1184" s="1" t="s">
        <v>5789</v>
      </c>
      <c r="E1184" s="1" t="s">
        <v>1166</v>
      </c>
      <c r="F1184">
        <v>346</v>
      </c>
      <c r="G1184">
        <v>147</v>
      </c>
      <c r="H1184">
        <v>144</v>
      </c>
      <c r="I1184">
        <v>159</v>
      </c>
      <c r="J1184">
        <v>6.55</v>
      </c>
      <c r="K1184">
        <v>429</v>
      </c>
      <c r="L1184">
        <v>5.12</v>
      </c>
      <c r="M1184">
        <f>1.07/2</f>
        <v>0.53500000000000003</v>
      </c>
      <c r="N1184">
        <v>74.8</v>
      </c>
      <c r="O1184">
        <v>3.98</v>
      </c>
      <c r="P1184">
        <v>9.07</v>
      </c>
    </row>
    <row r="1185" spans="1:16">
      <c r="A1185" s="1" t="s">
        <v>1161</v>
      </c>
      <c r="B1185" s="1" t="s">
        <v>1236</v>
      </c>
      <c r="C1185" s="1" t="s">
        <v>105</v>
      </c>
      <c r="D1185" s="1" t="s">
        <v>5789</v>
      </c>
      <c r="E1185" s="1" t="s">
        <v>1166</v>
      </c>
      <c r="F1185">
        <v>345</v>
      </c>
      <c r="G1185">
        <v>162</v>
      </c>
      <c r="H1185">
        <v>143</v>
      </c>
      <c r="I1185">
        <v>169</v>
      </c>
      <c r="J1185">
        <v>3.73</v>
      </c>
      <c r="K1185">
        <v>430</v>
      </c>
      <c r="L1185">
        <v>5.58</v>
      </c>
      <c r="M1185">
        <v>1.46</v>
      </c>
      <c r="N1185">
        <v>75.7</v>
      </c>
      <c r="O1185">
        <v>4.7300000000000004</v>
      </c>
      <c r="P1185">
        <v>15.8</v>
      </c>
    </row>
    <row r="1186" spans="1:16">
      <c r="A1186" s="1" t="s">
        <v>1161</v>
      </c>
      <c r="B1186" s="1" t="s">
        <v>1237</v>
      </c>
      <c r="C1186" s="1" t="s">
        <v>105</v>
      </c>
      <c r="D1186" s="1" t="s">
        <v>5789</v>
      </c>
      <c r="E1186" s="1" t="s">
        <v>1166</v>
      </c>
      <c r="F1186">
        <v>297</v>
      </c>
      <c r="G1186">
        <v>111</v>
      </c>
      <c r="H1186">
        <v>145</v>
      </c>
      <c r="I1186">
        <v>169</v>
      </c>
      <c r="J1186">
        <f>2.08/2</f>
        <v>1.04</v>
      </c>
      <c r="K1186">
        <v>399</v>
      </c>
      <c r="L1186">
        <v>5.73</v>
      </c>
      <c r="M1186">
        <v>1.98</v>
      </c>
      <c r="N1186">
        <v>44.2</v>
      </c>
      <c r="O1186">
        <v>4.7</v>
      </c>
      <c r="P1186">
        <v>9.7799999999999994</v>
      </c>
    </row>
    <row r="1187" spans="1:16">
      <c r="A1187" s="1" t="s">
        <v>1161</v>
      </c>
      <c r="B1187" s="1" t="s">
        <v>1238</v>
      </c>
      <c r="C1187" s="1" t="s">
        <v>105</v>
      </c>
      <c r="D1187" s="1" t="s">
        <v>5789</v>
      </c>
      <c r="E1187" s="1" t="s">
        <v>1166</v>
      </c>
      <c r="F1187">
        <v>268</v>
      </c>
      <c r="G1187">
        <v>90</v>
      </c>
      <c r="H1187">
        <v>128</v>
      </c>
      <c r="I1187">
        <v>162</v>
      </c>
      <c r="J1187">
        <v>5.0599999999999996</v>
      </c>
      <c r="K1187">
        <v>386</v>
      </c>
      <c r="L1187">
        <v>1.1100000000000001</v>
      </c>
      <c r="M1187">
        <v>2.11</v>
      </c>
      <c r="N1187">
        <v>41</v>
      </c>
      <c r="O1187">
        <v>4.1100000000000003</v>
      </c>
      <c r="P1187">
        <v>7.52</v>
      </c>
    </row>
    <row r="1188" spans="1:16">
      <c r="A1188" s="1" t="s">
        <v>1161</v>
      </c>
      <c r="B1188" s="1" t="s">
        <v>1239</v>
      </c>
      <c r="C1188" s="1" t="s">
        <v>105</v>
      </c>
      <c r="D1188" s="1" t="s">
        <v>5789</v>
      </c>
      <c r="E1188" s="1" t="s">
        <v>1166</v>
      </c>
      <c r="F1188">
        <v>357</v>
      </c>
      <c r="G1188">
        <v>132</v>
      </c>
      <c r="H1188">
        <v>140</v>
      </c>
      <c r="I1188">
        <v>153</v>
      </c>
      <c r="J1188">
        <v>6.03</v>
      </c>
      <c r="K1188">
        <v>419</v>
      </c>
      <c r="L1188">
        <v>3.75</v>
      </c>
      <c r="M1188">
        <v>2.83</v>
      </c>
      <c r="N1188">
        <v>66.900000000000006</v>
      </c>
      <c r="O1188">
        <v>5.04</v>
      </c>
      <c r="P1188">
        <v>18</v>
      </c>
    </row>
    <row r="1189" spans="1:16">
      <c r="A1189" s="1" t="s">
        <v>1161</v>
      </c>
      <c r="B1189" s="1" t="s">
        <v>1240</v>
      </c>
      <c r="C1189" s="1" t="s">
        <v>105</v>
      </c>
      <c r="D1189" s="1" t="s">
        <v>5789</v>
      </c>
      <c r="E1189" s="1" t="s">
        <v>1166</v>
      </c>
      <c r="F1189">
        <v>735</v>
      </c>
      <c r="G1189">
        <v>185</v>
      </c>
      <c r="H1189">
        <v>268</v>
      </c>
      <c r="I1189">
        <v>213</v>
      </c>
      <c r="J1189">
        <v>68.2</v>
      </c>
      <c r="K1189">
        <v>178</v>
      </c>
      <c r="L1189">
        <v>31</v>
      </c>
      <c r="M1189">
        <v>3.02</v>
      </c>
      <c r="N1189">
        <v>53.8</v>
      </c>
      <c r="O1189">
        <v>4.38</v>
      </c>
      <c r="P1189">
        <v>200</v>
      </c>
    </row>
    <row r="1190" spans="1:16">
      <c r="A1190" s="1" t="s">
        <v>1161</v>
      </c>
      <c r="B1190" s="1" t="s">
        <v>1241</v>
      </c>
      <c r="C1190" s="1" t="s">
        <v>105</v>
      </c>
      <c r="D1190" s="1" t="s">
        <v>5789</v>
      </c>
      <c r="E1190" s="1" t="s">
        <v>1166</v>
      </c>
      <c r="F1190">
        <v>460</v>
      </c>
      <c r="G1190">
        <v>159</v>
      </c>
      <c r="H1190">
        <v>248</v>
      </c>
      <c r="I1190">
        <v>201</v>
      </c>
      <c r="J1190">
        <v>22.5</v>
      </c>
      <c r="K1190">
        <v>124</v>
      </c>
      <c r="L1190">
        <f>0.036/2</f>
        <v>1.7999999999999999E-2</v>
      </c>
      <c r="M1190">
        <f>1.07/2</f>
        <v>0.53500000000000003</v>
      </c>
      <c r="N1190">
        <v>47</v>
      </c>
      <c r="O1190">
        <v>5.15</v>
      </c>
      <c r="P1190">
        <v>3.93</v>
      </c>
    </row>
    <row r="1191" spans="1:16">
      <c r="A1191" s="1" t="s">
        <v>1161</v>
      </c>
      <c r="B1191" s="1" t="s">
        <v>1242</v>
      </c>
      <c r="C1191" s="1" t="s">
        <v>105</v>
      </c>
      <c r="D1191" s="1" t="s">
        <v>5789</v>
      </c>
      <c r="E1191" s="1" t="s">
        <v>1166</v>
      </c>
      <c r="F1191">
        <v>531</v>
      </c>
      <c r="G1191">
        <v>229</v>
      </c>
      <c r="H1191">
        <v>295</v>
      </c>
      <c r="I1191">
        <v>217</v>
      </c>
      <c r="J1191">
        <v>47.7</v>
      </c>
      <c r="K1191">
        <v>216</v>
      </c>
      <c r="L1191">
        <v>29</v>
      </c>
      <c r="M1191">
        <v>1.1299999999999999</v>
      </c>
      <c r="N1191">
        <v>59.8</v>
      </c>
      <c r="O1191">
        <v>5.0599999999999996</v>
      </c>
      <c r="P1191">
        <v>19</v>
      </c>
    </row>
    <row r="1192" spans="1:16">
      <c r="A1192" s="1" t="s">
        <v>1161</v>
      </c>
      <c r="B1192" s="1" t="s">
        <v>1243</v>
      </c>
      <c r="C1192" s="1" t="s">
        <v>105</v>
      </c>
      <c r="D1192" s="1" t="s">
        <v>5789</v>
      </c>
      <c r="E1192" s="1" t="s">
        <v>1166</v>
      </c>
      <c r="F1192">
        <v>556</v>
      </c>
      <c r="G1192">
        <v>182</v>
      </c>
      <c r="H1192">
        <v>264</v>
      </c>
      <c r="I1192">
        <v>198</v>
      </c>
      <c r="J1192">
        <v>12.8</v>
      </c>
      <c r="K1192">
        <v>249</v>
      </c>
      <c r="L1192">
        <v>0.54</v>
      </c>
      <c r="M1192">
        <v>1.19</v>
      </c>
      <c r="N1192">
        <v>84.7</v>
      </c>
      <c r="O1192">
        <v>4.3899999999999997</v>
      </c>
      <c r="P1192">
        <v>11.2</v>
      </c>
    </row>
    <row r="1193" spans="1:16">
      <c r="A1193" s="1" t="s">
        <v>1161</v>
      </c>
      <c r="B1193" s="1" t="s">
        <v>1244</v>
      </c>
      <c r="C1193" s="1" t="s">
        <v>105</v>
      </c>
      <c r="D1193" s="1" t="s">
        <v>5789</v>
      </c>
      <c r="E1193" s="1" t="s">
        <v>1166</v>
      </c>
      <c r="F1193">
        <v>573</v>
      </c>
      <c r="G1193">
        <v>217</v>
      </c>
      <c r="H1193">
        <v>308</v>
      </c>
      <c r="I1193">
        <v>201</v>
      </c>
      <c r="J1193">
        <v>19.399999999999999</v>
      </c>
      <c r="K1193">
        <v>170</v>
      </c>
      <c r="L1193">
        <v>0.21</v>
      </c>
      <c r="M1193">
        <v>2.2400000000000002</v>
      </c>
      <c r="N1193">
        <v>50.3</v>
      </c>
      <c r="O1193">
        <v>5.44</v>
      </c>
      <c r="P1193">
        <v>27.3</v>
      </c>
    </row>
    <row r="1194" spans="1:16">
      <c r="A1194" s="1" t="s">
        <v>1161</v>
      </c>
      <c r="B1194" s="1" t="s">
        <v>1245</v>
      </c>
      <c r="C1194" s="1" t="s">
        <v>105</v>
      </c>
      <c r="D1194" s="1" t="s">
        <v>5789</v>
      </c>
      <c r="E1194" s="1" t="s">
        <v>1166</v>
      </c>
      <c r="F1194">
        <v>433</v>
      </c>
      <c r="G1194">
        <v>149</v>
      </c>
      <c r="H1194">
        <v>260</v>
      </c>
      <c r="I1194">
        <v>197</v>
      </c>
      <c r="J1194">
        <v>18.899999999999999</v>
      </c>
      <c r="K1194">
        <v>230</v>
      </c>
      <c r="L1194">
        <v>0.35</v>
      </c>
      <c r="M1194">
        <f>1.07/2</f>
        <v>0.53500000000000003</v>
      </c>
      <c r="N1194">
        <v>60.8</v>
      </c>
      <c r="O1194">
        <v>4.8600000000000003</v>
      </c>
      <c r="P1194">
        <v>14.4</v>
      </c>
    </row>
    <row r="1195" spans="1:16">
      <c r="A1195" s="1" t="s">
        <v>1161</v>
      </c>
      <c r="B1195" s="1" t="s">
        <v>1246</v>
      </c>
      <c r="C1195" s="1" t="s">
        <v>105</v>
      </c>
      <c r="D1195" s="1" t="s">
        <v>5789</v>
      </c>
      <c r="E1195" s="1" t="s">
        <v>1166</v>
      </c>
      <c r="F1195">
        <v>749</v>
      </c>
      <c r="G1195">
        <v>200</v>
      </c>
      <c r="H1195">
        <v>244</v>
      </c>
      <c r="I1195">
        <v>194</v>
      </c>
      <c r="J1195">
        <v>22</v>
      </c>
      <c r="K1195">
        <v>243</v>
      </c>
      <c r="L1195">
        <v>0.38</v>
      </c>
      <c r="M1195">
        <v>238</v>
      </c>
      <c r="N1195">
        <v>104</v>
      </c>
      <c r="O1195">
        <v>5.13</v>
      </c>
      <c r="P1195">
        <v>12.8</v>
      </c>
    </row>
    <row r="1196" spans="1:16">
      <c r="A1196" s="1" t="s">
        <v>1161</v>
      </c>
      <c r="B1196" s="1" t="s">
        <v>1247</v>
      </c>
      <c r="C1196" s="1" t="s">
        <v>105</v>
      </c>
      <c r="D1196" s="1" t="s">
        <v>5789</v>
      </c>
      <c r="E1196" s="1" t="s">
        <v>1166</v>
      </c>
      <c r="F1196">
        <v>388</v>
      </c>
      <c r="G1196">
        <v>183</v>
      </c>
      <c r="H1196">
        <v>278</v>
      </c>
      <c r="I1196">
        <v>201</v>
      </c>
      <c r="J1196">
        <v>22</v>
      </c>
      <c r="K1196">
        <v>234</v>
      </c>
      <c r="L1196">
        <v>0.57999999999999996</v>
      </c>
      <c r="M1196">
        <v>1.1499999999999999</v>
      </c>
      <c r="N1196">
        <v>80.099999999999994</v>
      </c>
      <c r="O1196">
        <v>5.17</v>
      </c>
      <c r="P1196">
        <v>28.3</v>
      </c>
    </row>
    <row r="1197" spans="1:16">
      <c r="A1197" s="1" t="s">
        <v>1161</v>
      </c>
      <c r="B1197" s="1" t="s">
        <v>1248</v>
      </c>
      <c r="C1197" s="1" t="s">
        <v>105</v>
      </c>
      <c r="D1197" s="1" t="s">
        <v>5789</v>
      </c>
      <c r="E1197" s="1" t="s">
        <v>1166</v>
      </c>
      <c r="F1197">
        <v>377</v>
      </c>
      <c r="G1197">
        <v>178</v>
      </c>
      <c r="H1197">
        <v>271</v>
      </c>
      <c r="I1197">
        <v>197</v>
      </c>
      <c r="J1197">
        <v>23.4</v>
      </c>
      <c r="K1197">
        <v>118</v>
      </c>
      <c r="L1197">
        <v>0.43</v>
      </c>
      <c r="M1197">
        <v>123</v>
      </c>
      <c r="N1197">
        <v>515</v>
      </c>
      <c r="O1197">
        <v>5.33</v>
      </c>
      <c r="P1197">
        <v>10.7</v>
      </c>
    </row>
    <row r="1198" spans="1:16">
      <c r="A1198" s="1" t="s">
        <v>1161</v>
      </c>
      <c r="B1198" s="1" t="s">
        <v>1249</v>
      </c>
      <c r="C1198" s="1" t="s">
        <v>105</v>
      </c>
      <c r="D1198" s="1" t="s">
        <v>5789</v>
      </c>
      <c r="E1198" s="1" t="s">
        <v>1166</v>
      </c>
      <c r="F1198">
        <v>2631</v>
      </c>
      <c r="G1198">
        <v>64</v>
      </c>
      <c r="H1198">
        <v>539</v>
      </c>
      <c r="I1198">
        <v>232</v>
      </c>
      <c r="J1198">
        <v>6.71</v>
      </c>
      <c r="K1198">
        <v>1627</v>
      </c>
      <c r="L1198">
        <v>12.5</v>
      </c>
      <c r="M1198">
        <v>2.0299999999999998</v>
      </c>
      <c r="N1198">
        <v>76.8</v>
      </c>
      <c r="O1198">
        <v>5.01</v>
      </c>
      <c r="P1198">
        <v>16.5</v>
      </c>
    </row>
    <row r="1199" spans="1:16">
      <c r="A1199" s="1" t="s">
        <v>1161</v>
      </c>
      <c r="B1199" s="1" t="s">
        <v>1250</v>
      </c>
      <c r="C1199" s="1" t="s">
        <v>105</v>
      </c>
      <c r="D1199" s="1" t="s">
        <v>5789</v>
      </c>
      <c r="E1199" s="1" t="s">
        <v>1166</v>
      </c>
      <c r="F1199">
        <v>3140</v>
      </c>
      <c r="G1199">
        <v>42</v>
      </c>
      <c r="H1199">
        <v>455</v>
      </c>
      <c r="I1199">
        <v>193</v>
      </c>
      <c r="J1199">
        <f>2.08/2</f>
        <v>1.04</v>
      </c>
      <c r="K1199">
        <v>1663</v>
      </c>
      <c r="L1199">
        <v>13.5</v>
      </c>
      <c r="M1199">
        <f>1.07/2</f>
        <v>0.53500000000000003</v>
      </c>
      <c r="N1199">
        <v>60.1</v>
      </c>
      <c r="O1199">
        <v>5.4</v>
      </c>
      <c r="P1199">
        <v>11.3</v>
      </c>
    </row>
    <row r="1200" spans="1:16">
      <c r="A1200" s="1" t="s">
        <v>1161</v>
      </c>
      <c r="B1200" s="1" t="s">
        <v>1251</v>
      </c>
      <c r="C1200" s="1" t="s">
        <v>105</v>
      </c>
      <c r="D1200" s="1" t="s">
        <v>5789</v>
      </c>
      <c r="E1200" s="1" t="s">
        <v>1166</v>
      </c>
      <c r="F1200">
        <v>3914</v>
      </c>
      <c r="G1200">
        <v>107</v>
      </c>
      <c r="H1200">
        <v>671</v>
      </c>
      <c r="I1200">
        <v>215</v>
      </c>
      <c r="J1200">
        <f>2/8/2</f>
        <v>0.125</v>
      </c>
      <c r="K1200">
        <v>1817</v>
      </c>
      <c r="L1200">
        <v>14</v>
      </c>
      <c r="M1200">
        <v>3.06</v>
      </c>
      <c r="N1200">
        <v>142</v>
      </c>
      <c r="O1200">
        <v>5.33</v>
      </c>
      <c r="P1200">
        <v>17</v>
      </c>
    </row>
    <row r="1201" spans="1:16">
      <c r="A1201" s="1" t="s">
        <v>1161</v>
      </c>
      <c r="B1201" s="1" t="s">
        <v>1252</v>
      </c>
      <c r="C1201" s="1" t="s">
        <v>105</v>
      </c>
      <c r="D1201" s="1" t="s">
        <v>5789</v>
      </c>
      <c r="E1201" s="1" t="s">
        <v>1166</v>
      </c>
      <c r="F1201">
        <v>4652</v>
      </c>
      <c r="G1201">
        <v>21</v>
      </c>
      <c r="H1201">
        <v>514</v>
      </c>
      <c r="I1201">
        <v>182</v>
      </c>
      <c r="J1201">
        <v>8.02</v>
      </c>
      <c r="K1201">
        <v>1517</v>
      </c>
      <c r="L1201">
        <v>19.600000000000001</v>
      </c>
      <c r="M1201">
        <v>320</v>
      </c>
      <c r="N1201">
        <v>109</v>
      </c>
      <c r="O1201">
        <v>3.44</v>
      </c>
      <c r="P1201">
        <v>9.2899999999999991</v>
      </c>
    </row>
    <row r="1202" spans="1:16">
      <c r="A1202" s="1" t="s">
        <v>1161</v>
      </c>
      <c r="B1202" s="1" t="s">
        <v>1253</v>
      </c>
      <c r="C1202" s="1" t="s">
        <v>105</v>
      </c>
      <c r="D1202" s="1" t="s">
        <v>5789</v>
      </c>
      <c r="E1202" s="1" t="s">
        <v>1166</v>
      </c>
      <c r="F1202">
        <v>508</v>
      </c>
      <c r="G1202">
        <v>183</v>
      </c>
      <c r="H1202">
        <v>142</v>
      </c>
      <c r="I1202">
        <v>167</v>
      </c>
      <c r="J1202">
        <v>2.5499999999999998</v>
      </c>
      <c r="K1202">
        <v>183</v>
      </c>
      <c r="L1202">
        <v>1.02</v>
      </c>
      <c r="M1202">
        <v>2.5099999999999998</v>
      </c>
      <c r="N1202">
        <v>69</v>
      </c>
      <c r="O1202">
        <v>7.89</v>
      </c>
      <c r="P1202">
        <v>10.9</v>
      </c>
    </row>
    <row r="1203" spans="1:16">
      <c r="A1203" s="1" t="s">
        <v>1161</v>
      </c>
      <c r="B1203" s="1" t="s">
        <v>1254</v>
      </c>
      <c r="C1203" s="1" t="s">
        <v>105</v>
      </c>
      <c r="D1203" s="1" t="s">
        <v>5789</v>
      </c>
      <c r="E1203" s="1" t="s">
        <v>1166</v>
      </c>
      <c r="F1203">
        <v>419</v>
      </c>
      <c r="G1203">
        <v>182</v>
      </c>
      <c r="H1203">
        <v>108</v>
      </c>
      <c r="I1203">
        <v>149</v>
      </c>
      <c r="J1203">
        <v>3.11</v>
      </c>
      <c r="K1203">
        <v>197</v>
      </c>
      <c r="L1203">
        <v>0.96</v>
      </c>
      <c r="M1203">
        <v>1.47</v>
      </c>
      <c r="N1203">
        <v>78.2</v>
      </c>
      <c r="O1203">
        <v>7.43</v>
      </c>
      <c r="P1203">
        <v>16.399999999999999</v>
      </c>
    </row>
    <row r="1204" spans="1:16">
      <c r="A1204" s="1" t="s">
        <v>1161</v>
      </c>
      <c r="B1204" s="1" t="s">
        <v>1255</v>
      </c>
      <c r="C1204" s="1" t="s">
        <v>105</v>
      </c>
      <c r="D1204" s="1" t="s">
        <v>5789</v>
      </c>
      <c r="E1204" s="1" t="s">
        <v>1166</v>
      </c>
      <c r="F1204">
        <v>503</v>
      </c>
      <c r="G1204">
        <v>181</v>
      </c>
      <c r="H1204">
        <v>118</v>
      </c>
      <c r="I1204">
        <v>108</v>
      </c>
      <c r="J1204">
        <v>2.95</v>
      </c>
      <c r="K1204">
        <v>219</v>
      </c>
      <c r="L1204">
        <v>2.1800000000000002</v>
      </c>
      <c r="M1204">
        <v>1.55</v>
      </c>
      <c r="N1204">
        <v>98</v>
      </c>
      <c r="O1204">
        <v>7.03</v>
      </c>
      <c r="P1204">
        <v>11.2</v>
      </c>
    </row>
    <row r="1205" spans="1:16">
      <c r="A1205" s="1" t="s">
        <v>1161</v>
      </c>
      <c r="B1205" s="1" t="s">
        <v>1256</v>
      </c>
      <c r="C1205" s="1" t="s">
        <v>105</v>
      </c>
      <c r="D1205" s="1" t="s">
        <v>5789</v>
      </c>
      <c r="E1205" s="1" t="s">
        <v>1166</v>
      </c>
      <c r="F1205">
        <v>431</v>
      </c>
      <c r="G1205">
        <v>174</v>
      </c>
      <c r="H1205">
        <v>87</v>
      </c>
      <c r="I1205">
        <v>80</v>
      </c>
      <c r="J1205">
        <v>3.44</v>
      </c>
      <c r="K1205">
        <v>202</v>
      </c>
      <c r="L1205">
        <v>1.71</v>
      </c>
      <c r="M1205">
        <f>1.07/2</f>
        <v>0.53500000000000003</v>
      </c>
      <c r="N1205">
        <v>80.8</v>
      </c>
      <c r="O1205">
        <v>6.75</v>
      </c>
      <c r="P1205">
        <v>12.6</v>
      </c>
    </row>
    <row r="1206" spans="1:16">
      <c r="A1206" s="1" t="s">
        <v>1161</v>
      </c>
      <c r="B1206" s="1" t="s">
        <v>1257</v>
      </c>
      <c r="C1206" s="1" t="s">
        <v>105</v>
      </c>
      <c r="D1206" s="1" t="s">
        <v>5789</v>
      </c>
      <c r="E1206" s="1" t="s">
        <v>1166</v>
      </c>
      <c r="F1206">
        <v>415</v>
      </c>
      <c r="G1206">
        <v>139</v>
      </c>
      <c r="H1206">
        <v>141</v>
      </c>
      <c r="I1206">
        <v>193</v>
      </c>
      <c r="J1206">
        <v>3.86</v>
      </c>
      <c r="K1206">
        <v>169</v>
      </c>
      <c r="L1206">
        <v>1.97</v>
      </c>
      <c r="M1206">
        <f>1.07/2</f>
        <v>0.53500000000000003</v>
      </c>
      <c r="N1206">
        <v>53.7</v>
      </c>
      <c r="O1206">
        <v>7.06</v>
      </c>
      <c r="P1206">
        <v>9.58</v>
      </c>
    </row>
    <row r="1207" spans="1:16">
      <c r="A1207" s="1" t="s">
        <v>1161</v>
      </c>
      <c r="B1207" s="1" t="s">
        <v>1258</v>
      </c>
      <c r="C1207" s="1" t="s">
        <v>105</v>
      </c>
      <c r="D1207" s="1" t="s">
        <v>5789</v>
      </c>
      <c r="E1207" s="1" t="s">
        <v>1166</v>
      </c>
      <c r="F1207">
        <v>465</v>
      </c>
      <c r="G1207">
        <v>306</v>
      </c>
      <c r="H1207">
        <v>122</v>
      </c>
      <c r="I1207">
        <v>155</v>
      </c>
      <c r="J1207">
        <v>4.7300000000000004</v>
      </c>
      <c r="K1207">
        <v>223</v>
      </c>
      <c r="L1207">
        <v>0.63</v>
      </c>
      <c r="M1207">
        <f>1.07/2</f>
        <v>0.53500000000000003</v>
      </c>
      <c r="N1207">
        <v>96.6</v>
      </c>
      <c r="O1207">
        <v>6.42</v>
      </c>
      <c r="P1207">
        <v>13.8</v>
      </c>
    </row>
    <row r="1208" spans="1:16">
      <c r="A1208" s="1" t="s">
        <v>1161</v>
      </c>
      <c r="B1208" s="1" t="s">
        <v>1259</v>
      </c>
      <c r="C1208" s="1" t="s">
        <v>105</v>
      </c>
      <c r="D1208" s="1" t="s">
        <v>5789</v>
      </c>
      <c r="E1208" s="1" t="s">
        <v>1166</v>
      </c>
      <c r="F1208">
        <v>429</v>
      </c>
      <c r="G1208">
        <v>192</v>
      </c>
      <c r="H1208">
        <v>118</v>
      </c>
      <c r="I1208">
        <v>158</v>
      </c>
      <c r="J1208">
        <v>1.04</v>
      </c>
      <c r="K1208">
        <v>187</v>
      </c>
      <c r="L1208">
        <v>0.74</v>
      </c>
      <c r="M1208">
        <f>1.07/2</f>
        <v>0.53500000000000003</v>
      </c>
      <c r="N1208">
        <v>89.2</v>
      </c>
      <c r="O1208">
        <v>6.23</v>
      </c>
      <c r="P1208">
        <v>11.1</v>
      </c>
    </row>
    <row r="1209" spans="1:16">
      <c r="A1209" s="1" t="s">
        <v>1161</v>
      </c>
      <c r="B1209" s="1" t="s">
        <v>1260</v>
      </c>
      <c r="C1209" s="1" t="s">
        <v>105</v>
      </c>
      <c r="D1209" s="1" t="s">
        <v>5789</v>
      </c>
      <c r="E1209" s="1" t="s">
        <v>1166</v>
      </c>
      <c r="F1209">
        <v>497</v>
      </c>
      <c r="G1209">
        <v>311</v>
      </c>
      <c r="H1209">
        <v>199</v>
      </c>
      <c r="I1209">
        <v>200</v>
      </c>
      <c r="J1209">
        <v>3.28</v>
      </c>
      <c r="K1209">
        <v>162</v>
      </c>
      <c r="L1209">
        <v>0.55000000000000004</v>
      </c>
      <c r="M1209">
        <v>1.55</v>
      </c>
      <c r="N1209">
        <v>113</v>
      </c>
      <c r="O1209">
        <v>6.75</v>
      </c>
      <c r="P1209">
        <v>44.7</v>
      </c>
    </row>
    <row r="1210" spans="1:16">
      <c r="A1210" s="1" t="s">
        <v>1161</v>
      </c>
      <c r="B1210" s="1" t="s">
        <v>1261</v>
      </c>
      <c r="C1210" s="1" t="s">
        <v>105</v>
      </c>
      <c r="D1210" s="1" t="s">
        <v>5789</v>
      </c>
      <c r="E1210" s="1" t="s">
        <v>1166</v>
      </c>
      <c r="F1210">
        <v>621</v>
      </c>
      <c r="G1210">
        <v>368</v>
      </c>
      <c r="H1210">
        <v>160</v>
      </c>
      <c r="I1210">
        <v>179</v>
      </c>
      <c r="J1210">
        <v>4.7</v>
      </c>
      <c r="K1210">
        <v>179</v>
      </c>
      <c r="L1210">
        <v>0.67</v>
      </c>
      <c r="M1210">
        <v>3.77</v>
      </c>
      <c r="N1210">
        <v>131</v>
      </c>
      <c r="O1210">
        <v>7.08</v>
      </c>
      <c r="P1210">
        <v>13.7</v>
      </c>
    </row>
    <row r="1211" spans="1:16">
      <c r="A1211" s="1" t="s">
        <v>1161</v>
      </c>
      <c r="B1211" s="1" t="s">
        <v>1262</v>
      </c>
      <c r="C1211" s="1" t="s">
        <v>105</v>
      </c>
      <c r="D1211" s="1" t="s">
        <v>5789</v>
      </c>
      <c r="E1211" s="1" t="s">
        <v>1166</v>
      </c>
      <c r="F1211">
        <v>484</v>
      </c>
      <c r="G1211">
        <v>210</v>
      </c>
      <c r="H1211">
        <v>163</v>
      </c>
      <c r="I1211">
        <v>181</v>
      </c>
      <c r="J1211">
        <v>4.51</v>
      </c>
      <c r="K1211">
        <v>161</v>
      </c>
      <c r="L1211">
        <v>1.06</v>
      </c>
      <c r="M1211">
        <v>4.84</v>
      </c>
      <c r="N1211">
        <v>98.8</v>
      </c>
      <c r="O1211">
        <v>6.09</v>
      </c>
      <c r="P1211">
        <v>21.6</v>
      </c>
    </row>
    <row r="1212" spans="1:16">
      <c r="A1212" s="1" t="s">
        <v>1161</v>
      </c>
      <c r="B1212" s="1" t="s">
        <v>1263</v>
      </c>
      <c r="C1212" s="1" t="s">
        <v>105</v>
      </c>
      <c r="D1212" s="1" t="s">
        <v>5789</v>
      </c>
      <c r="E1212" s="1" t="s">
        <v>1166</v>
      </c>
      <c r="F1212">
        <v>410</v>
      </c>
      <c r="G1212">
        <v>142</v>
      </c>
      <c r="H1212">
        <v>137</v>
      </c>
      <c r="I1212">
        <v>139</v>
      </c>
      <c r="J1212">
        <v>4.51</v>
      </c>
      <c r="K1212">
        <v>137</v>
      </c>
      <c r="L1212">
        <v>2.46</v>
      </c>
      <c r="M1212">
        <v>3.65</v>
      </c>
      <c r="N1212">
        <v>62.6</v>
      </c>
      <c r="O1212">
        <v>6.35</v>
      </c>
      <c r="P1212">
        <v>18</v>
      </c>
    </row>
    <row r="1213" spans="1:16">
      <c r="A1213" s="1" t="s">
        <v>1161</v>
      </c>
      <c r="B1213" s="1" t="s">
        <v>1264</v>
      </c>
      <c r="C1213" s="1" t="s">
        <v>105</v>
      </c>
      <c r="D1213" s="1" t="s">
        <v>5789</v>
      </c>
      <c r="E1213" s="1" t="s">
        <v>1166</v>
      </c>
      <c r="F1213">
        <v>517</v>
      </c>
      <c r="G1213">
        <v>200</v>
      </c>
      <c r="H1213">
        <v>165</v>
      </c>
      <c r="I1213">
        <v>233</v>
      </c>
      <c r="J1213">
        <v>8.57</v>
      </c>
      <c r="K1213">
        <v>150</v>
      </c>
      <c r="L1213">
        <v>1.87</v>
      </c>
      <c r="M1213">
        <v>7.14</v>
      </c>
      <c r="N1213">
        <v>88.8</v>
      </c>
      <c r="O1213">
        <v>6.52</v>
      </c>
      <c r="P1213">
        <v>15.2</v>
      </c>
    </row>
    <row r="1214" spans="1:16">
      <c r="A1214" s="1" t="s">
        <v>1161</v>
      </c>
      <c r="B1214" s="1" t="s">
        <v>1265</v>
      </c>
      <c r="C1214" s="1" t="s">
        <v>105</v>
      </c>
      <c r="D1214" s="1" t="s">
        <v>5789</v>
      </c>
      <c r="E1214" s="1" t="s">
        <v>1166</v>
      </c>
      <c r="F1214">
        <v>492</v>
      </c>
      <c r="G1214">
        <v>184</v>
      </c>
      <c r="H1214">
        <v>159</v>
      </c>
      <c r="I1214">
        <v>247</v>
      </c>
      <c r="J1214">
        <v>3.49</v>
      </c>
      <c r="K1214">
        <v>154</v>
      </c>
      <c r="L1214">
        <v>1.68</v>
      </c>
      <c r="M1214">
        <v>5.98</v>
      </c>
      <c r="N1214">
        <v>89.9</v>
      </c>
      <c r="O1214">
        <v>6.52</v>
      </c>
      <c r="P1214">
        <v>11</v>
      </c>
    </row>
    <row r="1215" spans="1:16">
      <c r="A1215" s="1" t="s">
        <v>1161</v>
      </c>
      <c r="B1215" s="1" t="s">
        <v>1266</v>
      </c>
      <c r="C1215" s="1" t="s">
        <v>105</v>
      </c>
      <c r="D1215" s="1" t="s">
        <v>5789</v>
      </c>
      <c r="E1215" s="1" t="s">
        <v>1166</v>
      </c>
      <c r="F1215">
        <v>379</v>
      </c>
      <c r="G1215">
        <v>135</v>
      </c>
      <c r="H1215">
        <v>160</v>
      </c>
      <c r="I1215">
        <v>241</v>
      </c>
      <c r="J1215">
        <v>7.01</v>
      </c>
      <c r="K1215">
        <v>131</v>
      </c>
      <c r="L1215">
        <v>1.04</v>
      </c>
      <c r="M1215">
        <v>1.0900000000000001</v>
      </c>
      <c r="N1215">
        <v>54.5</v>
      </c>
      <c r="O1215">
        <v>5.71</v>
      </c>
      <c r="P1215">
        <v>8.49</v>
      </c>
    </row>
    <row r="1216" spans="1:16">
      <c r="A1216" s="1" t="s">
        <v>1161</v>
      </c>
      <c r="B1216" s="1" t="s">
        <v>1267</v>
      </c>
      <c r="C1216" s="1" t="s">
        <v>105</v>
      </c>
      <c r="D1216" s="1" t="s">
        <v>5789</v>
      </c>
      <c r="E1216" s="1" t="s">
        <v>1166</v>
      </c>
      <c r="F1216">
        <v>448</v>
      </c>
      <c r="G1216">
        <v>176</v>
      </c>
      <c r="H1216">
        <v>140</v>
      </c>
      <c r="I1216">
        <v>150</v>
      </c>
      <c r="J1216">
        <f>2/8/2</f>
        <v>0.125</v>
      </c>
      <c r="K1216">
        <v>158</v>
      </c>
      <c r="L1216">
        <v>0.97</v>
      </c>
      <c r="M1216">
        <v>1.29</v>
      </c>
      <c r="N1216">
        <v>89.6</v>
      </c>
      <c r="O1216">
        <v>6.54</v>
      </c>
      <c r="P1216">
        <v>11.2</v>
      </c>
    </row>
    <row r="1217" spans="1:16">
      <c r="A1217" s="1" t="s">
        <v>1161</v>
      </c>
      <c r="B1217" s="1" t="s">
        <v>1268</v>
      </c>
      <c r="C1217" s="1" t="s">
        <v>105</v>
      </c>
      <c r="D1217" s="1" t="s">
        <v>5789</v>
      </c>
      <c r="E1217" s="1" t="s">
        <v>1166</v>
      </c>
      <c r="F1217">
        <v>483</v>
      </c>
      <c r="G1217">
        <v>271</v>
      </c>
      <c r="H1217">
        <v>132</v>
      </c>
      <c r="I1217">
        <v>114</v>
      </c>
      <c r="J1217">
        <v>4.79</v>
      </c>
      <c r="K1217">
        <v>175</v>
      </c>
      <c r="L1217">
        <v>0.96</v>
      </c>
      <c r="M1217">
        <v>2.7</v>
      </c>
      <c r="N1217">
        <v>117</v>
      </c>
      <c r="O1217">
        <v>5.99</v>
      </c>
      <c r="P1217">
        <v>9.9600000000000009</v>
      </c>
    </row>
    <row r="1218" spans="1:16">
      <c r="A1218" s="1" t="s">
        <v>1161</v>
      </c>
      <c r="B1218" s="1" t="s">
        <v>1269</v>
      </c>
      <c r="C1218" s="1" t="s">
        <v>105</v>
      </c>
      <c r="D1218" s="1" t="s">
        <v>5789</v>
      </c>
      <c r="E1218" s="1" t="s">
        <v>1166</v>
      </c>
      <c r="F1218">
        <v>511</v>
      </c>
      <c r="G1218">
        <v>303</v>
      </c>
      <c r="H1218">
        <v>136</v>
      </c>
      <c r="I1218">
        <v>108</v>
      </c>
      <c r="J1218">
        <v>3.14</v>
      </c>
      <c r="K1218">
        <v>170</v>
      </c>
      <c r="L1218">
        <v>0.68</v>
      </c>
      <c r="M1218">
        <v>2.71</v>
      </c>
      <c r="N1218">
        <v>115</v>
      </c>
      <c r="O1218">
        <v>6.32</v>
      </c>
      <c r="P1218">
        <v>11.3</v>
      </c>
    </row>
    <row r="1219" spans="1:16">
      <c r="A1219" s="1" t="s">
        <v>1161</v>
      </c>
      <c r="B1219" s="1" t="s">
        <v>1270</v>
      </c>
      <c r="C1219" s="1" t="s">
        <v>105</v>
      </c>
      <c r="D1219" s="1" t="s">
        <v>5789</v>
      </c>
      <c r="E1219" s="1" t="s">
        <v>1166</v>
      </c>
      <c r="F1219">
        <v>420</v>
      </c>
      <c r="G1219">
        <v>163</v>
      </c>
      <c r="H1219">
        <v>150</v>
      </c>
      <c r="I1219">
        <v>168</v>
      </c>
      <c r="J1219">
        <v>422</v>
      </c>
      <c r="K1219">
        <v>150</v>
      </c>
      <c r="L1219">
        <v>0.78</v>
      </c>
      <c r="M1219">
        <v>3.95</v>
      </c>
      <c r="N1219">
        <v>78.099999999999994</v>
      </c>
      <c r="O1219">
        <v>6.09</v>
      </c>
      <c r="P1219">
        <v>15.8</v>
      </c>
    </row>
    <row r="1220" spans="1:16">
      <c r="A1220" s="1" t="s">
        <v>1161</v>
      </c>
      <c r="B1220" s="1" t="s">
        <v>1271</v>
      </c>
      <c r="C1220" s="1" t="s">
        <v>105</v>
      </c>
      <c r="D1220" s="1" t="s">
        <v>5789</v>
      </c>
      <c r="E1220" s="1" t="s">
        <v>1166</v>
      </c>
      <c r="F1220">
        <v>502</v>
      </c>
      <c r="G1220">
        <v>247</v>
      </c>
      <c r="H1220">
        <v>142</v>
      </c>
      <c r="I1220">
        <v>138</v>
      </c>
      <c r="J1220">
        <f>2.08/2</f>
        <v>1.04</v>
      </c>
      <c r="K1220">
        <v>166</v>
      </c>
      <c r="L1220">
        <v>0.72</v>
      </c>
      <c r="M1220">
        <v>3.96</v>
      </c>
      <c r="N1220">
        <v>111</v>
      </c>
      <c r="O1220">
        <v>6.32</v>
      </c>
      <c r="P1220">
        <v>13.8</v>
      </c>
    </row>
    <row r="1221" spans="1:16">
      <c r="A1221" s="1" t="s">
        <v>1161</v>
      </c>
      <c r="B1221" s="1" t="s">
        <v>1272</v>
      </c>
      <c r="C1221" s="1" t="s">
        <v>105</v>
      </c>
      <c r="D1221" s="1" t="s">
        <v>5789</v>
      </c>
      <c r="E1221" s="1" t="s">
        <v>1166</v>
      </c>
      <c r="F1221">
        <v>504</v>
      </c>
      <c r="G1221">
        <v>297</v>
      </c>
      <c r="H1221">
        <v>137</v>
      </c>
      <c r="I1221">
        <v>132</v>
      </c>
      <c r="J1221">
        <v>3.13</v>
      </c>
      <c r="K1221">
        <v>174</v>
      </c>
      <c r="L1221">
        <v>1.03</v>
      </c>
      <c r="M1221">
        <v>3.84</v>
      </c>
      <c r="N1221">
        <v>126</v>
      </c>
      <c r="O1221">
        <v>6.4</v>
      </c>
      <c r="P1221">
        <v>13.1</v>
      </c>
    </row>
    <row r="1222" spans="1:16">
      <c r="A1222" s="1" t="s">
        <v>1161</v>
      </c>
      <c r="B1222" s="1" t="s">
        <v>1273</v>
      </c>
      <c r="C1222" s="1" t="s">
        <v>105</v>
      </c>
      <c r="D1222" s="1" t="s">
        <v>5789</v>
      </c>
      <c r="E1222" s="1" t="s">
        <v>1166</v>
      </c>
      <c r="F1222">
        <v>494</v>
      </c>
      <c r="G1222">
        <v>277</v>
      </c>
      <c r="H1222">
        <v>134</v>
      </c>
      <c r="I1222">
        <v>128</v>
      </c>
      <c r="J1222">
        <f>2.08/2</f>
        <v>1.04</v>
      </c>
      <c r="K1222">
        <v>172</v>
      </c>
      <c r="L1222">
        <v>0.98</v>
      </c>
      <c r="M1222">
        <v>1.99</v>
      </c>
      <c r="N1222">
        <v>114</v>
      </c>
      <c r="O1222">
        <v>6.42</v>
      </c>
      <c r="P1222">
        <v>9.69</v>
      </c>
    </row>
    <row r="1223" spans="1:16">
      <c r="A1223" s="1" t="s">
        <v>1161</v>
      </c>
      <c r="B1223" s="1" t="s">
        <v>1274</v>
      </c>
      <c r="C1223" s="1" t="s">
        <v>105</v>
      </c>
      <c r="D1223" s="1" t="s">
        <v>5789</v>
      </c>
      <c r="E1223" s="1" t="s">
        <v>1166</v>
      </c>
      <c r="F1223">
        <v>444</v>
      </c>
      <c r="G1223">
        <v>207</v>
      </c>
      <c r="H1223">
        <v>132</v>
      </c>
      <c r="I1223">
        <v>120</v>
      </c>
      <c r="J1223">
        <f>2.08/2</f>
        <v>1.04</v>
      </c>
      <c r="K1223">
        <v>157</v>
      </c>
      <c r="L1223">
        <v>0.89</v>
      </c>
      <c r="M1223">
        <v>2.65</v>
      </c>
      <c r="N1223">
        <v>89.4</v>
      </c>
      <c r="O1223">
        <v>6.4</v>
      </c>
      <c r="P1223">
        <v>9.5399999999999991</v>
      </c>
    </row>
    <row r="1224" spans="1:16">
      <c r="A1224" s="1" t="s">
        <v>1161</v>
      </c>
      <c r="B1224" s="1" t="s">
        <v>1275</v>
      </c>
      <c r="C1224" s="1" t="s">
        <v>105</v>
      </c>
      <c r="D1224" s="1" t="s">
        <v>5789</v>
      </c>
      <c r="E1224" s="1" t="s">
        <v>1166</v>
      </c>
      <c r="F1224">
        <v>427</v>
      </c>
      <c r="G1224">
        <v>184</v>
      </c>
      <c r="H1224">
        <v>166</v>
      </c>
      <c r="I1224">
        <v>173</v>
      </c>
      <c r="J1224">
        <v>5.0599999999999996</v>
      </c>
      <c r="K1224">
        <v>157</v>
      </c>
      <c r="L1224">
        <v>0.92</v>
      </c>
      <c r="M1224">
        <v>3.62</v>
      </c>
      <c r="N1224">
        <v>86.1</v>
      </c>
      <c r="O1224">
        <v>6.52</v>
      </c>
      <c r="P1224">
        <v>29.6</v>
      </c>
    </row>
    <row r="1225" spans="1:16">
      <c r="A1225" s="1" t="s">
        <v>1161</v>
      </c>
      <c r="B1225" s="1" t="s">
        <v>1276</v>
      </c>
      <c r="C1225" s="1" t="s">
        <v>105</v>
      </c>
      <c r="D1225" s="1" t="s">
        <v>5789</v>
      </c>
      <c r="E1225" s="1" t="s">
        <v>1166</v>
      </c>
      <c r="F1225">
        <v>464</v>
      </c>
      <c r="G1225">
        <v>205</v>
      </c>
      <c r="H1225">
        <v>167</v>
      </c>
      <c r="I1225">
        <v>230</v>
      </c>
      <c r="J1225">
        <f>2.08/2</f>
        <v>1.04</v>
      </c>
      <c r="K1225">
        <v>164</v>
      </c>
      <c r="L1225">
        <v>0.31</v>
      </c>
      <c r="M1225">
        <v>3.25</v>
      </c>
      <c r="N1225">
        <v>100</v>
      </c>
      <c r="O1225">
        <v>6.48</v>
      </c>
      <c r="P1225">
        <v>9.7899999999999991</v>
      </c>
    </row>
    <row r="1226" spans="1:16">
      <c r="A1226" s="1" t="s">
        <v>1277</v>
      </c>
      <c r="B1226" s="4" t="s">
        <v>1278</v>
      </c>
      <c r="C1226" s="1" t="s">
        <v>105</v>
      </c>
      <c r="D1226" s="1" t="s">
        <v>106</v>
      </c>
      <c r="E1226" s="1" t="s">
        <v>1279</v>
      </c>
      <c r="F1226">
        <v>63.36311327508205</v>
      </c>
      <c r="G1226">
        <v>4315.3657902569948</v>
      </c>
      <c r="H1226">
        <v>276.44492780339135</v>
      </c>
      <c r="I1226">
        <v>421.93651599778633</v>
      </c>
      <c r="J1226">
        <v>44.300175812842198</v>
      </c>
      <c r="K1226">
        <v>152.57989965710388</v>
      </c>
      <c r="L1226">
        <v>17.459309817525295</v>
      </c>
      <c r="M1226">
        <v>57.551653944480812</v>
      </c>
      <c r="N1226">
        <v>5.3196288378499474</v>
      </c>
      <c r="O1226">
        <v>20.227055384853255</v>
      </c>
      <c r="P1226">
        <v>2.1311808101792931</v>
      </c>
    </row>
    <row r="1227" spans="1:16">
      <c r="A1227" s="1" t="s">
        <v>1277</v>
      </c>
      <c r="B1227" s="4" t="s">
        <v>1280</v>
      </c>
      <c r="C1227" s="1" t="s">
        <v>105</v>
      </c>
      <c r="D1227" s="1" t="s">
        <v>106</v>
      </c>
      <c r="E1227" s="1" t="s">
        <v>1279</v>
      </c>
      <c r="F1227">
        <v>32.522769613333665</v>
      </c>
      <c r="G1227">
        <v>2461.5378122492702</v>
      </c>
      <c r="H1227">
        <v>289.13241155098217</v>
      </c>
      <c r="I1227">
        <v>429.58859466221367</v>
      </c>
      <c r="J1227">
        <v>41.941432988994912</v>
      </c>
      <c r="K1227">
        <v>57.579068570011515</v>
      </c>
      <c r="L1227">
        <v>17.365102757090622</v>
      </c>
      <c r="M1227">
        <v>64.79757864013331</v>
      </c>
      <c r="N1227">
        <v>1.8193348178998408</v>
      </c>
      <c r="O1227">
        <v>21.25567578305143</v>
      </c>
      <c r="P1227">
        <v>1.5805861931014338</v>
      </c>
    </row>
    <row r="1228" spans="1:16">
      <c r="A1228" s="1" t="s">
        <v>1277</v>
      </c>
      <c r="B1228" s="4" t="s">
        <v>1281</v>
      </c>
      <c r="C1228" s="1" t="s">
        <v>105</v>
      </c>
      <c r="D1228" s="1" t="s">
        <v>106</v>
      </c>
      <c r="E1228" s="1" t="s">
        <v>1282</v>
      </c>
      <c r="F1228">
        <v>48.321633743421799</v>
      </c>
      <c r="G1228">
        <v>3182.0210421458619</v>
      </c>
      <c r="H1228">
        <v>313.06700649383953</v>
      </c>
      <c r="I1228">
        <v>452.00158001707331</v>
      </c>
      <c r="J1228">
        <v>42.026778291879737</v>
      </c>
      <c r="K1228">
        <v>88.496841665037877</v>
      </c>
      <c r="L1228">
        <v>19.128294047232597</v>
      </c>
      <c r="M1228">
        <v>50.212597987055211</v>
      </c>
      <c r="N1228">
        <v>2.8822079520627</v>
      </c>
      <c r="O1228">
        <v>21.435961636997572</v>
      </c>
      <c r="P1228">
        <v>3.2869461589210043</v>
      </c>
    </row>
    <row r="1229" spans="1:16">
      <c r="A1229" s="1" t="s">
        <v>1277</v>
      </c>
      <c r="B1229" s="4" t="s">
        <v>1283</v>
      </c>
      <c r="C1229" s="1" t="s">
        <v>105</v>
      </c>
      <c r="D1229" s="1" t="s">
        <v>106</v>
      </c>
      <c r="E1229" s="1" t="s">
        <v>1282</v>
      </c>
      <c r="F1229">
        <v>34.497989826640669</v>
      </c>
      <c r="G1229">
        <v>2626.7402413924019</v>
      </c>
      <c r="H1229">
        <v>336.70868692268448</v>
      </c>
      <c r="I1229">
        <v>445.29088996096766</v>
      </c>
      <c r="J1229">
        <v>43.576482872809656</v>
      </c>
      <c r="K1229">
        <v>87.258496083910785</v>
      </c>
      <c r="L1229">
        <v>18.227255225977398</v>
      </c>
      <c r="M1229">
        <v>45.833044665484117</v>
      </c>
      <c r="N1229">
        <v>2.2407390222219248</v>
      </c>
      <c r="O1229">
        <v>22.58889800453181</v>
      </c>
      <c r="P1229">
        <v>2.9825196294646292</v>
      </c>
    </row>
    <row r="1230" spans="1:16">
      <c r="A1230" s="1" t="s">
        <v>1277</v>
      </c>
      <c r="B1230" s="4" t="s">
        <v>1284</v>
      </c>
      <c r="C1230" s="1" t="s">
        <v>105</v>
      </c>
      <c r="D1230" s="1" t="s">
        <v>106</v>
      </c>
      <c r="E1230" s="1" t="s">
        <v>1282</v>
      </c>
      <c r="F1230">
        <v>37.009706181720901</v>
      </c>
      <c r="G1230">
        <v>2785.3855593007024</v>
      </c>
      <c r="H1230">
        <v>278.70814473700659</v>
      </c>
      <c r="I1230">
        <v>476.88399596186065</v>
      </c>
      <c r="J1230">
        <v>45.035798988242227</v>
      </c>
      <c r="K1230">
        <v>61.534737115132565</v>
      </c>
      <c r="L1230">
        <v>15.35023036724475</v>
      </c>
      <c r="M1230">
        <v>65.170241652016273</v>
      </c>
      <c r="N1230">
        <v>6.1244711537847891</v>
      </c>
      <c r="O1230">
        <v>23.736015998082873</v>
      </c>
      <c r="P1230">
        <v>2.5519246354312641</v>
      </c>
    </row>
    <row r="1231" spans="1:16">
      <c r="A1231" s="1" t="s">
        <v>1277</v>
      </c>
      <c r="B1231" s="4" t="s">
        <v>1285</v>
      </c>
      <c r="C1231" s="1" t="s">
        <v>105</v>
      </c>
      <c r="D1231" s="1" t="s">
        <v>106</v>
      </c>
      <c r="E1231" s="1" t="s">
        <v>1282</v>
      </c>
      <c r="F1231">
        <v>48.281075848164932</v>
      </c>
      <c r="G1231">
        <v>3984.2651381948867</v>
      </c>
      <c r="H1231">
        <v>281.96240108975962</v>
      </c>
      <c r="I1231">
        <v>466.43545239813886</v>
      </c>
      <c r="J1231">
        <v>43.913616648007846</v>
      </c>
      <c r="K1231">
        <v>67.177909815926895</v>
      </c>
      <c r="L1231">
        <v>15.107585724330114</v>
      </c>
      <c r="M1231">
        <v>79.176895847820106</v>
      </c>
      <c r="N1231">
        <v>8.0486978018166919</v>
      </c>
      <c r="O1231">
        <v>21.663298315222381</v>
      </c>
      <c r="P1231">
        <v>1.9605324601084491</v>
      </c>
    </row>
    <row r="1232" spans="1:16">
      <c r="A1232" s="1" t="s">
        <v>1277</v>
      </c>
      <c r="B1232" s="4" t="s">
        <v>1286</v>
      </c>
      <c r="C1232" s="1" t="s">
        <v>105</v>
      </c>
      <c r="D1232" s="1" t="s">
        <v>106</v>
      </c>
      <c r="E1232" s="1" t="s">
        <v>1282</v>
      </c>
      <c r="F1232">
        <v>66.510191667024515</v>
      </c>
      <c r="G1232">
        <v>7194.0071305117599</v>
      </c>
      <c r="H1232">
        <v>286.78881442902343</v>
      </c>
      <c r="I1232">
        <v>477.74504700587363</v>
      </c>
      <c r="J1232">
        <v>43.423953913520641</v>
      </c>
      <c r="K1232">
        <v>170.18637089833359</v>
      </c>
      <c r="L1232">
        <v>14.449530347033482</v>
      </c>
      <c r="M1232">
        <v>75.039459845664879</v>
      </c>
      <c r="N1232">
        <v>7.2253025558209192</v>
      </c>
      <c r="O1232">
        <v>21.809600318154775</v>
      </c>
      <c r="P1232">
        <v>2.2061448857173684</v>
      </c>
    </row>
    <row r="1233" spans="1:16">
      <c r="A1233" s="1" t="s">
        <v>1277</v>
      </c>
      <c r="B1233" s="4" t="s">
        <v>1287</v>
      </c>
      <c r="C1233" s="1" t="s">
        <v>105</v>
      </c>
      <c r="D1233" s="1" t="s">
        <v>106</v>
      </c>
      <c r="E1233" s="1" t="s">
        <v>1282</v>
      </c>
      <c r="F1233">
        <v>35.771536258369181</v>
      </c>
      <c r="G1233">
        <v>3761.5380300219163</v>
      </c>
      <c r="H1233">
        <v>357.84602800110463</v>
      </c>
      <c r="I1233">
        <v>483.11793768023688</v>
      </c>
      <c r="J1233">
        <v>35.90187990481639</v>
      </c>
      <c r="K1233">
        <v>55.091710365850858</v>
      </c>
      <c r="L1233">
        <v>14.894978953936361</v>
      </c>
      <c r="M1233">
        <v>71.906702893129491</v>
      </c>
      <c r="N1233">
        <v>5.3432199891162986</v>
      </c>
      <c r="O1233">
        <v>21.997734342730734</v>
      </c>
      <c r="P1233">
        <v>1.3003079719246102</v>
      </c>
    </row>
    <row r="1234" spans="1:16">
      <c r="A1234" s="1" t="s">
        <v>1277</v>
      </c>
      <c r="B1234" s="4" t="s">
        <v>1288</v>
      </c>
      <c r="C1234" s="1" t="s">
        <v>105</v>
      </c>
      <c r="D1234" s="1" t="s">
        <v>106</v>
      </c>
      <c r="E1234" s="1" t="s">
        <v>1282</v>
      </c>
      <c r="F1234">
        <v>30.183365791500002</v>
      </c>
      <c r="G1234">
        <v>3781.3324112967666</v>
      </c>
      <c r="H1234">
        <v>290.71778316556441</v>
      </c>
      <c r="I1234">
        <v>493.13421604145157</v>
      </c>
      <c r="J1234">
        <v>34.261044112912387</v>
      </c>
      <c r="K1234">
        <v>56.031992546675653</v>
      </c>
      <c r="L1234">
        <v>14.197793055169793</v>
      </c>
      <c r="M1234">
        <v>64.612695599502345</v>
      </c>
      <c r="N1234">
        <v>5.1897683982223075</v>
      </c>
      <c r="O1234">
        <v>22.584207520426354</v>
      </c>
      <c r="P1234">
        <v>3.0818199226508747</v>
      </c>
    </row>
    <row r="1235" spans="1:16">
      <c r="A1235" s="1" t="s">
        <v>1277</v>
      </c>
      <c r="B1235" s="4" t="s">
        <v>1289</v>
      </c>
      <c r="C1235" s="1" t="s">
        <v>105</v>
      </c>
      <c r="D1235" s="1" t="s">
        <v>106</v>
      </c>
      <c r="E1235" s="1" t="s">
        <v>1282</v>
      </c>
      <c r="F1235">
        <v>93.147751117896092</v>
      </c>
      <c r="G1235">
        <v>7163.1078700496573</v>
      </c>
      <c r="H1235">
        <v>289.92375967215685</v>
      </c>
      <c r="I1235">
        <v>488.62652420259292</v>
      </c>
      <c r="J1235">
        <v>35.022649240894793</v>
      </c>
      <c r="K1235">
        <v>74.695016211944534</v>
      </c>
      <c r="L1235">
        <v>13.56595450142863</v>
      </c>
      <c r="M1235">
        <v>90.31549266648571</v>
      </c>
      <c r="N1235">
        <v>6.3527827996945199</v>
      </c>
      <c r="O1235">
        <v>21.540940430551665</v>
      </c>
      <c r="P1235">
        <v>2.1511657761096425</v>
      </c>
    </row>
    <row r="1236" spans="1:16">
      <c r="A1236" s="1" t="s">
        <v>1277</v>
      </c>
      <c r="B1236" s="4" t="s">
        <v>1290</v>
      </c>
      <c r="C1236" s="1" t="s">
        <v>105</v>
      </c>
      <c r="D1236" s="1" t="s">
        <v>106</v>
      </c>
      <c r="E1236" s="1" t="s">
        <v>1282</v>
      </c>
      <c r="F1236">
        <v>22.487599408582458</v>
      </c>
      <c r="G1236">
        <v>3423.6217584459973</v>
      </c>
      <c r="H1236">
        <v>330.70846223741478</v>
      </c>
      <c r="I1236">
        <v>508.65209264717299</v>
      </c>
      <c r="J1236">
        <v>44.949583937050569</v>
      </c>
      <c r="K1236">
        <v>53.516026375812778</v>
      </c>
      <c r="L1236">
        <v>15.361642807087634</v>
      </c>
      <c r="M1236">
        <v>82.128729380313189</v>
      </c>
      <c r="N1236">
        <v>7.2216282409488226</v>
      </c>
      <c r="O1236">
        <v>23.553197612531431</v>
      </c>
      <c r="P1236">
        <v>2.3912688200498295</v>
      </c>
    </row>
    <row r="1237" spans="1:16">
      <c r="A1237" s="1" t="s">
        <v>1277</v>
      </c>
      <c r="B1237" s="4" t="s">
        <v>1291</v>
      </c>
      <c r="C1237" s="1" t="s">
        <v>105</v>
      </c>
      <c r="D1237" s="1" t="s">
        <v>106</v>
      </c>
      <c r="E1237" s="1" t="s">
        <v>1282</v>
      </c>
      <c r="F1237">
        <v>25.994262128426975</v>
      </c>
      <c r="G1237">
        <v>3112.4507817881445</v>
      </c>
      <c r="H1237">
        <v>325.86977989901766</v>
      </c>
      <c r="I1237">
        <v>491.34115519718972</v>
      </c>
      <c r="J1237">
        <v>34.938816072078922</v>
      </c>
      <c r="K1237">
        <v>43.637877796593571</v>
      </c>
      <c r="L1237">
        <v>15.167712973338174</v>
      </c>
      <c r="M1237">
        <v>56.388706236434231</v>
      </c>
      <c r="N1237">
        <v>5.3052483134838857</v>
      </c>
      <c r="O1237">
        <v>21.864353644316235</v>
      </c>
      <c r="P1237">
        <v>3.9060541972723106</v>
      </c>
    </row>
    <row r="1238" spans="1:16">
      <c r="A1238" s="1" t="s">
        <v>1277</v>
      </c>
      <c r="B1238" s="4" t="s">
        <v>1292</v>
      </c>
      <c r="C1238" s="1" t="s">
        <v>105</v>
      </c>
      <c r="D1238" s="1" t="s">
        <v>106</v>
      </c>
      <c r="E1238" s="1" t="s">
        <v>1282</v>
      </c>
      <c r="F1238">
        <v>35.193367605788737</v>
      </c>
      <c r="G1238">
        <v>3458.7859446879256</v>
      </c>
      <c r="H1238">
        <v>314.31248948162545</v>
      </c>
      <c r="I1238">
        <v>500.31763677348567</v>
      </c>
      <c r="J1238">
        <v>41.747353485464956</v>
      </c>
      <c r="K1238">
        <v>56.930413888465104</v>
      </c>
      <c r="L1238">
        <v>15.42780278426342</v>
      </c>
      <c r="M1238">
        <v>68.144750921904432</v>
      </c>
      <c r="N1238">
        <v>7.2995312319369869</v>
      </c>
      <c r="O1238">
        <v>21.440503056741633</v>
      </c>
      <c r="P1238">
        <v>2.4667646942448793</v>
      </c>
    </row>
    <row r="1239" spans="1:16">
      <c r="A1239" s="1" t="s">
        <v>1277</v>
      </c>
      <c r="B1239" s="4" t="s">
        <v>1293</v>
      </c>
      <c r="C1239" s="1" t="s">
        <v>105</v>
      </c>
      <c r="D1239" s="1" t="s">
        <v>106</v>
      </c>
      <c r="E1239" s="1" t="s">
        <v>1282</v>
      </c>
      <c r="F1239">
        <v>27.793011665067674</v>
      </c>
      <c r="G1239">
        <v>3418.2747190369746</v>
      </c>
      <c r="H1239">
        <v>280.47716321861037</v>
      </c>
      <c r="I1239">
        <v>484.73118542573235</v>
      </c>
      <c r="J1239">
        <v>54.062934588616102</v>
      </c>
      <c r="K1239">
        <v>60.816957916912941</v>
      </c>
      <c r="L1239">
        <v>15.522234622582145</v>
      </c>
      <c r="M1239">
        <v>78.031267399406076</v>
      </c>
      <c r="N1239">
        <v>6.3224010414634426</v>
      </c>
      <c r="O1239">
        <v>22.110200911555051</v>
      </c>
      <c r="P1239">
        <v>1.8688742836299328</v>
      </c>
    </row>
    <row r="1240" spans="1:16">
      <c r="A1240" s="1" t="s">
        <v>1277</v>
      </c>
      <c r="B1240" s="4" t="s">
        <v>1294</v>
      </c>
      <c r="C1240" s="1" t="s">
        <v>105</v>
      </c>
      <c r="D1240" s="1" t="s">
        <v>106</v>
      </c>
      <c r="E1240" s="1" t="s">
        <v>1282</v>
      </c>
      <c r="F1240">
        <v>40.133405754546473</v>
      </c>
      <c r="G1240">
        <v>3153.8959790474223</v>
      </c>
      <c r="H1240">
        <v>304.78270554893595</v>
      </c>
      <c r="I1240">
        <v>503.75392584443136</v>
      </c>
      <c r="J1240">
        <v>46.143989071843919</v>
      </c>
      <c r="K1240">
        <v>42.39838398015695</v>
      </c>
      <c r="L1240">
        <v>15.101929858049038</v>
      </c>
      <c r="M1240">
        <v>56.580083940534408</v>
      </c>
      <c r="N1240">
        <v>7.4292653632517842</v>
      </c>
      <c r="O1240">
        <v>23.541859714245579</v>
      </c>
      <c r="P1240">
        <v>4.5460345285955341</v>
      </c>
    </row>
    <row r="1241" spans="1:16">
      <c r="A1241" s="1" t="s">
        <v>1277</v>
      </c>
      <c r="B1241" s="4" t="s">
        <v>1295</v>
      </c>
      <c r="C1241" s="1" t="s">
        <v>105</v>
      </c>
      <c r="D1241" s="1" t="s">
        <v>106</v>
      </c>
      <c r="E1241" s="1" t="s">
        <v>1282</v>
      </c>
      <c r="F1241">
        <v>74.774852855770661</v>
      </c>
      <c r="G1241">
        <v>2744.9589479208335</v>
      </c>
      <c r="H1241">
        <v>426.50175479089575</v>
      </c>
      <c r="I1241">
        <v>448.29985430290003</v>
      </c>
      <c r="J1241">
        <v>38.395414086567691</v>
      </c>
      <c r="K1241">
        <v>520.1247275011325</v>
      </c>
      <c r="L1241">
        <v>13.458639717504683</v>
      </c>
      <c r="M1241">
        <v>52.292544518381419</v>
      </c>
      <c r="N1241">
        <v>21.212280250271885</v>
      </c>
      <c r="O1241">
        <v>13.668170423341117</v>
      </c>
      <c r="P1241">
        <v>6.1846238982485628</v>
      </c>
    </row>
    <row r="1242" spans="1:16">
      <c r="A1242" s="1" t="s">
        <v>1277</v>
      </c>
      <c r="B1242" s="4" t="s">
        <v>1296</v>
      </c>
      <c r="C1242" s="1" t="s">
        <v>105</v>
      </c>
      <c r="D1242" s="1" t="s">
        <v>106</v>
      </c>
      <c r="E1242" s="1" t="s">
        <v>1282</v>
      </c>
      <c r="F1242">
        <v>32.912240425594597</v>
      </c>
      <c r="G1242">
        <v>2083.9098741939688</v>
      </c>
      <c r="H1242">
        <v>514.38333518538855</v>
      </c>
      <c r="I1242">
        <v>583.64654333016495</v>
      </c>
      <c r="J1242">
        <v>40.983438268989921</v>
      </c>
      <c r="K1242">
        <v>628.25510946423219</v>
      </c>
      <c r="L1242">
        <v>11.264943924023964</v>
      </c>
      <c r="M1242">
        <v>53.710647807318686</v>
      </c>
      <c r="N1242">
        <v>24.476370410017179</v>
      </c>
      <c r="O1242">
        <v>13.332818006085422</v>
      </c>
      <c r="P1242">
        <v>6.1184038991725007</v>
      </c>
    </row>
    <row r="1243" spans="1:16">
      <c r="A1243" s="1" t="s">
        <v>1277</v>
      </c>
      <c r="B1243" s="4" t="s">
        <v>1297</v>
      </c>
      <c r="C1243" s="1" t="s">
        <v>105</v>
      </c>
      <c r="D1243" s="1" t="s">
        <v>106</v>
      </c>
      <c r="E1243" s="1" t="s">
        <v>1282</v>
      </c>
      <c r="F1243">
        <v>42.201820757482331</v>
      </c>
      <c r="G1243">
        <v>2265.1940418534523</v>
      </c>
      <c r="H1243">
        <v>436.85944476097711</v>
      </c>
      <c r="I1243">
        <v>613.07059352684325</v>
      </c>
      <c r="J1243">
        <v>34.182193995222782</v>
      </c>
      <c r="K1243">
        <v>532.89420427940058</v>
      </c>
      <c r="L1243">
        <v>14.972293941771037</v>
      </c>
      <c r="M1243">
        <v>47.431595602670825</v>
      </c>
      <c r="N1243">
        <v>20.569614691067716</v>
      </c>
      <c r="O1243">
        <v>14.235574659067733</v>
      </c>
      <c r="P1243">
        <v>6.7654696435616053</v>
      </c>
    </row>
    <row r="1244" spans="1:16">
      <c r="A1244" s="1" t="s">
        <v>1277</v>
      </c>
      <c r="B1244" s="4" t="s">
        <v>1298</v>
      </c>
      <c r="C1244" s="1" t="s">
        <v>105</v>
      </c>
      <c r="D1244" s="1" t="s">
        <v>106</v>
      </c>
      <c r="E1244" s="1" t="s">
        <v>1282</v>
      </c>
      <c r="F1244">
        <v>55.266027077882555</v>
      </c>
      <c r="G1244">
        <v>2235.5394879458868</v>
      </c>
      <c r="H1244">
        <v>410.82254562463271</v>
      </c>
      <c r="I1244">
        <v>536.5701962577599</v>
      </c>
      <c r="J1244">
        <v>46.759582472403743</v>
      </c>
      <c r="K1244">
        <v>707.20735328160436</v>
      </c>
      <c r="L1244">
        <v>12.687440633739394</v>
      </c>
      <c r="M1244">
        <v>49.484358171718362</v>
      </c>
      <c r="N1244">
        <v>17.108901123281221</v>
      </c>
      <c r="O1244">
        <v>12.392634098684235</v>
      </c>
      <c r="P1244">
        <v>4.634250490546008</v>
      </c>
    </row>
    <row r="1245" spans="1:16">
      <c r="A1245" s="1" t="s">
        <v>1277</v>
      </c>
      <c r="B1245" s="4" t="s">
        <v>1299</v>
      </c>
      <c r="C1245" s="1" t="s">
        <v>105</v>
      </c>
      <c r="D1245" s="1" t="s">
        <v>106</v>
      </c>
      <c r="E1245" s="1" t="s">
        <v>1282</v>
      </c>
      <c r="F1245">
        <v>68.769779561196543</v>
      </c>
      <c r="G1245">
        <v>2521.3708487642521</v>
      </c>
      <c r="H1245">
        <v>402.43956758803773</v>
      </c>
      <c r="I1245">
        <v>628.18289849008829</v>
      </c>
      <c r="J1245">
        <v>78.414860374166011</v>
      </c>
      <c r="K1245">
        <v>72.571966037731855</v>
      </c>
      <c r="L1245">
        <v>13.029700883511124</v>
      </c>
      <c r="M1245">
        <v>51.491000946861931</v>
      </c>
      <c r="N1245">
        <v>9.452952683927327</v>
      </c>
      <c r="O1245">
        <v>17.342817877159909</v>
      </c>
      <c r="P1245">
        <v>4.4714866910043423</v>
      </c>
    </row>
    <row r="1246" spans="1:16">
      <c r="A1246" s="1" t="s">
        <v>1277</v>
      </c>
      <c r="B1246" s="4" t="s">
        <v>1300</v>
      </c>
      <c r="C1246" s="1" t="s">
        <v>105</v>
      </c>
      <c r="D1246" s="1" t="s">
        <v>106</v>
      </c>
      <c r="E1246" s="1" t="s">
        <v>1282</v>
      </c>
      <c r="F1246">
        <v>78.381987587779747</v>
      </c>
      <c r="G1246">
        <v>2910.2376684872497</v>
      </c>
      <c r="H1246">
        <v>486.27853883448194</v>
      </c>
      <c r="I1246">
        <v>617.8126237743495</v>
      </c>
      <c r="J1246">
        <v>64.839270155112885</v>
      </c>
      <c r="K1246">
        <v>68.857301664832349</v>
      </c>
      <c r="L1246">
        <v>13.336208905030748</v>
      </c>
      <c r="M1246">
        <v>52.78996135316499</v>
      </c>
      <c r="N1246">
        <v>9.0463898840393977</v>
      </c>
      <c r="O1246">
        <v>15.878962104526334</v>
      </c>
      <c r="P1246">
        <v>7.5259660438271681</v>
      </c>
    </row>
    <row r="1247" spans="1:16">
      <c r="A1247" s="1" t="s">
        <v>1277</v>
      </c>
      <c r="B1247" s="4" t="s">
        <v>1301</v>
      </c>
      <c r="C1247" s="1" t="s">
        <v>105</v>
      </c>
      <c r="D1247" s="1" t="s">
        <v>106</v>
      </c>
      <c r="E1247" s="1" t="s">
        <v>1282</v>
      </c>
      <c r="F1247">
        <v>525.94601215357193</v>
      </c>
      <c r="G1247">
        <v>7733.9889669305785</v>
      </c>
      <c r="H1247">
        <v>829.16755302612921</v>
      </c>
      <c r="I1247">
        <v>575.00290892655232</v>
      </c>
      <c r="J1247">
        <v>41.86978099584627</v>
      </c>
      <c r="K1247">
        <v>74.458200456030895</v>
      </c>
      <c r="L1247">
        <v>14.065837281920164</v>
      </c>
      <c r="M1247">
        <v>43.184928067795468</v>
      </c>
      <c r="N1247">
        <v>11.633360589649703</v>
      </c>
      <c r="O1247">
        <v>14.608078271682787</v>
      </c>
      <c r="P1247">
        <v>10.413048628538883</v>
      </c>
    </row>
    <row r="1248" spans="1:16">
      <c r="A1248" s="1" t="s">
        <v>1277</v>
      </c>
      <c r="B1248" s="4" t="s">
        <v>1302</v>
      </c>
      <c r="C1248" s="1" t="s">
        <v>105</v>
      </c>
      <c r="D1248" s="1" t="s">
        <v>106</v>
      </c>
      <c r="E1248" s="1" t="s">
        <v>1282</v>
      </c>
      <c r="F1248">
        <v>70.337621662777934</v>
      </c>
      <c r="G1248">
        <v>2214.8300208113706</v>
      </c>
      <c r="H1248">
        <v>471.02267289278689</v>
      </c>
      <c r="I1248">
        <v>587.63843388866337</v>
      </c>
      <c r="J1248">
        <v>86.639401416930198</v>
      </c>
      <c r="K1248">
        <v>378.81089473469211</v>
      </c>
      <c r="L1248">
        <v>11.493744247041757</v>
      </c>
      <c r="M1248">
        <v>45.018746547707785</v>
      </c>
      <c r="N1248">
        <v>16.489774892951701</v>
      </c>
      <c r="O1248">
        <v>15.090961744840948</v>
      </c>
      <c r="P1248">
        <v>6.5882345476588844</v>
      </c>
    </row>
    <row r="1249" spans="1:16">
      <c r="A1249" s="1" t="s">
        <v>1277</v>
      </c>
      <c r="B1249" s="4" t="s">
        <v>1303</v>
      </c>
      <c r="C1249" s="1" t="s">
        <v>105</v>
      </c>
      <c r="D1249" s="1" t="s">
        <v>106</v>
      </c>
      <c r="E1249" s="1" t="s">
        <v>1282</v>
      </c>
      <c r="F1249">
        <v>144.80020795286305</v>
      </c>
      <c r="G1249">
        <v>5875.1918700096621</v>
      </c>
      <c r="H1249">
        <v>398.32417412011597</v>
      </c>
      <c r="I1249">
        <v>555.62080782895134</v>
      </c>
      <c r="J1249">
        <v>44.883958880310018</v>
      </c>
      <c r="K1249">
        <v>121.35173464614303</v>
      </c>
      <c r="L1249">
        <v>10.77567292264288</v>
      </c>
      <c r="M1249">
        <v>49.73419624308233</v>
      </c>
      <c r="N1249">
        <v>17.241507975355823</v>
      </c>
      <c r="O1249">
        <v>13.821176155698744</v>
      </c>
      <c r="P1249">
        <v>3.4569514539496744</v>
      </c>
    </row>
    <row r="1250" spans="1:16">
      <c r="A1250" s="1" t="s">
        <v>1277</v>
      </c>
      <c r="B1250" s="4" t="s">
        <v>1304</v>
      </c>
      <c r="C1250" s="1" t="s">
        <v>105</v>
      </c>
      <c r="D1250" s="1" t="s">
        <v>106</v>
      </c>
      <c r="E1250" s="1" t="s">
        <v>1282</v>
      </c>
      <c r="F1250">
        <v>54.1924947767072</v>
      </c>
      <c r="G1250">
        <v>2405.5406106169844</v>
      </c>
      <c r="H1250">
        <v>414.97513401661496</v>
      </c>
      <c r="I1250">
        <v>561.40771452986166</v>
      </c>
      <c r="J1250">
        <v>45.442305982456638</v>
      </c>
      <c r="K1250">
        <v>81.232299835774796</v>
      </c>
      <c r="L1250">
        <v>14.294081877271827</v>
      </c>
      <c r="M1250">
        <v>44.630219259819725</v>
      </c>
      <c r="N1250">
        <v>5.8520219831999229</v>
      </c>
      <c r="O1250">
        <v>16.303640801614687</v>
      </c>
      <c r="P1250">
        <v>2.8924895297366997</v>
      </c>
    </row>
    <row r="1251" spans="1:16">
      <c r="A1251" s="1" t="s">
        <v>1277</v>
      </c>
      <c r="B1251" s="4" t="s">
        <v>1305</v>
      </c>
      <c r="C1251" s="1" t="s">
        <v>105</v>
      </c>
      <c r="D1251" s="1" t="s">
        <v>106</v>
      </c>
      <c r="E1251" s="1" t="s">
        <v>1282</v>
      </c>
      <c r="F1251">
        <v>21.1461166202212</v>
      </c>
      <c r="G1251">
        <v>1405.8619790118166</v>
      </c>
      <c r="H1251">
        <v>404.97821625920557</v>
      </c>
      <c r="I1251">
        <v>545.81141317740071</v>
      </c>
      <c r="J1251">
        <v>33.675347391284944</v>
      </c>
      <c r="K1251">
        <v>137.17704877433647</v>
      </c>
      <c r="L1251">
        <v>9.5229579567256017</v>
      </c>
      <c r="M1251">
        <v>46.645648932819597</v>
      </c>
      <c r="N1251">
        <v>12.697830063252626</v>
      </c>
      <c r="O1251">
        <v>13.71641944115213</v>
      </c>
      <c r="P1251">
        <v>2.390202596687995</v>
      </c>
    </row>
    <row r="1252" spans="1:16">
      <c r="A1252" s="1" t="s">
        <v>1277</v>
      </c>
      <c r="B1252" s="4" t="s">
        <v>1306</v>
      </c>
      <c r="C1252" s="1" t="s">
        <v>105</v>
      </c>
      <c r="D1252" s="1" t="s">
        <v>106</v>
      </c>
      <c r="E1252" s="1" t="s">
        <v>1282</v>
      </c>
      <c r="F1252">
        <v>16.030461879236633</v>
      </c>
      <c r="G1252">
        <v>1738.7712098772577</v>
      </c>
      <c r="H1252">
        <v>414.38148237325271</v>
      </c>
      <c r="I1252">
        <v>540.47385017544593</v>
      </c>
      <c r="J1252">
        <v>32.617861915771655</v>
      </c>
      <c r="K1252">
        <v>118.11424613130242</v>
      </c>
      <c r="L1252">
        <v>11.219698525475545</v>
      </c>
      <c r="M1252">
        <v>46.425327654641372</v>
      </c>
      <c r="N1252">
        <v>5.8739253647489003</v>
      </c>
      <c r="O1252">
        <v>15.483264744507023</v>
      </c>
      <c r="P1252">
        <v>2.7632267687394676</v>
      </c>
    </row>
    <row r="1253" spans="1:16">
      <c r="A1253" s="1" t="s">
        <v>1277</v>
      </c>
      <c r="B1253" s="4" t="s">
        <v>1307</v>
      </c>
      <c r="C1253" s="1" t="s">
        <v>105</v>
      </c>
      <c r="D1253" s="1" t="s">
        <v>106</v>
      </c>
      <c r="E1253" s="1" t="s">
        <v>1282</v>
      </c>
      <c r="F1253">
        <v>11.630805609733484</v>
      </c>
      <c r="G1253">
        <v>1261.0727511656705</v>
      </c>
      <c r="H1253">
        <v>410.30311115340771</v>
      </c>
      <c r="I1253">
        <v>549.6048831797184</v>
      </c>
      <c r="J1253">
        <v>30.922146003892621</v>
      </c>
      <c r="K1253">
        <v>129.49176038196453</v>
      </c>
      <c r="L1253">
        <v>12.147202039106554</v>
      </c>
      <c r="M1253">
        <v>43.518069890730089</v>
      </c>
      <c r="N1253">
        <v>5.7780594050451528</v>
      </c>
      <c r="O1253">
        <v>15.238107924581197</v>
      </c>
      <c r="P1253">
        <v>2.4538370642066409</v>
      </c>
    </row>
    <row r="1254" spans="1:16">
      <c r="A1254" s="1" t="s">
        <v>1277</v>
      </c>
      <c r="B1254" s="4" t="s">
        <v>1308</v>
      </c>
      <c r="C1254" s="1" t="s">
        <v>105</v>
      </c>
      <c r="D1254" s="1" t="s">
        <v>106</v>
      </c>
      <c r="E1254" s="1" t="s">
        <v>1282</v>
      </c>
      <c r="F1254">
        <v>54.169457101346026</v>
      </c>
      <c r="G1254">
        <v>1508.7587812729312</v>
      </c>
      <c r="H1254">
        <v>416.2015739797003</v>
      </c>
      <c r="I1254">
        <v>542.00561729570848</v>
      </c>
      <c r="J1254">
        <v>35.137642346480348</v>
      </c>
      <c r="K1254">
        <v>74.471087577990929</v>
      </c>
      <c r="L1254">
        <v>12.566149846316161</v>
      </c>
      <c r="M1254">
        <v>37.855765100617326</v>
      </c>
      <c r="N1254">
        <v>7.4490466606014074</v>
      </c>
      <c r="O1254">
        <v>16.945762065821725</v>
      </c>
      <c r="P1254">
        <v>2.1895279664275713</v>
      </c>
    </row>
    <row r="1255" spans="1:16">
      <c r="A1255" s="1" t="s">
        <v>1277</v>
      </c>
      <c r="B1255" s="4" t="s">
        <v>1309</v>
      </c>
      <c r="C1255" s="1" t="s">
        <v>105</v>
      </c>
      <c r="D1255" s="1" t="s">
        <v>106</v>
      </c>
      <c r="E1255" s="1" t="s">
        <v>1282</v>
      </c>
      <c r="F1255">
        <v>54.095686283809108</v>
      </c>
      <c r="G1255">
        <v>2666.9313523184915</v>
      </c>
      <c r="H1255">
        <v>634.80017693811794</v>
      </c>
      <c r="I1255">
        <v>641.49074730700056</v>
      </c>
      <c r="J1255">
        <v>49.085923440132177</v>
      </c>
      <c r="K1255">
        <v>39.776557434793858</v>
      </c>
      <c r="L1255">
        <v>14.459133422332098</v>
      </c>
      <c r="M1255">
        <v>54.208159858646411</v>
      </c>
      <c r="N1255">
        <v>5.5392395924088875</v>
      </c>
      <c r="O1255">
        <v>16.828170612572606</v>
      </c>
      <c r="P1255">
        <v>8.1436118024532576</v>
      </c>
    </row>
    <row r="1256" spans="1:16">
      <c r="A1256" s="1" t="s">
        <v>1277</v>
      </c>
      <c r="B1256" s="4" t="s">
        <v>1310</v>
      </c>
      <c r="C1256" s="1" t="s">
        <v>105</v>
      </c>
      <c r="D1256" s="1" t="s">
        <v>106</v>
      </c>
      <c r="E1256" s="1" t="s">
        <v>1282</v>
      </c>
      <c r="F1256">
        <v>63.070700662190077</v>
      </c>
      <c r="G1256">
        <v>4550.07002383494</v>
      </c>
      <c r="H1256">
        <v>376.23935951076527</v>
      </c>
      <c r="I1256">
        <v>588.86588475994711</v>
      </c>
      <c r="J1256">
        <v>35.655723650458597</v>
      </c>
      <c r="K1256">
        <v>329.92033643105407</v>
      </c>
      <c r="L1256">
        <v>13.911286653760133</v>
      </c>
      <c r="M1256">
        <v>49.905939612599163</v>
      </c>
      <c r="N1256">
        <v>22.118272337046321</v>
      </c>
      <c r="O1256">
        <v>13.097215223522801</v>
      </c>
      <c r="P1256">
        <v>4.869982238593586</v>
      </c>
    </row>
    <row r="1257" spans="1:16">
      <c r="A1257" s="1" t="s">
        <v>1277</v>
      </c>
      <c r="B1257" s="4" t="s">
        <v>1311</v>
      </c>
      <c r="C1257" s="1" t="s">
        <v>105</v>
      </c>
      <c r="D1257" s="1" t="s">
        <v>106</v>
      </c>
      <c r="E1257" s="1" t="s">
        <v>1282</v>
      </c>
      <c r="F1257">
        <v>40.785049612304832</v>
      </c>
      <c r="G1257">
        <v>6144.9645185577319</v>
      </c>
      <c r="H1257">
        <v>736.06198688976542</v>
      </c>
      <c r="I1257">
        <v>613.2618493700038</v>
      </c>
      <c r="J1257">
        <v>25.962443846851574</v>
      </c>
      <c r="K1257">
        <v>412.70814512989875</v>
      </c>
      <c r="L1257">
        <v>16.430918552403838</v>
      </c>
      <c r="M1257">
        <v>48.443217359806198</v>
      </c>
      <c r="N1257">
        <v>13.680492777266291</v>
      </c>
      <c r="O1257">
        <v>13.5030636980763</v>
      </c>
      <c r="P1257">
        <v>5.6435031467729475</v>
      </c>
    </row>
    <row r="1258" spans="1:16">
      <c r="A1258" s="1" t="s">
        <v>1277</v>
      </c>
      <c r="B1258" s="4" t="s">
        <v>1312</v>
      </c>
      <c r="C1258" s="1" t="s">
        <v>105</v>
      </c>
      <c r="D1258" s="1" t="s">
        <v>106</v>
      </c>
      <c r="E1258" s="1" t="s">
        <v>1282</v>
      </c>
      <c r="F1258">
        <v>44.166462059989428</v>
      </c>
      <c r="G1258">
        <v>3021.9695527839763</v>
      </c>
      <c r="H1258">
        <v>670.78466037348869</v>
      </c>
      <c r="I1258">
        <v>537.09787273392408</v>
      </c>
      <c r="J1258">
        <v>61.861632972223859</v>
      </c>
      <c r="K1258">
        <v>678.8611138133142</v>
      </c>
      <c r="L1258">
        <v>12.657621094488196</v>
      </c>
      <c r="M1258">
        <v>46.380224016660009</v>
      </c>
      <c r="N1258">
        <v>21.727393361392561</v>
      </c>
      <c r="O1258">
        <v>13.597412408148447</v>
      </c>
      <c r="P1258">
        <v>5.1855382082177384</v>
      </c>
    </row>
    <row r="1259" spans="1:16">
      <c r="A1259" s="1" t="s">
        <v>1277</v>
      </c>
      <c r="B1259" s="4" t="s">
        <v>1313</v>
      </c>
      <c r="C1259" s="1" t="s">
        <v>105</v>
      </c>
      <c r="D1259" s="1" t="s">
        <v>106</v>
      </c>
      <c r="E1259" s="1" t="s">
        <v>1282</v>
      </c>
      <c r="F1259">
        <v>27.821117380706276</v>
      </c>
      <c r="G1259">
        <v>2833.1031178168782</v>
      </c>
      <c r="H1259">
        <v>399.88475927527702</v>
      </c>
      <c r="I1259">
        <v>571.15905220945672</v>
      </c>
      <c r="J1259">
        <v>63.962064125606048</v>
      </c>
      <c r="K1259">
        <v>317.66349319317629</v>
      </c>
      <c r="L1259">
        <v>11.701907565611597</v>
      </c>
      <c r="M1259">
        <v>48.548267951178786</v>
      </c>
      <c r="N1259">
        <v>12.903997502728021</v>
      </c>
      <c r="O1259">
        <v>14.537977049381912</v>
      </c>
      <c r="P1259">
        <v>7.8620765917046826</v>
      </c>
    </row>
    <row r="1260" spans="1:16">
      <c r="A1260" s="1" t="s">
        <v>1277</v>
      </c>
      <c r="B1260" s="4" t="s">
        <v>1314</v>
      </c>
      <c r="C1260" s="1" t="s">
        <v>105</v>
      </c>
      <c r="D1260" s="1" t="s">
        <v>106</v>
      </c>
      <c r="E1260" s="1" t="s">
        <v>1282</v>
      </c>
      <c r="F1260">
        <v>101.35932972826114</v>
      </c>
      <c r="G1260">
        <v>4027.6567993328026</v>
      </c>
      <c r="H1260">
        <v>452.75760497215367</v>
      </c>
      <c r="I1260">
        <v>491.7782824377112</v>
      </c>
      <c r="J1260">
        <v>29.80466948025332</v>
      </c>
      <c r="K1260">
        <v>149.57601749599354</v>
      </c>
      <c r="L1260">
        <v>8.3060349102623032</v>
      </c>
      <c r="M1260">
        <v>45.552529898330455</v>
      </c>
      <c r="N1260">
        <v>9.7311266670954382</v>
      </c>
      <c r="O1260">
        <v>13.059098714543042</v>
      </c>
      <c r="P1260">
        <v>4.2350523959795368</v>
      </c>
    </row>
    <row r="1261" spans="1:16">
      <c r="A1261" s="1" t="s">
        <v>1277</v>
      </c>
      <c r="B1261" s="4" t="s">
        <v>1315</v>
      </c>
      <c r="C1261" s="1" t="s">
        <v>105</v>
      </c>
      <c r="D1261" s="1" t="s">
        <v>106</v>
      </c>
      <c r="E1261" s="1" t="s">
        <v>1282</v>
      </c>
      <c r="F1261">
        <v>77.3499412803952</v>
      </c>
      <c r="G1261">
        <v>1338.8792338137387</v>
      </c>
      <c r="H1261">
        <v>184.51908506921225</v>
      </c>
      <c r="I1261">
        <v>287.85626291214163</v>
      </c>
      <c r="J1261">
        <v>3.9761176522761965</v>
      </c>
      <c r="K1261">
        <v>83.175966850298906</v>
      </c>
      <c r="L1261">
        <v>7.9273287656122964</v>
      </c>
      <c r="M1261">
        <v>68.17413550800552</v>
      </c>
      <c r="N1261">
        <v>3.2516849534734065</v>
      </c>
      <c r="O1261">
        <v>45.127668065597106</v>
      </c>
      <c r="P1261">
        <v>1.5417657145936448</v>
      </c>
    </row>
    <row r="1262" spans="1:16">
      <c r="A1262" s="1" t="s">
        <v>1277</v>
      </c>
      <c r="B1262" s="4" t="s">
        <v>1316</v>
      </c>
      <c r="C1262" s="1" t="s">
        <v>105</v>
      </c>
      <c r="D1262" s="1" t="s">
        <v>106</v>
      </c>
      <c r="E1262" s="1" t="s">
        <v>1282</v>
      </c>
      <c r="F1262">
        <v>71.914771038818969</v>
      </c>
      <c r="G1262">
        <v>941.9514505073239</v>
      </c>
      <c r="H1262">
        <v>175.66987349128232</v>
      </c>
      <c r="I1262">
        <v>280.69795680661082</v>
      </c>
      <c r="J1262">
        <v>8.5374326922860782</v>
      </c>
      <c r="K1262">
        <v>33.480975301346966</v>
      </c>
      <c r="L1262">
        <v>7.9112245352571877</v>
      </c>
      <c r="M1262">
        <v>66.166152174765358</v>
      </c>
      <c r="N1262">
        <v>2.3460768490882749</v>
      </c>
      <c r="O1262">
        <v>39.862000594242083</v>
      </c>
      <c r="P1262">
        <v>2.0528555848037064</v>
      </c>
    </row>
    <row r="1263" spans="1:16">
      <c r="A1263" s="1" t="s">
        <v>1277</v>
      </c>
      <c r="B1263" s="4" t="s">
        <v>1317</v>
      </c>
      <c r="C1263" s="1" t="s">
        <v>105</v>
      </c>
      <c r="D1263" s="1" t="s">
        <v>106</v>
      </c>
      <c r="E1263" s="1" t="s">
        <v>1282</v>
      </c>
      <c r="F1263">
        <v>159.91848345391793</v>
      </c>
      <c r="G1263">
        <v>1473.540743985855</v>
      </c>
      <c r="H1263">
        <v>209.07380044936627</v>
      </c>
      <c r="I1263">
        <v>284.17936801232742</v>
      </c>
      <c r="J1263">
        <v>7.0600952774588261</v>
      </c>
      <c r="K1263">
        <v>118.47821197320907</v>
      </c>
      <c r="L1263">
        <v>7.0211659431572784</v>
      </c>
      <c r="M1263">
        <v>66.973560103727777</v>
      </c>
      <c r="N1263">
        <v>3.6626774192059273</v>
      </c>
      <c r="O1263">
        <v>42.682035710157749</v>
      </c>
      <c r="P1263">
        <v>1.730796921525467</v>
      </c>
    </row>
    <row r="1264" spans="1:16">
      <c r="A1264" s="1" t="s">
        <v>1277</v>
      </c>
      <c r="B1264" s="4" t="s">
        <v>1318</v>
      </c>
      <c r="C1264" s="1" t="s">
        <v>105</v>
      </c>
      <c r="D1264" s="1" t="s">
        <v>106</v>
      </c>
      <c r="E1264" s="1" t="s">
        <v>1282</v>
      </c>
      <c r="F1264">
        <v>93.706370375436208</v>
      </c>
      <c r="G1264">
        <v>1015.6673604721785</v>
      </c>
      <c r="H1264">
        <v>307.98194108601581</v>
      </c>
      <c r="I1264">
        <v>330.75955893161955</v>
      </c>
      <c r="J1264">
        <v>14.218223229973281</v>
      </c>
      <c r="K1264">
        <v>38.431960932885225</v>
      </c>
      <c r="L1264">
        <v>7.1463304305391926</v>
      </c>
      <c r="M1264">
        <v>72.554067465715718</v>
      </c>
      <c r="N1264">
        <v>3.7330512924380095</v>
      </c>
      <c r="O1264">
        <v>38.390562874430046</v>
      </c>
      <c r="P1264">
        <v>3.3149513980748515</v>
      </c>
    </row>
    <row r="1265" spans="1:16">
      <c r="A1265" s="1" t="s">
        <v>1277</v>
      </c>
      <c r="B1265" s="4" t="s">
        <v>1319</v>
      </c>
      <c r="C1265" s="1" t="s">
        <v>105</v>
      </c>
      <c r="D1265" s="1" t="s">
        <v>106</v>
      </c>
      <c r="E1265" s="1" t="s">
        <v>1282</v>
      </c>
      <c r="F1265">
        <v>102.79053755030444</v>
      </c>
      <c r="G1265">
        <v>1233.1498764736452</v>
      </c>
      <c r="H1265">
        <v>256.44339071821963</v>
      </c>
      <c r="I1265">
        <v>312.89835710937899</v>
      </c>
      <c r="J1265">
        <v>20.096484391360132</v>
      </c>
      <c r="K1265">
        <v>29.714454616823446</v>
      </c>
      <c r="L1265">
        <v>7.7622615681329767</v>
      </c>
      <c r="M1265">
        <v>67.776974647856022</v>
      </c>
      <c r="N1265">
        <v>1.0156518812984128</v>
      </c>
      <c r="O1265">
        <v>35.822060711861958</v>
      </c>
      <c r="P1265">
        <v>2.4027321238693911</v>
      </c>
    </row>
    <row r="1266" spans="1:16">
      <c r="A1266" s="1" t="s">
        <v>1277</v>
      </c>
      <c r="B1266" s="4" t="s">
        <v>1320</v>
      </c>
      <c r="C1266" s="1" t="s">
        <v>105</v>
      </c>
      <c r="D1266" s="1" t="s">
        <v>106</v>
      </c>
      <c r="E1266" s="1" t="s">
        <v>1282</v>
      </c>
      <c r="F1266">
        <v>139.46248672819107</v>
      </c>
      <c r="G1266">
        <v>1320.3455244618581</v>
      </c>
      <c r="H1266">
        <v>253.02433342878294</v>
      </c>
      <c r="I1266">
        <v>335.76041085774386</v>
      </c>
      <c r="J1266">
        <v>18.183420642062885</v>
      </c>
      <c r="K1266">
        <v>38.879810277968275</v>
      </c>
      <c r="L1266">
        <v>8.4179158161255483</v>
      </c>
      <c r="M1266">
        <v>73.585886708619668</v>
      </c>
      <c r="N1266">
        <v>3.5647687170028908</v>
      </c>
      <c r="O1266">
        <v>38.747079922538902</v>
      </c>
      <c r="P1266">
        <v>2.7765054018247692</v>
      </c>
    </row>
    <row r="1267" spans="1:16">
      <c r="A1267" s="1" t="s">
        <v>1277</v>
      </c>
      <c r="B1267" s="4" t="s">
        <v>1321</v>
      </c>
      <c r="C1267" s="1" t="s">
        <v>105</v>
      </c>
      <c r="D1267" s="1" t="s">
        <v>106</v>
      </c>
      <c r="E1267" s="1" t="s">
        <v>1282</v>
      </c>
      <c r="F1267">
        <v>324.65617062895319</v>
      </c>
      <c r="G1267">
        <v>2211.6589083818531</v>
      </c>
      <c r="H1267">
        <v>367.27432321080744</v>
      </c>
      <c r="I1267">
        <v>325.21674831906648</v>
      </c>
      <c r="J1267">
        <v>10.471005661664515</v>
      </c>
      <c r="K1267">
        <v>43.732346987414694</v>
      </c>
      <c r="L1267">
        <v>8.7014323486924035</v>
      </c>
      <c r="M1267">
        <v>68.844986494570691</v>
      </c>
      <c r="N1267">
        <v>3.8913012959772515</v>
      </c>
      <c r="O1267">
        <v>37.235950204505023</v>
      </c>
      <c r="P1267">
        <v>6.6869204864097957</v>
      </c>
    </row>
    <row r="1268" spans="1:16">
      <c r="A1268" s="1" t="s">
        <v>1277</v>
      </c>
      <c r="B1268" s="4" t="s">
        <v>1322</v>
      </c>
      <c r="C1268" s="1" t="s">
        <v>105</v>
      </c>
      <c r="D1268" s="1" t="s">
        <v>106</v>
      </c>
      <c r="E1268" s="1" t="s">
        <v>1282</v>
      </c>
      <c r="F1268">
        <v>96.546622423107848</v>
      </c>
      <c r="G1268">
        <v>1113.9821303990254</v>
      </c>
      <c r="H1268">
        <v>225.3611984861007</v>
      </c>
      <c r="I1268">
        <v>337.22807537452542</v>
      </c>
      <c r="J1268">
        <v>22.416372824714713</v>
      </c>
      <c r="K1268">
        <v>26.707493661725294</v>
      </c>
      <c r="L1268">
        <v>8.9969161215380851</v>
      </c>
      <c r="M1268">
        <v>70.162099730887405</v>
      </c>
      <c r="N1268">
        <v>3.0743438555532729</v>
      </c>
      <c r="O1268">
        <v>37.748434032613083</v>
      </c>
      <c r="P1268">
        <v>2.4055595981220224</v>
      </c>
    </row>
    <row r="1269" spans="1:16">
      <c r="A1269" s="1" t="s">
        <v>1277</v>
      </c>
      <c r="B1269" s="4" t="s">
        <v>1323</v>
      </c>
      <c r="C1269" s="1" t="s">
        <v>105</v>
      </c>
      <c r="D1269" s="1" t="s">
        <v>106</v>
      </c>
      <c r="E1269" s="1" t="s">
        <v>1282</v>
      </c>
      <c r="F1269">
        <v>116.39020298338332</v>
      </c>
      <c r="G1269">
        <v>972.71404069152368</v>
      </c>
      <c r="H1269">
        <v>229.62287226648453</v>
      </c>
      <c r="I1269">
        <v>338.05357472842326</v>
      </c>
      <c r="J1269">
        <v>18.615414434449288</v>
      </c>
      <c r="K1269">
        <v>34.720369957088387</v>
      </c>
      <c r="L1269">
        <v>8.8786345368333013</v>
      </c>
      <c r="M1269">
        <v>70.581103866931457</v>
      </c>
      <c r="N1269">
        <v>2.7926611658212988</v>
      </c>
      <c r="O1269">
        <v>38.709180027130479</v>
      </c>
      <c r="P1269">
        <v>5.6636407380477971</v>
      </c>
    </row>
    <row r="1270" spans="1:16">
      <c r="A1270" s="1" t="s">
        <v>1277</v>
      </c>
      <c r="B1270" s="4" t="s">
        <v>1324</v>
      </c>
      <c r="C1270" s="1" t="s">
        <v>105</v>
      </c>
      <c r="D1270" s="1" t="s">
        <v>106</v>
      </c>
      <c r="E1270" s="1" t="s">
        <v>1282</v>
      </c>
      <c r="F1270">
        <v>197.64189626816488</v>
      </c>
      <c r="G1270">
        <v>1539.6515797381521</v>
      </c>
      <c r="H1270">
        <v>266.35826254940173</v>
      </c>
      <c r="I1270">
        <v>331.22339264350717</v>
      </c>
      <c r="J1270">
        <v>21.413691896110013</v>
      </c>
      <c r="K1270">
        <v>44.701816009728915</v>
      </c>
      <c r="L1270">
        <v>9.0917162815466632</v>
      </c>
      <c r="M1270">
        <v>73.315480414310088</v>
      </c>
      <c r="N1270">
        <v>4.0205835712523132</v>
      </c>
      <c r="O1270">
        <v>36.146874017612809</v>
      </c>
      <c r="P1270">
        <v>3.0942748185689544</v>
      </c>
    </row>
    <row r="1271" spans="1:16">
      <c r="A1271" s="1" t="s">
        <v>1277</v>
      </c>
      <c r="B1271" s="4" t="s">
        <v>1324</v>
      </c>
      <c r="C1271" s="1" t="s">
        <v>105</v>
      </c>
      <c r="D1271" s="1" t="s">
        <v>106</v>
      </c>
      <c r="E1271" s="1" t="s">
        <v>1282</v>
      </c>
      <c r="F1271">
        <v>99.419773679855467</v>
      </c>
      <c r="G1271">
        <v>1026.5967258133076</v>
      </c>
      <c r="H1271">
        <v>237.43586411725695</v>
      </c>
      <c r="I1271">
        <v>338.34285111452078</v>
      </c>
      <c r="J1271">
        <v>9.3631515249760753</v>
      </c>
      <c r="K1271">
        <v>29.137066451043761</v>
      </c>
      <c r="L1271">
        <v>7.5880313333938973</v>
      </c>
      <c r="M1271">
        <v>69.481530094674355</v>
      </c>
      <c r="N1271">
        <v>2.9716073499736311</v>
      </c>
      <c r="O1271">
        <v>36.695130402468514</v>
      </c>
      <c r="P1271">
        <v>2.1687136493225792</v>
      </c>
    </row>
    <row r="1272" spans="1:16">
      <c r="A1272" s="1" t="s">
        <v>1277</v>
      </c>
      <c r="B1272" s="4" t="s">
        <v>1325</v>
      </c>
      <c r="C1272" s="1" t="s">
        <v>105</v>
      </c>
      <c r="D1272" s="1" t="s">
        <v>106</v>
      </c>
      <c r="E1272" s="1" t="s">
        <v>1282</v>
      </c>
      <c r="F1272">
        <v>84.116742924065292</v>
      </c>
      <c r="G1272">
        <v>825.71759755142205</v>
      </c>
      <c r="H1272">
        <v>236.94165005039767</v>
      </c>
      <c r="I1272">
        <v>330.14443936863728</v>
      </c>
      <c r="J1272">
        <v>5.4205883979491389</v>
      </c>
      <c r="K1272">
        <v>25.936554684286552</v>
      </c>
      <c r="L1272">
        <v>7.7568513907570651</v>
      </c>
      <c r="M1272">
        <v>72.394944519909259</v>
      </c>
      <c r="N1272">
        <v>2.6226667371977199</v>
      </c>
      <c r="O1272">
        <v>36.812776378233991</v>
      </c>
      <c r="P1272">
        <v>1.9740572640933569</v>
      </c>
    </row>
    <row r="1273" spans="1:16">
      <c r="A1273" s="1" t="s">
        <v>1277</v>
      </c>
      <c r="B1273" s="4" t="s">
        <v>1326</v>
      </c>
      <c r="C1273" s="1" t="s">
        <v>105</v>
      </c>
      <c r="D1273" s="1" t="s">
        <v>106</v>
      </c>
      <c r="E1273" s="1" t="s">
        <v>1282</v>
      </c>
      <c r="F1273">
        <v>94.798956196501948</v>
      </c>
      <c r="G1273">
        <v>969.65972263996093</v>
      </c>
      <c r="H1273">
        <v>252.04015744130771</v>
      </c>
      <c r="I1273">
        <v>349.74818322668295</v>
      </c>
      <c r="J1273">
        <v>18.21654905707436</v>
      </c>
      <c r="K1273">
        <v>27.424895839042609</v>
      </c>
      <c r="L1273">
        <v>7.7374216322409106</v>
      </c>
      <c r="M1273">
        <v>71.840888132153282</v>
      </c>
      <c r="N1273">
        <v>3.3671291148193685</v>
      </c>
      <c r="O1273">
        <v>36.491213546038892</v>
      </c>
      <c r="P1273">
        <v>2.3032435015561181</v>
      </c>
    </row>
    <row r="1274" spans="1:16">
      <c r="A1274" s="1" t="s">
        <v>1277</v>
      </c>
      <c r="B1274" s="4" t="s">
        <v>1327</v>
      </c>
      <c r="C1274" s="1" t="s">
        <v>105</v>
      </c>
      <c r="D1274" s="1" t="s">
        <v>106</v>
      </c>
      <c r="E1274" s="1" t="s">
        <v>1282</v>
      </c>
      <c r="F1274">
        <v>130.31132667404924</v>
      </c>
      <c r="G1274">
        <v>1439.6492114330833</v>
      </c>
      <c r="H1274">
        <v>257.60723939650245</v>
      </c>
      <c r="I1274">
        <v>343.80751901677326</v>
      </c>
      <c r="J1274">
        <v>11.151171804681503</v>
      </c>
      <c r="K1274">
        <v>50.838808873325625</v>
      </c>
      <c r="L1274">
        <v>7.8987559979607749</v>
      </c>
      <c r="M1274">
        <v>66.131208633685119</v>
      </c>
      <c r="N1274">
        <v>5.4988795445997365</v>
      </c>
      <c r="O1274">
        <v>38.056904824643453</v>
      </c>
      <c r="P1274">
        <v>3.3243453410591521</v>
      </c>
    </row>
    <row r="1275" spans="1:16">
      <c r="A1275" s="1" t="s">
        <v>1277</v>
      </c>
      <c r="B1275" s="4" t="s">
        <v>1328</v>
      </c>
      <c r="C1275" s="1" t="s">
        <v>105</v>
      </c>
      <c r="D1275" s="1" t="s">
        <v>106</v>
      </c>
      <c r="E1275" s="1" t="s">
        <v>1282</v>
      </c>
      <c r="F1275">
        <v>98.236528305063956</v>
      </c>
      <c r="G1275">
        <v>1062.551574228972</v>
      </c>
      <c r="H1275">
        <v>295.21051947511285</v>
      </c>
      <c r="I1275">
        <v>336.47876627279544</v>
      </c>
      <c r="J1275">
        <v>1.0904825744658575</v>
      </c>
      <c r="K1275">
        <v>37.620869220020523</v>
      </c>
      <c r="L1275">
        <v>7.6463386315695736</v>
      </c>
      <c r="M1275">
        <v>73.550328249068542</v>
      </c>
      <c r="N1275">
        <v>3.4830082371537827</v>
      </c>
      <c r="O1275">
        <v>38.055347210222457</v>
      </c>
      <c r="P1275">
        <v>3.7673605545641422</v>
      </c>
    </row>
    <row r="1276" spans="1:16">
      <c r="A1276" s="1" t="s">
        <v>1277</v>
      </c>
      <c r="B1276" s="4" t="s">
        <v>1329</v>
      </c>
      <c r="C1276" s="1" t="s">
        <v>105</v>
      </c>
      <c r="D1276" s="1" t="s">
        <v>106</v>
      </c>
      <c r="E1276" s="1" t="s">
        <v>1282</v>
      </c>
      <c r="F1276">
        <v>89.411094645263773</v>
      </c>
      <c r="G1276">
        <v>1001.841974206621</v>
      </c>
      <c r="H1276">
        <v>220.85709599279804</v>
      </c>
      <c r="I1276">
        <v>300.73822864190339</v>
      </c>
      <c r="J1276">
        <v>11.560095038229946</v>
      </c>
      <c r="K1276">
        <v>60.842661709254799</v>
      </c>
      <c r="L1276">
        <v>7.6448319842611667</v>
      </c>
      <c r="M1276">
        <v>67.872531994749764</v>
      </c>
      <c r="N1276">
        <v>8.0811448486870319</v>
      </c>
      <c r="O1276">
        <v>37.38468814386485</v>
      </c>
      <c r="P1276">
        <v>1.9114312828514637</v>
      </c>
    </row>
    <row r="1277" spans="1:16">
      <c r="A1277" s="1" t="s">
        <v>1277</v>
      </c>
      <c r="B1277" s="4" t="s">
        <v>1330</v>
      </c>
      <c r="C1277" s="1" t="s">
        <v>105</v>
      </c>
      <c r="D1277" s="1" t="s">
        <v>106</v>
      </c>
      <c r="E1277" s="1" t="s">
        <v>1282</v>
      </c>
      <c r="F1277">
        <v>52.531121330888332</v>
      </c>
      <c r="G1277">
        <v>899.5361680090316</v>
      </c>
      <c r="H1277">
        <v>208.74195061527939</v>
      </c>
      <c r="I1277">
        <v>297.74199259243068</v>
      </c>
      <c r="J1277">
        <v>9.3593010980131286</v>
      </c>
      <c r="K1277">
        <v>51.253912626078225</v>
      </c>
      <c r="L1277">
        <v>8.0265788254023409</v>
      </c>
      <c r="M1277">
        <v>63.46020859831301</v>
      </c>
      <c r="N1277">
        <v>4.6292495587696134</v>
      </c>
      <c r="O1277">
        <v>36.372259107057907</v>
      </c>
      <c r="P1277">
        <v>1.953078285431681</v>
      </c>
    </row>
    <row r="1278" spans="1:16">
      <c r="A1278" s="1" t="s">
        <v>1277</v>
      </c>
      <c r="B1278" s="4" t="s">
        <v>1331</v>
      </c>
      <c r="C1278" s="1" t="s">
        <v>105</v>
      </c>
      <c r="D1278" s="1" t="s">
        <v>106</v>
      </c>
      <c r="E1278" s="1" t="s">
        <v>1282</v>
      </c>
      <c r="F1278">
        <v>105.21434613790866</v>
      </c>
      <c r="G1278">
        <v>757.65032374172836</v>
      </c>
      <c r="H1278">
        <v>248.45847590135222</v>
      </c>
      <c r="I1278">
        <v>322.91185285874587</v>
      </c>
      <c r="J1278">
        <v>4.7835380659893678</v>
      </c>
      <c r="K1278">
        <v>39.259268256618149</v>
      </c>
      <c r="L1278">
        <v>7.8798149933793713</v>
      </c>
      <c r="M1278">
        <v>72.219051382223</v>
      </c>
      <c r="N1278">
        <v>0.50897632365299439</v>
      </c>
      <c r="O1278">
        <v>36.429620058676413</v>
      </c>
      <c r="P1278">
        <v>1.792055230287519</v>
      </c>
    </row>
    <row r="1279" spans="1:16">
      <c r="A1279" s="1" t="s">
        <v>1277</v>
      </c>
      <c r="B1279" s="4" t="s">
        <v>1332</v>
      </c>
      <c r="C1279" s="1" t="s">
        <v>105</v>
      </c>
      <c r="D1279" s="1" t="s">
        <v>106</v>
      </c>
      <c r="E1279" s="1" t="s">
        <v>1282</v>
      </c>
      <c r="F1279">
        <v>1.8961384896955882E-2</v>
      </c>
      <c r="G1279">
        <v>4532.2806414737352</v>
      </c>
      <c r="H1279">
        <v>370.72409223195427</v>
      </c>
      <c r="I1279">
        <v>292.65381264401611</v>
      </c>
      <c r="J1279">
        <v>8.7986191107176452</v>
      </c>
      <c r="K1279">
        <v>54.023962742644862</v>
      </c>
      <c r="L1279">
        <v>14.981078307751583</v>
      </c>
      <c r="M1279">
        <v>62.570253630179529</v>
      </c>
      <c r="N1279">
        <v>2.5920178644500464</v>
      </c>
      <c r="O1279">
        <v>28.197494479985767</v>
      </c>
      <c r="P1279">
        <v>5.8508376185420694</v>
      </c>
    </row>
    <row r="1280" spans="1:16">
      <c r="A1280" s="1" t="s">
        <v>1277</v>
      </c>
      <c r="B1280" s="4" t="s">
        <v>1333</v>
      </c>
      <c r="C1280" s="1" t="s">
        <v>105</v>
      </c>
      <c r="D1280" s="1" t="s">
        <v>106</v>
      </c>
      <c r="E1280" s="1" t="s">
        <v>1282</v>
      </c>
      <c r="F1280">
        <v>1.5983325760982339E-2</v>
      </c>
      <c r="G1280">
        <v>3294.0079580978395</v>
      </c>
      <c r="H1280">
        <v>368.09318920029074</v>
      </c>
      <c r="I1280">
        <v>299.1831774352699</v>
      </c>
      <c r="J1280">
        <v>7.2013443551379641</v>
      </c>
      <c r="K1280">
        <v>50.307728447405012</v>
      </c>
      <c r="L1280">
        <v>14.031940216818368</v>
      </c>
      <c r="M1280">
        <v>64.01818522464238</v>
      </c>
      <c r="N1280">
        <v>3.0501813359184533</v>
      </c>
      <c r="O1280">
        <v>25.095463857141194</v>
      </c>
      <c r="P1280">
        <v>3.7420247079263316</v>
      </c>
    </row>
    <row r="1281" spans="1:16">
      <c r="A1281" s="1" t="s">
        <v>1277</v>
      </c>
      <c r="B1281" s="4" t="s">
        <v>1334</v>
      </c>
      <c r="C1281" s="1" t="s">
        <v>105</v>
      </c>
      <c r="D1281" s="1" t="s">
        <v>106</v>
      </c>
      <c r="E1281" s="1" t="s">
        <v>1282</v>
      </c>
      <c r="F1281">
        <v>8.1405785166721121E-3</v>
      </c>
      <c r="G1281">
        <v>3098.2827800489304</v>
      </c>
      <c r="H1281">
        <v>290.89426087866411</v>
      </c>
      <c r="I1281">
        <v>287.15078701499169</v>
      </c>
      <c r="J1281">
        <v>7.5907966359382577</v>
      </c>
      <c r="K1281">
        <v>46.208238269592307</v>
      </c>
      <c r="L1281">
        <v>15.581036266528159</v>
      </c>
      <c r="M1281">
        <v>61.574506090543679</v>
      </c>
      <c r="N1281">
        <v>3.2879021235574983</v>
      </c>
      <c r="O1281">
        <v>24.37139458670649</v>
      </c>
      <c r="P1281">
        <v>2.6066762273587685</v>
      </c>
    </row>
    <row r="1282" spans="1:16">
      <c r="A1282" s="1" t="s">
        <v>1277</v>
      </c>
      <c r="B1282" s="4" t="s">
        <v>1335</v>
      </c>
      <c r="C1282" s="1" t="s">
        <v>105</v>
      </c>
      <c r="D1282" s="1" t="s">
        <v>106</v>
      </c>
      <c r="E1282" s="1" t="s">
        <v>1282</v>
      </c>
      <c r="F1282">
        <v>1.2534677780319355E-2</v>
      </c>
      <c r="G1282">
        <v>3284.2527208175657</v>
      </c>
      <c r="H1282">
        <v>403.04699653938161</v>
      </c>
      <c r="I1282">
        <v>290.84825057880266</v>
      </c>
      <c r="J1282">
        <v>6.9552441090841972</v>
      </c>
      <c r="K1282">
        <v>64.778652352536596</v>
      </c>
      <c r="L1282">
        <v>14.367649907868962</v>
      </c>
      <c r="M1282">
        <v>65.825408039195395</v>
      </c>
      <c r="N1282">
        <v>4.1111402989553838</v>
      </c>
      <c r="O1282">
        <v>25.493158210405873</v>
      </c>
      <c r="P1282">
        <v>3.8339399427958849</v>
      </c>
    </row>
    <row r="1283" spans="1:16">
      <c r="A1283" s="1" t="s">
        <v>1277</v>
      </c>
      <c r="B1283" s="4" t="s">
        <v>1336</v>
      </c>
      <c r="C1283" s="1" t="s">
        <v>105</v>
      </c>
      <c r="D1283" s="1" t="s">
        <v>106</v>
      </c>
      <c r="E1283" s="1" t="s">
        <v>1282</v>
      </c>
      <c r="F1283">
        <v>9.1006757298545907E-3</v>
      </c>
      <c r="G1283">
        <v>2415.6870812736174</v>
      </c>
      <c r="H1283">
        <v>242.03702013151369</v>
      </c>
      <c r="I1283">
        <v>286.27495556483768</v>
      </c>
      <c r="J1283">
        <v>5.7446833219568934</v>
      </c>
      <c r="K1283">
        <v>51.502234959646024</v>
      </c>
      <c r="L1283">
        <v>13.973040757251486</v>
      </c>
      <c r="M1283">
        <v>60.781326325161309</v>
      </c>
      <c r="N1283">
        <v>2.2172106476194751</v>
      </c>
      <c r="O1283">
        <v>21.89457912724367</v>
      </c>
      <c r="P1283">
        <v>1.990824822278475</v>
      </c>
    </row>
    <row r="1284" spans="1:16">
      <c r="A1284" s="1" t="s">
        <v>1277</v>
      </c>
      <c r="B1284" s="4" t="s">
        <v>1337</v>
      </c>
      <c r="C1284" s="1" t="s">
        <v>105</v>
      </c>
      <c r="D1284" s="1" t="s">
        <v>106</v>
      </c>
      <c r="E1284" s="1" t="s">
        <v>1282</v>
      </c>
      <c r="F1284">
        <v>2.0094560037211065E-3</v>
      </c>
      <c r="G1284">
        <v>2120.7943368379019</v>
      </c>
      <c r="H1284">
        <v>224.28661127836398</v>
      </c>
      <c r="I1284">
        <v>282.57961753688795</v>
      </c>
      <c r="J1284">
        <v>7.5896368222906601</v>
      </c>
      <c r="K1284">
        <v>26.08428424013545</v>
      </c>
      <c r="L1284">
        <v>33.167252708797704</v>
      </c>
      <c r="M1284">
        <v>71.592240457271046</v>
      </c>
      <c r="N1284">
        <v>1.5934119106911695</v>
      </c>
      <c r="O1284">
        <v>22.538736169661444</v>
      </c>
      <c r="P1284">
        <v>1.5719205518303792</v>
      </c>
    </row>
    <row r="1285" spans="1:16">
      <c r="A1285" s="1" t="s">
        <v>1277</v>
      </c>
      <c r="B1285" s="4" t="s">
        <v>1338</v>
      </c>
      <c r="C1285" s="1" t="s">
        <v>105</v>
      </c>
      <c r="D1285" s="1" t="s">
        <v>106</v>
      </c>
      <c r="E1285" s="1" t="s">
        <v>1282</v>
      </c>
      <c r="F1285">
        <v>1.0514859902942162E-2</v>
      </c>
      <c r="G1285">
        <v>1849.3062908263876</v>
      </c>
      <c r="H1285">
        <v>260.18564801287852</v>
      </c>
      <c r="I1285">
        <v>270.83365520976901</v>
      </c>
      <c r="J1285">
        <v>4.8766723936251957</v>
      </c>
      <c r="K1285">
        <v>49.848336890058981</v>
      </c>
      <c r="L1285">
        <v>16.416085519268428</v>
      </c>
      <c r="M1285">
        <v>60.591728111310836</v>
      </c>
      <c r="N1285">
        <v>2.5385718146189666</v>
      </c>
      <c r="O1285">
        <v>23.494870170752289</v>
      </c>
      <c r="P1285">
        <v>2.1109723836508607</v>
      </c>
    </row>
    <row r="1286" spans="1:16">
      <c r="A1286" s="1" t="s">
        <v>1277</v>
      </c>
      <c r="B1286" s="4" t="s">
        <v>1339</v>
      </c>
      <c r="C1286" s="1" t="s">
        <v>105</v>
      </c>
      <c r="D1286" s="1" t="s">
        <v>106</v>
      </c>
      <c r="E1286" s="1" t="s">
        <v>1282</v>
      </c>
      <c r="F1286">
        <v>7.6061454077009675E-3</v>
      </c>
      <c r="G1286">
        <v>1692.9758371985517</v>
      </c>
      <c r="H1286">
        <v>248.43095627983234</v>
      </c>
      <c r="I1286">
        <v>276.27292205000157</v>
      </c>
      <c r="J1286">
        <v>7.9316063121148863</v>
      </c>
      <c r="K1286">
        <v>47.721552357926406</v>
      </c>
      <c r="L1286">
        <v>13.419162625105718</v>
      </c>
      <c r="M1286">
        <v>62.652334913355631</v>
      </c>
      <c r="N1286">
        <v>2.581401216315657</v>
      </c>
      <c r="O1286">
        <v>22.45280837636064</v>
      </c>
      <c r="P1286">
        <v>2.4748330237473897</v>
      </c>
    </row>
    <row r="1287" spans="1:16">
      <c r="A1287" s="1" t="s">
        <v>1277</v>
      </c>
      <c r="B1287" s="4" t="s">
        <v>1340</v>
      </c>
      <c r="C1287" s="1" t="s">
        <v>105</v>
      </c>
      <c r="D1287" s="1" t="s">
        <v>106</v>
      </c>
      <c r="E1287" s="1" t="s">
        <v>1282</v>
      </c>
      <c r="F1287">
        <v>1.2503806115506579E-2</v>
      </c>
      <c r="G1287">
        <v>1833.5122430496292</v>
      </c>
      <c r="H1287">
        <v>285.59841754473672</v>
      </c>
      <c r="I1287">
        <v>276.31407941690156</v>
      </c>
      <c r="J1287">
        <v>7.8520150639112778</v>
      </c>
      <c r="K1287">
        <v>65.708051681063168</v>
      </c>
      <c r="L1287">
        <v>22.581018164015806</v>
      </c>
      <c r="M1287">
        <v>69.27373332992255</v>
      </c>
      <c r="N1287">
        <v>3.9244748751401035</v>
      </c>
      <c r="O1287">
        <v>22.934170184807407</v>
      </c>
      <c r="P1287">
        <v>2.4829758173127665</v>
      </c>
    </row>
    <row r="1288" spans="1:16">
      <c r="A1288" s="1" t="s">
        <v>1277</v>
      </c>
      <c r="B1288" s="4" t="s">
        <v>1341</v>
      </c>
      <c r="C1288" s="1" t="s">
        <v>105</v>
      </c>
      <c r="D1288" s="1" t="s">
        <v>106</v>
      </c>
      <c r="E1288" s="1" t="s">
        <v>1282</v>
      </c>
      <c r="F1288">
        <v>6.5077906035494694E-3</v>
      </c>
      <c r="G1288">
        <v>2192.8701818232953</v>
      </c>
      <c r="H1288">
        <v>246.06531914662713</v>
      </c>
      <c r="I1288">
        <v>280.07900504436009</v>
      </c>
      <c r="J1288">
        <v>8.7518250729665805</v>
      </c>
      <c r="K1288">
        <v>42.180873580289422</v>
      </c>
      <c r="L1288">
        <v>13.75072659327013</v>
      </c>
      <c r="M1288">
        <v>66.207111178969058</v>
      </c>
      <c r="N1288">
        <v>3.9984534733983992</v>
      </c>
      <c r="O1288">
        <v>21.942703260625446</v>
      </c>
      <c r="P1288">
        <v>2.305912004590648</v>
      </c>
    </row>
    <row r="1289" spans="1:16">
      <c r="A1289" s="1" t="s">
        <v>1277</v>
      </c>
      <c r="B1289" s="4" t="s">
        <v>1342</v>
      </c>
      <c r="C1289" s="1" t="s">
        <v>105</v>
      </c>
      <c r="D1289" s="1" t="s">
        <v>106</v>
      </c>
      <c r="E1289" s="1" t="s">
        <v>1282</v>
      </c>
      <c r="F1289">
        <v>9.8974782810199741E-3</v>
      </c>
      <c r="G1289">
        <v>2700.3866546364079</v>
      </c>
      <c r="H1289">
        <v>391.35417825559603</v>
      </c>
      <c r="I1289">
        <v>292.58528712133574</v>
      </c>
      <c r="J1289">
        <v>9.9935395657171142</v>
      </c>
      <c r="K1289">
        <v>47.627931833215506</v>
      </c>
      <c r="L1289">
        <v>12.85134715036607</v>
      </c>
      <c r="M1289">
        <v>62.840186293312527</v>
      </c>
      <c r="N1289">
        <v>3.8914204360147346</v>
      </c>
      <c r="O1289">
        <v>25.426625666781941</v>
      </c>
      <c r="P1289">
        <v>3.9660880248752743</v>
      </c>
    </row>
    <row r="1290" spans="1:16">
      <c r="A1290" s="1" t="s">
        <v>1277</v>
      </c>
      <c r="B1290" s="4" t="s">
        <v>1343</v>
      </c>
      <c r="C1290" s="1" t="s">
        <v>105</v>
      </c>
      <c r="D1290" s="1" t="s">
        <v>106</v>
      </c>
      <c r="E1290" s="1" t="s">
        <v>1282</v>
      </c>
      <c r="F1290">
        <v>9.8237849046570978E-3</v>
      </c>
      <c r="G1290">
        <v>2637.3650389252402</v>
      </c>
      <c r="H1290">
        <v>305.10464892413478</v>
      </c>
      <c r="I1290">
        <v>287.9281835582068</v>
      </c>
      <c r="J1290">
        <v>8.3621533066498479</v>
      </c>
      <c r="K1290">
        <v>59.719287218717099</v>
      </c>
      <c r="L1290">
        <v>13.551218096456354</v>
      </c>
      <c r="M1290">
        <v>63.456905820070752</v>
      </c>
      <c r="N1290">
        <v>3.2064703774753811</v>
      </c>
      <c r="O1290">
        <v>25.201923875172227</v>
      </c>
      <c r="P1290">
        <v>3.1522323708231554</v>
      </c>
    </row>
    <row r="1291" spans="1:16">
      <c r="A1291" s="1" t="s">
        <v>1277</v>
      </c>
      <c r="B1291" s="4" t="s">
        <v>1344</v>
      </c>
      <c r="C1291" s="1" t="s">
        <v>105</v>
      </c>
      <c r="D1291" s="1" t="s">
        <v>106</v>
      </c>
      <c r="E1291" s="1" t="s">
        <v>1282</v>
      </c>
      <c r="F1291">
        <v>7.991148362258893E-3</v>
      </c>
      <c r="G1291">
        <v>2051.8983797307933</v>
      </c>
      <c r="H1291">
        <v>316.17916677909545</v>
      </c>
      <c r="I1291">
        <v>300.45788329051527</v>
      </c>
      <c r="J1291">
        <v>12.240750968500416</v>
      </c>
      <c r="K1291">
        <v>47.064605941869921</v>
      </c>
      <c r="L1291">
        <v>13.365107990181935</v>
      </c>
      <c r="M1291">
        <v>63.992650097948577</v>
      </c>
      <c r="N1291">
        <v>3.0714459984064253</v>
      </c>
      <c r="O1291">
        <v>24.193669460844927</v>
      </c>
      <c r="P1291">
        <v>4.7383686847226727</v>
      </c>
    </row>
    <row r="1292" spans="1:16">
      <c r="A1292" s="1" t="s">
        <v>1277</v>
      </c>
      <c r="B1292" s="4" t="s">
        <v>1345</v>
      </c>
      <c r="C1292" s="1" t="s">
        <v>105</v>
      </c>
      <c r="D1292" s="1" t="s">
        <v>106</v>
      </c>
      <c r="E1292" s="1" t="s">
        <v>1282</v>
      </c>
      <c r="F1292">
        <v>2.5452948606244628E-3</v>
      </c>
      <c r="G1292">
        <v>1246.2471318192104</v>
      </c>
      <c r="H1292">
        <v>228.8305242451367</v>
      </c>
      <c r="I1292">
        <v>288.8376298596047</v>
      </c>
      <c r="J1292">
        <v>10.664854298596426</v>
      </c>
      <c r="K1292">
        <v>22.492793898917324</v>
      </c>
      <c r="L1292">
        <v>19.560406159749579</v>
      </c>
      <c r="M1292">
        <v>69.478508425667002</v>
      </c>
      <c r="N1292">
        <v>1.660993614975063</v>
      </c>
      <c r="O1292">
        <v>21.790505126987711</v>
      </c>
      <c r="P1292">
        <v>1.0750114214259228</v>
      </c>
    </row>
    <row r="1293" spans="1:16">
      <c r="A1293" s="1" t="s">
        <v>1277</v>
      </c>
      <c r="B1293" s="4" t="s">
        <v>1346</v>
      </c>
      <c r="C1293" s="1" t="s">
        <v>105</v>
      </c>
      <c r="D1293" s="1" t="s">
        <v>106</v>
      </c>
      <c r="E1293" s="1" t="s">
        <v>1282</v>
      </c>
      <c r="F1293">
        <v>8.4630471400628966E-3</v>
      </c>
      <c r="G1293">
        <v>2012.4841591154766</v>
      </c>
      <c r="H1293">
        <v>299.36894947996581</v>
      </c>
      <c r="I1293">
        <v>289.33383165709859</v>
      </c>
      <c r="J1293">
        <v>11.286732821580932</v>
      </c>
      <c r="K1293">
        <v>41.950681398227843</v>
      </c>
      <c r="L1293">
        <v>13.212646743454998</v>
      </c>
      <c r="M1293">
        <v>67.104483018763958</v>
      </c>
      <c r="N1293">
        <v>1.760942862866842</v>
      </c>
      <c r="O1293">
        <v>20.987342501505893</v>
      </c>
      <c r="P1293">
        <v>3.3909748965140238</v>
      </c>
    </row>
    <row r="1294" spans="1:16">
      <c r="A1294" s="1" t="s">
        <v>1277</v>
      </c>
      <c r="B1294" s="4" t="s">
        <v>1347</v>
      </c>
      <c r="C1294" s="1" t="s">
        <v>105</v>
      </c>
      <c r="D1294" s="1" t="s">
        <v>106</v>
      </c>
      <c r="E1294" s="1" t="s">
        <v>1282</v>
      </c>
      <c r="F1294">
        <v>1.2562032947561808E-2</v>
      </c>
      <c r="G1294">
        <v>1778.2687899708924</v>
      </c>
      <c r="H1294">
        <v>308.63203261145566</v>
      </c>
      <c r="I1294">
        <v>277.28340288319464</v>
      </c>
      <c r="J1294">
        <v>1.6103067821969574</v>
      </c>
      <c r="K1294">
        <v>58.756033150900372</v>
      </c>
      <c r="L1294">
        <v>13.726517876816116</v>
      </c>
      <c r="M1294">
        <v>64.042519279243095</v>
      </c>
      <c r="N1294">
        <v>4.172834539910987</v>
      </c>
      <c r="O1294">
        <v>22.660416756412559</v>
      </c>
      <c r="P1294">
        <v>2.7846280140450621</v>
      </c>
    </row>
    <row r="1295" spans="1:16">
      <c r="A1295" s="1" t="s">
        <v>1277</v>
      </c>
      <c r="B1295" s="4" t="s">
        <v>1348</v>
      </c>
      <c r="C1295" s="1" t="s">
        <v>105</v>
      </c>
      <c r="D1295" s="1" t="s">
        <v>106</v>
      </c>
      <c r="E1295" s="1" t="s">
        <v>1282</v>
      </c>
      <c r="F1295">
        <v>9.4380981215772489E-3</v>
      </c>
      <c r="G1295">
        <v>2750.4718783296835</v>
      </c>
      <c r="H1295">
        <v>415.12300950954705</v>
      </c>
      <c r="I1295">
        <v>274.39559381905877</v>
      </c>
      <c r="J1295">
        <v>10.689711426613991</v>
      </c>
      <c r="K1295">
        <v>40.603365246998926</v>
      </c>
      <c r="L1295">
        <v>14.74281581838113</v>
      </c>
      <c r="M1295">
        <v>59.987672097135686</v>
      </c>
      <c r="N1295">
        <v>2.4008936231079767</v>
      </c>
      <c r="O1295">
        <v>24.2797457228436</v>
      </c>
      <c r="P1295">
        <v>3.7797542284799981</v>
      </c>
    </row>
    <row r="1296" spans="1:16">
      <c r="A1296" s="1" t="s">
        <v>1277</v>
      </c>
      <c r="B1296" s="4" t="s">
        <v>1349</v>
      </c>
      <c r="C1296" s="1" t="s">
        <v>105</v>
      </c>
      <c r="D1296" s="1" t="s">
        <v>106</v>
      </c>
      <c r="E1296" s="1" t="s">
        <v>1282</v>
      </c>
      <c r="F1296">
        <v>1.0858295530915473E-2</v>
      </c>
      <c r="G1296">
        <v>2467.4511224366865</v>
      </c>
      <c r="H1296">
        <v>360.18625349435507</v>
      </c>
      <c r="I1296">
        <v>277.94842406000186</v>
      </c>
      <c r="J1296">
        <v>5.7714447304030276</v>
      </c>
      <c r="K1296">
        <v>58.744078325845869</v>
      </c>
      <c r="L1296">
        <v>13.498857159796955</v>
      </c>
      <c r="M1296">
        <v>64.678736601371241</v>
      </c>
      <c r="N1296">
        <v>3.6573920583512569</v>
      </c>
      <c r="O1296">
        <v>23.927324286685625</v>
      </c>
      <c r="P1296">
        <v>3.0091861227720509</v>
      </c>
    </row>
    <row r="1297" spans="1:16">
      <c r="A1297" s="1" t="s">
        <v>1277</v>
      </c>
      <c r="B1297" s="4" t="s">
        <v>1350</v>
      </c>
      <c r="C1297" s="1" t="s">
        <v>105</v>
      </c>
      <c r="D1297" s="1" t="s">
        <v>106</v>
      </c>
      <c r="E1297" s="1" t="s">
        <v>1282</v>
      </c>
      <c r="F1297">
        <v>5.8076992936319707E-3</v>
      </c>
      <c r="G1297">
        <v>1704.9101744918173</v>
      </c>
      <c r="H1297">
        <v>284.45500248953084</v>
      </c>
      <c r="I1297">
        <v>311.4977889104722</v>
      </c>
      <c r="J1297">
        <v>7.5339572122637231</v>
      </c>
      <c r="K1297">
        <v>35.464855962661922</v>
      </c>
      <c r="L1297">
        <v>14.993744323109844</v>
      </c>
      <c r="M1297">
        <v>70.788009422033099</v>
      </c>
      <c r="N1297">
        <v>1.6513008192544949</v>
      </c>
      <c r="O1297">
        <v>24.573955822781038</v>
      </c>
      <c r="P1297">
        <v>2.8187449650136536</v>
      </c>
    </row>
    <row r="1298" spans="1:16">
      <c r="A1298" s="1" t="s">
        <v>1277</v>
      </c>
      <c r="B1298" s="4" t="s">
        <v>1351</v>
      </c>
      <c r="C1298" s="1" t="s">
        <v>105</v>
      </c>
      <c r="D1298" s="1" t="s">
        <v>106</v>
      </c>
      <c r="E1298" s="1" t="s">
        <v>1282</v>
      </c>
      <c r="F1298">
        <v>8.6386556328928495E-3</v>
      </c>
      <c r="G1298">
        <v>1947.3569119525421</v>
      </c>
      <c r="H1298">
        <v>301.84022152503434</v>
      </c>
      <c r="I1298">
        <v>282.96957494956376</v>
      </c>
      <c r="J1298">
        <v>7.7262597379296922</v>
      </c>
      <c r="K1298">
        <v>44.467389122406807</v>
      </c>
      <c r="L1298">
        <v>13.405483645290937</v>
      </c>
      <c r="M1298">
        <v>65.462274406123328</v>
      </c>
      <c r="N1298">
        <v>1.806314185421096</v>
      </c>
      <c r="O1298">
        <v>23.071716688663674</v>
      </c>
      <c r="P1298">
        <v>2.7581670783790702</v>
      </c>
    </row>
    <row r="1299" spans="1:16">
      <c r="A1299" s="1" t="s">
        <v>1277</v>
      </c>
      <c r="B1299" s="4" t="s">
        <v>1352</v>
      </c>
      <c r="C1299" s="1" t="s">
        <v>18</v>
      </c>
      <c r="D1299" s="1" t="s">
        <v>81</v>
      </c>
      <c r="E1299" s="1" t="s">
        <v>1282</v>
      </c>
      <c r="F1299">
        <v>698.42301438936022</v>
      </c>
      <c r="G1299">
        <v>1681.3460214419108</v>
      </c>
      <c r="H1299">
        <v>741.86651199535254</v>
      </c>
      <c r="I1299">
        <v>50.17796579500876</v>
      </c>
      <c r="J1299">
        <v>32.541821971118964</v>
      </c>
      <c r="K1299">
        <v>179.63541859452963</v>
      </c>
      <c r="L1299">
        <v>16.678579477884622</v>
      </c>
      <c r="M1299">
        <v>21.374471389863523</v>
      </c>
      <c r="N1299">
        <v>9.9186822446360008</v>
      </c>
      <c r="O1299">
        <v>37.283318445894068</v>
      </c>
      <c r="P1299">
        <v>1.3955455349176777</v>
      </c>
    </row>
    <row r="1300" spans="1:16">
      <c r="A1300" s="1" t="s">
        <v>1277</v>
      </c>
      <c r="B1300" s="4" t="s">
        <v>1353</v>
      </c>
      <c r="C1300" s="1" t="s">
        <v>18</v>
      </c>
      <c r="D1300" s="1" t="s">
        <v>81</v>
      </c>
      <c r="E1300" s="1" t="s">
        <v>1282</v>
      </c>
      <c r="F1300">
        <v>167.0460650303869</v>
      </c>
      <c r="G1300">
        <v>1295.2140478723727</v>
      </c>
      <c r="H1300">
        <v>503.34850613011457</v>
      </c>
      <c r="I1300">
        <v>51.643591617515845</v>
      </c>
      <c r="J1300">
        <v>34.07591221749859</v>
      </c>
      <c r="K1300">
        <v>139.15647083822731</v>
      </c>
      <c r="L1300">
        <v>16.105844495327172</v>
      </c>
      <c r="M1300">
        <v>17.618065325279019</v>
      </c>
      <c r="N1300">
        <v>8.4332967897653326</v>
      </c>
      <c r="O1300">
        <v>38.726773774921369</v>
      </c>
      <c r="P1300">
        <v>1.1641195910066902</v>
      </c>
    </row>
    <row r="1301" spans="1:16">
      <c r="A1301" s="1" t="s">
        <v>1277</v>
      </c>
      <c r="B1301" s="4" t="s">
        <v>1354</v>
      </c>
      <c r="C1301" s="1" t="s">
        <v>18</v>
      </c>
      <c r="D1301" s="1" t="s">
        <v>81</v>
      </c>
      <c r="E1301" s="1" t="s">
        <v>1282</v>
      </c>
      <c r="F1301">
        <v>87.37985588381126</v>
      </c>
      <c r="G1301">
        <v>1103.9175055234218</v>
      </c>
      <c r="H1301">
        <v>763.02057685985608</v>
      </c>
      <c r="I1301">
        <v>50.806029177952993</v>
      </c>
      <c r="J1301">
        <v>31.436039527778661</v>
      </c>
      <c r="K1301">
        <v>148.38798131267427</v>
      </c>
      <c r="L1301">
        <v>17.063953681256063</v>
      </c>
      <c r="M1301">
        <v>17.434541416467237</v>
      </c>
      <c r="N1301">
        <v>8.3831766226870812</v>
      </c>
      <c r="O1301">
        <v>35.283160891369107</v>
      </c>
      <c r="P1301">
        <v>0.93977938195224953</v>
      </c>
    </row>
    <row r="1302" spans="1:16">
      <c r="A1302" s="1" t="s">
        <v>1277</v>
      </c>
      <c r="B1302" s="4" t="s">
        <v>1355</v>
      </c>
      <c r="C1302" s="1" t="s">
        <v>18</v>
      </c>
      <c r="D1302" s="1" t="s">
        <v>81</v>
      </c>
      <c r="E1302" s="1" t="s">
        <v>1282</v>
      </c>
      <c r="F1302">
        <v>107.88847422166259</v>
      </c>
      <c r="G1302">
        <v>1202.5042058755826</v>
      </c>
      <c r="H1302">
        <v>491.98430101793366</v>
      </c>
      <c r="I1302">
        <v>52.2699416401626</v>
      </c>
      <c r="J1302">
        <v>4.4626618707654506</v>
      </c>
      <c r="K1302">
        <v>144.4358760062328</v>
      </c>
      <c r="L1302">
        <v>16.746778653790443</v>
      </c>
      <c r="M1302">
        <v>18.59187478085742</v>
      </c>
      <c r="N1302">
        <v>9.3492059368437399</v>
      </c>
      <c r="O1302">
        <v>35.569723072760581</v>
      </c>
      <c r="P1302">
        <v>1.2934674252238085</v>
      </c>
    </row>
    <row r="1303" spans="1:16">
      <c r="A1303" s="1" t="s">
        <v>1277</v>
      </c>
      <c r="B1303" s="4" t="s">
        <v>1356</v>
      </c>
      <c r="C1303" s="1" t="s">
        <v>18</v>
      </c>
      <c r="D1303" s="1" t="s">
        <v>81</v>
      </c>
      <c r="E1303" s="1" t="s">
        <v>1282</v>
      </c>
      <c r="F1303">
        <v>842.70778889500275</v>
      </c>
      <c r="G1303">
        <v>2324.9138629447266</v>
      </c>
      <c r="H1303">
        <v>631.13893984089327</v>
      </c>
      <c r="I1303">
        <v>51.997549241085046</v>
      </c>
      <c r="J1303">
        <v>27.282219354623411</v>
      </c>
      <c r="K1303">
        <v>163.93198483414361</v>
      </c>
      <c r="L1303">
        <v>17.835042589993222</v>
      </c>
      <c r="M1303">
        <v>20.318265258498609</v>
      </c>
      <c r="N1303">
        <v>9.5379576244439015</v>
      </c>
      <c r="O1303">
        <v>36.120262828862948</v>
      </c>
      <c r="P1303">
        <v>1.0217752932407114</v>
      </c>
    </row>
    <row r="1304" spans="1:16">
      <c r="A1304" s="1" t="s">
        <v>1277</v>
      </c>
      <c r="B1304" s="4" t="s">
        <v>1357</v>
      </c>
      <c r="C1304" s="1" t="s">
        <v>18</v>
      </c>
      <c r="D1304" s="1" t="s">
        <v>81</v>
      </c>
      <c r="E1304" s="1" t="s">
        <v>1282</v>
      </c>
      <c r="F1304">
        <v>143.08301503925097</v>
      </c>
      <c r="G1304">
        <v>1359.4938371293256</v>
      </c>
      <c r="H1304">
        <v>559.30602740634197</v>
      </c>
      <c r="I1304">
        <v>52.322293191715559</v>
      </c>
      <c r="J1304">
        <v>21.58688964803542</v>
      </c>
      <c r="K1304">
        <v>147.42600446920383</v>
      </c>
      <c r="L1304">
        <v>17.133222320622544</v>
      </c>
      <c r="M1304">
        <v>16.538782218539843</v>
      </c>
      <c r="N1304">
        <v>10.720908196065345</v>
      </c>
      <c r="O1304">
        <v>35.264249084782115</v>
      </c>
      <c r="P1304">
        <v>1.2331857051634159</v>
      </c>
    </row>
    <row r="1305" spans="1:16">
      <c r="A1305" s="1" t="s">
        <v>1277</v>
      </c>
      <c r="B1305" s="4" t="s">
        <v>1358</v>
      </c>
      <c r="C1305" s="1" t="s">
        <v>18</v>
      </c>
      <c r="D1305" s="1" t="s">
        <v>81</v>
      </c>
      <c r="E1305" s="1" t="s">
        <v>1282</v>
      </c>
      <c r="F1305">
        <v>143.65769533173949</v>
      </c>
      <c r="G1305">
        <v>1203.8892687696653</v>
      </c>
      <c r="H1305">
        <v>540.08408048013894</v>
      </c>
      <c r="I1305">
        <v>52.359603985797307</v>
      </c>
      <c r="J1305">
        <v>26.319429996195613</v>
      </c>
      <c r="K1305">
        <v>142.5942358825593</v>
      </c>
      <c r="L1305">
        <v>15.599821732810259</v>
      </c>
      <c r="M1305">
        <v>20.991365640734269</v>
      </c>
      <c r="N1305">
        <v>8.9205352053588136</v>
      </c>
      <c r="O1305">
        <v>34.130211353175483</v>
      </c>
      <c r="P1305">
        <v>1.0220840269944729</v>
      </c>
    </row>
    <row r="1306" spans="1:16">
      <c r="A1306" s="1" t="s">
        <v>1277</v>
      </c>
      <c r="B1306" s="4" t="s">
        <v>1359</v>
      </c>
      <c r="C1306" s="1" t="s">
        <v>18</v>
      </c>
      <c r="D1306" s="1" t="s">
        <v>81</v>
      </c>
      <c r="E1306" s="1" t="s">
        <v>1282</v>
      </c>
      <c r="F1306">
        <v>114.90387267968501</v>
      </c>
      <c r="G1306">
        <v>1197.8622404829939</v>
      </c>
      <c r="H1306">
        <v>428.59081232816254</v>
      </c>
      <c r="I1306">
        <v>53.755232214905597</v>
      </c>
      <c r="J1306">
        <v>23.877250539365214</v>
      </c>
      <c r="K1306">
        <v>140.32238953246008</v>
      </c>
      <c r="L1306">
        <v>16.897115128352972</v>
      </c>
      <c r="M1306">
        <v>22.696336174066229</v>
      </c>
      <c r="N1306">
        <v>8.2178013057943637</v>
      </c>
      <c r="O1306">
        <v>34.658651248087139</v>
      </c>
      <c r="P1306">
        <v>0.79890835542131888</v>
      </c>
    </row>
    <row r="1307" spans="1:16">
      <c r="A1307" s="1" t="s">
        <v>1277</v>
      </c>
      <c r="B1307" s="4" t="s">
        <v>1360</v>
      </c>
      <c r="C1307" s="1" t="s">
        <v>18</v>
      </c>
      <c r="D1307" s="1" t="s">
        <v>81</v>
      </c>
      <c r="E1307" s="1" t="s">
        <v>1282</v>
      </c>
      <c r="F1307">
        <v>94.302930558546862</v>
      </c>
      <c r="G1307">
        <v>1109.9798191636125</v>
      </c>
      <c r="H1307">
        <v>343.09931037545374</v>
      </c>
      <c r="I1307">
        <v>49.157227044448618</v>
      </c>
      <c r="J1307">
        <v>31.333725598717681</v>
      </c>
      <c r="K1307">
        <v>133.76192961488226</v>
      </c>
      <c r="L1307">
        <v>16.678822580325203</v>
      </c>
      <c r="M1307">
        <v>16.671101817242828</v>
      </c>
      <c r="N1307">
        <v>7.6792794451393052</v>
      </c>
      <c r="O1307">
        <v>34.032463062406464</v>
      </c>
      <c r="P1307">
        <v>1.1940282779622244</v>
      </c>
    </row>
    <row r="1308" spans="1:16">
      <c r="A1308" s="1" t="s">
        <v>1277</v>
      </c>
      <c r="B1308" s="4" t="s">
        <v>1361</v>
      </c>
      <c r="C1308" s="1" t="s">
        <v>18</v>
      </c>
      <c r="D1308" s="1" t="s">
        <v>81</v>
      </c>
      <c r="E1308" s="1" t="s">
        <v>1282</v>
      </c>
      <c r="F1308">
        <v>328.03857310623573</v>
      </c>
      <c r="G1308">
        <v>1677.3444095952548</v>
      </c>
      <c r="H1308">
        <v>855.41657361772718</v>
      </c>
      <c r="I1308">
        <v>50.002069630462074</v>
      </c>
      <c r="J1308">
        <v>28.810296267068534</v>
      </c>
      <c r="K1308">
        <v>164.55572392954943</v>
      </c>
      <c r="L1308">
        <v>16.347919621266144</v>
      </c>
      <c r="M1308">
        <v>17.701074624110127</v>
      </c>
      <c r="N1308">
        <v>8.982341282647738</v>
      </c>
      <c r="O1308">
        <v>36.093716060129559</v>
      </c>
      <c r="P1308">
        <v>1.163421094490984</v>
      </c>
    </row>
    <row r="1309" spans="1:16">
      <c r="A1309" s="1" t="s">
        <v>1277</v>
      </c>
      <c r="B1309" s="4" t="s">
        <v>1362</v>
      </c>
      <c r="C1309" s="1" t="s">
        <v>18</v>
      </c>
      <c r="D1309" s="1" t="s">
        <v>81</v>
      </c>
      <c r="E1309" s="1" t="s">
        <v>1282</v>
      </c>
      <c r="F1309">
        <v>289.6868239253576</v>
      </c>
      <c r="G1309">
        <v>1612.840433117422</v>
      </c>
      <c r="H1309">
        <v>491.58501571533532</v>
      </c>
      <c r="I1309">
        <v>50.768326291874281</v>
      </c>
      <c r="J1309">
        <v>24.83914166749063</v>
      </c>
      <c r="K1309">
        <v>144.0586642281024</v>
      </c>
      <c r="L1309">
        <v>15.899364661405308</v>
      </c>
      <c r="M1309">
        <v>17.357363387954756</v>
      </c>
      <c r="N1309">
        <v>8.8214984007613548</v>
      </c>
      <c r="O1309">
        <v>35.10593837304139</v>
      </c>
      <c r="P1309">
        <v>1.1468757065084609</v>
      </c>
    </row>
    <row r="1310" spans="1:16">
      <c r="A1310" s="1" t="s">
        <v>1277</v>
      </c>
      <c r="B1310" s="4" t="s">
        <v>1363</v>
      </c>
      <c r="C1310" s="1" t="s">
        <v>18</v>
      </c>
      <c r="D1310" s="1" t="s">
        <v>81</v>
      </c>
      <c r="E1310" s="1" t="s">
        <v>1282</v>
      </c>
      <c r="F1310">
        <v>446.76395971090449</v>
      </c>
      <c r="G1310">
        <v>1821.8392439211791</v>
      </c>
      <c r="H1310">
        <v>693.52287309846656</v>
      </c>
      <c r="I1310">
        <v>46.151101832168621</v>
      </c>
      <c r="J1310">
        <v>28.857144267343415</v>
      </c>
      <c r="K1310">
        <v>159.25816648624939</v>
      </c>
      <c r="L1310">
        <v>16.27967328006762</v>
      </c>
      <c r="M1310">
        <v>17.659819508410468</v>
      </c>
      <c r="N1310">
        <v>7.2142391491475779</v>
      </c>
      <c r="O1310">
        <v>33.443606989154191</v>
      </c>
      <c r="P1310">
        <v>1.2319593476898341</v>
      </c>
    </row>
    <row r="1311" spans="1:16">
      <c r="A1311" s="1" t="s">
        <v>1277</v>
      </c>
      <c r="B1311" s="4" t="s">
        <v>1364</v>
      </c>
      <c r="C1311" s="1" t="s">
        <v>18</v>
      </c>
      <c r="D1311" s="1" t="s">
        <v>81</v>
      </c>
      <c r="E1311" s="1" t="s">
        <v>1282</v>
      </c>
      <c r="F1311">
        <v>101.23179302852199</v>
      </c>
      <c r="G1311">
        <v>984.06052553027723</v>
      </c>
      <c r="H1311">
        <v>959.27498179386259</v>
      </c>
      <c r="I1311">
        <v>49.866909080590688</v>
      </c>
      <c r="J1311">
        <v>23.891185676093119</v>
      </c>
      <c r="K1311">
        <v>166.20505354952226</v>
      </c>
      <c r="L1311">
        <v>16.08166746735775</v>
      </c>
      <c r="M1311">
        <v>18.763546957584502</v>
      </c>
      <c r="N1311">
        <v>8.709463935779139</v>
      </c>
      <c r="O1311">
        <v>34.409198440634029</v>
      </c>
      <c r="P1311">
        <v>1.7343384586684647</v>
      </c>
    </row>
    <row r="1312" spans="1:16">
      <c r="A1312" s="1" t="s">
        <v>1277</v>
      </c>
      <c r="B1312" s="4" t="s">
        <v>1365</v>
      </c>
      <c r="C1312" s="1" t="s">
        <v>18</v>
      </c>
      <c r="D1312" s="1" t="s">
        <v>81</v>
      </c>
      <c r="E1312" s="1" t="s">
        <v>1282</v>
      </c>
      <c r="F1312">
        <v>110.97499080460807</v>
      </c>
      <c r="G1312">
        <v>950.50622169105236</v>
      </c>
      <c r="H1312">
        <v>355.1275244566811</v>
      </c>
      <c r="I1312">
        <v>49.684735716760137</v>
      </c>
      <c r="J1312">
        <v>25.062902396753149</v>
      </c>
      <c r="K1312">
        <v>134.77825466305018</v>
      </c>
      <c r="L1312">
        <v>16.357066472559648</v>
      </c>
      <c r="M1312">
        <v>20.27888060555965</v>
      </c>
      <c r="N1312">
        <v>8.3220612715728191</v>
      </c>
      <c r="O1312">
        <v>35.241852521489641</v>
      </c>
      <c r="P1312">
        <v>0.8772887387558046</v>
      </c>
    </row>
    <row r="1313" spans="1:16">
      <c r="A1313" s="1" t="s">
        <v>1277</v>
      </c>
      <c r="B1313" s="4" t="s">
        <v>1366</v>
      </c>
      <c r="C1313" s="1" t="s">
        <v>18</v>
      </c>
      <c r="D1313" s="1" t="s">
        <v>81</v>
      </c>
      <c r="E1313" s="1" t="s">
        <v>1282</v>
      </c>
      <c r="F1313">
        <v>156.09896980086523</v>
      </c>
      <c r="G1313">
        <v>981.93870349758629</v>
      </c>
      <c r="H1313">
        <v>532.6692554555359</v>
      </c>
      <c r="I1313">
        <v>49.207770456903901</v>
      </c>
      <c r="J1313">
        <v>28.412552527484358</v>
      </c>
      <c r="K1313">
        <v>141.49328159576348</v>
      </c>
      <c r="L1313">
        <v>17.023567159760049</v>
      </c>
      <c r="M1313">
        <v>20.015216893619002</v>
      </c>
      <c r="N1313">
        <v>7.9200087359107503</v>
      </c>
      <c r="O1313">
        <v>35.793263155937538</v>
      </c>
      <c r="P1313">
        <v>0.98864476491534914</v>
      </c>
    </row>
    <row r="1314" spans="1:16">
      <c r="A1314" s="1" t="s">
        <v>1277</v>
      </c>
      <c r="B1314" s="4" t="s">
        <v>1367</v>
      </c>
      <c r="C1314" s="1" t="s">
        <v>18</v>
      </c>
      <c r="D1314" s="1" t="s">
        <v>81</v>
      </c>
      <c r="E1314" s="1" t="s">
        <v>1282</v>
      </c>
      <c r="F1314">
        <v>100.36474025391107</v>
      </c>
      <c r="G1314">
        <v>986.397759886931</v>
      </c>
      <c r="H1314">
        <v>763.1758503050055</v>
      </c>
      <c r="I1314">
        <v>49.654133235850402</v>
      </c>
      <c r="J1314">
        <v>27.907082229374172</v>
      </c>
      <c r="K1314">
        <v>152.44878712078383</v>
      </c>
      <c r="L1314">
        <v>16.428763788512267</v>
      </c>
      <c r="M1314">
        <v>20.730623540143533</v>
      </c>
      <c r="N1314">
        <v>7.3952110067033932</v>
      </c>
      <c r="O1314">
        <v>34.09397392415115</v>
      </c>
      <c r="P1314">
        <v>1.0162400667868385</v>
      </c>
    </row>
    <row r="1315" spans="1:16">
      <c r="A1315" s="1" t="s">
        <v>1277</v>
      </c>
      <c r="B1315" s="4" t="s">
        <v>1368</v>
      </c>
      <c r="C1315" s="1" t="s">
        <v>18</v>
      </c>
      <c r="D1315" s="1" t="s">
        <v>81</v>
      </c>
      <c r="E1315" s="1" t="s">
        <v>1282</v>
      </c>
      <c r="F1315">
        <v>90.697654498868005</v>
      </c>
      <c r="G1315">
        <v>923.31630370145024</v>
      </c>
      <c r="H1315">
        <v>335.70486681044315</v>
      </c>
      <c r="I1315">
        <v>52.605074307813787</v>
      </c>
      <c r="J1315">
        <v>27.519360390474564</v>
      </c>
      <c r="K1315">
        <v>123.40952456594131</v>
      </c>
      <c r="L1315">
        <v>16.809313082898022</v>
      </c>
      <c r="M1315">
        <v>20.726617098290884</v>
      </c>
      <c r="N1315">
        <v>9.0151171350210273</v>
      </c>
      <c r="O1315">
        <v>34.906677338961266</v>
      </c>
      <c r="P1315">
        <v>0.79343523955932793</v>
      </c>
    </row>
    <row r="1316" spans="1:16">
      <c r="A1316" s="1" t="s">
        <v>1277</v>
      </c>
      <c r="B1316" s="4" t="s">
        <v>1369</v>
      </c>
      <c r="C1316" s="1" t="s">
        <v>18</v>
      </c>
      <c r="D1316" s="1" t="s">
        <v>81</v>
      </c>
      <c r="E1316" s="1" t="s">
        <v>1282</v>
      </c>
      <c r="F1316">
        <v>229.36817416698574</v>
      </c>
      <c r="G1316">
        <v>1186.5903831339115</v>
      </c>
      <c r="H1316">
        <v>441.85454460609827</v>
      </c>
      <c r="I1316">
        <v>52.399436497649219</v>
      </c>
      <c r="J1316">
        <v>23.225305649369002</v>
      </c>
      <c r="K1316">
        <v>135.35882183893409</v>
      </c>
      <c r="L1316">
        <v>25.152655011677616</v>
      </c>
      <c r="M1316">
        <v>33.264278736928148</v>
      </c>
      <c r="N1316">
        <v>9.105148853201614</v>
      </c>
      <c r="O1316">
        <v>35.42152769964683</v>
      </c>
      <c r="P1316">
        <v>1.2375063890060833</v>
      </c>
    </row>
    <row r="1317" spans="1:16">
      <c r="A1317" s="1" t="s">
        <v>1277</v>
      </c>
      <c r="B1317" s="4" t="s">
        <v>1370</v>
      </c>
      <c r="C1317" s="1" t="s">
        <v>18</v>
      </c>
      <c r="D1317" s="1" t="s">
        <v>81</v>
      </c>
      <c r="E1317" s="1" t="s">
        <v>1282</v>
      </c>
      <c r="F1317">
        <v>283.40992071046162</v>
      </c>
      <c r="G1317">
        <v>1355.652202514118</v>
      </c>
      <c r="H1317">
        <v>507.66672457021934</v>
      </c>
      <c r="I1317">
        <v>50.159321232219213</v>
      </c>
      <c r="J1317">
        <v>25.978065027438422</v>
      </c>
      <c r="K1317">
        <v>139.94676349667162</v>
      </c>
      <c r="L1317">
        <v>18.330318572610523</v>
      </c>
      <c r="M1317">
        <v>23.637703832624076</v>
      </c>
      <c r="N1317">
        <v>8.1655829161165592</v>
      </c>
      <c r="O1317">
        <v>35.27762272921855</v>
      </c>
      <c r="P1317">
        <v>1.243098710912065</v>
      </c>
    </row>
    <row r="1318" spans="1:16">
      <c r="A1318" s="1" t="s">
        <v>1277</v>
      </c>
      <c r="B1318" s="4" t="s">
        <v>1371</v>
      </c>
      <c r="C1318" s="1" t="s">
        <v>18</v>
      </c>
      <c r="D1318" s="1" t="s">
        <v>81</v>
      </c>
      <c r="E1318" s="1" t="s">
        <v>1282</v>
      </c>
      <c r="F1318">
        <v>80.671156501422729</v>
      </c>
      <c r="G1318">
        <v>948.23227530723318</v>
      </c>
      <c r="H1318">
        <v>345.93938774345867</v>
      </c>
      <c r="I1318">
        <v>50.829162204188755</v>
      </c>
      <c r="J1318">
        <v>30.995298074310448</v>
      </c>
      <c r="K1318">
        <v>127.41562767529147</v>
      </c>
      <c r="L1318">
        <v>16.518816900234448</v>
      </c>
      <c r="M1318">
        <v>19.845119841483765</v>
      </c>
      <c r="N1318">
        <v>7.9475078048793888</v>
      </c>
      <c r="O1318">
        <v>34.662670623336155</v>
      </c>
      <c r="P1318">
        <v>1.0395655369865771</v>
      </c>
    </row>
    <row r="1319" spans="1:16">
      <c r="A1319" s="1" t="s">
        <v>1277</v>
      </c>
      <c r="B1319" s="4" t="s">
        <v>1372</v>
      </c>
      <c r="C1319" s="1" t="s">
        <v>18</v>
      </c>
      <c r="D1319" s="1" t="s">
        <v>81</v>
      </c>
      <c r="E1319" s="1" t="s">
        <v>1282</v>
      </c>
      <c r="F1319">
        <v>792.25121727116834</v>
      </c>
      <c r="G1319">
        <v>2610.6849998368357</v>
      </c>
      <c r="H1319">
        <v>1219.7959690153004</v>
      </c>
      <c r="I1319">
        <v>1098.2185599672305</v>
      </c>
      <c r="J1319">
        <v>1415.1184580984975</v>
      </c>
      <c r="K1319">
        <v>208.20468571136792</v>
      </c>
      <c r="L1319">
        <v>37.931337205619329</v>
      </c>
      <c r="M1319">
        <v>17.368203356377574</v>
      </c>
      <c r="N1319">
        <v>7.5916809627969259</v>
      </c>
      <c r="O1319">
        <v>50.212447107535361</v>
      </c>
      <c r="P1319">
        <v>3.0507693042880208</v>
      </c>
    </row>
    <row r="1320" spans="1:16">
      <c r="A1320" s="1" t="s">
        <v>1277</v>
      </c>
      <c r="B1320" s="4" t="s">
        <v>1373</v>
      </c>
      <c r="C1320" s="1" t="s">
        <v>18</v>
      </c>
      <c r="D1320" s="1" t="s">
        <v>81</v>
      </c>
      <c r="E1320" s="1" t="s">
        <v>1282</v>
      </c>
      <c r="F1320">
        <v>437.33088134353841</v>
      </c>
      <c r="G1320">
        <v>1986.0028988335609</v>
      </c>
      <c r="H1320">
        <v>1041.1708197285159</v>
      </c>
      <c r="I1320">
        <v>1085.2365249553268</v>
      </c>
      <c r="J1320">
        <v>1228.6717578400749</v>
      </c>
      <c r="K1320">
        <v>186.71759520475788</v>
      </c>
      <c r="L1320">
        <v>36.146617463607619</v>
      </c>
      <c r="M1320">
        <v>15.069007119943647</v>
      </c>
      <c r="N1320">
        <v>9.4094057851351245</v>
      </c>
      <c r="O1320">
        <v>49.89227825279611</v>
      </c>
      <c r="P1320">
        <v>2.0779186000797671</v>
      </c>
    </row>
    <row r="1321" spans="1:16">
      <c r="A1321" s="1" t="s">
        <v>1277</v>
      </c>
      <c r="B1321" s="4" t="s">
        <v>1374</v>
      </c>
      <c r="C1321" s="1" t="s">
        <v>18</v>
      </c>
      <c r="D1321" s="1" t="s">
        <v>81</v>
      </c>
      <c r="E1321" s="1" t="s">
        <v>1282</v>
      </c>
      <c r="F1321">
        <v>157.70188127584646</v>
      </c>
      <c r="G1321">
        <v>1474.880686542994</v>
      </c>
      <c r="H1321">
        <v>712.45410952646421</v>
      </c>
      <c r="I1321">
        <v>1030.8733220128677</v>
      </c>
      <c r="J1321">
        <v>1347.8749360280831</v>
      </c>
      <c r="K1321">
        <v>168.98230900422507</v>
      </c>
      <c r="L1321">
        <v>36.16227981149013</v>
      </c>
      <c r="M1321">
        <v>16.656733960900652</v>
      </c>
      <c r="N1321">
        <v>8.4786593743996033</v>
      </c>
      <c r="O1321">
        <v>48.382303737395446</v>
      </c>
      <c r="P1321">
        <v>2.0176037264303295</v>
      </c>
    </row>
    <row r="1322" spans="1:16">
      <c r="A1322" s="1" t="s">
        <v>1277</v>
      </c>
      <c r="B1322" s="4" t="s">
        <v>1375</v>
      </c>
      <c r="C1322" s="1" t="s">
        <v>18</v>
      </c>
      <c r="D1322" s="1" t="s">
        <v>81</v>
      </c>
      <c r="E1322" s="1" t="s">
        <v>1282</v>
      </c>
      <c r="F1322">
        <v>135.40739693107781</v>
      </c>
      <c r="G1322">
        <v>1024.1453811265278</v>
      </c>
      <c r="H1322">
        <v>919.54752627217533</v>
      </c>
      <c r="I1322">
        <v>1044.9302453301241</v>
      </c>
      <c r="J1322">
        <v>1872.3023042517809</v>
      </c>
      <c r="K1322">
        <v>176.97450939966208</v>
      </c>
      <c r="L1322">
        <v>34.505354706810238</v>
      </c>
      <c r="M1322">
        <v>17.269673820863581</v>
      </c>
      <c r="N1322">
        <v>7.1859087922586271</v>
      </c>
      <c r="O1322">
        <v>53.78049105283425</v>
      </c>
      <c r="P1322">
        <v>1.9555945534665318</v>
      </c>
    </row>
    <row r="1323" spans="1:16">
      <c r="A1323" s="1" t="s">
        <v>1277</v>
      </c>
      <c r="B1323" s="4" t="s">
        <v>1376</v>
      </c>
      <c r="C1323" s="1" t="s">
        <v>18</v>
      </c>
      <c r="D1323" s="1" t="s">
        <v>81</v>
      </c>
      <c r="E1323" s="1" t="s">
        <v>1282</v>
      </c>
      <c r="F1323">
        <v>53.467852899487774</v>
      </c>
      <c r="G1323">
        <v>940.91806743005816</v>
      </c>
      <c r="H1323">
        <v>511.85549191727779</v>
      </c>
      <c r="I1323">
        <v>755.30852511286105</v>
      </c>
      <c r="J1323">
        <v>883.98491907447237</v>
      </c>
      <c r="K1323">
        <v>127.64915188166491</v>
      </c>
      <c r="L1323">
        <v>33.932726063248879</v>
      </c>
      <c r="M1323">
        <v>14.360751550775076</v>
      </c>
      <c r="N1323">
        <v>7.1772191867009969</v>
      </c>
      <c r="O1323">
        <v>81.955092475868085</v>
      </c>
      <c r="P1323">
        <v>2.1296530701718952</v>
      </c>
    </row>
    <row r="1324" spans="1:16">
      <c r="A1324" s="1" t="s">
        <v>1277</v>
      </c>
      <c r="B1324" s="4" t="s">
        <v>1377</v>
      </c>
      <c r="C1324" s="1" t="s">
        <v>18</v>
      </c>
      <c r="D1324" s="1" t="s">
        <v>81</v>
      </c>
      <c r="E1324" s="1" t="s">
        <v>1282</v>
      </c>
      <c r="F1324">
        <v>604.0525639076975</v>
      </c>
      <c r="G1324">
        <v>1966.5144676383138</v>
      </c>
      <c r="H1324">
        <v>734.96709825497362</v>
      </c>
      <c r="I1324">
        <v>819.43280471413595</v>
      </c>
      <c r="J1324">
        <v>958.93348912454428</v>
      </c>
      <c r="K1324">
        <v>151.96523643249552</v>
      </c>
      <c r="L1324">
        <v>31.77562955117914</v>
      </c>
      <c r="M1324">
        <v>12.261338616295692</v>
      </c>
      <c r="N1324">
        <v>7.2919687398566211</v>
      </c>
      <c r="O1324">
        <v>84.936508565309424</v>
      </c>
      <c r="P1324">
        <v>1.9558998922259689</v>
      </c>
    </row>
    <row r="1325" spans="1:16">
      <c r="A1325" s="1" t="s">
        <v>1277</v>
      </c>
      <c r="B1325" s="4" t="s">
        <v>1378</v>
      </c>
      <c r="C1325" s="1" t="s">
        <v>18</v>
      </c>
      <c r="D1325" s="1" t="s">
        <v>81</v>
      </c>
      <c r="E1325" s="1" t="s">
        <v>1282</v>
      </c>
      <c r="F1325">
        <v>63.831756554296952</v>
      </c>
      <c r="G1325">
        <v>971.80470726449289</v>
      </c>
      <c r="H1325">
        <v>696.76300655370142</v>
      </c>
      <c r="I1325">
        <v>787.38560071127199</v>
      </c>
      <c r="J1325">
        <v>728.51308737687327</v>
      </c>
      <c r="K1325">
        <v>135.79012549272164</v>
      </c>
      <c r="L1325">
        <v>30.027804496846162</v>
      </c>
      <c r="M1325">
        <v>6.7209735240333917</v>
      </c>
      <c r="N1325">
        <v>5.3145317681852342</v>
      </c>
      <c r="O1325">
        <v>81.677089339787244</v>
      </c>
      <c r="P1325">
        <v>1.8193275014532408</v>
      </c>
    </row>
    <row r="1326" spans="1:16">
      <c r="A1326" s="1" t="s">
        <v>1277</v>
      </c>
      <c r="B1326" s="4" t="s">
        <v>1379</v>
      </c>
      <c r="C1326" s="1" t="s">
        <v>18</v>
      </c>
      <c r="D1326" s="1" t="s">
        <v>81</v>
      </c>
      <c r="E1326" s="1" t="s">
        <v>1282</v>
      </c>
      <c r="F1326">
        <v>102.37734475542966</v>
      </c>
      <c r="G1326">
        <v>1766.7748968107728</v>
      </c>
      <c r="H1326">
        <v>1337.6695208052961</v>
      </c>
      <c r="I1326">
        <v>852.91070860253103</v>
      </c>
      <c r="J1326">
        <v>2141.789703107821</v>
      </c>
      <c r="K1326">
        <v>186.92565712586173</v>
      </c>
      <c r="L1326">
        <v>31.803059607220924</v>
      </c>
      <c r="M1326">
        <v>14.156040218738697</v>
      </c>
      <c r="N1326">
        <v>10.009273159240886</v>
      </c>
      <c r="O1326">
        <v>83.48293996259612</v>
      </c>
      <c r="P1326">
        <v>3.4482799031268678</v>
      </c>
    </row>
    <row r="1327" spans="1:16">
      <c r="A1327" s="1" t="s">
        <v>1277</v>
      </c>
      <c r="B1327" s="4" t="s">
        <v>1380</v>
      </c>
      <c r="C1327" s="1" t="s">
        <v>18</v>
      </c>
      <c r="D1327" s="1" t="s">
        <v>81</v>
      </c>
      <c r="E1327" s="1" t="s">
        <v>1282</v>
      </c>
      <c r="F1327">
        <v>92.179826657492413</v>
      </c>
      <c r="G1327">
        <v>2236.2457557472412</v>
      </c>
      <c r="H1327">
        <v>1292.6558512362301</v>
      </c>
      <c r="I1327">
        <v>901.62602808354382</v>
      </c>
      <c r="J1327">
        <v>1450.6218440163761</v>
      </c>
      <c r="K1327">
        <v>188.39056482015494</v>
      </c>
      <c r="L1327">
        <v>33.701782815840346</v>
      </c>
      <c r="M1327">
        <v>11.983652784475344</v>
      </c>
      <c r="N1327">
        <v>19.355852760948228</v>
      </c>
      <c r="O1327">
        <v>92.850899345426541</v>
      </c>
      <c r="P1327">
        <v>4.2606332499244779</v>
      </c>
    </row>
    <row r="1328" spans="1:16">
      <c r="A1328" s="1" t="s">
        <v>1277</v>
      </c>
      <c r="B1328" s="4" t="s">
        <v>1381</v>
      </c>
      <c r="C1328" s="1" t="s">
        <v>18</v>
      </c>
      <c r="D1328" s="1" t="s">
        <v>81</v>
      </c>
      <c r="E1328" s="1" t="s">
        <v>1282</v>
      </c>
      <c r="F1328">
        <v>91.515487785180284</v>
      </c>
      <c r="G1328">
        <v>1036.0311911528604</v>
      </c>
      <c r="H1328">
        <v>309.98039929699269</v>
      </c>
      <c r="I1328">
        <v>793.52665197669603</v>
      </c>
      <c r="J1328">
        <v>803.21651323378342</v>
      </c>
      <c r="K1328">
        <v>107.35723578662625</v>
      </c>
      <c r="L1328">
        <v>26.239029291901524</v>
      </c>
      <c r="M1328">
        <v>10.077417401565013</v>
      </c>
      <c r="N1328">
        <v>6.4793903301664884</v>
      </c>
      <c r="O1328">
        <v>79.61122286984758</v>
      </c>
      <c r="P1328">
        <v>1.2319515176986782</v>
      </c>
    </row>
    <row r="1329" spans="1:16">
      <c r="A1329" s="1" t="s">
        <v>1277</v>
      </c>
      <c r="B1329" s="4" t="s">
        <v>1382</v>
      </c>
      <c r="C1329" s="1" t="s">
        <v>18</v>
      </c>
      <c r="D1329" s="1" t="s">
        <v>81</v>
      </c>
      <c r="E1329" s="1" t="s">
        <v>1282</v>
      </c>
      <c r="F1329">
        <v>69.501709975875968</v>
      </c>
      <c r="G1329">
        <v>1156.4501523267907</v>
      </c>
      <c r="H1329">
        <v>425.16705709995222</v>
      </c>
      <c r="I1329">
        <v>779.17094789444809</v>
      </c>
      <c r="J1329">
        <v>1493.1075127073677</v>
      </c>
      <c r="K1329">
        <v>119.6112044342206</v>
      </c>
      <c r="L1329">
        <v>30.150506667670637</v>
      </c>
      <c r="M1329">
        <v>12.889573208861242</v>
      </c>
      <c r="N1329">
        <v>5.8719925844889564</v>
      </c>
      <c r="O1329">
        <v>80.690061657101708</v>
      </c>
      <c r="P1329">
        <v>1.8512580577046234</v>
      </c>
    </row>
    <row r="1330" spans="1:16">
      <c r="A1330" s="1" t="s">
        <v>1383</v>
      </c>
      <c r="B1330" s="1" t="s">
        <v>1384</v>
      </c>
      <c r="C1330" s="1" t="s">
        <v>18</v>
      </c>
      <c r="D1330" s="1" t="s">
        <v>44</v>
      </c>
      <c r="E1330" s="1" t="s">
        <v>1385</v>
      </c>
      <c r="F1330">
        <v>15650.3</v>
      </c>
      <c r="G1330">
        <v>4760.04</v>
      </c>
      <c r="H1330">
        <v>1729.87</v>
      </c>
      <c r="I1330">
        <v>137.13</v>
      </c>
      <c r="J1330">
        <v>1.47</v>
      </c>
      <c r="K1330">
        <v>4147.6400000000003</v>
      </c>
      <c r="L1330">
        <v>57.49</v>
      </c>
      <c r="M1330">
        <v>12.64</v>
      </c>
      <c r="N1330">
        <v>732.72</v>
      </c>
      <c r="O1330">
        <v>19.34</v>
      </c>
      <c r="P1330">
        <v>8.92</v>
      </c>
    </row>
    <row r="1331" spans="1:16">
      <c r="A1331" s="1" t="s">
        <v>1383</v>
      </c>
      <c r="B1331" s="1" t="s">
        <v>1386</v>
      </c>
      <c r="C1331" s="1" t="s">
        <v>18</v>
      </c>
      <c r="D1331" s="1" t="s">
        <v>44</v>
      </c>
      <c r="E1331" s="1" t="s">
        <v>1385</v>
      </c>
      <c r="F1331">
        <v>6402.6</v>
      </c>
      <c r="G1331">
        <v>887.64</v>
      </c>
      <c r="H1331">
        <v>2275.34</v>
      </c>
      <c r="I1331">
        <v>158.94</v>
      </c>
      <c r="J1331">
        <v>3.91</v>
      </c>
      <c r="K1331">
        <v>5654.48</v>
      </c>
      <c r="L1331">
        <v>63</v>
      </c>
      <c r="M1331">
        <v>13.17</v>
      </c>
      <c r="N1331">
        <v>1051.24</v>
      </c>
      <c r="O1331">
        <v>22.31</v>
      </c>
      <c r="P1331">
        <v>10.96</v>
      </c>
    </row>
    <row r="1332" spans="1:16">
      <c r="A1332" s="1" t="s">
        <v>1383</v>
      </c>
      <c r="B1332" s="1" t="s">
        <v>1387</v>
      </c>
      <c r="C1332" s="1" t="s">
        <v>18</v>
      </c>
      <c r="D1332" s="1" t="s">
        <v>44</v>
      </c>
      <c r="E1332" s="1" t="s">
        <v>1388</v>
      </c>
      <c r="F1332">
        <v>5173.6899999999996</v>
      </c>
      <c r="G1332">
        <v>701.67</v>
      </c>
      <c r="H1332">
        <v>1911.83</v>
      </c>
      <c r="I1332">
        <v>143.11000000000001</v>
      </c>
      <c r="J1332">
        <v>2.83</v>
      </c>
      <c r="K1332">
        <v>4700.3500000000004</v>
      </c>
      <c r="L1332">
        <v>51.75</v>
      </c>
      <c r="M1332">
        <v>13.67</v>
      </c>
      <c r="N1332">
        <v>876.73</v>
      </c>
      <c r="O1332">
        <v>24.22</v>
      </c>
      <c r="P1332">
        <v>10.15</v>
      </c>
    </row>
    <row r="1333" spans="1:16">
      <c r="A1333" s="1" t="s">
        <v>1383</v>
      </c>
      <c r="B1333" s="1" t="s">
        <v>1389</v>
      </c>
      <c r="C1333" s="1" t="s">
        <v>18</v>
      </c>
      <c r="D1333" s="1" t="s">
        <v>44</v>
      </c>
      <c r="E1333" s="1" t="s">
        <v>1388</v>
      </c>
      <c r="F1333">
        <v>6425.28</v>
      </c>
      <c r="G1333">
        <v>824.93</v>
      </c>
      <c r="H1333">
        <v>2075.35</v>
      </c>
      <c r="I1333">
        <v>149.47999999999999</v>
      </c>
      <c r="J1333">
        <f>0.359630901/2</f>
        <v>0.1798154505</v>
      </c>
      <c r="K1333">
        <v>4623.75</v>
      </c>
      <c r="L1333">
        <v>60.58</v>
      </c>
      <c r="M1333">
        <v>11.99</v>
      </c>
      <c r="N1333">
        <v>859.09</v>
      </c>
      <c r="O1333">
        <v>20.96</v>
      </c>
      <c r="P1333">
        <v>10.18</v>
      </c>
    </row>
    <row r="1334" spans="1:16">
      <c r="A1334" s="1" t="s">
        <v>1383</v>
      </c>
      <c r="B1334" s="1" t="s">
        <v>1390</v>
      </c>
      <c r="C1334" s="1" t="s">
        <v>18</v>
      </c>
      <c r="D1334" s="1" t="s">
        <v>44</v>
      </c>
      <c r="E1334" s="1" t="s">
        <v>1388</v>
      </c>
      <c r="F1334">
        <v>5252.18</v>
      </c>
      <c r="G1334">
        <v>280.33</v>
      </c>
      <c r="H1334">
        <v>1892.73</v>
      </c>
      <c r="I1334">
        <v>139.91</v>
      </c>
      <c r="J1334">
        <v>3.7</v>
      </c>
      <c r="K1334">
        <v>4094.4</v>
      </c>
      <c r="L1334">
        <v>63.41</v>
      </c>
      <c r="M1334">
        <v>15.19</v>
      </c>
      <c r="N1334">
        <v>771.92</v>
      </c>
      <c r="O1334">
        <v>17.23</v>
      </c>
      <c r="P1334">
        <v>8.4</v>
      </c>
    </row>
    <row r="1335" spans="1:16">
      <c r="A1335" s="1" t="s">
        <v>1383</v>
      </c>
      <c r="B1335" s="1" t="s">
        <v>1391</v>
      </c>
      <c r="C1335" s="1" t="s">
        <v>18</v>
      </c>
      <c r="D1335" s="1" t="s">
        <v>44</v>
      </c>
      <c r="E1335" s="1" t="s">
        <v>1388</v>
      </c>
      <c r="F1335">
        <v>7408.85</v>
      </c>
      <c r="G1335">
        <v>995.06</v>
      </c>
      <c r="H1335">
        <v>2087.46</v>
      </c>
      <c r="I1335">
        <v>166.56</v>
      </c>
      <c r="J1335">
        <v>1.23</v>
      </c>
      <c r="K1335">
        <v>4972.2</v>
      </c>
      <c r="L1335">
        <v>82.68</v>
      </c>
      <c r="M1335">
        <v>12.43</v>
      </c>
      <c r="N1335">
        <v>885.99</v>
      </c>
      <c r="O1335">
        <v>22.78</v>
      </c>
      <c r="P1335">
        <v>10.53</v>
      </c>
    </row>
    <row r="1336" spans="1:16">
      <c r="A1336" s="1" t="s">
        <v>1383</v>
      </c>
      <c r="B1336" s="1" t="s">
        <v>1392</v>
      </c>
      <c r="C1336" s="1" t="s">
        <v>18</v>
      </c>
      <c r="D1336" s="1" t="s">
        <v>44</v>
      </c>
      <c r="E1336" s="1" t="s">
        <v>1388</v>
      </c>
      <c r="F1336">
        <v>24962.46</v>
      </c>
      <c r="G1336">
        <v>8511.0400000000009</v>
      </c>
      <c r="H1336">
        <v>1641.72</v>
      </c>
      <c r="I1336">
        <v>148.74</v>
      </c>
      <c r="J1336">
        <v>1.4</v>
      </c>
      <c r="K1336">
        <v>4392.08</v>
      </c>
      <c r="L1336">
        <v>58.72</v>
      </c>
      <c r="M1336">
        <v>14.13</v>
      </c>
      <c r="N1336">
        <v>851.09</v>
      </c>
      <c r="O1336">
        <v>22.85</v>
      </c>
      <c r="P1336">
        <v>8.8699999999999992</v>
      </c>
    </row>
    <row r="1337" spans="1:16">
      <c r="A1337" s="1" t="s">
        <v>1383</v>
      </c>
      <c r="B1337" s="1" t="s">
        <v>1393</v>
      </c>
      <c r="C1337" s="1" t="s">
        <v>18</v>
      </c>
      <c r="D1337" s="1" t="s">
        <v>44</v>
      </c>
      <c r="E1337" s="1" t="s">
        <v>1388</v>
      </c>
      <c r="F1337">
        <v>8474.56</v>
      </c>
      <c r="G1337">
        <v>2445.1999999999998</v>
      </c>
      <c r="H1337">
        <v>1917.78</v>
      </c>
      <c r="I1337">
        <v>149.21</v>
      </c>
      <c r="J1337">
        <v>3.35</v>
      </c>
      <c r="K1337">
        <v>4935.51</v>
      </c>
      <c r="L1337">
        <v>59.99</v>
      </c>
      <c r="M1337">
        <v>12.95</v>
      </c>
      <c r="N1337">
        <v>852.42</v>
      </c>
      <c r="O1337">
        <v>20.6</v>
      </c>
      <c r="P1337">
        <v>9.64</v>
      </c>
    </row>
    <row r="1338" spans="1:16">
      <c r="A1338" s="1" t="s">
        <v>1383</v>
      </c>
      <c r="B1338" s="1" t="s">
        <v>1394</v>
      </c>
      <c r="C1338" s="1" t="s">
        <v>18</v>
      </c>
      <c r="D1338" s="1" t="s">
        <v>44</v>
      </c>
      <c r="E1338" s="1" t="s">
        <v>1388</v>
      </c>
      <c r="F1338">
        <v>6270.9</v>
      </c>
      <c r="G1338">
        <v>717.27</v>
      </c>
      <c r="H1338">
        <v>2116.67</v>
      </c>
      <c r="I1338">
        <v>170.32</v>
      </c>
      <c r="J1338">
        <v>2.9</v>
      </c>
      <c r="K1338">
        <v>5318.8</v>
      </c>
      <c r="L1338">
        <v>66.59</v>
      </c>
      <c r="M1338">
        <v>15.05</v>
      </c>
      <c r="N1338">
        <v>874.65</v>
      </c>
      <c r="O1338">
        <v>23.22</v>
      </c>
      <c r="P1338">
        <v>9.75</v>
      </c>
    </row>
    <row r="1339" spans="1:16">
      <c r="A1339" s="1" t="s">
        <v>1383</v>
      </c>
      <c r="B1339" s="1" t="s">
        <v>1395</v>
      </c>
      <c r="C1339" s="1" t="s">
        <v>18</v>
      </c>
      <c r="D1339" s="1" t="s">
        <v>44</v>
      </c>
      <c r="E1339" s="1" t="s">
        <v>1388</v>
      </c>
      <c r="F1339">
        <v>7404.54</v>
      </c>
      <c r="G1339">
        <v>1127.6400000000001</v>
      </c>
      <c r="H1339">
        <v>2000.46</v>
      </c>
      <c r="I1339">
        <v>174.06</v>
      </c>
      <c r="J1339">
        <v>3.58</v>
      </c>
      <c r="K1339">
        <v>5225.84</v>
      </c>
      <c r="L1339">
        <v>66.06</v>
      </c>
      <c r="M1339">
        <v>12.95</v>
      </c>
      <c r="N1339">
        <v>1052.2</v>
      </c>
      <c r="O1339">
        <v>21.98</v>
      </c>
      <c r="P1339">
        <v>10.49</v>
      </c>
    </row>
    <row r="1340" spans="1:16">
      <c r="A1340" s="1" t="s">
        <v>1383</v>
      </c>
      <c r="B1340" s="1" t="s">
        <v>1396</v>
      </c>
      <c r="C1340" s="1" t="s">
        <v>18</v>
      </c>
      <c r="D1340" s="1" t="s">
        <v>44</v>
      </c>
      <c r="E1340" s="1" t="s">
        <v>1388</v>
      </c>
      <c r="F1340">
        <v>6596.36</v>
      </c>
      <c r="G1340">
        <v>1887.78</v>
      </c>
      <c r="H1340">
        <v>1634.95</v>
      </c>
      <c r="I1340">
        <v>132.11000000000001</v>
      </c>
      <c r="J1340" s="11">
        <f>0.359630901/2</f>
        <v>0.1798154505</v>
      </c>
      <c r="K1340">
        <v>4058.16</v>
      </c>
      <c r="L1340">
        <v>54.65</v>
      </c>
      <c r="M1340">
        <v>10.16</v>
      </c>
      <c r="N1340">
        <v>800.1</v>
      </c>
      <c r="O1340">
        <v>19.57</v>
      </c>
      <c r="P1340">
        <v>9.08</v>
      </c>
    </row>
    <row r="1341" spans="1:16">
      <c r="A1341" s="1" t="s">
        <v>1383</v>
      </c>
      <c r="B1341" s="1" t="s">
        <v>1397</v>
      </c>
      <c r="C1341" s="1" t="s">
        <v>18</v>
      </c>
      <c r="D1341" s="1" t="s">
        <v>44</v>
      </c>
      <c r="E1341" s="1" t="s">
        <v>1388</v>
      </c>
      <c r="F1341">
        <v>83.53</v>
      </c>
      <c r="G1341">
        <v>1162.23</v>
      </c>
      <c r="H1341">
        <v>891.51</v>
      </c>
      <c r="I1341">
        <v>132.41999999999999</v>
      </c>
      <c r="J1341" s="11">
        <f>0.359630901/2</f>
        <v>0.1798154505</v>
      </c>
      <c r="K1341">
        <v>1020.02</v>
      </c>
      <c r="L1341">
        <v>7.37</v>
      </c>
      <c r="M1341">
        <v>17.53</v>
      </c>
      <c r="N1341">
        <v>301.77999999999997</v>
      </c>
      <c r="O1341">
        <v>12.73</v>
      </c>
      <c r="P1341">
        <v>0.79800000000000004</v>
      </c>
    </row>
    <row r="1342" spans="1:16">
      <c r="A1342" s="1" t="s">
        <v>1383</v>
      </c>
      <c r="B1342" s="1" t="s">
        <v>1398</v>
      </c>
      <c r="C1342" s="1" t="s">
        <v>18</v>
      </c>
      <c r="D1342" s="1" t="s">
        <v>44</v>
      </c>
      <c r="E1342" s="1" t="s">
        <v>1388</v>
      </c>
      <c r="F1342">
        <v>200.5</v>
      </c>
      <c r="G1342">
        <v>845.14</v>
      </c>
      <c r="H1342">
        <v>671.18</v>
      </c>
      <c r="I1342">
        <v>109.09</v>
      </c>
      <c r="J1342">
        <v>0.34</v>
      </c>
      <c r="K1342">
        <v>800.87</v>
      </c>
      <c r="L1342">
        <v>5.18</v>
      </c>
      <c r="M1342">
        <v>10.27</v>
      </c>
      <c r="N1342">
        <v>178.66</v>
      </c>
      <c r="O1342">
        <v>12.24</v>
      </c>
      <c r="P1342">
        <v>0.78800000000000003</v>
      </c>
    </row>
    <row r="1343" spans="1:16">
      <c r="A1343" s="1" t="s">
        <v>1383</v>
      </c>
      <c r="B1343" s="1" t="s">
        <v>1399</v>
      </c>
      <c r="C1343" s="1" t="s">
        <v>18</v>
      </c>
      <c r="D1343" s="1" t="s">
        <v>44</v>
      </c>
      <c r="E1343" s="1" t="s">
        <v>1388</v>
      </c>
      <c r="F1343">
        <v>113.78</v>
      </c>
      <c r="G1343">
        <v>998.72</v>
      </c>
      <c r="H1343">
        <v>796.86</v>
      </c>
      <c r="I1343">
        <v>130.63999999999999</v>
      </c>
      <c r="J1343" s="11">
        <f>0.359630901/2</f>
        <v>0.1798154505</v>
      </c>
      <c r="K1343">
        <v>962.59</v>
      </c>
      <c r="L1343">
        <v>5.82</v>
      </c>
      <c r="M1343">
        <v>14.21</v>
      </c>
      <c r="N1343">
        <v>265.05</v>
      </c>
      <c r="O1343">
        <v>12.95</v>
      </c>
      <c r="P1343">
        <v>0.98</v>
      </c>
    </row>
    <row r="1344" spans="1:16">
      <c r="A1344" s="1" t="s">
        <v>1383</v>
      </c>
      <c r="B1344" s="1" t="s">
        <v>1400</v>
      </c>
      <c r="C1344" s="1" t="s">
        <v>18</v>
      </c>
      <c r="D1344" s="1" t="s">
        <v>44</v>
      </c>
      <c r="E1344" s="1" t="s">
        <v>1388</v>
      </c>
      <c r="F1344">
        <v>94.47</v>
      </c>
      <c r="G1344">
        <v>837.84</v>
      </c>
      <c r="H1344">
        <v>651.54999999999995</v>
      </c>
      <c r="I1344">
        <v>118.56</v>
      </c>
      <c r="J1344">
        <v>0.4</v>
      </c>
      <c r="K1344">
        <v>945.28</v>
      </c>
      <c r="L1344">
        <v>5.36</v>
      </c>
      <c r="M1344">
        <v>11.88</v>
      </c>
      <c r="N1344">
        <v>246.91</v>
      </c>
      <c r="O1344">
        <v>13.25</v>
      </c>
      <c r="P1344">
        <v>0.77500000000000002</v>
      </c>
    </row>
    <row r="1345" spans="1:16">
      <c r="A1345" s="1" t="s">
        <v>1383</v>
      </c>
      <c r="B1345" s="1" t="s">
        <v>1401</v>
      </c>
      <c r="C1345" s="1" t="s">
        <v>18</v>
      </c>
      <c r="D1345" s="1" t="s">
        <v>44</v>
      </c>
      <c r="E1345" s="1" t="s">
        <v>1388</v>
      </c>
      <c r="F1345">
        <v>72.53</v>
      </c>
      <c r="G1345">
        <v>926.43</v>
      </c>
      <c r="H1345">
        <v>792.6</v>
      </c>
      <c r="I1345">
        <v>120.83</v>
      </c>
      <c r="J1345">
        <v>0.44</v>
      </c>
      <c r="K1345">
        <v>940.41</v>
      </c>
      <c r="L1345">
        <v>6.11</v>
      </c>
      <c r="M1345">
        <v>16.02</v>
      </c>
      <c r="N1345">
        <v>241.82</v>
      </c>
      <c r="O1345">
        <v>12.36</v>
      </c>
      <c r="P1345">
        <v>0.91500000000000004</v>
      </c>
    </row>
    <row r="1346" spans="1:16">
      <c r="A1346" s="1" t="s">
        <v>1383</v>
      </c>
      <c r="B1346" s="1" t="s">
        <v>1402</v>
      </c>
      <c r="C1346" s="1" t="s">
        <v>18</v>
      </c>
      <c r="D1346" s="1" t="s">
        <v>44</v>
      </c>
      <c r="E1346" s="1" t="s">
        <v>1388</v>
      </c>
      <c r="F1346">
        <v>79.42</v>
      </c>
      <c r="G1346">
        <v>896.35</v>
      </c>
      <c r="H1346">
        <v>701.93</v>
      </c>
      <c r="I1346">
        <v>104.86</v>
      </c>
      <c r="J1346">
        <v>0.43</v>
      </c>
      <c r="K1346">
        <v>924.63</v>
      </c>
      <c r="L1346">
        <v>5.31</v>
      </c>
      <c r="M1346">
        <v>13.43</v>
      </c>
      <c r="N1346">
        <v>238.47</v>
      </c>
      <c r="O1346">
        <v>11.45</v>
      </c>
      <c r="P1346">
        <v>0.92100000000000004</v>
      </c>
    </row>
    <row r="1347" spans="1:16">
      <c r="A1347" s="1" t="s">
        <v>1383</v>
      </c>
      <c r="B1347" s="1" t="s">
        <v>1403</v>
      </c>
      <c r="C1347" s="1" t="s">
        <v>18</v>
      </c>
      <c r="D1347" s="1" t="s">
        <v>44</v>
      </c>
      <c r="E1347" s="1" t="s">
        <v>1388</v>
      </c>
      <c r="F1347">
        <v>3195.36</v>
      </c>
      <c r="G1347">
        <v>9568.1200000000008</v>
      </c>
      <c r="H1347">
        <v>745.42</v>
      </c>
      <c r="I1347">
        <v>136.55000000000001</v>
      </c>
      <c r="J1347">
        <v>0.52</v>
      </c>
      <c r="K1347">
        <v>1135.55</v>
      </c>
      <c r="L1347">
        <v>4.42</v>
      </c>
      <c r="M1347">
        <v>10.47</v>
      </c>
      <c r="N1347">
        <v>162.13</v>
      </c>
      <c r="O1347">
        <v>16.100000000000001</v>
      </c>
      <c r="P1347">
        <v>0.6</v>
      </c>
    </row>
    <row r="1348" spans="1:16">
      <c r="A1348" s="1" t="s">
        <v>1383</v>
      </c>
      <c r="B1348" s="1" t="s">
        <v>1404</v>
      </c>
      <c r="C1348" s="1" t="s">
        <v>18</v>
      </c>
      <c r="D1348" s="1" t="s">
        <v>44</v>
      </c>
      <c r="E1348" s="1" t="s">
        <v>1388</v>
      </c>
      <c r="F1348">
        <v>522.36</v>
      </c>
      <c r="G1348">
        <v>2199.9499999999998</v>
      </c>
      <c r="H1348">
        <v>679.13</v>
      </c>
      <c r="I1348">
        <v>111.92</v>
      </c>
      <c r="J1348">
        <v>0.37</v>
      </c>
      <c r="K1348">
        <v>873.67</v>
      </c>
      <c r="L1348">
        <v>5.43</v>
      </c>
      <c r="M1348">
        <v>13.86</v>
      </c>
      <c r="N1348">
        <v>250.42</v>
      </c>
      <c r="O1348">
        <v>13.06</v>
      </c>
      <c r="P1348">
        <v>0.872</v>
      </c>
    </row>
    <row r="1349" spans="1:16">
      <c r="A1349" s="1" t="s">
        <v>1383</v>
      </c>
      <c r="B1349" s="1" t="s">
        <v>1405</v>
      </c>
      <c r="C1349" s="1" t="s">
        <v>18</v>
      </c>
      <c r="D1349" s="1" t="s">
        <v>44</v>
      </c>
      <c r="E1349" s="1" t="s">
        <v>1388</v>
      </c>
      <c r="F1349">
        <v>81.75</v>
      </c>
      <c r="G1349">
        <v>976.81</v>
      </c>
      <c r="H1349">
        <v>920.3</v>
      </c>
      <c r="I1349">
        <v>116.72</v>
      </c>
      <c r="J1349">
        <v>1.24</v>
      </c>
      <c r="K1349">
        <v>918.31</v>
      </c>
      <c r="L1349">
        <v>5.67</v>
      </c>
      <c r="M1349">
        <v>14.15</v>
      </c>
      <c r="N1349">
        <v>213.97</v>
      </c>
      <c r="O1349">
        <v>13.74</v>
      </c>
      <c r="P1349">
        <v>1.022</v>
      </c>
    </row>
    <row r="1350" spans="1:16">
      <c r="A1350" s="1" t="s">
        <v>1383</v>
      </c>
      <c r="B1350" s="1" t="s">
        <v>1406</v>
      </c>
      <c r="C1350" s="1" t="s">
        <v>18</v>
      </c>
      <c r="D1350" s="1" t="s">
        <v>44</v>
      </c>
      <c r="E1350" s="1" t="s">
        <v>1388</v>
      </c>
      <c r="F1350">
        <v>541.21</v>
      </c>
      <c r="G1350">
        <v>1671.46</v>
      </c>
      <c r="H1350">
        <v>976.91</v>
      </c>
      <c r="I1350">
        <v>117.05</v>
      </c>
      <c r="J1350">
        <v>0.52</v>
      </c>
      <c r="K1350">
        <v>688.33</v>
      </c>
      <c r="L1350">
        <v>5.29</v>
      </c>
      <c r="M1350">
        <v>8.31</v>
      </c>
      <c r="N1350">
        <v>122.09</v>
      </c>
      <c r="O1350">
        <v>11.97</v>
      </c>
      <c r="P1350">
        <v>0.41399999999999998</v>
      </c>
    </row>
    <row r="1351" spans="1:16">
      <c r="A1351" s="1" t="s">
        <v>1383</v>
      </c>
      <c r="B1351" s="1" t="s">
        <v>1407</v>
      </c>
      <c r="C1351" s="1" t="s">
        <v>18</v>
      </c>
      <c r="D1351" s="1" t="s">
        <v>44</v>
      </c>
      <c r="E1351" s="1" t="s">
        <v>1388</v>
      </c>
      <c r="F1351">
        <v>158.34</v>
      </c>
      <c r="G1351">
        <v>1305.55</v>
      </c>
      <c r="H1351">
        <v>1051.04</v>
      </c>
      <c r="I1351">
        <v>128.86000000000001</v>
      </c>
      <c r="J1351">
        <v>0.42</v>
      </c>
      <c r="K1351">
        <v>825.94</v>
      </c>
      <c r="L1351">
        <v>6.42</v>
      </c>
      <c r="M1351">
        <v>12.3</v>
      </c>
      <c r="N1351">
        <v>236.27</v>
      </c>
      <c r="O1351">
        <v>11.8</v>
      </c>
      <c r="P1351">
        <v>0.88700000000000001</v>
      </c>
    </row>
    <row r="1352" spans="1:16">
      <c r="A1352" s="1" t="s">
        <v>1383</v>
      </c>
      <c r="B1352" s="1" t="s">
        <v>1408</v>
      </c>
      <c r="C1352" s="1" t="s">
        <v>18</v>
      </c>
      <c r="D1352" s="1" t="s">
        <v>44</v>
      </c>
      <c r="E1352" s="1" t="s">
        <v>1388</v>
      </c>
      <c r="F1352">
        <v>97.05</v>
      </c>
      <c r="G1352">
        <v>736.48</v>
      </c>
      <c r="H1352">
        <v>805.62</v>
      </c>
      <c r="I1352">
        <v>101.23</v>
      </c>
      <c r="J1352">
        <v>0.312</v>
      </c>
      <c r="K1352">
        <v>682.36</v>
      </c>
      <c r="L1352">
        <v>4.63</v>
      </c>
      <c r="M1352">
        <v>9.81</v>
      </c>
      <c r="N1352">
        <v>221.6</v>
      </c>
      <c r="O1352">
        <v>9.76</v>
      </c>
      <c r="P1352">
        <v>0.95699999999999996</v>
      </c>
    </row>
    <row r="1353" spans="1:16">
      <c r="A1353" s="1" t="s">
        <v>1383</v>
      </c>
      <c r="B1353" s="1" t="s">
        <v>1409</v>
      </c>
      <c r="C1353" s="1" t="s">
        <v>18</v>
      </c>
      <c r="D1353" s="1" t="s">
        <v>44</v>
      </c>
      <c r="E1353" s="1" t="s">
        <v>1388</v>
      </c>
      <c r="F1353">
        <v>104.94</v>
      </c>
      <c r="G1353">
        <v>1090.52</v>
      </c>
      <c r="H1353">
        <v>1104.6199999999999</v>
      </c>
      <c r="I1353">
        <v>135.49</v>
      </c>
      <c r="J1353" s="11">
        <f>0.359630901/2</f>
        <v>0.1798154505</v>
      </c>
      <c r="K1353">
        <v>865.1</v>
      </c>
      <c r="L1353">
        <v>7.27</v>
      </c>
      <c r="M1353">
        <v>18.510000000000002</v>
      </c>
      <c r="N1353">
        <v>268.13</v>
      </c>
      <c r="O1353">
        <v>13.53</v>
      </c>
      <c r="P1353">
        <v>1.71</v>
      </c>
    </row>
    <row r="1354" spans="1:16">
      <c r="A1354" s="1" t="s">
        <v>1383</v>
      </c>
      <c r="B1354" s="1" t="s">
        <v>1410</v>
      </c>
      <c r="C1354" s="1" t="s">
        <v>18</v>
      </c>
      <c r="D1354" s="1" t="s">
        <v>44</v>
      </c>
      <c r="E1354" s="1" t="s">
        <v>1388</v>
      </c>
      <c r="F1354">
        <v>705.77</v>
      </c>
      <c r="G1354">
        <v>2614.61</v>
      </c>
      <c r="H1354">
        <v>1386.21</v>
      </c>
      <c r="I1354">
        <v>129.62</v>
      </c>
      <c r="J1354">
        <v>0.49</v>
      </c>
      <c r="K1354">
        <v>918.88</v>
      </c>
      <c r="L1354">
        <v>6.2</v>
      </c>
      <c r="M1354">
        <v>16.14</v>
      </c>
      <c r="N1354">
        <v>273.02999999999997</v>
      </c>
      <c r="O1354">
        <v>14.57</v>
      </c>
      <c r="P1354">
        <v>0.73699999999999999</v>
      </c>
    </row>
    <row r="1355" spans="1:16">
      <c r="A1355" s="1" t="s">
        <v>1383</v>
      </c>
      <c r="B1355" s="1" t="s">
        <v>1411</v>
      </c>
      <c r="C1355" s="1" t="s">
        <v>18</v>
      </c>
      <c r="D1355" s="1" t="s">
        <v>44</v>
      </c>
      <c r="E1355" s="1" t="s">
        <v>1388</v>
      </c>
      <c r="F1355">
        <v>398.57</v>
      </c>
      <c r="G1355">
        <v>10704.13</v>
      </c>
      <c r="H1355">
        <v>961.06</v>
      </c>
      <c r="I1355">
        <v>138.41999999999999</v>
      </c>
      <c r="J1355" s="11">
        <f>0.359630901/2</f>
        <v>0.1798154505</v>
      </c>
      <c r="K1355">
        <v>990.36</v>
      </c>
      <c r="L1355">
        <v>6.17</v>
      </c>
      <c r="M1355">
        <v>12.95</v>
      </c>
      <c r="N1355">
        <v>268.51</v>
      </c>
      <c r="O1355">
        <v>14.36</v>
      </c>
      <c r="P1355">
        <v>0.83799999999999997</v>
      </c>
    </row>
    <row r="1356" spans="1:16">
      <c r="A1356" s="1" t="s">
        <v>1383</v>
      </c>
      <c r="B1356" s="1" t="s">
        <v>1412</v>
      </c>
      <c r="C1356" s="1" t="s">
        <v>18</v>
      </c>
      <c r="D1356" s="1" t="s">
        <v>44</v>
      </c>
      <c r="E1356" s="1" t="s">
        <v>1388</v>
      </c>
      <c r="F1356">
        <v>90.45</v>
      </c>
      <c r="G1356">
        <v>1194.7</v>
      </c>
      <c r="H1356">
        <v>1074.23</v>
      </c>
      <c r="I1356">
        <v>134.87</v>
      </c>
      <c r="J1356" s="11">
        <f>0.359630901/2</f>
        <v>0.1798154505</v>
      </c>
      <c r="K1356">
        <v>1106.8399999999999</v>
      </c>
      <c r="L1356">
        <v>6.55</v>
      </c>
      <c r="M1356">
        <v>13.65</v>
      </c>
      <c r="N1356">
        <v>272.07</v>
      </c>
      <c r="O1356">
        <v>15.53</v>
      </c>
      <c r="P1356">
        <v>1.23</v>
      </c>
    </row>
    <row r="1357" spans="1:16">
      <c r="A1357" s="1" t="s">
        <v>1383</v>
      </c>
      <c r="B1357" s="1" t="s">
        <v>1413</v>
      </c>
      <c r="C1357" s="1" t="s">
        <v>18</v>
      </c>
      <c r="D1357" s="1" t="s">
        <v>44</v>
      </c>
      <c r="E1357" s="1" t="s">
        <v>1388</v>
      </c>
      <c r="F1357">
        <v>80.17</v>
      </c>
      <c r="G1357">
        <v>980.44</v>
      </c>
      <c r="H1357">
        <v>937.73</v>
      </c>
      <c r="I1357">
        <v>126.93</v>
      </c>
      <c r="J1357">
        <v>0.5</v>
      </c>
      <c r="K1357">
        <v>949.27</v>
      </c>
      <c r="L1357">
        <v>6.2</v>
      </c>
      <c r="M1357">
        <v>10.99</v>
      </c>
      <c r="N1357">
        <v>219.16</v>
      </c>
      <c r="O1357">
        <v>13.09</v>
      </c>
      <c r="P1357">
        <v>0.56599999999999995</v>
      </c>
    </row>
    <row r="1358" spans="1:16">
      <c r="A1358" s="1" t="s">
        <v>1383</v>
      </c>
      <c r="B1358" s="1" t="s">
        <v>1414</v>
      </c>
      <c r="C1358" s="1" t="s">
        <v>18</v>
      </c>
      <c r="D1358" s="1" t="s">
        <v>44</v>
      </c>
      <c r="E1358" s="1" t="s">
        <v>1388</v>
      </c>
      <c r="F1358">
        <v>602.80999999999995</v>
      </c>
      <c r="G1358">
        <v>2778.56</v>
      </c>
      <c r="H1358">
        <v>1210.23</v>
      </c>
      <c r="I1358">
        <v>128.32</v>
      </c>
      <c r="J1358" s="11">
        <f>0.359630901/2</f>
        <v>0.1798154505</v>
      </c>
      <c r="K1358">
        <v>1055.28</v>
      </c>
      <c r="L1358">
        <v>7.77</v>
      </c>
      <c r="M1358">
        <v>16.350000000000001</v>
      </c>
      <c r="N1358">
        <v>241.03</v>
      </c>
      <c r="O1358">
        <v>13.77</v>
      </c>
      <c r="P1358">
        <v>0.94099999999999995</v>
      </c>
    </row>
    <row r="1359" spans="1:16">
      <c r="A1359" s="1" t="s">
        <v>1383</v>
      </c>
      <c r="B1359" s="1" t="s">
        <v>1415</v>
      </c>
      <c r="C1359" s="1" t="s">
        <v>18</v>
      </c>
      <c r="D1359" s="1" t="s">
        <v>44</v>
      </c>
      <c r="E1359" s="1" t="s">
        <v>1388</v>
      </c>
      <c r="F1359">
        <v>18241.560000000001</v>
      </c>
      <c r="G1359">
        <v>7059.03</v>
      </c>
      <c r="H1359">
        <v>2985.03</v>
      </c>
      <c r="I1359">
        <v>158.28</v>
      </c>
      <c r="J1359">
        <v>21.61</v>
      </c>
      <c r="K1359">
        <v>5553.19</v>
      </c>
      <c r="L1359">
        <v>49.69</v>
      </c>
      <c r="M1359">
        <v>33.07</v>
      </c>
      <c r="N1359">
        <v>652.70000000000005</v>
      </c>
      <c r="O1359">
        <v>7.53</v>
      </c>
      <c r="P1359">
        <v>11.13</v>
      </c>
    </row>
    <row r="1360" spans="1:16">
      <c r="A1360" s="1" t="s">
        <v>1383</v>
      </c>
      <c r="B1360" s="1" t="s">
        <v>1416</v>
      </c>
      <c r="C1360" s="1" t="s">
        <v>18</v>
      </c>
      <c r="D1360" s="1" t="s">
        <v>44</v>
      </c>
      <c r="E1360" s="1" t="s">
        <v>1388</v>
      </c>
      <c r="F1360">
        <v>4466.58</v>
      </c>
      <c r="G1360">
        <v>1437.24</v>
      </c>
      <c r="H1360">
        <v>2978.87</v>
      </c>
      <c r="I1360">
        <v>117.81</v>
      </c>
      <c r="J1360">
        <v>16.34</v>
      </c>
      <c r="K1360">
        <v>5553.87</v>
      </c>
      <c r="L1360">
        <v>56.21</v>
      </c>
      <c r="M1360">
        <v>23.15</v>
      </c>
      <c r="N1360">
        <v>666.12</v>
      </c>
      <c r="O1360">
        <v>6.29</v>
      </c>
      <c r="P1360">
        <v>11.76</v>
      </c>
    </row>
    <row r="1361" spans="1:16">
      <c r="A1361" s="1" t="s">
        <v>1383</v>
      </c>
      <c r="B1361" s="1" t="s">
        <v>1417</v>
      </c>
      <c r="C1361" s="1" t="s">
        <v>18</v>
      </c>
      <c r="D1361" s="1" t="s">
        <v>44</v>
      </c>
      <c r="E1361" s="1" t="s">
        <v>1388</v>
      </c>
      <c r="F1361">
        <v>7545.76</v>
      </c>
      <c r="G1361">
        <v>1793.89</v>
      </c>
      <c r="H1361">
        <v>1810.29</v>
      </c>
      <c r="I1361">
        <v>97.22</v>
      </c>
      <c r="J1361">
        <v>10.64</v>
      </c>
      <c r="K1361">
        <v>3926.12</v>
      </c>
      <c r="L1361">
        <v>34.06</v>
      </c>
      <c r="M1361">
        <v>19.87</v>
      </c>
      <c r="N1361">
        <v>475.1</v>
      </c>
      <c r="O1361">
        <v>6.64</v>
      </c>
      <c r="P1361">
        <v>7.59</v>
      </c>
    </row>
    <row r="1362" spans="1:16">
      <c r="A1362" s="1" t="s">
        <v>1383</v>
      </c>
      <c r="B1362" s="1" t="s">
        <v>1418</v>
      </c>
      <c r="C1362" s="1" t="s">
        <v>18</v>
      </c>
      <c r="D1362" s="1" t="s">
        <v>44</v>
      </c>
      <c r="E1362" s="1" t="s">
        <v>1388</v>
      </c>
      <c r="F1362">
        <v>13139.17</v>
      </c>
      <c r="G1362">
        <v>4473.04</v>
      </c>
      <c r="H1362">
        <v>3154.88</v>
      </c>
      <c r="I1362">
        <v>158.66</v>
      </c>
      <c r="J1362">
        <v>9.16</v>
      </c>
      <c r="K1362">
        <v>5887.8</v>
      </c>
      <c r="L1362">
        <v>51.84</v>
      </c>
      <c r="M1362">
        <v>23.19</v>
      </c>
      <c r="N1362">
        <v>659.44</v>
      </c>
      <c r="O1362">
        <v>8.42</v>
      </c>
      <c r="P1362">
        <v>11.9</v>
      </c>
    </row>
    <row r="1363" spans="1:16">
      <c r="A1363" s="1" t="s">
        <v>1383</v>
      </c>
      <c r="B1363" s="1" t="s">
        <v>1419</v>
      </c>
      <c r="C1363" s="1" t="s">
        <v>18</v>
      </c>
      <c r="D1363" s="1" t="s">
        <v>44</v>
      </c>
      <c r="E1363" s="1" t="s">
        <v>1388</v>
      </c>
      <c r="F1363">
        <v>8192.49</v>
      </c>
      <c r="G1363">
        <v>3091.37</v>
      </c>
      <c r="H1363">
        <v>2493.1</v>
      </c>
      <c r="I1363">
        <v>95.64</v>
      </c>
      <c r="J1363">
        <v>34.450000000000003</v>
      </c>
      <c r="K1363">
        <v>4643.0600000000004</v>
      </c>
      <c r="L1363">
        <v>41.24</v>
      </c>
      <c r="M1363">
        <v>18.14</v>
      </c>
      <c r="N1363">
        <v>542.13</v>
      </c>
      <c r="O1363">
        <v>6.24</v>
      </c>
      <c r="P1363">
        <v>8.39</v>
      </c>
    </row>
    <row r="1364" spans="1:16">
      <c r="A1364" s="1" t="s">
        <v>1383</v>
      </c>
      <c r="B1364" s="1" t="s">
        <v>1420</v>
      </c>
      <c r="C1364" s="1" t="s">
        <v>18</v>
      </c>
      <c r="D1364" s="1" t="s">
        <v>44</v>
      </c>
      <c r="E1364" s="1" t="s">
        <v>1388</v>
      </c>
      <c r="F1364">
        <v>30772.91</v>
      </c>
      <c r="G1364">
        <v>9585.0400000000009</v>
      </c>
      <c r="H1364">
        <v>2415.4</v>
      </c>
      <c r="I1364">
        <v>124.67</v>
      </c>
      <c r="J1364">
        <v>10.08</v>
      </c>
      <c r="K1364">
        <v>5566.25</v>
      </c>
      <c r="L1364">
        <v>74.489999999999995</v>
      </c>
      <c r="M1364">
        <v>27.57</v>
      </c>
      <c r="N1364">
        <v>658.26</v>
      </c>
      <c r="O1364">
        <v>7.16</v>
      </c>
      <c r="P1364">
        <v>13.5</v>
      </c>
    </row>
    <row r="1365" spans="1:16">
      <c r="A1365" s="1" t="s">
        <v>1383</v>
      </c>
      <c r="B1365" s="1" t="s">
        <v>1421</v>
      </c>
      <c r="C1365" s="1" t="s">
        <v>18</v>
      </c>
      <c r="D1365" s="1" t="s">
        <v>44</v>
      </c>
      <c r="E1365" s="1" t="s">
        <v>1388</v>
      </c>
      <c r="F1365">
        <v>8424.9</v>
      </c>
      <c r="G1365">
        <v>2511.9299999999998</v>
      </c>
      <c r="H1365">
        <v>3290.05</v>
      </c>
      <c r="I1365">
        <v>131.71</v>
      </c>
      <c r="J1365">
        <v>49.87</v>
      </c>
      <c r="K1365">
        <v>4899.2299999999996</v>
      </c>
      <c r="L1365">
        <v>62.83</v>
      </c>
      <c r="M1365">
        <v>22.22</v>
      </c>
      <c r="N1365">
        <v>627.47</v>
      </c>
      <c r="O1365">
        <v>7.48</v>
      </c>
      <c r="P1365">
        <v>11.69</v>
      </c>
    </row>
    <row r="1366" spans="1:16">
      <c r="A1366" s="1" t="s">
        <v>1383</v>
      </c>
      <c r="B1366" s="1" t="s">
        <v>1422</v>
      </c>
      <c r="C1366" s="1" t="s">
        <v>18</v>
      </c>
      <c r="D1366" s="1" t="s">
        <v>44</v>
      </c>
      <c r="E1366" s="1" t="s">
        <v>1388</v>
      </c>
      <c r="F1366">
        <v>9575.2099999999991</v>
      </c>
      <c r="G1366">
        <v>2584.96</v>
      </c>
      <c r="H1366">
        <v>1868.24</v>
      </c>
      <c r="I1366">
        <v>105.68</v>
      </c>
      <c r="J1366">
        <v>10.210000000000001</v>
      </c>
      <c r="K1366">
        <v>3898.08</v>
      </c>
      <c r="L1366">
        <v>35.159999999999997</v>
      </c>
      <c r="M1366">
        <v>15.27</v>
      </c>
      <c r="N1366">
        <v>383.24</v>
      </c>
      <c r="O1366">
        <v>3.88</v>
      </c>
      <c r="P1366">
        <v>8.56</v>
      </c>
    </row>
    <row r="1367" spans="1:16">
      <c r="A1367" s="1" t="s">
        <v>1383</v>
      </c>
      <c r="B1367" s="1" t="s">
        <v>1423</v>
      </c>
      <c r="C1367" s="1" t="s">
        <v>18</v>
      </c>
      <c r="D1367" s="1" t="s">
        <v>44</v>
      </c>
      <c r="E1367" s="1" t="s">
        <v>1388</v>
      </c>
      <c r="F1367">
        <v>3880.3</v>
      </c>
      <c r="G1367">
        <v>535.26</v>
      </c>
      <c r="H1367">
        <v>1728.17</v>
      </c>
      <c r="I1367">
        <v>112.35</v>
      </c>
      <c r="J1367">
        <v>0.87</v>
      </c>
      <c r="K1367">
        <v>4687.3999999999996</v>
      </c>
      <c r="L1367">
        <v>45.89</v>
      </c>
      <c r="M1367">
        <v>25.09</v>
      </c>
      <c r="N1367">
        <v>637.04</v>
      </c>
      <c r="O1367">
        <v>6.01</v>
      </c>
      <c r="P1367">
        <v>7.85</v>
      </c>
    </row>
    <row r="1368" spans="1:16">
      <c r="A1368" s="1" t="s">
        <v>1383</v>
      </c>
      <c r="B1368" s="1" t="s">
        <v>1424</v>
      </c>
      <c r="C1368" s="1" t="s">
        <v>18</v>
      </c>
      <c r="D1368" s="1" t="s">
        <v>44</v>
      </c>
      <c r="E1368" s="1" t="s">
        <v>1388</v>
      </c>
      <c r="F1368">
        <v>14445.26</v>
      </c>
      <c r="G1368">
        <v>4053.07</v>
      </c>
      <c r="H1368">
        <v>1506.18</v>
      </c>
      <c r="I1368">
        <v>67.489999999999995</v>
      </c>
      <c r="J1368">
        <v>13.28</v>
      </c>
      <c r="K1368">
        <v>3787.49</v>
      </c>
      <c r="L1368">
        <v>28.2</v>
      </c>
      <c r="M1368">
        <v>19.82</v>
      </c>
      <c r="N1368">
        <v>518.96</v>
      </c>
      <c r="O1368">
        <v>4.97</v>
      </c>
      <c r="P1368">
        <v>8.18</v>
      </c>
    </row>
    <row r="1369" spans="1:16">
      <c r="A1369" s="1" t="s">
        <v>1383</v>
      </c>
      <c r="B1369" s="1" t="s">
        <v>1425</v>
      </c>
      <c r="C1369" s="1" t="s">
        <v>18</v>
      </c>
      <c r="D1369" s="1" t="s">
        <v>44</v>
      </c>
      <c r="E1369" s="1" t="s">
        <v>1388</v>
      </c>
      <c r="F1369">
        <v>9484.99</v>
      </c>
      <c r="G1369">
        <v>2061.35</v>
      </c>
      <c r="H1369">
        <v>1689.18</v>
      </c>
      <c r="I1369">
        <v>93.33</v>
      </c>
      <c r="J1369">
        <v>12.36</v>
      </c>
      <c r="K1369">
        <v>4586.42</v>
      </c>
      <c r="L1369">
        <v>39.549999999999997</v>
      </c>
      <c r="M1369">
        <v>20.190000000000001</v>
      </c>
      <c r="N1369">
        <v>325.32</v>
      </c>
      <c r="O1369">
        <v>4.67</v>
      </c>
      <c r="P1369">
        <v>9.65</v>
      </c>
    </row>
    <row r="1370" spans="1:16">
      <c r="A1370" s="1" t="s">
        <v>1383</v>
      </c>
      <c r="B1370" s="1" t="s">
        <v>1426</v>
      </c>
      <c r="C1370" s="1" t="s">
        <v>18</v>
      </c>
      <c r="D1370" s="1" t="s">
        <v>44</v>
      </c>
      <c r="E1370" s="1" t="s">
        <v>1388</v>
      </c>
      <c r="F1370">
        <v>6410.12</v>
      </c>
      <c r="G1370">
        <v>1388.67</v>
      </c>
      <c r="H1370">
        <v>2020.82</v>
      </c>
      <c r="I1370">
        <v>103.23</v>
      </c>
      <c r="J1370">
        <v>8.81</v>
      </c>
      <c r="K1370">
        <v>4759.07</v>
      </c>
      <c r="L1370">
        <v>39.96</v>
      </c>
      <c r="M1370">
        <v>14.42</v>
      </c>
      <c r="N1370">
        <v>158.51</v>
      </c>
      <c r="O1370">
        <v>4.5199999999999996</v>
      </c>
      <c r="P1370">
        <v>7.04</v>
      </c>
    </row>
    <row r="1371" spans="1:16">
      <c r="A1371" s="1" t="s">
        <v>1383</v>
      </c>
      <c r="B1371" s="1" t="s">
        <v>1427</v>
      </c>
      <c r="C1371" s="1" t="s">
        <v>18</v>
      </c>
      <c r="D1371" s="1" t="s">
        <v>44</v>
      </c>
      <c r="E1371" s="1" t="s">
        <v>1388</v>
      </c>
      <c r="F1371">
        <v>9074.16</v>
      </c>
      <c r="G1371">
        <v>2044.11</v>
      </c>
      <c r="H1371">
        <v>2406.9499999999998</v>
      </c>
      <c r="I1371">
        <v>152.94</v>
      </c>
      <c r="J1371">
        <v>25.25</v>
      </c>
      <c r="K1371">
        <v>6109.59</v>
      </c>
      <c r="L1371">
        <v>46.71</v>
      </c>
      <c r="M1371">
        <v>24.1</v>
      </c>
      <c r="N1371">
        <v>447.34</v>
      </c>
      <c r="O1371">
        <v>5</v>
      </c>
      <c r="P1371">
        <v>9.6999999999999993</v>
      </c>
    </row>
    <row r="1372" spans="1:16">
      <c r="A1372" s="1" t="s">
        <v>1383</v>
      </c>
      <c r="B1372" s="1" t="s">
        <v>1428</v>
      </c>
      <c r="C1372" s="1" t="s">
        <v>18</v>
      </c>
      <c r="D1372" s="1" t="s">
        <v>44</v>
      </c>
      <c r="E1372" s="1" t="s">
        <v>1388</v>
      </c>
      <c r="F1372">
        <v>8342.35</v>
      </c>
      <c r="G1372">
        <v>3445.61</v>
      </c>
      <c r="H1372">
        <v>1863.04</v>
      </c>
      <c r="I1372">
        <v>101.74</v>
      </c>
      <c r="J1372">
        <v>9.9</v>
      </c>
      <c r="K1372">
        <v>5729.35</v>
      </c>
      <c r="L1372">
        <v>40.29</v>
      </c>
      <c r="M1372">
        <v>18.54</v>
      </c>
      <c r="N1372">
        <v>295.05</v>
      </c>
      <c r="O1372">
        <v>4.8099999999999996</v>
      </c>
      <c r="P1372">
        <v>7.71</v>
      </c>
    </row>
    <row r="1373" spans="1:16">
      <c r="A1373" s="1" t="s">
        <v>1383</v>
      </c>
      <c r="B1373" s="1" t="s">
        <v>1429</v>
      </c>
      <c r="C1373" s="1" t="s">
        <v>18</v>
      </c>
      <c r="D1373" s="1" t="s">
        <v>44</v>
      </c>
      <c r="E1373" s="1" t="s">
        <v>1388</v>
      </c>
      <c r="F1373">
        <v>81.319999999999993</v>
      </c>
      <c r="G1373">
        <v>819.1</v>
      </c>
      <c r="H1373">
        <v>1008.58</v>
      </c>
      <c r="I1373">
        <v>155.51</v>
      </c>
      <c r="J1373" s="11">
        <f>0.359630901/2</f>
        <v>0.1798154505</v>
      </c>
      <c r="K1373">
        <v>446.48</v>
      </c>
      <c r="L1373">
        <v>4.4000000000000004</v>
      </c>
      <c r="M1373">
        <v>6.47</v>
      </c>
      <c r="N1373">
        <v>169.29</v>
      </c>
      <c r="O1373">
        <v>20.149999999999999</v>
      </c>
      <c r="P1373">
        <v>0.73399999999999999</v>
      </c>
    </row>
    <row r="1374" spans="1:16">
      <c r="A1374" s="1" t="s">
        <v>1383</v>
      </c>
      <c r="B1374" s="1" t="s">
        <v>1430</v>
      </c>
      <c r="C1374" s="1" t="s">
        <v>18</v>
      </c>
      <c r="D1374" s="1" t="s">
        <v>44</v>
      </c>
      <c r="E1374" s="1" t="s">
        <v>1388</v>
      </c>
      <c r="F1374">
        <v>97.71</v>
      </c>
      <c r="G1374">
        <v>866.66</v>
      </c>
      <c r="H1374">
        <v>1018.08</v>
      </c>
      <c r="I1374">
        <v>153.52000000000001</v>
      </c>
      <c r="J1374">
        <v>0.43</v>
      </c>
      <c r="K1374">
        <v>561.96</v>
      </c>
      <c r="L1374">
        <v>4.8</v>
      </c>
      <c r="M1374">
        <v>7.26</v>
      </c>
      <c r="N1374">
        <v>193.18</v>
      </c>
      <c r="O1374">
        <v>19.420000000000002</v>
      </c>
      <c r="P1374">
        <v>0.94899999999999995</v>
      </c>
    </row>
    <row r="1375" spans="1:16">
      <c r="A1375" s="1" t="s">
        <v>1383</v>
      </c>
      <c r="B1375" s="1" t="s">
        <v>1431</v>
      </c>
      <c r="C1375" s="1" t="s">
        <v>18</v>
      </c>
      <c r="D1375" s="1" t="s">
        <v>44</v>
      </c>
      <c r="E1375" s="1" t="s">
        <v>1388</v>
      </c>
      <c r="F1375">
        <v>121.16</v>
      </c>
      <c r="G1375">
        <v>1007.72</v>
      </c>
      <c r="H1375">
        <v>1017.23</v>
      </c>
      <c r="I1375">
        <v>152.83000000000001</v>
      </c>
      <c r="J1375">
        <v>0.47</v>
      </c>
      <c r="K1375">
        <v>531.45000000000005</v>
      </c>
      <c r="L1375">
        <v>4.83</v>
      </c>
      <c r="M1375">
        <v>7.93</v>
      </c>
      <c r="N1375">
        <v>233.27</v>
      </c>
      <c r="O1375">
        <v>20.21</v>
      </c>
      <c r="P1375">
        <v>1.0620000000000001</v>
      </c>
    </row>
    <row r="1376" spans="1:16">
      <c r="A1376" s="1" t="s">
        <v>1383</v>
      </c>
      <c r="B1376" s="1" t="s">
        <v>1432</v>
      </c>
      <c r="C1376" s="1" t="s">
        <v>18</v>
      </c>
      <c r="D1376" s="1" t="s">
        <v>44</v>
      </c>
      <c r="E1376" s="1" t="s">
        <v>1388</v>
      </c>
      <c r="F1376">
        <v>67.3</v>
      </c>
      <c r="G1376">
        <v>734.24</v>
      </c>
      <c r="H1376">
        <v>853.8</v>
      </c>
      <c r="I1376">
        <v>141.63</v>
      </c>
      <c r="J1376">
        <v>0.36</v>
      </c>
      <c r="K1376">
        <v>404.21</v>
      </c>
      <c r="L1376">
        <v>4.97</v>
      </c>
      <c r="M1376">
        <v>5.49</v>
      </c>
      <c r="N1376">
        <v>122.8</v>
      </c>
      <c r="O1376">
        <v>18.98</v>
      </c>
      <c r="P1376">
        <v>0.65100000000000002</v>
      </c>
    </row>
    <row r="1377" spans="1:16">
      <c r="A1377" s="1" t="s">
        <v>1383</v>
      </c>
      <c r="B1377" s="1" t="s">
        <v>1433</v>
      </c>
      <c r="C1377" s="1" t="s">
        <v>18</v>
      </c>
      <c r="D1377" s="1" t="s">
        <v>44</v>
      </c>
      <c r="E1377" s="1" t="s">
        <v>1388</v>
      </c>
      <c r="F1377">
        <v>72.7</v>
      </c>
      <c r="G1377">
        <v>709.5</v>
      </c>
      <c r="H1377">
        <v>850.66</v>
      </c>
      <c r="I1377">
        <v>137.47999999999999</v>
      </c>
      <c r="J1377" s="11">
        <f>0.359630901/2</f>
        <v>0.1798154505</v>
      </c>
      <c r="K1377">
        <v>380.93</v>
      </c>
      <c r="L1377">
        <v>4.12</v>
      </c>
      <c r="M1377">
        <v>8.4499999999999993</v>
      </c>
      <c r="N1377">
        <v>124.52</v>
      </c>
      <c r="O1377">
        <v>16.14</v>
      </c>
      <c r="P1377">
        <v>0.64800000000000002</v>
      </c>
    </row>
    <row r="1378" spans="1:16">
      <c r="A1378" s="1" t="s">
        <v>1383</v>
      </c>
      <c r="B1378" s="1" t="s">
        <v>1434</v>
      </c>
      <c r="C1378" s="1" t="s">
        <v>18</v>
      </c>
      <c r="D1378" s="1" t="s">
        <v>44</v>
      </c>
      <c r="E1378" s="1" t="s">
        <v>1388</v>
      </c>
      <c r="F1378">
        <v>74.010000000000005</v>
      </c>
      <c r="G1378">
        <v>736.88</v>
      </c>
      <c r="H1378">
        <v>906.18</v>
      </c>
      <c r="I1378">
        <v>146.97999999999999</v>
      </c>
      <c r="J1378">
        <v>0.62</v>
      </c>
      <c r="K1378">
        <v>372.78</v>
      </c>
      <c r="L1378">
        <v>3.97</v>
      </c>
      <c r="M1378">
        <v>8.34</v>
      </c>
      <c r="N1378">
        <v>128.47</v>
      </c>
      <c r="O1378">
        <v>18.14</v>
      </c>
      <c r="P1378">
        <v>0.626</v>
      </c>
    </row>
    <row r="1379" spans="1:16">
      <c r="A1379" s="1" t="s">
        <v>1383</v>
      </c>
      <c r="B1379" s="1" t="s">
        <v>1435</v>
      </c>
      <c r="C1379" s="1" t="s">
        <v>18</v>
      </c>
      <c r="D1379" s="1" t="s">
        <v>44</v>
      </c>
      <c r="E1379" s="1" t="s">
        <v>1388</v>
      </c>
      <c r="F1379">
        <v>81.349999999999994</v>
      </c>
      <c r="G1379">
        <v>761.17</v>
      </c>
      <c r="H1379">
        <v>807.94</v>
      </c>
      <c r="I1379">
        <v>130.28</v>
      </c>
      <c r="J1379">
        <v>0.36</v>
      </c>
      <c r="K1379">
        <v>490.56</v>
      </c>
      <c r="L1379">
        <v>4.12</v>
      </c>
      <c r="M1379">
        <v>7.75</v>
      </c>
      <c r="N1379">
        <v>176.95</v>
      </c>
      <c r="O1379">
        <v>19.489999999999998</v>
      </c>
      <c r="P1379">
        <v>0.73899999999999999</v>
      </c>
    </row>
    <row r="1380" spans="1:16">
      <c r="A1380" s="1" t="s">
        <v>1383</v>
      </c>
      <c r="B1380" s="1" t="s">
        <v>1436</v>
      </c>
      <c r="C1380" s="1" t="s">
        <v>18</v>
      </c>
      <c r="D1380" s="1" t="s">
        <v>44</v>
      </c>
      <c r="E1380" s="1" t="s">
        <v>1388</v>
      </c>
      <c r="F1380">
        <v>103.43</v>
      </c>
      <c r="G1380">
        <v>829.06</v>
      </c>
      <c r="H1380">
        <v>777.51</v>
      </c>
      <c r="I1380">
        <v>122.42</v>
      </c>
      <c r="J1380">
        <v>0.34</v>
      </c>
      <c r="K1380">
        <v>482.57</v>
      </c>
      <c r="L1380">
        <v>4.03</v>
      </c>
      <c r="M1380">
        <v>7.74</v>
      </c>
      <c r="N1380">
        <v>211.85</v>
      </c>
      <c r="O1380">
        <v>18.55</v>
      </c>
      <c r="P1380">
        <v>0.91</v>
      </c>
    </row>
    <row r="1381" spans="1:16">
      <c r="A1381" s="1" t="s">
        <v>1383</v>
      </c>
      <c r="B1381" s="1" t="s">
        <v>1437</v>
      </c>
      <c r="C1381" s="1" t="s">
        <v>18</v>
      </c>
      <c r="D1381" s="1" t="s">
        <v>44</v>
      </c>
      <c r="E1381" s="1" t="s">
        <v>1388</v>
      </c>
      <c r="F1381">
        <v>81.98</v>
      </c>
      <c r="G1381">
        <v>862.65</v>
      </c>
      <c r="H1381">
        <v>958.21</v>
      </c>
      <c r="I1381">
        <v>158.97</v>
      </c>
      <c r="J1381">
        <v>0.33</v>
      </c>
      <c r="K1381">
        <v>423.51</v>
      </c>
      <c r="L1381">
        <v>4.29</v>
      </c>
      <c r="M1381">
        <v>6.19</v>
      </c>
      <c r="N1381">
        <v>137.29</v>
      </c>
      <c r="O1381">
        <v>18.690000000000001</v>
      </c>
      <c r="P1381">
        <v>0.79700000000000004</v>
      </c>
    </row>
    <row r="1382" spans="1:16">
      <c r="A1382" s="1" t="s">
        <v>1383</v>
      </c>
      <c r="B1382" s="1" t="s">
        <v>1438</v>
      </c>
      <c r="C1382" s="1" t="s">
        <v>18</v>
      </c>
      <c r="D1382" s="1" t="s">
        <v>44</v>
      </c>
      <c r="E1382" s="1" t="s">
        <v>1388</v>
      </c>
      <c r="F1382">
        <v>117.13</v>
      </c>
      <c r="G1382">
        <v>904.6</v>
      </c>
      <c r="H1382">
        <v>845.81</v>
      </c>
      <c r="I1382">
        <v>141</v>
      </c>
      <c r="J1382" s="11">
        <f>0.359630901/2</f>
        <v>0.1798154505</v>
      </c>
      <c r="K1382">
        <v>536.85</v>
      </c>
      <c r="L1382">
        <v>4.67</v>
      </c>
      <c r="M1382">
        <v>7.54</v>
      </c>
      <c r="N1382">
        <v>244.43</v>
      </c>
      <c r="O1382">
        <v>18.91</v>
      </c>
      <c r="P1382">
        <v>0.89</v>
      </c>
    </row>
    <row r="1383" spans="1:16">
      <c r="A1383" s="1" t="s">
        <v>1383</v>
      </c>
      <c r="B1383" s="1" t="s">
        <v>1439</v>
      </c>
      <c r="C1383" s="1" t="s">
        <v>18</v>
      </c>
      <c r="D1383" s="1" t="s">
        <v>44</v>
      </c>
      <c r="E1383" s="1" t="s">
        <v>1388</v>
      </c>
      <c r="F1383">
        <v>137.91</v>
      </c>
      <c r="G1383">
        <v>972.03</v>
      </c>
      <c r="H1383">
        <v>921.03</v>
      </c>
      <c r="I1383">
        <v>134.46</v>
      </c>
      <c r="J1383">
        <v>0.42</v>
      </c>
      <c r="K1383">
        <v>658.01</v>
      </c>
      <c r="L1383">
        <v>4.83</v>
      </c>
      <c r="M1383">
        <v>9.2100000000000009</v>
      </c>
      <c r="N1383">
        <v>265.44</v>
      </c>
      <c r="O1383">
        <v>19.8</v>
      </c>
      <c r="P1383">
        <v>1.1379999999999999</v>
      </c>
    </row>
    <row r="1384" spans="1:16">
      <c r="A1384" s="1" t="s">
        <v>1383</v>
      </c>
      <c r="B1384" s="1" t="s">
        <v>1440</v>
      </c>
      <c r="C1384" s="1" t="s">
        <v>18</v>
      </c>
      <c r="D1384" s="1" t="s">
        <v>44</v>
      </c>
      <c r="E1384" s="1" t="s">
        <v>1388</v>
      </c>
      <c r="F1384">
        <v>106.99</v>
      </c>
      <c r="G1384">
        <v>835.96</v>
      </c>
      <c r="H1384">
        <v>818.44</v>
      </c>
      <c r="I1384">
        <v>112.66</v>
      </c>
      <c r="J1384">
        <v>0.39</v>
      </c>
      <c r="K1384">
        <v>480.44</v>
      </c>
      <c r="L1384">
        <v>3.95</v>
      </c>
      <c r="M1384">
        <v>8.52</v>
      </c>
      <c r="N1384">
        <v>177.31</v>
      </c>
      <c r="O1384">
        <v>17.55</v>
      </c>
      <c r="P1384">
        <v>0.89800000000000002</v>
      </c>
    </row>
    <row r="1385" spans="1:16">
      <c r="A1385" s="1" t="s">
        <v>1383</v>
      </c>
      <c r="B1385" s="1" t="s">
        <v>1441</v>
      </c>
      <c r="C1385" s="1" t="s">
        <v>18</v>
      </c>
      <c r="D1385" s="1" t="s">
        <v>44</v>
      </c>
      <c r="E1385" s="1" t="s">
        <v>1388</v>
      </c>
      <c r="F1385">
        <v>103.64</v>
      </c>
      <c r="G1385">
        <v>1026.07</v>
      </c>
      <c r="H1385">
        <v>1118.53</v>
      </c>
      <c r="I1385">
        <v>160.97999999999999</v>
      </c>
      <c r="J1385">
        <v>0.47</v>
      </c>
      <c r="K1385">
        <v>656.83</v>
      </c>
      <c r="L1385">
        <v>5.09</v>
      </c>
      <c r="M1385">
        <v>10.43</v>
      </c>
      <c r="N1385">
        <v>210.4</v>
      </c>
      <c r="O1385">
        <v>23.12</v>
      </c>
      <c r="P1385">
        <v>1.26</v>
      </c>
    </row>
    <row r="1386" spans="1:16">
      <c r="A1386" s="1" t="s">
        <v>1383</v>
      </c>
      <c r="B1386" s="1" t="s">
        <v>1442</v>
      </c>
      <c r="C1386" s="1" t="s">
        <v>18</v>
      </c>
      <c r="D1386" s="1" t="s">
        <v>44</v>
      </c>
      <c r="E1386" s="1" t="s">
        <v>1388</v>
      </c>
      <c r="F1386">
        <v>112</v>
      </c>
      <c r="G1386">
        <v>932.61</v>
      </c>
      <c r="H1386">
        <v>963.21</v>
      </c>
      <c r="I1386">
        <v>143.38999999999999</v>
      </c>
      <c r="J1386" s="11">
        <f>0.359630901/2</f>
        <v>0.1798154505</v>
      </c>
      <c r="K1386">
        <v>655.02</v>
      </c>
      <c r="L1386">
        <v>4.78</v>
      </c>
      <c r="M1386">
        <v>11.23</v>
      </c>
      <c r="N1386">
        <v>295.41000000000003</v>
      </c>
      <c r="O1386">
        <v>20.48</v>
      </c>
      <c r="P1386">
        <v>1.07</v>
      </c>
    </row>
    <row r="1387" spans="1:16">
      <c r="A1387" s="1" t="s">
        <v>1383</v>
      </c>
      <c r="B1387" s="1" t="s">
        <v>1443</v>
      </c>
      <c r="C1387" s="1" t="s">
        <v>18</v>
      </c>
      <c r="D1387" s="1" t="s">
        <v>44</v>
      </c>
      <c r="E1387" s="1" t="s">
        <v>1388</v>
      </c>
      <c r="F1387">
        <v>98.55</v>
      </c>
      <c r="G1387">
        <v>931.22</v>
      </c>
      <c r="H1387">
        <v>1141.3599999999999</v>
      </c>
      <c r="I1387">
        <v>168.81</v>
      </c>
      <c r="J1387">
        <v>0.55000000000000004</v>
      </c>
      <c r="K1387">
        <v>560.30999999999995</v>
      </c>
      <c r="L1387">
        <v>5.24</v>
      </c>
      <c r="M1387">
        <v>12.1</v>
      </c>
      <c r="N1387">
        <v>207.61</v>
      </c>
      <c r="O1387">
        <v>23.73</v>
      </c>
      <c r="P1387">
        <v>1.21</v>
      </c>
    </row>
    <row r="1388" spans="1:16">
      <c r="A1388" s="1" t="s">
        <v>1383</v>
      </c>
      <c r="B1388" s="1" t="s">
        <v>1444</v>
      </c>
      <c r="C1388" s="1" t="s">
        <v>18</v>
      </c>
      <c r="D1388" s="1" t="s">
        <v>44</v>
      </c>
      <c r="E1388" s="1" t="s">
        <v>1388</v>
      </c>
      <c r="F1388">
        <v>94.09</v>
      </c>
      <c r="G1388">
        <v>981.82</v>
      </c>
      <c r="H1388">
        <v>1147.1600000000001</v>
      </c>
      <c r="I1388">
        <v>163.53</v>
      </c>
      <c r="J1388" s="11">
        <f>0.359630901/2</f>
        <v>0.1798154505</v>
      </c>
      <c r="K1388">
        <v>436.26</v>
      </c>
      <c r="L1388">
        <v>4.75</v>
      </c>
      <c r="M1388">
        <v>10.97</v>
      </c>
      <c r="N1388">
        <v>171.72</v>
      </c>
      <c r="O1388">
        <v>19.61</v>
      </c>
      <c r="P1388">
        <v>0.86299999999999999</v>
      </c>
    </row>
    <row r="1389" spans="1:16">
      <c r="A1389" s="1" t="s">
        <v>1383</v>
      </c>
      <c r="B1389" s="1" t="s">
        <v>1445</v>
      </c>
      <c r="C1389" s="1" t="s">
        <v>18</v>
      </c>
      <c r="D1389" s="1" t="s">
        <v>44</v>
      </c>
      <c r="E1389" s="1" t="s">
        <v>1388</v>
      </c>
      <c r="F1389">
        <v>109.28</v>
      </c>
      <c r="G1389">
        <v>919.64</v>
      </c>
      <c r="H1389">
        <v>901.22</v>
      </c>
      <c r="I1389">
        <v>138.97</v>
      </c>
      <c r="J1389">
        <v>0.34</v>
      </c>
      <c r="K1389">
        <v>576.94000000000005</v>
      </c>
      <c r="L1389">
        <v>4.63</v>
      </c>
      <c r="M1389">
        <v>8.93</v>
      </c>
      <c r="N1389">
        <v>247.84</v>
      </c>
      <c r="O1389">
        <v>20.329999999999998</v>
      </c>
      <c r="P1389">
        <v>1.0229999999999999</v>
      </c>
    </row>
    <row r="1390" spans="1:16">
      <c r="A1390" s="1" t="s">
        <v>1383</v>
      </c>
      <c r="B1390" s="1" t="s">
        <v>1446</v>
      </c>
      <c r="C1390" s="1" t="s">
        <v>18</v>
      </c>
      <c r="D1390" s="1" t="s">
        <v>44</v>
      </c>
      <c r="E1390" s="1" t="s">
        <v>1388</v>
      </c>
      <c r="F1390">
        <v>50.69</v>
      </c>
      <c r="G1390">
        <v>632.71</v>
      </c>
      <c r="H1390">
        <v>919.24</v>
      </c>
      <c r="I1390">
        <v>162.11000000000001</v>
      </c>
      <c r="J1390">
        <v>0.74</v>
      </c>
      <c r="K1390">
        <v>298.68</v>
      </c>
      <c r="L1390">
        <v>4.18</v>
      </c>
      <c r="M1390">
        <v>5.53</v>
      </c>
      <c r="N1390">
        <v>68.98</v>
      </c>
      <c r="O1390">
        <v>18.37</v>
      </c>
      <c r="P1390">
        <v>0.48199999999999998</v>
      </c>
    </row>
    <row r="1391" spans="1:16">
      <c r="A1391" s="1" t="s">
        <v>1383</v>
      </c>
      <c r="B1391" s="1" t="s">
        <v>1447</v>
      </c>
      <c r="C1391" s="1" t="s">
        <v>18</v>
      </c>
      <c r="D1391" s="1" t="s">
        <v>44</v>
      </c>
      <c r="E1391" s="1" t="s">
        <v>1388</v>
      </c>
      <c r="F1391">
        <v>75.02</v>
      </c>
      <c r="G1391">
        <v>728.67</v>
      </c>
      <c r="H1391">
        <v>809.87</v>
      </c>
      <c r="I1391">
        <v>147.4</v>
      </c>
      <c r="J1391">
        <v>0.5</v>
      </c>
      <c r="K1391">
        <v>387.8</v>
      </c>
      <c r="L1391">
        <v>3.89</v>
      </c>
      <c r="M1391">
        <v>6.05</v>
      </c>
      <c r="N1391">
        <v>102.62</v>
      </c>
      <c r="O1391">
        <v>20.14</v>
      </c>
      <c r="P1391">
        <v>0.504</v>
      </c>
    </row>
    <row r="1392" spans="1:16">
      <c r="A1392" s="1" t="s">
        <v>1383</v>
      </c>
      <c r="B1392" s="1" t="s">
        <v>1448</v>
      </c>
      <c r="C1392" s="1" t="s">
        <v>18</v>
      </c>
      <c r="D1392" s="1" t="s">
        <v>44</v>
      </c>
      <c r="E1392" s="1" t="s">
        <v>1388</v>
      </c>
      <c r="F1392">
        <v>79.5</v>
      </c>
      <c r="G1392">
        <v>811.8</v>
      </c>
      <c r="H1392">
        <v>760.89</v>
      </c>
      <c r="I1392">
        <v>142.84</v>
      </c>
      <c r="J1392">
        <v>0.45</v>
      </c>
      <c r="K1392">
        <v>426.26</v>
      </c>
      <c r="L1392">
        <v>4.33</v>
      </c>
      <c r="M1392">
        <v>8.16</v>
      </c>
      <c r="N1392">
        <v>149.74</v>
      </c>
      <c r="O1392">
        <v>20.329999999999998</v>
      </c>
      <c r="P1392">
        <v>0.75800000000000001</v>
      </c>
    </row>
    <row r="1393" spans="1:16">
      <c r="A1393" s="1" t="s">
        <v>1383</v>
      </c>
      <c r="B1393" s="1" t="s">
        <v>1449</v>
      </c>
      <c r="C1393" s="1" t="s">
        <v>18</v>
      </c>
      <c r="D1393" s="1" t="s">
        <v>44</v>
      </c>
      <c r="E1393" s="1" t="s">
        <v>1388</v>
      </c>
      <c r="F1393">
        <v>52.66</v>
      </c>
      <c r="G1393">
        <v>579.30999999999995</v>
      </c>
      <c r="H1393">
        <v>781.34</v>
      </c>
      <c r="I1393">
        <v>119.53</v>
      </c>
      <c r="J1393">
        <v>0.28000000000000003</v>
      </c>
      <c r="K1393">
        <v>312.75</v>
      </c>
      <c r="L1393">
        <v>3.85</v>
      </c>
      <c r="M1393">
        <v>5.91</v>
      </c>
      <c r="N1393">
        <v>92.41</v>
      </c>
      <c r="O1393">
        <v>15.36</v>
      </c>
      <c r="P1393">
        <v>0.38200000000000001</v>
      </c>
    </row>
    <row r="1394" spans="1:16">
      <c r="A1394" s="1" t="s">
        <v>1383</v>
      </c>
      <c r="B1394" s="1" t="s">
        <v>1450</v>
      </c>
      <c r="C1394" s="1" t="s">
        <v>18</v>
      </c>
      <c r="D1394" s="1" t="s">
        <v>44</v>
      </c>
      <c r="E1394" s="1" t="s">
        <v>1388</v>
      </c>
      <c r="F1394">
        <v>54.83</v>
      </c>
      <c r="G1394">
        <v>730.37</v>
      </c>
      <c r="H1394">
        <v>772.2</v>
      </c>
      <c r="I1394">
        <v>137.22999999999999</v>
      </c>
      <c r="J1394">
        <v>0.75</v>
      </c>
      <c r="K1394">
        <v>274.85000000000002</v>
      </c>
      <c r="L1394">
        <v>3.66</v>
      </c>
      <c r="M1394">
        <v>5.89</v>
      </c>
      <c r="N1394">
        <v>72.180000000000007</v>
      </c>
      <c r="O1394">
        <v>17.940000000000001</v>
      </c>
      <c r="P1394">
        <v>0.48899999999999999</v>
      </c>
    </row>
    <row r="1395" spans="1:16">
      <c r="A1395" s="1" t="s">
        <v>1383</v>
      </c>
      <c r="B1395" s="1" t="s">
        <v>1451</v>
      </c>
      <c r="C1395" s="1" t="s">
        <v>18</v>
      </c>
      <c r="D1395" s="1" t="s">
        <v>44</v>
      </c>
      <c r="E1395" s="1" t="s">
        <v>1388</v>
      </c>
      <c r="F1395">
        <v>67.400000000000006</v>
      </c>
      <c r="G1395">
        <v>717.46</v>
      </c>
      <c r="H1395">
        <v>907.94</v>
      </c>
      <c r="I1395">
        <v>155.46</v>
      </c>
      <c r="J1395">
        <v>0.28999999999999998</v>
      </c>
      <c r="K1395">
        <v>353.51</v>
      </c>
      <c r="L1395">
        <v>4.2699999999999996</v>
      </c>
      <c r="M1395">
        <v>6.95</v>
      </c>
      <c r="N1395">
        <v>105.43</v>
      </c>
      <c r="O1395">
        <v>19.350000000000001</v>
      </c>
      <c r="P1395">
        <v>0.48099999999999998</v>
      </c>
    </row>
    <row r="1396" spans="1:16">
      <c r="A1396" s="1" t="s">
        <v>1383</v>
      </c>
      <c r="B1396" s="1" t="s">
        <v>1452</v>
      </c>
      <c r="C1396" s="1" t="s">
        <v>18</v>
      </c>
      <c r="D1396" s="1" t="s">
        <v>44</v>
      </c>
      <c r="E1396" s="1" t="s">
        <v>1388</v>
      </c>
      <c r="F1396">
        <v>48.55</v>
      </c>
      <c r="G1396">
        <v>525.98</v>
      </c>
      <c r="H1396">
        <v>774.38</v>
      </c>
      <c r="I1396">
        <v>134.27000000000001</v>
      </c>
      <c r="J1396" s="11">
        <f>0.359630901/2</f>
        <v>0.1798154505</v>
      </c>
      <c r="K1396">
        <v>280.99</v>
      </c>
      <c r="L1396">
        <v>4.28</v>
      </c>
      <c r="M1396">
        <v>5.88</v>
      </c>
      <c r="N1396">
        <v>89.9</v>
      </c>
      <c r="O1396">
        <v>17.260000000000002</v>
      </c>
      <c r="P1396">
        <v>0.42799999999999999</v>
      </c>
    </row>
    <row r="1397" spans="1:16">
      <c r="A1397" s="1" t="s">
        <v>1383</v>
      </c>
      <c r="B1397" s="1" t="s">
        <v>1453</v>
      </c>
      <c r="C1397" s="1" t="s">
        <v>18</v>
      </c>
      <c r="D1397" s="1" t="s">
        <v>44</v>
      </c>
      <c r="E1397" s="1" t="s">
        <v>1388</v>
      </c>
      <c r="F1397">
        <v>54.81</v>
      </c>
      <c r="G1397">
        <v>630.84</v>
      </c>
      <c r="H1397">
        <v>825.63</v>
      </c>
      <c r="I1397">
        <v>140.91</v>
      </c>
      <c r="J1397" s="11">
        <f>0.359630901/2</f>
        <v>0.1798154505</v>
      </c>
      <c r="K1397">
        <v>313.31</v>
      </c>
      <c r="L1397">
        <v>3.81</v>
      </c>
      <c r="M1397">
        <v>5.44</v>
      </c>
      <c r="N1397">
        <v>89.18</v>
      </c>
      <c r="O1397">
        <v>17.34</v>
      </c>
      <c r="P1397">
        <v>0.49399999999999999</v>
      </c>
    </row>
    <row r="1398" spans="1:16">
      <c r="A1398" s="1" t="s">
        <v>1383</v>
      </c>
      <c r="B1398" s="1" t="s">
        <v>1454</v>
      </c>
      <c r="C1398" s="1" t="s">
        <v>18</v>
      </c>
      <c r="D1398" s="1" t="s">
        <v>44</v>
      </c>
      <c r="E1398" s="1" t="s">
        <v>1388</v>
      </c>
      <c r="F1398">
        <v>67.959999999999994</v>
      </c>
      <c r="G1398">
        <v>709.77</v>
      </c>
      <c r="H1398">
        <v>839.13</v>
      </c>
      <c r="I1398">
        <v>144.80000000000001</v>
      </c>
      <c r="J1398">
        <v>0.57999999999999996</v>
      </c>
      <c r="K1398">
        <v>405.83</v>
      </c>
      <c r="L1398">
        <v>3.95</v>
      </c>
      <c r="M1398">
        <v>5.23</v>
      </c>
      <c r="N1398">
        <v>98.24</v>
      </c>
      <c r="O1398">
        <v>17.63</v>
      </c>
      <c r="P1398">
        <v>0.53300000000000003</v>
      </c>
    </row>
    <row r="1399" spans="1:16">
      <c r="A1399" s="1" t="s">
        <v>1383</v>
      </c>
      <c r="B1399" s="1" t="s">
        <v>1455</v>
      </c>
      <c r="C1399" s="1" t="s">
        <v>18</v>
      </c>
      <c r="D1399" s="1" t="s">
        <v>44</v>
      </c>
      <c r="E1399" s="1" t="s">
        <v>1388</v>
      </c>
      <c r="F1399">
        <v>69.81</v>
      </c>
      <c r="G1399">
        <v>749.7</v>
      </c>
      <c r="H1399">
        <v>853.28</v>
      </c>
      <c r="I1399">
        <v>143.72999999999999</v>
      </c>
      <c r="J1399">
        <v>0.68</v>
      </c>
      <c r="K1399">
        <v>379.16</v>
      </c>
      <c r="L1399">
        <v>4.3899999999999997</v>
      </c>
      <c r="M1399">
        <v>8.26</v>
      </c>
      <c r="N1399">
        <v>132.71</v>
      </c>
      <c r="O1399">
        <v>19.23</v>
      </c>
      <c r="P1399">
        <v>0.61</v>
      </c>
    </row>
    <row r="1400" spans="1:16">
      <c r="A1400" s="1" t="s">
        <v>1383</v>
      </c>
      <c r="B1400" s="1" t="s">
        <v>1456</v>
      </c>
      <c r="C1400" s="1" t="s">
        <v>18</v>
      </c>
      <c r="D1400" s="1" t="s">
        <v>44</v>
      </c>
      <c r="E1400" s="1" t="s">
        <v>1388</v>
      </c>
      <c r="F1400">
        <v>76.12</v>
      </c>
      <c r="G1400">
        <v>818.31</v>
      </c>
      <c r="H1400">
        <v>838.29</v>
      </c>
      <c r="I1400">
        <v>138.31</v>
      </c>
      <c r="J1400">
        <v>0.38</v>
      </c>
      <c r="K1400">
        <v>392.04</v>
      </c>
      <c r="L1400">
        <v>4.88</v>
      </c>
      <c r="M1400">
        <v>8.81</v>
      </c>
      <c r="N1400">
        <v>137.02000000000001</v>
      </c>
      <c r="O1400">
        <v>20.9</v>
      </c>
      <c r="P1400">
        <v>0.71899999999999997</v>
      </c>
    </row>
    <row r="1401" spans="1:16">
      <c r="A1401" s="1" t="s">
        <v>1383</v>
      </c>
      <c r="B1401" s="1" t="s">
        <v>1457</v>
      </c>
      <c r="C1401" s="1" t="s">
        <v>18</v>
      </c>
      <c r="D1401" s="1" t="s">
        <v>44</v>
      </c>
      <c r="E1401" s="1" t="s">
        <v>1388</v>
      </c>
      <c r="F1401">
        <v>226.32</v>
      </c>
      <c r="G1401">
        <v>1055.77</v>
      </c>
      <c r="H1401">
        <v>750.23</v>
      </c>
      <c r="I1401">
        <v>140.78</v>
      </c>
      <c r="J1401">
        <v>0.42</v>
      </c>
      <c r="K1401">
        <v>312.54000000000002</v>
      </c>
      <c r="L1401">
        <v>3.58</v>
      </c>
      <c r="M1401">
        <v>5.43</v>
      </c>
      <c r="N1401">
        <v>101.59</v>
      </c>
      <c r="O1401">
        <v>19.37</v>
      </c>
      <c r="P1401">
        <v>0.41599999999999998</v>
      </c>
    </row>
    <row r="1402" spans="1:16">
      <c r="A1402" s="1" t="s">
        <v>1383</v>
      </c>
      <c r="B1402" s="1" t="s">
        <v>1458</v>
      </c>
      <c r="C1402" s="1" t="s">
        <v>18</v>
      </c>
      <c r="D1402" s="1" t="s">
        <v>44</v>
      </c>
      <c r="E1402" s="1" t="s">
        <v>1388</v>
      </c>
      <c r="F1402">
        <v>56.42</v>
      </c>
      <c r="G1402">
        <v>620.38</v>
      </c>
      <c r="H1402">
        <v>797.23</v>
      </c>
      <c r="I1402">
        <v>148.44</v>
      </c>
      <c r="J1402">
        <v>0.43</v>
      </c>
      <c r="K1402">
        <v>332.97</v>
      </c>
      <c r="L1402">
        <v>4.09</v>
      </c>
      <c r="M1402">
        <v>6.11</v>
      </c>
      <c r="N1402">
        <v>91.98</v>
      </c>
      <c r="O1402">
        <v>20.41</v>
      </c>
      <c r="P1402">
        <v>0.34100000000000003</v>
      </c>
    </row>
    <row r="1403" spans="1:16">
      <c r="A1403" s="1" t="s">
        <v>1383</v>
      </c>
      <c r="B1403" s="1" t="s">
        <v>1459</v>
      </c>
      <c r="C1403" s="1" t="s">
        <v>18</v>
      </c>
      <c r="D1403" s="1" t="s">
        <v>44</v>
      </c>
      <c r="E1403" s="1" t="s">
        <v>1388</v>
      </c>
      <c r="F1403">
        <v>65.849999999999994</v>
      </c>
      <c r="G1403">
        <v>878.85</v>
      </c>
      <c r="H1403">
        <v>1015.55</v>
      </c>
      <c r="I1403">
        <v>156.66</v>
      </c>
      <c r="J1403">
        <v>0.99</v>
      </c>
      <c r="K1403">
        <v>303.44</v>
      </c>
      <c r="L1403">
        <v>5.0999999999999996</v>
      </c>
      <c r="M1403">
        <v>7.96</v>
      </c>
      <c r="N1403">
        <v>101.69</v>
      </c>
      <c r="O1403">
        <v>16.93</v>
      </c>
      <c r="P1403">
        <v>0.41099999999999998</v>
      </c>
    </row>
    <row r="1404" spans="1:16">
      <c r="A1404" s="1" t="s">
        <v>1460</v>
      </c>
      <c r="B1404" s="1" t="s">
        <v>1461</v>
      </c>
      <c r="C1404" s="1" t="s">
        <v>18</v>
      </c>
      <c r="D1404" s="1" t="s">
        <v>44</v>
      </c>
      <c r="E1404" s="1" t="s">
        <v>1388</v>
      </c>
      <c r="F1404">
        <v>1950.55</v>
      </c>
      <c r="G1404">
        <v>14806.44</v>
      </c>
      <c r="H1404">
        <v>1081.4100000000001</v>
      </c>
      <c r="I1404">
        <v>25.74</v>
      </c>
      <c r="J1404">
        <v>0.87</v>
      </c>
      <c r="K1404">
        <v>1600.42</v>
      </c>
      <c r="L1404">
        <v>135.01</v>
      </c>
      <c r="M1404">
        <v>5.03</v>
      </c>
      <c r="N1404">
        <v>251.31</v>
      </c>
      <c r="O1404">
        <v>44.32</v>
      </c>
      <c r="P1404">
        <v>20.440000000000001</v>
      </c>
    </row>
    <row r="1405" spans="1:16">
      <c r="A1405" s="1" t="s">
        <v>1460</v>
      </c>
      <c r="B1405" s="1" t="s">
        <v>1462</v>
      </c>
      <c r="C1405" s="1" t="s">
        <v>18</v>
      </c>
      <c r="D1405" s="1" t="s">
        <v>44</v>
      </c>
      <c r="E1405" s="1" t="s">
        <v>1388</v>
      </c>
      <c r="F1405">
        <v>1662.59</v>
      </c>
      <c r="G1405">
        <v>11350.27</v>
      </c>
      <c r="H1405">
        <v>1012.92</v>
      </c>
      <c r="I1405">
        <v>21.93</v>
      </c>
      <c r="J1405">
        <v>46.4</v>
      </c>
      <c r="K1405">
        <v>1407.11</v>
      </c>
      <c r="L1405">
        <v>112.94</v>
      </c>
      <c r="M1405">
        <v>3.53</v>
      </c>
      <c r="N1405">
        <v>286.18</v>
      </c>
      <c r="O1405">
        <v>42.34</v>
      </c>
      <c r="P1405">
        <v>18.38</v>
      </c>
    </row>
    <row r="1406" spans="1:16">
      <c r="A1406" s="1" t="s">
        <v>1460</v>
      </c>
      <c r="B1406" s="1" t="s">
        <v>1463</v>
      </c>
      <c r="C1406" s="1" t="s">
        <v>18</v>
      </c>
      <c r="D1406" s="1" t="s">
        <v>44</v>
      </c>
      <c r="E1406" s="1" t="s">
        <v>1388</v>
      </c>
      <c r="F1406">
        <v>1649.98</v>
      </c>
      <c r="G1406">
        <v>9959.1299999999992</v>
      </c>
      <c r="H1406">
        <v>978.67</v>
      </c>
      <c r="I1406">
        <v>19.97</v>
      </c>
      <c r="J1406">
        <v>1.71</v>
      </c>
      <c r="K1406">
        <v>1544.22</v>
      </c>
      <c r="L1406">
        <v>103.98</v>
      </c>
      <c r="M1406">
        <v>2.46</v>
      </c>
      <c r="N1406">
        <v>217.26</v>
      </c>
      <c r="O1406">
        <v>38.15</v>
      </c>
      <c r="P1406">
        <v>16.670000000000002</v>
      </c>
    </row>
    <row r="1407" spans="1:16">
      <c r="A1407" s="1" t="s">
        <v>1460</v>
      </c>
      <c r="B1407" s="1" t="s">
        <v>1464</v>
      </c>
      <c r="C1407" s="1" t="s">
        <v>18</v>
      </c>
      <c r="D1407" s="1" t="s">
        <v>44</v>
      </c>
      <c r="E1407" s="1" t="s">
        <v>1388</v>
      </c>
      <c r="F1407">
        <v>2053.67</v>
      </c>
      <c r="G1407">
        <v>16280.62</v>
      </c>
      <c r="H1407">
        <v>1130.3499999999999</v>
      </c>
      <c r="I1407">
        <v>23.95</v>
      </c>
      <c r="J1407">
        <v>1.55</v>
      </c>
      <c r="K1407">
        <v>1951.1</v>
      </c>
      <c r="L1407">
        <v>136</v>
      </c>
      <c r="M1407">
        <v>4.66</v>
      </c>
      <c r="N1407">
        <v>262.58999999999997</v>
      </c>
      <c r="O1407">
        <v>44.25</v>
      </c>
      <c r="P1407">
        <v>17.5</v>
      </c>
    </row>
    <row r="1408" spans="1:16">
      <c r="A1408" s="1" t="s">
        <v>1460</v>
      </c>
      <c r="B1408" s="1" t="s">
        <v>1465</v>
      </c>
      <c r="C1408" s="1" t="s">
        <v>18</v>
      </c>
      <c r="D1408" s="1" t="s">
        <v>44</v>
      </c>
      <c r="E1408" s="1" t="s">
        <v>1388</v>
      </c>
      <c r="F1408">
        <v>1497.27</v>
      </c>
      <c r="G1408">
        <v>12860.71</v>
      </c>
      <c r="H1408">
        <v>914.96</v>
      </c>
      <c r="I1408">
        <v>21.38</v>
      </c>
      <c r="J1408">
        <v>2.89</v>
      </c>
      <c r="K1408">
        <v>1528.65</v>
      </c>
      <c r="L1408">
        <v>118.9</v>
      </c>
      <c r="M1408">
        <v>5.35</v>
      </c>
      <c r="N1408">
        <v>305.58999999999997</v>
      </c>
      <c r="O1408">
        <v>38.6</v>
      </c>
      <c r="P1408">
        <v>17.93</v>
      </c>
    </row>
    <row r="1409" spans="1:16">
      <c r="A1409" s="1" t="s">
        <v>1460</v>
      </c>
      <c r="B1409" s="1" t="s">
        <v>1466</v>
      </c>
      <c r="C1409" s="1" t="s">
        <v>18</v>
      </c>
      <c r="D1409" s="1" t="s">
        <v>44</v>
      </c>
      <c r="E1409" s="1" t="s">
        <v>1388</v>
      </c>
      <c r="F1409">
        <v>1862.24</v>
      </c>
      <c r="G1409">
        <v>14453.95</v>
      </c>
      <c r="H1409">
        <v>966.39</v>
      </c>
      <c r="I1409">
        <v>25.3</v>
      </c>
      <c r="J1409">
        <v>3.02</v>
      </c>
      <c r="K1409">
        <v>1794.74</v>
      </c>
      <c r="L1409">
        <v>132.88999999999999</v>
      </c>
      <c r="M1409">
        <v>2.81</v>
      </c>
      <c r="N1409">
        <v>243.5</v>
      </c>
      <c r="O1409">
        <v>43.22</v>
      </c>
      <c r="P1409">
        <v>18.54</v>
      </c>
    </row>
    <row r="1410" spans="1:16">
      <c r="A1410" s="1" t="s">
        <v>1460</v>
      </c>
      <c r="B1410" s="1" t="s">
        <v>1467</v>
      </c>
      <c r="C1410" s="1" t="s">
        <v>18</v>
      </c>
      <c r="D1410" s="1" t="s">
        <v>44</v>
      </c>
      <c r="E1410" s="1" t="s">
        <v>1388</v>
      </c>
      <c r="F1410">
        <v>1150.0999999999999</v>
      </c>
      <c r="G1410">
        <v>13147.34</v>
      </c>
      <c r="H1410">
        <v>998.09</v>
      </c>
      <c r="I1410">
        <v>23.43</v>
      </c>
      <c r="J1410">
        <v>1.05</v>
      </c>
      <c r="K1410">
        <v>1012.44</v>
      </c>
      <c r="L1410">
        <v>94.52</v>
      </c>
      <c r="M1410">
        <v>4.51</v>
      </c>
      <c r="N1410">
        <v>106.63</v>
      </c>
      <c r="O1410">
        <v>36.24</v>
      </c>
      <c r="P1410">
        <v>16.57</v>
      </c>
    </row>
    <row r="1411" spans="1:16">
      <c r="A1411" s="1" t="s">
        <v>1460</v>
      </c>
      <c r="B1411" s="1" t="s">
        <v>1468</v>
      </c>
      <c r="C1411" s="1" t="s">
        <v>18</v>
      </c>
      <c r="D1411" s="1" t="s">
        <v>44</v>
      </c>
      <c r="E1411" s="1" t="s">
        <v>1388</v>
      </c>
      <c r="F1411">
        <v>1401.79</v>
      </c>
      <c r="G1411">
        <v>14364.98</v>
      </c>
      <c r="H1411">
        <v>1104.81</v>
      </c>
      <c r="I1411">
        <v>26.33</v>
      </c>
      <c r="J1411" s="11">
        <f>0.359630901/2</f>
        <v>0.1798154505</v>
      </c>
      <c r="K1411">
        <v>1704.72</v>
      </c>
      <c r="L1411">
        <v>129.22999999999999</v>
      </c>
      <c r="M1411">
        <v>3.73</v>
      </c>
      <c r="N1411">
        <v>278.58</v>
      </c>
      <c r="O1411">
        <v>44.97</v>
      </c>
      <c r="P1411">
        <v>21.74</v>
      </c>
    </row>
    <row r="1412" spans="1:16">
      <c r="A1412" s="1" t="s">
        <v>1460</v>
      </c>
      <c r="B1412" s="1" t="s">
        <v>1469</v>
      </c>
      <c r="C1412" s="1" t="s">
        <v>18</v>
      </c>
      <c r="D1412" s="1" t="s">
        <v>44</v>
      </c>
      <c r="E1412" s="1" t="s">
        <v>1388</v>
      </c>
      <c r="F1412">
        <v>2146.19</v>
      </c>
      <c r="G1412">
        <v>14504.34</v>
      </c>
      <c r="H1412">
        <v>1161.6199999999999</v>
      </c>
      <c r="I1412">
        <v>31.29</v>
      </c>
      <c r="J1412">
        <v>2.2599999999999998</v>
      </c>
      <c r="K1412">
        <v>1902.04</v>
      </c>
      <c r="L1412">
        <v>138.74</v>
      </c>
      <c r="M1412">
        <v>4.53</v>
      </c>
      <c r="N1412">
        <v>266.86</v>
      </c>
      <c r="O1412">
        <v>48.02</v>
      </c>
      <c r="P1412">
        <v>21.93</v>
      </c>
    </row>
    <row r="1413" spans="1:16">
      <c r="A1413" s="1" t="s">
        <v>1460</v>
      </c>
      <c r="B1413" s="1" t="s">
        <v>1470</v>
      </c>
      <c r="C1413" s="1" t="s">
        <v>18</v>
      </c>
      <c r="D1413" s="1" t="s">
        <v>44</v>
      </c>
      <c r="E1413" s="1" t="s">
        <v>1388</v>
      </c>
      <c r="F1413">
        <v>1374.84</v>
      </c>
      <c r="G1413">
        <v>13903.36</v>
      </c>
      <c r="H1413">
        <v>969.92</v>
      </c>
      <c r="I1413">
        <v>23.61</v>
      </c>
      <c r="J1413">
        <v>1.76</v>
      </c>
      <c r="K1413">
        <v>1859.14</v>
      </c>
      <c r="L1413">
        <v>132.46</v>
      </c>
      <c r="M1413">
        <v>4.1100000000000003</v>
      </c>
      <c r="N1413">
        <v>245.41</v>
      </c>
      <c r="O1413">
        <v>44.49</v>
      </c>
      <c r="P1413">
        <v>19.71</v>
      </c>
    </row>
    <row r="1414" spans="1:16">
      <c r="A1414" s="1" t="s">
        <v>1460</v>
      </c>
      <c r="B1414" s="1" t="s">
        <v>1471</v>
      </c>
      <c r="C1414" s="1" t="s">
        <v>18</v>
      </c>
      <c r="D1414" s="1" t="s">
        <v>44</v>
      </c>
      <c r="E1414" s="1" t="s">
        <v>1388</v>
      </c>
      <c r="F1414">
        <v>2545.8200000000002</v>
      </c>
      <c r="G1414">
        <v>13898.27</v>
      </c>
      <c r="H1414">
        <v>947.85</v>
      </c>
      <c r="I1414">
        <v>23.81</v>
      </c>
      <c r="J1414">
        <v>4.7699999999999996</v>
      </c>
      <c r="K1414">
        <v>1544.05</v>
      </c>
      <c r="L1414">
        <v>122.6</v>
      </c>
      <c r="M1414">
        <v>3.66</v>
      </c>
      <c r="N1414">
        <v>251.67</v>
      </c>
      <c r="O1414">
        <v>44.26</v>
      </c>
      <c r="P1414">
        <v>16.72</v>
      </c>
    </row>
    <row r="1415" spans="1:16">
      <c r="A1415" s="1" t="s">
        <v>1460</v>
      </c>
      <c r="B1415" s="1" t="s">
        <v>1472</v>
      </c>
      <c r="C1415" s="1" t="s">
        <v>18</v>
      </c>
      <c r="D1415" s="1" t="s">
        <v>44</v>
      </c>
      <c r="E1415" s="1" t="s">
        <v>1388</v>
      </c>
      <c r="F1415">
        <v>1348.98</v>
      </c>
      <c r="G1415">
        <v>14856.27</v>
      </c>
      <c r="H1415">
        <v>963.9</v>
      </c>
      <c r="I1415">
        <v>22.79</v>
      </c>
      <c r="J1415">
        <v>1.78</v>
      </c>
      <c r="K1415">
        <v>1629.43</v>
      </c>
      <c r="L1415">
        <v>123.4</v>
      </c>
      <c r="M1415">
        <v>3.81</v>
      </c>
      <c r="N1415">
        <v>277.54000000000002</v>
      </c>
      <c r="O1415">
        <v>43.55</v>
      </c>
      <c r="P1415">
        <v>23.31</v>
      </c>
    </row>
    <row r="1416" spans="1:16">
      <c r="A1416" s="1" t="s">
        <v>1460</v>
      </c>
      <c r="B1416" s="1" t="s">
        <v>1473</v>
      </c>
      <c r="C1416" s="1" t="s">
        <v>18</v>
      </c>
      <c r="D1416" s="1" t="s">
        <v>44</v>
      </c>
      <c r="E1416" s="1" t="s">
        <v>1388</v>
      </c>
      <c r="F1416">
        <v>1183.2</v>
      </c>
      <c r="G1416">
        <v>12995.52</v>
      </c>
      <c r="H1416">
        <v>834.91</v>
      </c>
      <c r="I1416">
        <v>20.72</v>
      </c>
      <c r="J1416">
        <v>2.25</v>
      </c>
      <c r="K1416">
        <v>1510.52</v>
      </c>
      <c r="L1416">
        <v>115.63</v>
      </c>
      <c r="M1416">
        <v>3.45</v>
      </c>
      <c r="N1416">
        <v>205.19</v>
      </c>
      <c r="O1416">
        <v>44.6</v>
      </c>
      <c r="P1416">
        <v>17.28</v>
      </c>
    </row>
    <row r="1417" spans="1:16">
      <c r="A1417" s="1" t="s">
        <v>1460</v>
      </c>
      <c r="B1417" s="1" t="s">
        <v>1474</v>
      </c>
      <c r="C1417" s="1" t="s">
        <v>18</v>
      </c>
      <c r="D1417" s="1" t="s">
        <v>44</v>
      </c>
      <c r="E1417" s="1" t="s">
        <v>1388</v>
      </c>
      <c r="F1417">
        <v>1228.49</v>
      </c>
      <c r="G1417">
        <v>12840.83</v>
      </c>
      <c r="H1417">
        <v>873.9</v>
      </c>
      <c r="I1417">
        <v>21.44</v>
      </c>
      <c r="J1417">
        <v>0.95</v>
      </c>
      <c r="K1417">
        <v>1642.97</v>
      </c>
      <c r="L1417">
        <v>127.21</v>
      </c>
      <c r="M1417">
        <v>3.57</v>
      </c>
      <c r="N1417">
        <v>221.75</v>
      </c>
      <c r="O1417">
        <v>41.79</v>
      </c>
      <c r="P1417">
        <v>20.6</v>
      </c>
    </row>
    <row r="1418" spans="1:16">
      <c r="A1418" s="1" t="s">
        <v>1460</v>
      </c>
      <c r="B1418" s="1" t="s">
        <v>1475</v>
      </c>
      <c r="C1418" s="1" t="s">
        <v>18</v>
      </c>
      <c r="D1418" s="1" t="s">
        <v>44</v>
      </c>
      <c r="E1418" s="1" t="s">
        <v>1388</v>
      </c>
      <c r="F1418">
        <v>1460.77</v>
      </c>
      <c r="G1418">
        <v>10398.84</v>
      </c>
      <c r="H1418">
        <v>820.62</v>
      </c>
      <c r="I1418">
        <v>19.809999999999999</v>
      </c>
      <c r="J1418">
        <v>5.81</v>
      </c>
      <c r="K1418">
        <v>1467.32</v>
      </c>
      <c r="L1418">
        <v>115.57</v>
      </c>
      <c r="M1418">
        <v>4.82</v>
      </c>
      <c r="N1418">
        <v>237.88</v>
      </c>
      <c r="O1418">
        <v>40.49</v>
      </c>
      <c r="P1418">
        <v>17.68</v>
      </c>
    </row>
    <row r="1419" spans="1:16">
      <c r="A1419" s="1" t="s">
        <v>1460</v>
      </c>
      <c r="B1419" s="1" t="s">
        <v>1476</v>
      </c>
      <c r="C1419" s="1" t="s">
        <v>18</v>
      </c>
      <c r="D1419" s="1" t="s">
        <v>44</v>
      </c>
      <c r="E1419" s="1" t="s">
        <v>1388</v>
      </c>
      <c r="F1419">
        <v>1183.68</v>
      </c>
      <c r="G1419">
        <v>11605.65</v>
      </c>
      <c r="H1419">
        <v>800.26</v>
      </c>
      <c r="I1419">
        <v>20.92</v>
      </c>
      <c r="J1419">
        <v>1.05</v>
      </c>
      <c r="K1419">
        <v>1681.33</v>
      </c>
      <c r="L1419">
        <v>134.24</v>
      </c>
      <c r="M1419">
        <v>3.84</v>
      </c>
      <c r="N1419">
        <v>254.28</v>
      </c>
      <c r="O1419">
        <v>42.77</v>
      </c>
      <c r="P1419">
        <v>18.12</v>
      </c>
    </row>
    <row r="1420" spans="1:16">
      <c r="A1420" s="1" t="s">
        <v>1460</v>
      </c>
      <c r="B1420" s="1" t="s">
        <v>1477</v>
      </c>
      <c r="C1420" s="1" t="s">
        <v>18</v>
      </c>
      <c r="D1420" s="1" t="s">
        <v>44</v>
      </c>
      <c r="E1420" s="1" t="s">
        <v>1388</v>
      </c>
      <c r="F1420">
        <v>1859.36</v>
      </c>
      <c r="G1420">
        <v>12871.83</v>
      </c>
      <c r="H1420">
        <v>888.22</v>
      </c>
      <c r="I1420">
        <v>24.19</v>
      </c>
      <c r="J1420">
        <v>3.83</v>
      </c>
      <c r="K1420">
        <v>1765.39</v>
      </c>
      <c r="L1420">
        <v>128.88</v>
      </c>
      <c r="M1420">
        <v>3.94</v>
      </c>
      <c r="N1420">
        <v>262.27999999999997</v>
      </c>
      <c r="O1420">
        <v>43.88</v>
      </c>
      <c r="P1420">
        <v>17.13</v>
      </c>
    </row>
    <row r="1421" spans="1:16">
      <c r="A1421" s="1" t="s">
        <v>1460</v>
      </c>
      <c r="B1421" s="1" t="s">
        <v>1478</v>
      </c>
      <c r="C1421" s="1" t="s">
        <v>18</v>
      </c>
      <c r="D1421" s="1" t="s">
        <v>44</v>
      </c>
      <c r="E1421" s="1" t="s">
        <v>1388</v>
      </c>
      <c r="F1421">
        <v>1074.02</v>
      </c>
      <c r="G1421">
        <v>12121.26</v>
      </c>
      <c r="H1421">
        <v>930.92</v>
      </c>
      <c r="I1421">
        <v>21.07</v>
      </c>
      <c r="J1421">
        <v>7.14</v>
      </c>
      <c r="K1421">
        <v>1633.94</v>
      </c>
      <c r="L1421">
        <v>121.61</v>
      </c>
      <c r="M1421">
        <v>3.83</v>
      </c>
      <c r="N1421">
        <v>237.52</v>
      </c>
      <c r="O1421">
        <v>41.78</v>
      </c>
      <c r="P1421">
        <v>17.559999999999999</v>
      </c>
    </row>
    <row r="1422" spans="1:16">
      <c r="A1422" s="1" t="s">
        <v>1460</v>
      </c>
      <c r="B1422" s="1" t="s">
        <v>1479</v>
      </c>
      <c r="C1422" s="1" t="s">
        <v>18</v>
      </c>
      <c r="D1422" s="1" t="s">
        <v>44</v>
      </c>
      <c r="E1422" s="1" t="s">
        <v>1388</v>
      </c>
      <c r="F1422">
        <v>1206.81</v>
      </c>
      <c r="G1422">
        <v>12207.08</v>
      </c>
      <c r="H1422">
        <v>956.92</v>
      </c>
      <c r="I1422">
        <v>24.62</v>
      </c>
      <c r="J1422">
        <v>1.47</v>
      </c>
      <c r="K1422">
        <v>1718.31</v>
      </c>
      <c r="L1422">
        <v>112.33</v>
      </c>
      <c r="M1422">
        <v>4.4000000000000004</v>
      </c>
      <c r="N1422">
        <v>220.11</v>
      </c>
      <c r="O1422">
        <v>42.43</v>
      </c>
      <c r="P1422">
        <v>17.05</v>
      </c>
    </row>
    <row r="1423" spans="1:16">
      <c r="A1423" s="1" t="s">
        <v>1460</v>
      </c>
      <c r="B1423" s="1" t="s">
        <v>1480</v>
      </c>
      <c r="C1423" s="1" t="s">
        <v>18</v>
      </c>
      <c r="D1423" s="1" t="s">
        <v>44</v>
      </c>
      <c r="E1423" s="1" t="s">
        <v>1388</v>
      </c>
      <c r="F1423">
        <v>1460.92</v>
      </c>
      <c r="G1423">
        <v>10488.54</v>
      </c>
      <c r="H1423">
        <v>1461.11</v>
      </c>
      <c r="I1423">
        <v>31.14</v>
      </c>
      <c r="J1423">
        <v>1.21</v>
      </c>
      <c r="K1423">
        <v>1790.02</v>
      </c>
      <c r="L1423">
        <v>156.72</v>
      </c>
      <c r="M1423">
        <v>5.43</v>
      </c>
      <c r="N1423">
        <v>290.83999999999997</v>
      </c>
      <c r="O1423">
        <v>45.98</v>
      </c>
      <c r="P1423">
        <v>22.27</v>
      </c>
    </row>
    <row r="1424" spans="1:16">
      <c r="A1424" s="1" t="s">
        <v>1460</v>
      </c>
      <c r="B1424" s="1" t="s">
        <v>1481</v>
      </c>
      <c r="C1424" s="1" t="s">
        <v>18</v>
      </c>
      <c r="D1424" s="1" t="s">
        <v>44</v>
      </c>
      <c r="E1424" s="1" t="s">
        <v>1388</v>
      </c>
      <c r="F1424">
        <v>846.55</v>
      </c>
      <c r="G1424">
        <v>10260.35</v>
      </c>
      <c r="H1424">
        <v>1412.73</v>
      </c>
      <c r="I1424">
        <v>31.02</v>
      </c>
      <c r="J1424" s="11">
        <f>0.359630901/2</f>
        <v>0.1798154505</v>
      </c>
      <c r="K1424">
        <v>1569.96</v>
      </c>
      <c r="L1424">
        <v>128.5</v>
      </c>
      <c r="M1424">
        <v>3.57</v>
      </c>
      <c r="N1424">
        <v>245.12</v>
      </c>
      <c r="O1424">
        <v>43.14</v>
      </c>
      <c r="P1424">
        <v>20.39</v>
      </c>
    </row>
    <row r="1425" spans="1:16">
      <c r="A1425" s="1" t="s">
        <v>1460</v>
      </c>
      <c r="B1425" s="1" t="s">
        <v>1482</v>
      </c>
      <c r="C1425" s="1" t="s">
        <v>18</v>
      </c>
      <c r="D1425" s="1" t="s">
        <v>44</v>
      </c>
      <c r="E1425" s="1" t="s">
        <v>1388</v>
      </c>
      <c r="F1425">
        <v>970.56</v>
      </c>
      <c r="G1425">
        <v>9731.2800000000007</v>
      </c>
      <c r="H1425">
        <v>1191.5999999999999</v>
      </c>
      <c r="I1425">
        <v>34.36</v>
      </c>
      <c r="J1425" s="11">
        <f>0.359630901/2</f>
        <v>0.1798154505</v>
      </c>
      <c r="K1425">
        <v>1513.57</v>
      </c>
      <c r="L1425">
        <v>114.13</v>
      </c>
      <c r="M1425">
        <v>5.7</v>
      </c>
      <c r="N1425">
        <v>244.68</v>
      </c>
      <c r="O1425">
        <v>40.78</v>
      </c>
      <c r="P1425">
        <v>17.41</v>
      </c>
    </row>
    <row r="1426" spans="1:16">
      <c r="A1426" s="1" t="s">
        <v>1460</v>
      </c>
      <c r="B1426" s="1" t="s">
        <v>1483</v>
      </c>
      <c r="C1426" s="1" t="s">
        <v>18</v>
      </c>
      <c r="D1426" s="1" t="s">
        <v>44</v>
      </c>
      <c r="E1426" s="1" t="s">
        <v>1388</v>
      </c>
      <c r="F1426">
        <v>1174.4100000000001</v>
      </c>
      <c r="G1426">
        <v>9697.99</v>
      </c>
      <c r="H1426">
        <v>1148.22</v>
      </c>
      <c r="I1426">
        <v>34.85</v>
      </c>
      <c r="J1426">
        <v>2.0499999999999998</v>
      </c>
      <c r="K1426">
        <v>1460.86</v>
      </c>
      <c r="L1426">
        <v>116.84</v>
      </c>
      <c r="M1426">
        <v>3.96</v>
      </c>
      <c r="N1426">
        <v>239.34</v>
      </c>
      <c r="O1426">
        <v>42.89</v>
      </c>
      <c r="P1426">
        <v>18</v>
      </c>
    </row>
    <row r="1427" spans="1:16">
      <c r="A1427" s="1" t="s">
        <v>1460</v>
      </c>
      <c r="B1427" s="1" t="s">
        <v>1484</v>
      </c>
      <c r="C1427" s="1" t="s">
        <v>18</v>
      </c>
      <c r="D1427" s="1" t="s">
        <v>44</v>
      </c>
      <c r="E1427" s="1" t="s">
        <v>1388</v>
      </c>
      <c r="F1427">
        <v>957.15</v>
      </c>
      <c r="G1427">
        <v>10444.200000000001</v>
      </c>
      <c r="H1427">
        <v>1106.52</v>
      </c>
      <c r="I1427">
        <v>33.08</v>
      </c>
      <c r="J1427">
        <v>0.56999999999999995</v>
      </c>
      <c r="K1427">
        <v>1659.48</v>
      </c>
      <c r="L1427">
        <v>126.24</v>
      </c>
      <c r="M1427">
        <v>3.66</v>
      </c>
      <c r="N1427">
        <v>240.58</v>
      </c>
      <c r="O1427">
        <v>44.26</v>
      </c>
      <c r="P1427">
        <v>18.68</v>
      </c>
    </row>
    <row r="1428" spans="1:16">
      <c r="A1428" s="1" t="s">
        <v>1460</v>
      </c>
      <c r="B1428" s="1" t="s">
        <v>1485</v>
      </c>
      <c r="C1428" s="1" t="s">
        <v>18</v>
      </c>
      <c r="D1428" s="1" t="s">
        <v>44</v>
      </c>
      <c r="E1428" s="1" t="s">
        <v>1388</v>
      </c>
      <c r="F1428">
        <v>1528.22</v>
      </c>
      <c r="G1428">
        <v>9455.0300000000007</v>
      </c>
      <c r="H1428">
        <v>766.41</v>
      </c>
      <c r="I1428">
        <v>27.31</v>
      </c>
      <c r="J1428">
        <v>0.73</v>
      </c>
      <c r="K1428">
        <v>1500.68</v>
      </c>
      <c r="L1428">
        <v>113.87</v>
      </c>
      <c r="M1428">
        <v>4.0999999999999996</v>
      </c>
      <c r="N1428">
        <v>248.14</v>
      </c>
      <c r="O1428">
        <v>45.83</v>
      </c>
      <c r="P1428">
        <v>18.21</v>
      </c>
    </row>
    <row r="1429" spans="1:16">
      <c r="A1429" s="1" t="s">
        <v>1460</v>
      </c>
      <c r="B1429" s="1" t="s">
        <v>1486</v>
      </c>
      <c r="C1429" s="1" t="s">
        <v>18</v>
      </c>
      <c r="D1429" s="1" t="s">
        <v>44</v>
      </c>
      <c r="E1429" s="1" t="s">
        <v>1388</v>
      </c>
      <c r="F1429">
        <v>1260.46</v>
      </c>
      <c r="G1429">
        <v>9200.0400000000009</v>
      </c>
      <c r="H1429">
        <v>677.01</v>
      </c>
      <c r="I1429">
        <v>25.82</v>
      </c>
      <c r="J1429">
        <v>28.91</v>
      </c>
      <c r="K1429">
        <v>1409.45</v>
      </c>
      <c r="L1429">
        <v>110.71</v>
      </c>
      <c r="M1429">
        <v>3.52</v>
      </c>
      <c r="N1429">
        <v>232.26</v>
      </c>
      <c r="O1429">
        <v>39.340000000000003</v>
      </c>
      <c r="P1429">
        <v>17.91</v>
      </c>
    </row>
    <row r="1430" spans="1:16">
      <c r="A1430" s="1" t="s">
        <v>1460</v>
      </c>
      <c r="B1430" s="1" t="s">
        <v>1487</v>
      </c>
      <c r="C1430" s="1" t="s">
        <v>18</v>
      </c>
      <c r="D1430" s="1" t="s">
        <v>44</v>
      </c>
      <c r="E1430" s="1" t="s">
        <v>1388</v>
      </c>
      <c r="F1430">
        <v>886.58</v>
      </c>
      <c r="G1430">
        <v>10029.01</v>
      </c>
      <c r="H1430">
        <v>606.58000000000004</v>
      </c>
      <c r="I1430">
        <v>21.14</v>
      </c>
      <c r="J1430" s="11">
        <f>0.359630901/2</f>
        <v>0.1798154505</v>
      </c>
      <c r="K1430">
        <v>1559.45</v>
      </c>
      <c r="L1430">
        <v>145.25</v>
      </c>
      <c r="M1430">
        <v>2.94</v>
      </c>
      <c r="N1430">
        <v>248.23</v>
      </c>
      <c r="O1430">
        <v>44.17</v>
      </c>
      <c r="P1430">
        <v>20.420000000000002</v>
      </c>
    </row>
    <row r="1431" spans="1:16">
      <c r="A1431" s="1" t="s">
        <v>1460</v>
      </c>
      <c r="B1431" s="1" t="s">
        <v>1488</v>
      </c>
      <c r="C1431" s="1" t="s">
        <v>18</v>
      </c>
      <c r="D1431" s="1" t="s">
        <v>44</v>
      </c>
      <c r="E1431" s="1" t="s">
        <v>1388</v>
      </c>
      <c r="F1431">
        <v>1050.06</v>
      </c>
      <c r="G1431">
        <v>9520.68</v>
      </c>
      <c r="H1431">
        <v>610.59</v>
      </c>
      <c r="I1431">
        <v>20.04</v>
      </c>
      <c r="J1431">
        <v>0.64</v>
      </c>
      <c r="K1431">
        <v>1393.99</v>
      </c>
      <c r="L1431">
        <v>103.98</v>
      </c>
      <c r="M1431">
        <v>4.3899999999999997</v>
      </c>
      <c r="N1431">
        <v>243.33</v>
      </c>
      <c r="O1431">
        <v>39.31</v>
      </c>
      <c r="P1431">
        <v>18.93</v>
      </c>
    </row>
    <row r="1432" spans="1:16">
      <c r="A1432" s="1" t="s">
        <v>1460</v>
      </c>
      <c r="B1432" s="1" t="s">
        <v>1489</v>
      </c>
      <c r="C1432" s="1" t="s">
        <v>18</v>
      </c>
      <c r="D1432" s="1" t="s">
        <v>44</v>
      </c>
      <c r="E1432" s="1" t="s">
        <v>1388</v>
      </c>
      <c r="F1432">
        <v>676.1</v>
      </c>
      <c r="G1432">
        <v>8351.83</v>
      </c>
      <c r="H1432">
        <v>1187.72</v>
      </c>
      <c r="I1432">
        <v>41.07</v>
      </c>
      <c r="J1432">
        <v>5.85</v>
      </c>
      <c r="K1432">
        <v>1385.05</v>
      </c>
      <c r="L1432">
        <v>115.07</v>
      </c>
      <c r="M1432">
        <v>4.72</v>
      </c>
      <c r="N1432">
        <v>218.14</v>
      </c>
      <c r="O1432">
        <v>39.159999999999997</v>
      </c>
      <c r="P1432">
        <v>17.45</v>
      </c>
    </row>
    <row r="1433" spans="1:16">
      <c r="A1433" s="1" t="s">
        <v>1460</v>
      </c>
      <c r="B1433" s="1" t="s">
        <v>1490</v>
      </c>
      <c r="C1433" s="1" t="s">
        <v>18</v>
      </c>
      <c r="D1433" s="1" t="s">
        <v>44</v>
      </c>
      <c r="E1433" s="1" t="s">
        <v>1388</v>
      </c>
      <c r="F1433">
        <v>1868.91</v>
      </c>
      <c r="G1433">
        <v>10412.17</v>
      </c>
      <c r="H1433">
        <v>1681.27</v>
      </c>
      <c r="I1433">
        <v>107.64</v>
      </c>
      <c r="J1433">
        <v>18.670000000000002</v>
      </c>
      <c r="K1433">
        <v>2061.9699999999998</v>
      </c>
      <c r="L1433">
        <v>91.64</v>
      </c>
      <c r="M1433">
        <v>9.5</v>
      </c>
      <c r="N1433">
        <v>416.4</v>
      </c>
      <c r="O1433">
        <v>39.630000000000003</v>
      </c>
      <c r="P1433">
        <v>16.600000000000001</v>
      </c>
    </row>
    <row r="1434" spans="1:16">
      <c r="A1434" s="1" t="s">
        <v>1460</v>
      </c>
      <c r="B1434" s="1" t="s">
        <v>1491</v>
      </c>
      <c r="C1434" s="1" t="s">
        <v>18</v>
      </c>
      <c r="D1434" s="1" t="s">
        <v>44</v>
      </c>
      <c r="E1434" s="1" t="s">
        <v>1388</v>
      </c>
      <c r="F1434">
        <v>2227.4499999999998</v>
      </c>
      <c r="G1434">
        <v>12260.13</v>
      </c>
      <c r="H1434">
        <v>1547.73</v>
      </c>
      <c r="I1434">
        <v>96.26</v>
      </c>
      <c r="J1434">
        <v>18.09</v>
      </c>
      <c r="K1434">
        <v>2205.64</v>
      </c>
      <c r="L1434">
        <v>96.15</v>
      </c>
      <c r="M1434">
        <v>10.039999999999999</v>
      </c>
      <c r="N1434">
        <v>384.41</v>
      </c>
      <c r="O1434">
        <v>40.28</v>
      </c>
      <c r="P1434">
        <v>14.5</v>
      </c>
    </row>
    <row r="1435" spans="1:16">
      <c r="A1435" s="1" t="s">
        <v>1460</v>
      </c>
      <c r="B1435" s="1" t="s">
        <v>1492</v>
      </c>
      <c r="C1435" s="1" t="s">
        <v>18</v>
      </c>
      <c r="D1435" s="1" t="s">
        <v>44</v>
      </c>
      <c r="E1435" s="1" t="s">
        <v>1388</v>
      </c>
      <c r="F1435">
        <v>2254.48</v>
      </c>
      <c r="G1435">
        <v>13424.02</v>
      </c>
      <c r="H1435">
        <v>1768.91</v>
      </c>
      <c r="I1435">
        <v>108.26</v>
      </c>
      <c r="J1435">
        <v>22</v>
      </c>
      <c r="K1435">
        <v>2324.4299999999998</v>
      </c>
      <c r="L1435">
        <v>95.6</v>
      </c>
      <c r="M1435">
        <v>8.69</v>
      </c>
      <c r="N1435">
        <v>406.16</v>
      </c>
      <c r="O1435">
        <v>43.85</v>
      </c>
      <c r="P1435">
        <v>17.37</v>
      </c>
    </row>
    <row r="1436" spans="1:16">
      <c r="A1436" s="1" t="s">
        <v>1460</v>
      </c>
      <c r="B1436" s="1" t="s">
        <v>1493</v>
      </c>
      <c r="C1436" s="1" t="s">
        <v>18</v>
      </c>
      <c r="D1436" s="1" t="s">
        <v>44</v>
      </c>
      <c r="E1436" s="1" t="s">
        <v>1388</v>
      </c>
      <c r="F1436">
        <v>2287.8000000000002</v>
      </c>
      <c r="G1436">
        <v>12857.55</v>
      </c>
      <c r="H1436">
        <v>1720.69</v>
      </c>
      <c r="I1436">
        <v>103.13</v>
      </c>
      <c r="J1436">
        <v>18.809999999999999</v>
      </c>
      <c r="K1436">
        <v>2325.19</v>
      </c>
      <c r="L1436">
        <v>88.05</v>
      </c>
      <c r="M1436">
        <v>10.35</v>
      </c>
      <c r="N1436">
        <v>446.21</v>
      </c>
      <c r="O1436">
        <v>42.72</v>
      </c>
      <c r="P1436">
        <v>17.3</v>
      </c>
    </row>
    <row r="1437" spans="1:16">
      <c r="A1437" s="1" t="s">
        <v>1460</v>
      </c>
      <c r="B1437" s="1" t="s">
        <v>1494</v>
      </c>
      <c r="C1437" s="1" t="s">
        <v>18</v>
      </c>
      <c r="D1437" s="1" t="s">
        <v>44</v>
      </c>
      <c r="E1437" s="1" t="s">
        <v>1388</v>
      </c>
      <c r="F1437">
        <v>1807.33</v>
      </c>
      <c r="G1437">
        <v>11514.9</v>
      </c>
      <c r="H1437">
        <v>1547.81</v>
      </c>
      <c r="I1437">
        <v>89.7</v>
      </c>
      <c r="J1437">
        <v>10.62</v>
      </c>
      <c r="K1437">
        <v>2024.38</v>
      </c>
      <c r="L1437">
        <v>82.06</v>
      </c>
      <c r="M1437">
        <v>24.19</v>
      </c>
      <c r="N1437">
        <v>387.99</v>
      </c>
      <c r="O1437">
        <v>39.869999999999997</v>
      </c>
      <c r="P1437">
        <v>14.69</v>
      </c>
    </row>
    <row r="1438" spans="1:16">
      <c r="A1438" s="1" t="s">
        <v>1460</v>
      </c>
      <c r="B1438" s="1" t="s">
        <v>1495</v>
      </c>
      <c r="C1438" s="1" t="s">
        <v>18</v>
      </c>
      <c r="D1438" s="1" t="s">
        <v>44</v>
      </c>
      <c r="E1438" s="1" t="s">
        <v>1388</v>
      </c>
      <c r="F1438">
        <v>1746.46</v>
      </c>
      <c r="G1438">
        <v>11073.15</v>
      </c>
      <c r="H1438">
        <v>1705.74</v>
      </c>
      <c r="I1438">
        <v>104.08</v>
      </c>
      <c r="J1438">
        <v>9.2899999999999991</v>
      </c>
      <c r="K1438">
        <v>2244.3200000000002</v>
      </c>
      <c r="L1438">
        <v>95.72</v>
      </c>
      <c r="M1438">
        <v>8.33</v>
      </c>
      <c r="N1438">
        <v>407.66</v>
      </c>
      <c r="O1438">
        <v>37.78</v>
      </c>
      <c r="P1438">
        <v>16.27</v>
      </c>
    </row>
    <row r="1439" spans="1:16">
      <c r="A1439" s="1" t="s">
        <v>1460</v>
      </c>
      <c r="B1439" s="1" t="s">
        <v>1496</v>
      </c>
      <c r="C1439" s="1" t="s">
        <v>18</v>
      </c>
      <c r="D1439" s="1" t="s">
        <v>44</v>
      </c>
      <c r="E1439" s="1" t="s">
        <v>1388</v>
      </c>
      <c r="F1439">
        <v>2137.36</v>
      </c>
      <c r="G1439">
        <v>12380.1</v>
      </c>
      <c r="H1439">
        <v>1650.37</v>
      </c>
      <c r="I1439">
        <v>92.77</v>
      </c>
      <c r="J1439">
        <v>10.67</v>
      </c>
      <c r="K1439">
        <v>2148.87</v>
      </c>
      <c r="L1439">
        <v>92.96</v>
      </c>
      <c r="M1439">
        <v>9</v>
      </c>
      <c r="N1439">
        <v>367.65</v>
      </c>
      <c r="O1439">
        <v>39.06</v>
      </c>
      <c r="P1439">
        <v>16.010000000000002</v>
      </c>
    </row>
    <row r="1440" spans="1:16">
      <c r="A1440" s="1" t="s">
        <v>1460</v>
      </c>
      <c r="B1440" s="1" t="s">
        <v>1497</v>
      </c>
      <c r="C1440" s="1" t="s">
        <v>18</v>
      </c>
      <c r="D1440" s="1" t="s">
        <v>44</v>
      </c>
      <c r="E1440" s="1" t="s">
        <v>1388</v>
      </c>
      <c r="F1440">
        <v>2340.08</v>
      </c>
      <c r="G1440">
        <v>13134.44</v>
      </c>
      <c r="H1440">
        <v>1680.01</v>
      </c>
      <c r="I1440">
        <v>98.09</v>
      </c>
      <c r="J1440">
        <v>9.83</v>
      </c>
      <c r="K1440">
        <v>2383.66</v>
      </c>
      <c r="L1440">
        <v>95.6</v>
      </c>
      <c r="M1440">
        <v>9.1</v>
      </c>
      <c r="N1440">
        <v>355.51</v>
      </c>
      <c r="O1440">
        <v>42.61</v>
      </c>
      <c r="P1440">
        <v>17.05</v>
      </c>
    </row>
    <row r="1441" spans="1:16">
      <c r="A1441" s="1" t="s">
        <v>1460</v>
      </c>
      <c r="B1441" s="1" t="s">
        <v>1498</v>
      </c>
      <c r="C1441" s="1" t="s">
        <v>18</v>
      </c>
      <c r="D1441" s="1" t="s">
        <v>44</v>
      </c>
      <c r="E1441" s="1" t="s">
        <v>1388</v>
      </c>
      <c r="F1441">
        <v>2185.14</v>
      </c>
      <c r="G1441">
        <v>12508.84</v>
      </c>
      <c r="H1441">
        <v>1657.54</v>
      </c>
      <c r="I1441">
        <v>97.76</v>
      </c>
      <c r="J1441">
        <v>19.940000000000001</v>
      </c>
      <c r="K1441">
        <v>2044.93</v>
      </c>
      <c r="L1441">
        <v>98.82</v>
      </c>
      <c r="M1441">
        <v>8.11</v>
      </c>
      <c r="N1441">
        <v>375.74</v>
      </c>
      <c r="O1441">
        <v>43.17</v>
      </c>
      <c r="P1441">
        <v>16.940000000000001</v>
      </c>
    </row>
    <row r="1442" spans="1:16">
      <c r="A1442" s="1" t="s">
        <v>1460</v>
      </c>
      <c r="B1442" s="1" t="s">
        <v>1499</v>
      </c>
      <c r="C1442" s="1" t="s">
        <v>18</v>
      </c>
      <c r="D1442" s="1" t="s">
        <v>44</v>
      </c>
      <c r="E1442" s="1" t="s">
        <v>1388</v>
      </c>
      <c r="F1442">
        <v>1832.83</v>
      </c>
      <c r="G1442">
        <v>9615.67</v>
      </c>
      <c r="H1442">
        <v>1561.96</v>
      </c>
      <c r="I1442">
        <v>87.14</v>
      </c>
      <c r="J1442">
        <v>4.55</v>
      </c>
      <c r="K1442">
        <v>1954.43</v>
      </c>
      <c r="L1442">
        <v>91.87</v>
      </c>
      <c r="M1442">
        <v>6.67</v>
      </c>
      <c r="N1442">
        <v>361.47</v>
      </c>
      <c r="O1442">
        <v>37.090000000000003</v>
      </c>
      <c r="P1442">
        <v>17.579999999999998</v>
      </c>
    </row>
    <row r="1443" spans="1:16">
      <c r="A1443" s="1" t="s">
        <v>1460</v>
      </c>
      <c r="B1443" s="1" t="s">
        <v>1500</v>
      </c>
      <c r="C1443" s="1" t="s">
        <v>18</v>
      </c>
      <c r="D1443" s="1" t="s">
        <v>44</v>
      </c>
      <c r="E1443" s="1" t="s">
        <v>1388</v>
      </c>
      <c r="F1443">
        <v>2276.63</v>
      </c>
      <c r="G1443">
        <v>12853.72</v>
      </c>
      <c r="H1443">
        <v>1826.23</v>
      </c>
      <c r="I1443">
        <v>82.26</v>
      </c>
      <c r="J1443">
        <v>3.13</v>
      </c>
      <c r="K1443">
        <v>2295.59</v>
      </c>
      <c r="L1443">
        <v>108.29</v>
      </c>
      <c r="M1443">
        <v>8.32</v>
      </c>
      <c r="N1443">
        <v>349.14</v>
      </c>
      <c r="O1443">
        <v>41.01</v>
      </c>
      <c r="P1443">
        <v>16.96</v>
      </c>
    </row>
    <row r="1444" spans="1:16">
      <c r="A1444" s="1" t="s">
        <v>1460</v>
      </c>
      <c r="B1444" s="1" t="s">
        <v>1501</v>
      </c>
      <c r="C1444" s="1" t="s">
        <v>18</v>
      </c>
      <c r="D1444" s="1" t="s">
        <v>44</v>
      </c>
      <c r="E1444" s="1" t="s">
        <v>1388</v>
      </c>
      <c r="F1444">
        <v>2184.04</v>
      </c>
      <c r="G1444">
        <v>12416.66</v>
      </c>
      <c r="H1444">
        <v>1707.32</v>
      </c>
      <c r="I1444">
        <v>86.33</v>
      </c>
      <c r="J1444">
        <v>13.08</v>
      </c>
      <c r="K1444">
        <v>2114.0300000000002</v>
      </c>
      <c r="L1444">
        <v>93.24</v>
      </c>
      <c r="M1444">
        <v>8.1</v>
      </c>
      <c r="N1444">
        <v>471.94</v>
      </c>
      <c r="O1444">
        <v>38.450000000000003</v>
      </c>
      <c r="P1444">
        <v>16.47</v>
      </c>
    </row>
    <row r="1445" spans="1:16">
      <c r="A1445" s="1" t="s">
        <v>1460</v>
      </c>
      <c r="B1445" s="1" t="s">
        <v>1502</v>
      </c>
      <c r="C1445" s="1" t="s">
        <v>18</v>
      </c>
      <c r="D1445" s="1" t="s">
        <v>44</v>
      </c>
      <c r="E1445" s="1" t="s">
        <v>1388</v>
      </c>
      <c r="F1445">
        <v>2238.83</v>
      </c>
      <c r="G1445">
        <v>12964.08</v>
      </c>
      <c r="H1445">
        <v>1845.19</v>
      </c>
      <c r="I1445">
        <v>96.25</v>
      </c>
      <c r="J1445">
        <v>21.03</v>
      </c>
      <c r="K1445">
        <v>2217.56</v>
      </c>
      <c r="L1445">
        <v>94.89</v>
      </c>
      <c r="M1445">
        <v>7.63</v>
      </c>
      <c r="N1445">
        <v>411.9</v>
      </c>
      <c r="O1445">
        <v>39.549999999999997</v>
      </c>
      <c r="P1445">
        <v>16.760000000000002</v>
      </c>
    </row>
    <row r="1446" spans="1:16">
      <c r="A1446" s="1" t="s">
        <v>1460</v>
      </c>
      <c r="B1446" s="1" t="s">
        <v>1503</v>
      </c>
      <c r="C1446" s="1" t="s">
        <v>18</v>
      </c>
      <c r="D1446" s="1" t="s">
        <v>44</v>
      </c>
      <c r="E1446" s="1" t="s">
        <v>1388</v>
      </c>
      <c r="F1446">
        <v>2124.89</v>
      </c>
      <c r="G1446">
        <v>11798.37</v>
      </c>
      <c r="H1446">
        <v>1675.39</v>
      </c>
      <c r="I1446">
        <v>86.16</v>
      </c>
      <c r="J1446">
        <v>11.79</v>
      </c>
      <c r="K1446">
        <v>2072.77</v>
      </c>
      <c r="L1446">
        <v>94.55</v>
      </c>
      <c r="M1446">
        <v>8.4</v>
      </c>
      <c r="N1446">
        <v>369.46</v>
      </c>
      <c r="O1446">
        <v>36.549999999999997</v>
      </c>
      <c r="P1446">
        <v>16.04</v>
      </c>
    </row>
    <row r="1447" spans="1:16">
      <c r="A1447" s="1" t="s">
        <v>1460</v>
      </c>
      <c r="B1447" s="1" t="s">
        <v>1504</v>
      </c>
      <c r="C1447" s="1" t="s">
        <v>18</v>
      </c>
      <c r="D1447" s="1" t="s">
        <v>44</v>
      </c>
      <c r="E1447" s="1" t="s">
        <v>1388</v>
      </c>
      <c r="F1447">
        <v>2392.37</v>
      </c>
      <c r="G1447">
        <v>13287.65</v>
      </c>
      <c r="H1447">
        <v>1899.39</v>
      </c>
      <c r="I1447">
        <v>93.28</v>
      </c>
      <c r="J1447">
        <v>7.04</v>
      </c>
      <c r="K1447">
        <v>2335.4</v>
      </c>
      <c r="L1447">
        <v>103.35</v>
      </c>
      <c r="M1447">
        <v>10.55</v>
      </c>
      <c r="N1447">
        <v>432.49</v>
      </c>
      <c r="O1447">
        <v>42.72</v>
      </c>
      <c r="P1447">
        <v>18.77</v>
      </c>
    </row>
    <row r="1448" spans="1:16">
      <c r="A1448" s="1" t="s">
        <v>1460</v>
      </c>
      <c r="B1448" s="1" t="s">
        <v>1505</v>
      </c>
      <c r="C1448" s="1" t="s">
        <v>18</v>
      </c>
      <c r="D1448" s="1" t="s">
        <v>44</v>
      </c>
      <c r="E1448" s="1" t="s">
        <v>1388</v>
      </c>
      <c r="F1448">
        <v>2052.0100000000002</v>
      </c>
      <c r="G1448">
        <v>11642.72</v>
      </c>
      <c r="H1448">
        <v>1695.33</v>
      </c>
      <c r="I1448">
        <v>80.39</v>
      </c>
      <c r="J1448">
        <v>7.21</v>
      </c>
      <c r="K1448">
        <v>2014.57</v>
      </c>
      <c r="L1448">
        <v>92.83</v>
      </c>
      <c r="M1448">
        <v>10.11</v>
      </c>
      <c r="N1448">
        <v>356.66</v>
      </c>
      <c r="O1448">
        <v>38.46</v>
      </c>
      <c r="P1448">
        <v>17</v>
      </c>
    </row>
    <row r="1449" spans="1:16">
      <c r="A1449" s="1" t="s">
        <v>1460</v>
      </c>
      <c r="B1449" s="1" t="s">
        <v>1506</v>
      </c>
      <c r="C1449" s="1" t="s">
        <v>18</v>
      </c>
      <c r="D1449" s="1" t="s">
        <v>44</v>
      </c>
      <c r="E1449" s="1" t="s">
        <v>1388</v>
      </c>
      <c r="F1449">
        <v>1660.88</v>
      </c>
      <c r="G1449">
        <v>11207.93</v>
      </c>
      <c r="H1449">
        <v>1583.43</v>
      </c>
      <c r="I1449">
        <v>86.39</v>
      </c>
      <c r="J1449">
        <v>10.58</v>
      </c>
      <c r="K1449">
        <v>2027.78</v>
      </c>
      <c r="L1449">
        <v>89.82</v>
      </c>
      <c r="M1449">
        <v>10.61</v>
      </c>
      <c r="N1449">
        <v>379.85</v>
      </c>
      <c r="O1449">
        <v>36.119999999999997</v>
      </c>
      <c r="P1449">
        <v>15.89</v>
      </c>
    </row>
    <row r="1450" spans="1:16">
      <c r="A1450" s="1" t="s">
        <v>1460</v>
      </c>
      <c r="B1450" s="1" t="s">
        <v>1507</v>
      </c>
      <c r="C1450" s="1" t="s">
        <v>18</v>
      </c>
      <c r="D1450" s="1" t="s">
        <v>44</v>
      </c>
      <c r="E1450" s="1" t="s">
        <v>1388</v>
      </c>
      <c r="F1450">
        <v>1211.68</v>
      </c>
      <c r="G1450">
        <v>11566.02</v>
      </c>
      <c r="H1450">
        <v>1551.53</v>
      </c>
      <c r="I1450">
        <v>63.78</v>
      </c>
      <c r="J1450">
        <v>0.5</v>
      </c>
      <c r="K1450">
        <v>2124.9499999999998</v>
      </c>
      <c r="L1450">
        <v>69.489999999999995</v>
      </c>
      <c r="M1450">
        <v>8.2899999999999991</v>
      </c>
      <c r="N1450">
        <v>444.28</v>
      </c>
      <c r="O1450">
        <v>36.36</v>
      </c>
      <c r="P1450">
        <v>17</v>
      </c>
    </row>
    <row r="1451" spans="1:16">
      <c r="A1451" s="1" t="s">
        <v>1460</v>
      </c>
      <c r="B1451" s="1" t="s">
        <v>1508</v>
      </c>
      <c r="C1451" s="1" t="s">
        <v>18</v>
      </c>
      <c r="D1451" s="1" t="s">
        <v>44</v>
      </c>
      <c r="E1451" s="1" t="s">
        <v>1388</v>
      </c>
      <c r="F1451">
        <v>1637.63</v>
      </c>
      <c r="G1451">
        <v>13453.56</v>
      </c>
      <c r="H1451">
        <v>1510.49</v>
      </c>
      <c r="I1451">
        <v>77.97</v>
      </c>
      <c r="J1451">
        <v>6.95</v>
      </c>
      <c r="K1451">
        <v>2374.2199999999998</v>
      </c>
      <c r="L1451">
        <v>78.290000000000006</v>
      </c>
      <c r="M1451">
        <v>8.85</v>
      </c>
      <c r="N1451">
        <v>365.48</v>
      </c>
      <c r="O1451">
        <v>37.32</v>
      </c>
      <c r="P1451">
        <v>17.47</v>
      </c>
    </row>
    <row r="1452" spans="1:16">
      <c r="A1452" s="1" t="s">
        <v>1460</v>
      </c>
      <c r="B1452" s="1" t="s">
        <v>1509</v>
      </c>
      <c r="C1452" s="1" t="s">
        <v>18</v>
      </c>
      <c r="D1452" s="1" t="s">
        <v>44</v>
      </c>
      <c r="E1452" s="1" t="s">
        <v>1388</v>
      </c>
      <c r="F1452">
        <v>1682.34</v>
      </c>
      <c r="G1452">
        <v>11142.11</v>
      </c>
      <c r="H1452">
        <v>1601.05</v>
      </c>
      <c r="I1452">
        <v>103.61</v>
      </c>
      <c r="J1452">
        <v>12.47</v>
      </c>
      <c r="K1452">
        <v>1896</v>
      </c>
      <c r="L1452">
        <v>74.680000000000007</v>
      </c>
      <c r="M1452">
        <v>9.25</v>
      </c>
      <c r="N1452">
        <v>356.35</v>
      </c>
      <c r="O1452">
        <v>37.69</v>
      </c>
      <c r="P1452">
        <v>16.68</v>
      </c>
    </row>
    <row r="1453" spans="1:16">
      <c r="A1453" s="1" t="s">
        <v>1460</v>
      </c>
      <c r="B1453" s="1" t="s">
        <v>1510</v>
      </c>
      <c r="C1453" s="1" t="s">
        <v>18</v>
      </c>
      <c r="D1453" s="1" t="s">
        <v>44</v>
      </c>
      <c r="E1453" s="1" t="s">
        <v>1388</v>
      </c>
      <c r="F1453">
        <v>2049.75</v>
      </c>
      <c r="G1453">
        <v>12415.64</v>
      </c>
      <c r="H1453">
        <v>1653.69</v>
      </c>
      <c r="I1453">
        <v>115.44</v>
      </c>
      <c r="J1453">
        <v>19.739999999999998</v>
      </c>
      <c r="K1453">
        <v>2143.65</v>
      </c>
      <c r="L1453">
        <v>90.89</v>
      </c>
      <c r="M1453">
        <v>11.54</v>
      </c>
      <c r="N1453">
        <v>411.71</v>
      </c>
      <c r="O1453">
        <v>42.15</v>
      </c>
      <c r="P1453">
        <v>18.09</v>
      </c>
    </row>
    <row r="1454" spans="1:16">
      <c r="A1454" s="1" t="s">
        <v>1460</v>
      </c>
      <c r="B1454" s="1" t="s">
        <v>1511</v>
      </c>
      <c r="C1454" s="1" t="s">
        <v>18</v>
      </c>
      <c r="D1454" s="1" t="s">
        <v>44</v>
      </c>
      <c r="E1454" s="1" t="s">
        <v>1388</v>
      </c>
      <c r="F1454">
        <v>2682.11</v>
      </c>
      <c r="G1454">
        <v>15859.81</v>
      </c>
      <c r="H1454">
        <v>1766.49</v>
      </c>
      <c r="I1454">
        <v>92.08</v>
      </c>
      <c r="J1454">
        <v>8.61</v>
      </c>
      <c r="K1454">
        <v>2511.09</v>
      </c>
      <c r="L1454">
        <v>98.93</v>
      </c>
      <c r="M1454">
        <v>9.52</v>
      </c>
      <c r="N1454">
        <v>431.7</v>
      </c>
      <c r="O1454">
        <v>42.6</v>
      </c>
      <c r="P1454">
        <v>19.16</v>
      </c>
    </row>
    <row r="1455" spans="1:16">
      <c r="A1455" s="1" t="s">
        <v>1460</v>
      </c>
      <c r="B1455" s="1" t="s">
        <v>1512</v>
      </c>
      <c r="C1455" s="1" t="s">
        <v>18</v>
      </c>
      <c r="D1455" s="1" t="s">
        <v>44</v>
      </c>
      <c r="E1455" s="1" t="s">
        <v>1388</v>
      </c>
      <c r="F1455">
        <v>2422.19</v>
      </c>
      <c r="G1455">
        <v>14325.03</v>
      </c>
      <c r="H1455">
        <v>1602.81</v>
      </c>
      <c r="I1455">
        <v>91.81</v>
      </c>
      <c r="J1455">
        <v>11.04</v>
      </c>
      <c r="K1455">
        <v>2449.69</v>
      </c>
      <c r="L1455">
        <v>99.19</v>
      </c>
      <c r="M1455">
        <v>10.35</v>
      </c>
      <c r="N1455">
        <v>433.64</v>
      </c>
      <c r="O1455">
        <v>38.68</v>
      </c>
      <c r="P1455">
        <v>17.91</v>
      </c>
    </row>
    <row r="1456" spans="1:16">
      <c r="A1456" s="1" t="s">
        <v>1460</v>
      </c>
      <c r="B1456" s="1" t="s">
        <v>1513</v>
      </c>
      <c r="C1456" s="1" t="s">
        <v>18</v>
      </c>
      <c r="D1456" s="1" t="s">
        <v>44</v>
      </c>
      <c r="E1456" s="1" t="s">
        <v>1388</v>
      </c>
      <c r="F1456">
        <v>1708.39</v>
      </c>
      <c r="G1456">
        <v>11071.37</v>
      </c>
      <c r="H1456">
        <v>1623.77</v>
      </c>
      <c r="I1456">
        <v>102.34</v>
      </c>
      <c r="J1456">
        <v>13.39</v>
      </c>
      <c r="K1456">
        <v>2145.35</v>
      </c>
      <c r="L1456">
        <v>83.7</v>
      </c>
      <c r="M1456">
        <v>11.11</v>
      </c>
      <c r="N1456">
        <v>393.6</v>
      </c>
      <c r="O1456">
        <v>40.659999999999997</v>
      </c>
      <c r="P1456">
        <v>15.73</v>
      </c>
    </row>
    <row r="1457" spans="1:16">
      <c r="A1457" s="1" t="s">
        <v>1460</v>
      </c>
      <c r="B1457" s="1" t="s">
        <v>1514</v>
      </c>
      <c r="C1457" s="1" t="s">
        <v>18</v>
      </c>
      <c r="D1457" s="1" t="s">
        <v>44</v>
      </c>
      <c r="E1457" s="1" t="s">
        <v>1388</v>
      </c>
      <c r="F1457">
        <v>1211.57</v>
      </c>
      <c r="G1457">
        <v>11355.78</v>
      </c>
      <c r="H1457">
        <v>1596.03</v>
      </c>
      <c r="I1457">
        <v>89.91</v>
      </c>
      <c r="J1457">
        <v>3.07</v>
      </c>
      <c r="K1457">
        <v>2079.9299999999998</v>
      </c>
      <c r="L1457">
        <v>80.83</v>
      </c>
      <c r="M1457">
        <v>8.8000000000000007</v>
      </c>
      <c r="N1457">
        <v>419.56</v>
      </c>
      <c r="O1457">
        <v>41.02</v>
      </c>
      <c r="P1457">
        <v>19.09</v>
      </c>
    </row>
    <row r="1458" spans="1:16">
      <c r="A1458" s="1" t="s">
        <v>1460</v>
      </c>
      <c r="B1458" s="1" t="s">
        <v>1515</v>
      </c>
      <c r="C1458" s="1" t="s">
        <v>18</v>
      </c>
      <c r="D1458" s="1" t="s">
        <v>44</v>
      </c>
      <c r="E1458" s="1" t="s">
        <v>1388</v>
      </c>
      <c r="F1458">
        <v>1804.65</v>
      </c>
      <c r="G1458">
        <v>12497.41</v>
      </c>
      <c r="H1458">
        <v>1853.11</v>
      </c>
      <c r="I1458">
        <v>99.88</v>
      </c>
      <c r="J1458">
        <v>6.23</v>
      </c>
      <c r="K1458">
        <v>2205.88</v>
      </c>
      <c r="L1458">
        <v>75.81</v>
      </c>
      <c r="M1458">
        <v>8.43</v>
      </c>
      <c r="N1458">
        <v>459.51</v>
      </c>
      <c r="O1458">
        <v>40.32</v>
      </c>
      <c r="P1458">
        <v>17.59</v>
      </c>
    </row>
    <row r="1459" spans="1:16">
      <c r="A1459" s="1" t="s">
        <v>1460</v>
      </c>
      <c r="B1459" s="1" t="s">
        <v>1516</v>
      </c>
      <c r="C1459" s="1" t="s">
        <v>18</v>
      </c>
      <c r="D1459" s="1" t="s">
        <v>44</v>
      </c>
      <c r="E1459" s="1" t="s">
        <v>1388</v>
      </c>
      <c r="F1459">
        <v>2077.09</v>
      </c>
      <c r="G1459">
        <v>13730.25</v>
      </c>
      <c r="H1459">
        <v>1499.65</v>
      </c>
      <c r="I1459">
        <v>88.86</v>
      </c>
      <c r="J1459">
        <v>4.59</v>
      </c>
      <c r="K1459">
        <v>2299.8200000000002</v>
      </c>
      <c r="L1459">
        <v>95.92</v>
      </c>
      <c r="M1459">
        <v>9.0500000000000007</v>
      </c>
      <c r="N1459">
        <v>335.16</v>
      </c>
      <c r="O1459">
        <v>42.06</v>
      </c>
      <c r="P1459">
        <v>16.559999999999999</v>
      </c>
    </row>
    <row r="1460" spans="1:16">
      <c r="A1460" s="1" t="s">
        <v>1460</v>
      </c>
      <c r="B1460" s="1" t="s">
        <v>1517</v>
      </c>
      <c r="C1460" s="1" t="s">
        <v>18</v>
      </c>
      <c r="D1460" s="1" t="s">
        <v>44</v>
      </c>
      <c r="E1460" s="1" t="s">
        <v>1388</v>
      </c>
      <c r="F1460">
        <v>1976.97</v>
      </c>
      <c r="G1460">
        <v>12946.39</v>
      </c>
      <c r="H1460">
        <v>1484.7</v>
      </c>
      <c r="I1460">
        <v>82.47</v>
      </c>
      <c r="J1460">
        <v>6.57</v>
      </c>
      <c r="K1460">
        <v>2686.39</v>
      </c>
      <c r="L1460">
        <v>93.95</v>
      </c>
      <c r="M1460">
        <v>10.64</v>
      </c>
      <c r="N1460">
        <v>336.8</v>
      </c>
      <c r="O1460">
        <v>39.340000000000003</v>
      </c>
      <c r="P1460">
        <v>16.309999999999999</v>
      </c>
    </row>
    <row r="1461" spans="1:16">
      <c r="A1461" s="1" t="s">
        <v>1460</v>
      </c>
      <c r="B1461" s="1" t="s">
        <v>1518</v>
      </c>
      <c r="C1461" s="1" t="s">
        <v>18</v>
      </c>
      <c r="D1461" s="1" t="s">
        <v>44</v>
      </c>
      <c r="E1461" s="1" t="s">
        <v>1388</v>
      </c>
      <c r="F1461">
        <v>1301.4100000000001</v>
      </c>
      <c r="G1461">
        <v>9029.4</v>
      </c>
      <c r="H1461">
        <v>1550.74</v>
      </c>
      <c r="I1461">
        <v>78.569999999999993</v>
      </c>
      <c r="J1461">
        <v>9.3699999999999992</v>
      </c>
      <c r="K1461">
        <v>2178.0100000000002</v>
      </c>
      <c r="L1461">
        <v>85.47</v>
      </c>
      <c r="M1461">
        <v>8.77</v>
      </c>
      <c r="N1461">
        <v>383.08</v>
      </c>
      <c r="O1461">
        <v>37.46</v>
      </c>
      <c r="P1461">
        <v>15.09</v>
      </c>
    </row>
    <row r="1462" spans="1:16">
      <c r="A1462" s="1" t="s">
        <v>1460</v>
      </c>
      <c r="B1462" s="1" t="s">
        <v>1519</v>
      </c>
      <c r="C1462" s="1" t="s">
        <v>18</v>
      </c>
      <c r="D1462" s="1" t="s">
        <v>44</v>
      </c>
      <c r="E1462" s="1" t="s">
        <v>1388</v>
      </c>
      <c r="F1462">
        <v>1347.46</v>
      </c>
      <c r="G1462">
        <v>8500.36</v>
      </c>
      <c r="H1462">
        <v>1419.52</v>
      </c>
      <c r="I1462">
        <v>75.739999999999995</v>
      </c>
      <c r="J1462">
        <v>2.4</v>
      </c>
      <c r="K1462">
        <v>2089.46</v>
      </c>
      <c r="L1462">
        <v>92</v>
      </c>
      <c r="M1462">
        <v>7.97</v>
      </c>
      <c r="N1462">
        <v>352.57</v>
      </c>
      <c r="O1462">
        <v>36.130000000000003</v>
      </c>
      <c r="P1462">
        <v>14.4</v>
      </c>
    </row>
    <row r="1463" spans="1:16">
      <c r="A1463" s="1" t="s">
        <v>1460</v>
      </c>
      <c r="B1463" s="1" t="s">
        <v>1520</v>
      </c>
      <c r="C1463" s="1" t="s">
        <v>18</v>
      </c>
      <c r="D1463" s="1" t="s">
        <v>44</v>
      </c>
      <c r="E1463" s="1" t="s">
        <v>1388</v>
      </c>
      <c r="F1463">
        <v>1173.54</v>
      </c>
      <c r="G1463">
        <v>7928.08</v>
      </c>
      <c r="H1463">
        <v>1498.31</v>
      </c>
      <c r="I1463">
        <v>74.64</v>
      </c>
      <c r="J1463">
        <v>1.1000000000000001</v>
      </c>
      <c r="K1463">
        <v>2143.52</v>
      </c>
      <c r="L1463">
        <v>92.46</v>
      </c>
      <c r="M1463">
        <v>8.9600000000000009</v>
      </c>
      <c r="N1463">
        <v>383.51</v>
      </c>
      <c r="O1463">
        <v>35.24</v>
      </c>
      <c r="P1463">
        <v>13.85</v>
      </c>
    </row>
    <row r="1464" spans="1:16">
      <c r="A1464" s="1" t="s">
        <v>1460</v>
      </c>
      <c r="B1464" s="1" t="s">
        <v>1521</v>
      </c>
      <c r="C1464" s="1" t="s">
        <v>18</v>
      </c>
      <c r="D1464" s="1" t="s">
        <v>44</v>
      </c>
      <c r="E1464" s="1" t="s">
        <v>1388</v>
      </c>
      <c r="F1464">
        <v>6529.01</v>
      </c>
      <c r="G1464">
        <v>10905.51</v>
      </c>
      <c r="H1464">
        <v>6156.39</v>
      </c>
      <c r="I1464">
        <v>119.8</v>
      </c>
      <c r="J1464">
        <v>290.64</v>
      </c>
      <c r="K1464">
        <v>3134.79</v>
      </c>
      <c r="L1464">
        <v>41.35</v>
      </c>
      <c r="M1464">
        <v>67.349999999999994</v>
      </c>
      <c r="N1464">
        <v>908.11</v>
      </c>
      <c r="O1464">
        <v>31.62</v>
      </c>
      <c r="P1464">
        <v>43.59</v>
      </c>
    </row>
    <row r="1465" spans="1:16">
      <c r="A1465" s="1" t="s">
        <v>1460</v>
      </c>
      <c r="B1465" s="1" t="s">
        <v>1522</v>
      </c>
      <c r="C1465" s="1" t="s">
        <v>18</v>
      </c>
      <c r="D1465" s="1" t="s">
        <v>44</v>
      </c>
      <c r="E1465" s="1" t="s">
        <v>1388</v>
      </c>
      <c r="F1465">
        <v>5051.82</v>
      </c>
      <c r="G1465">
        <v>7928.96</v>
      </c>
      <c r="H1465">
        <v>6176.97</v>
      </c>
      <c r="I1465">
        <v>128.16</v>
      </c>
      <c r="J1465">
        <v>73.650000000000006</v>
      </c>
      <c r="K1465">
        <v>2717.67</v>
      </c>
      <c r="L1465">
        <v>38.82</v>
      </c>
      <c r="M1465">
        <v>44.09</v>
      </c>
      <c r="N1465">
        <v>904.94</v>
      </c>
      <c r="O1465">
        <v>23.47</v>
      </c>
      <c r="P1465">
        <v>46.06</v>
      </c>
    </row>
    <row r="1466" spans="1:16">
      <c r="A1466" s="1" t="s">
        <v>1460</v>
      </c>
      <c r="B1466" s="1" t="s">
        <v>1523</v>
      </c>
      <c r="C1466" s="1" t="s">
        <v>18</v>
      </c>
      <c r="D1466" s="1" t="s">
        <v>44</v>
      </c>
      <c r="E1466" s="1" t="s">
        <v>1388</v>
      </c>
      <c r="F1466">
        <v>5200.22</v>
      </c>
      <c r="G1466">
        <v>10427.86</v>
      </c>
      <c r="H1466">
        <v>5112.57</v>
      </c>
      <c r="I1466">
        <v>95.16</v>
      </c>
      <c r="J1466">
        <v>198.97</v>
      </c>
      <c r="K1466">
        <v>3110.78</v>
      </c>
      <c r="L1466">
        <v>56.72</v>
      </c>
      <c r="M1466">
        <v>46.16</v>
      </c>
      <c r="N1466">
        <v>806.71</v>
      </c>
      <c r="O1466">
        <v>28.08</v>
      </c>
      <c r="P1466">
        <v>36.49</v>
      </c>
    </row>
    <row r="1467" spans="1:16">
      <c r="A1467" s="1" t="s">
        <v>1460</v>
      </c>
      <c r="B1467" s="1" t="s">
        <v>1524</v>
      </c>
      <c r="C1467" s="1" t="s">
        <v>18</v>
      </c>
      <c r="D1467" s="1" t="s">
        <v>44</v>
      </c>
      <c r="E1467" s="1" t="s">
        <v>1388</v>
      </c>
      <c r="F1467">
        <v>5236.78</v>
      </c>
      <c r="G1467">
        <v>10722.97</v>
      </c>
      <c r="H1467">
        <v>6106.58</v>
      </c>
      <c r="I1467">
        <v>102.3</v>
      </c>
      <c r="J1467">
        <v>213.69</v>
      </c>
      <c r="K1467">
        <v>2734.32</v>
      </c>
      <c r="L1467">
        <v>66.69</v>
      </c>
      <c r="M1467">
        <v>49.66</v>
      </c>
      <c r="N1467">
        <v>808.32</v>
      </c>
      <c r="O1467">
        <v>28.99</v>
      </c>
      <c r="P1467">
        <v>40.78</v>
      </c>
    </row>
    <row r="1468" spans="1:16">
      <c r="A1468" s="1" t="s">
        <v>1460</v>
      </c>
      <c r="B1468" s="1" t="s">
        <v>1525</v>
      </c>
      <c r="C1468" s="1" t="s">
        <v>18</v>
      </c>
      <c r="D1468" s="1" t="s">
        <v>44</v>
      </c>
      <c r="E1468" s="1" t="s">
        <v>1388</v>
      </c>
      <c r="F1468">
        <v>4818.33</v>
      </c>
      <c r="G1468">
        <v>8905.81</v>
      </c>
      <c r="H1468">
        <v>4420.8</v>
      </c>
      <c r="I1468">
        <v>76.739999999999995</v>
      </c>
      <c r="J1468">
        <v>219.6</v>
      </c>
      <c r="K1468">
        <v>2570.13</v>
      </c>
      <c r="L1468">
        <v>69.3</v>
      </c>
      <c r="M1468">
        <v>37.39</v>
      </c>
      <c r="N1468">
        <v>687.95</v>
      </c>
      <c r="O1468">
        <v>24.51</v>
      </c>
      <c r="P1468">
        <v>31.73</v>
      </c>
    </row>
    <row r="1469" spans="1:16">
      <c r="A1469" s="1" t="s">
        <v>1460</v>
      </c>
      <c r="B1469" s="1" t="s">
        <v>1526</v>
      </c>
      <c r="C1469" s="1" t="s">
        <v>18</v>
      </c>
      <c r="D1469" s="1" t="s">
        <v>44</v>
      </c>
      <c r="E1469" s="1" t="s">
        <v>1388</v>
      </c>
      <c r="F1469">
        <v>4407.18</v>
      </c>
      <c r="G1469">
        <v>9115.1</v>
      </c>
      <c r="H1469">
        <v>5059.2299999999996</v>
      </c>
      <c r="I1469">
        <v>91.63</v>
      </c>
      <c r="J1469">
        <v>91.23</v>
      </c>
      <c r="K1469">
        <v>2442.86</v>
      </c>
      <c r="L1469">
        <v>49.76</v>
      </c>
      <c r="M1469">
        <v>46.14</v>
      </c>
      <c r="N1469">
        <v>837.03</v>
      </c>
      <c r="O1469">
        <v>25.16</v>
      </c>
      <c r="P1469">
        <v>38.71</v>
      </c>
    </row>
    <row r="1470" spans="1:16">
      <c r="A1470" s="1" t="s">
        <v>1460</v>
      </c>
      <c r="B1470" s="1" t="s">
        <v>1527</v>
      </c>
      <c r="C1470" s="1" t="s">
        <v>18</v>
      </c>
      <c r="D1470" s="1" t="s">
        <v>44</v>
      </c>
      <c r="E1470" s="1" t="s">
        <v>1388</v>
      </c>
      <c r="F1470">
        <v>5419.32</v>
      </c>
      <c r="G1470">
        <v>10897.58</v>
      </c>
      <c r="H1470">
        <v>5872.6</v>
      </c>
      <c r="I1470">
        <v>111.42</v>
      </c>
      <c r="J1470">
        <v>143.96</v>
      </c>
      <c r="K1470">
        <v>3045.58</v>
      </c>
      <c r="L1470">
        <v>76.37</v>
      </c>
      <c r="M1470">
        <v>59.68</v>
      </c>
      <c r="N1470">
        <v>841.36</v>
      </c>
      <c r="O1470">
        <v>33.81</v>
      </c>
      <c r="P1470">
        <v>39.24</v>
      </c>
    </row>
    <row r="1471" spans="1:16">
      <c r="A1471" s="1" t="s">
        <v>1460</v>
      </c>
      <c r="B1471" s="1" t="s">
        <v>1528</v>
      </c>
      <c r="C1471" s="1" t="s">
        <v>18</v>
      </c>
      <c r="D1471" s="1" t="s">
        <v>44</v>
      </c>
      <c r="E1471" s="1" t="s">
        <v>1388</v>
      </c>
      <c r="F1471">
        <v>5497.14</v>
      </c>
      <c r="G1471">
        <v>11205.77</v>
      </c>
      <c r="H1471">
        <v>5443.91</v>
      </c>
      <c r="I1471">
        <v>101.84</v>
      </c>
      <c r="J1471">
        <v>191.22</v>
      </c>
      <c r="K1471">
        <v>3145.75</v>
      </c>
      <c r="L1471">
        <v>98.42</v>
      </c>
      <c r="M1471">
        <v>51.93</v>
      </c>
      <c r="N1471">
        <v>655.54</v>
      </c>
      <c r="O1471">
        <v>30.2</v>
      </c>
      <c r="P1471">
        <v>39.15</v>
      </c>
    </row>
    <row r="1472" spans="1:16">
      <c r="A1472" s="1" t="s">
        <v>1460</v>
      </c>
      <c r="B1472" s="1" t="s">
        <v>1529</v>
      </c>
      <c r="C1472" s="1" t="s">
        <v>18</v>
      </c>
      <c r="D1472" s="1" t="s">
        <v>44</v>
      </c>
      <c r="E1472" s="1" t="s">
        <v>1388</v>
      </c>
      <c r="F1472">
        <v>15244.57</v>
      </c>
      <c r="G1472">
        <v>8191.88</v>
      </c>
      <c r="H1472">
        <v>5461.9</v>
      </c>
      <c r="I1472">
        <v>110.77</v>
      </c>
      <c r="J1472">
        <v>127.5</v>
      </c>
      <c r="K1472">
        <v>4501</v>
      </c>
      <c r="L1472">
        <v>104.01</v>
      </c>
      <c r="M1472">
        <v>55.23</v>
      </c>
      <c r="N1472">
        <v>675.17</v>
      </c>
      <c r="O1472">
        <v>28.54</v>
      </c>
      <c r="P1472">
        <v>38.61</v>
      </c>
    </row>
    <row r="1473" spans="1:16">
      <c r="A1473" s="1" t="s">
        <v>1460</v>
      </c>
      <c r="B1473" s="1" t="s">
        <v>1530</v>
      </c>
      <c r="C1473" s="1" t="s">
        <v>18</v>
      </c>
      <c r="D1473" s="1" t="s">
        <v>44</v>
      </c>
      <c r="E1473" s="1" t="s">
        <v>1388</v>
      </c>
      <c r="F1473">
        <v>4791.96</v>
      </c>
      <c r="G1473">
        <v>9610.06</v>
      </c>
      <c r="H1473">
        <v>4820.5200000000004</v>
      </c>
      <c r="I1473">
        <v>89.16</v>
      </c>
      <c r="J1473">
        <v>126.93</v>
      </c>
      <c r="K1473">
        <v>2547.6</v>
      </c>
      <c r="L1473">
        <v>67.819999999999993</v>
      </c>
      <c r="M1473">
        <v>41.46</v>
      </c>
      <c r="N1473">
        <v>764.57</v>
      </c>
      <c r="O1473">
        <v>26.83</v>
      </c>
      <c r="P1473">
        <v>32.94</v>
      </c>
    </row>
    <row r="1474" spans="1:16">
      <c r="A1474" s="1" t="s">
        <v>1460</v>
      </c>
      <c r="B1474" s="1" t="s">
        <v>1531</v>
      </c>
      <c r="C1474" s="1" t="s">
        <v>18</v>
      </c>
      <c r="D1474" s="1" t="s">
        <v>44</v>
      </c>
      <c r="E1474" s="1" t="s">
        <v>1388</v>
      </c>
      <c r="F1474">
        <v>4382.95</v>
      </c>
      <c r="G1474">
        <v>8398.31</v>
      </c>
      <c r="H1474">
        <v>4013.04</v>
      </c>
      <c r="I1474">
        <v>78.709999999999994</v>
      </c>
      <c r="J1474">
        <v>104.1</v>
      </c>
      <c r="K1474">
        <v>3008.63</v>
      </c>
      <c r="L1474">
        <v>94.1</v>
      </c>
      <c r="M1474">
        <v>48</v>
      </c>
      <c r="N1474">
        <v>791.61</v>
      </c>
      <c r="O1474">
        <v>24.16</v>
      </c>
      <c r="P1474">
        <v>37.94</v>
      </c>
    </row>
    <row r="1475" spans="1:16">
      <c r="A1475" s="1" t="s">
        <v>1460</v>
      </c>
      <c r="B1475" s="1" t="s">
        <v>1532</v>
      </c>
      <c r="C1475" s="1" t="s">
        <v>18</v>
      </c>
      <c r="D1475" s="1" t="s">
        <v>44</v>
      </c>
      <c r="E1475" s="1" t="s">
        <v>1388</v>
      </c>
      <c r="F1475">
        <v>4521.5600000000004</v>
      </c>
      <c r="G1475">
        <v>8868.9500000000007</v>
      </c>
      <c r="H1475">
        <v>5691.28</v>
      </c>
      <c r="I1475">
        <v>105.28</v>
      </c>
      <c r="J1475">
        <v>98.78</v>
      </c>
      <c r="K1475">
        <v>2687.77</v>
      </c>
      <c r="L1475">
        <v>71.62</v>
      </c>
      <c r="M1475">
        <v>49.32</v>
      </c>
      <c r="N1475">
        <v>688.18</v>
      </c>
      <c r="O1475">
        <v>27.31</v>
      </c>
      <c r="P1475">
        <v>36</v>
      </c>
    </row>
    <row r="1476" spans="1:16">
      <c r="A1476" s="1" t="s">
        <v>1460</v>
      </c>
      <c r="B1476" s="1" t="s">
        <v>1533</v>
      </c>
      <c r="C1476" s="1" t="s">
        <v>18</v>
      </c>
      <c r="D1476" s="1" t="s">
        <v>44</v>
      </c>
      <c r="E1476" s="1" t="s">
        <v>1388</v>
      </c>
      <c r="F1476">
        <v>5710.5</v>
      </c>
      <c r="G1476">
        <v>10998.69</v>
      </c>
      <c r="H1476">
        <v>5296.94</v>
      </c>
      <c r="I1476">
        <v>92.53</v>
      </c>
      <c r="J1476">
        <v>77.489999999999995</v>
      </c>
      <c r="K1476">
        <v>3144.29</v>
      </c>
      <c r="L1476">
        <v>95.78</v>
      </c>
      <c r="M1476">
        <v>49.63</v>
      </c>
      <c r="N1476">
        <v>806.98</v>
      </c>
      <c r="O1476">
        <v>31</v>
      </c>
      <c r="P1476">
        <v>36.92</v>
      </c>
    </row>
    <row r="1477" spans="1:16">
      <c r="A1477" s="1" t="s">
        <v>1460</v>
      </c>
      <c r="B1477" s="1" t="s">
        <v>1534</v>
      </c>
      <c r="C1477" s="1" t="s">
        <v>18</v>
      </c>
      <c r="D1477" s="1" t="s">
        <v>44</v>
      </c>
      <c r="E1477" s="1" t="s">
        <v>1388</v>
      </c>
      <c r="F1477">
        <v>5120.59</v>
      </c>
      <c r="G1477">
        <v>11322.76</v>
      </c>
      <c r="H1477">
        <v>5173.1000000000004</v>
      </c>
      <c r="I1477">
        <v>102.66</v>
      </c>
      <c r="J1477">
        <v>125.03</v>
      </c>
      <c r="K1477">
        <v>3277.81</v>
      </c>
      <c r="L1477">
        <v>94.91</v>
      </c>
      <c r="M1477">
        <v>45.56</v>
      </c>
      <c r="N1477">
        <v>720.23</v>
      </c>
      <c r="O1477">
        <v>32.24</v>
      </c>
      <c r="P1477">
        <v>34.83</v>
      </c>
    </row>
    <row r="1478" spans="1:16">
      <c r="A1478" s="1" t="s">
        <v>1460</v>
      </c>
      <c r="B1478" s="1" t="s">
        <v>1535</v>
      </c>
      <c r="C1478" s="1" t="s">
        <v>18</v>
      </c>
      <c r="D1478" s="1" t="s">
        <v>44</v>
      </c>
      <c r="E1478" s="1" t="s">
        <v>1388</v>
      </c>
      <c r="F1478">
        <v>4448.47</v>
      </c>
      <c r="G1478">
        <v>8317.6299999999992</v>
      </c>
      <c r="H1478">
        <v>4708.17</v>
      </c>
      <c r="I1478">
        <v>88.92</v>
      </c>
      <c r="J1478">
        <v>147.11000000000001</v>
      </c>
      <c r="K1478">
        <v>2783.01</v>
      </c>
      <c r="L1478">
        <v>91.18</v>
      </c>
      <c r="M1478">
        <v>45.08</v>
      </c>
      <c r="N1478">
        <v>763.61</v>
      </c>
      <c r="O1478">
        <v>25.52</v>
      </c>
      <c r="P1478">
        <v>32.76</v>
      </c>
    </row>
    <row r="1479" spans="1:16">
      <c r="A1479" s="1" t="s">
        <v>1460</v>
      </c>
      <c r="B1479" s="1" t="s">
        <v>1536</v>
      </c>
      <c r="C1479" s="1" t="s">
        <v>18</v>
      </c>
      <c r="D1479" s="1" t="s">
        <v>44</v>
      </c>
      <c r="E1479" s="1" t="s">
        <v>1388</v>
      </c>
      <c r="F1479">
        <v>4662.58</v>
      </c>
      <c r="G1479">
        <v>10472.540000000001</v>
      </c>
      <c r="H1479">
        <v>6127.36</v>
      </c>
      <c r="I1479">
        <v>120.53</v>
      </c>
      <c r="J1479">
        <v>331.64</v>
      </c>
      <c r="K1479">
        <v>2675.19</v>
      </c>
      <c r="L1479">
        <v>50.16</v>
      </c>
      <c r="M1479">
        <v>58.64</v>
      </c>
      <c r="N1479">
        <v>1085.1300000000001</v>
      </c>
      <c r="O1479">
        <v>24.53</v>
      </c>
      <c r="P1479">
        <v>37.450000000000003</v>
      </c>
    </row>
    <row r="1480" spans="1:16">
      <c r="A1480" s="1" t="s">
        <v>1460</v>
      </c>
      <c r="B1480" s="1" t="s">
        <v>1537</v>
      </c>
      <c r="C1480" s="1" t="s">
        <v>18</v>
      </c>
      <c r="D1480" s="1" t="s">
        <v>44</v>
      </c>
      <c r="E1480" s="1" t="s">
        <v>1388</v>
      </c>
      <c r="F1480">
        <v>4490.7700000000004</v>
      </c>
      <c r="G1480">
        <v>10488.15</v>
      </c>
      <c r="H1480">
        <v>4600.5</v>
      </c>
      <c r="I1480">
        <v>92.64</v>
      </c>
      <c r="J1480">
        <v>146.96</v>
      </c>
      <c r="K1480">
        <v>2847.99</v>
      </c>
      <c r="L1480">
        <v>93.71</v>
      </c>
      <c r="M1480">
        <v>41.23</v>
      </c>
      <c r="N1480">
        <v>775.23</v>
      </c>
      <c r="O1480">
        <v>28.58</v>
      </c>
      <c r="P1480">
        <v>35.11</v>
      </c>
    </row>
    <row r="1481" spans="1:16">
      <c r="A1481" s="1" t="s">
        <v>1460</v>
      </c>
      <c r="B1481" s="1" t="s">
        <v>1538</v>
      </c>
      <c r="C1481" s="1" t="s">
        <v>18</v>
      </c>
      <c r="D1481" s="1" t="s">
        <v>44</v>
      </c>
      <c r="E1481" s="1" t="s">
        <v>1388</v>
      </c>
      <c r="F1481">
        <v>4510.3100000000004</v>
      </c>
      <c r="G1481">
        <v>10016.64</v>
      </c>
      <c r="H1481">
        <v>6187.86</v>
      </c>
      <c r="I1481">
        <v>96.57</v>
      </c>
      <c r="J1481">
        <v>177.55</v>
      </c>
      <c r="K1481">
        <v>2668.83</v>
      </c>
      <c r="L1481">
        <v>104.43</v>
      </c>
      <c r="M1481">
        <v>50.9</v>
      </c>
      <c r="N1481">
        <v>842.62</v>
      </c>
      <c r="O1481">
        <v>25.84</v>
      </c>
      <c r="P1481">
        <v>32.729999999999997</v>
      </c>
    </row>
    <row r="1482" spans="1:16">
      <c r="A1482" s="1" t="s">
        <v>1460</v>
      </c>
      <c r="B1482" s="1" t="s">
        <v>1539</v>
      </c>
      <c r="C1482" s="1" t="s">
        <v>18</v>
      </c>
      <c r="D1482" s="1" t="s">
        <v>44</v>
      </c>
      <c r="E1482" s="1" t="s">
        <v>1388</v>
      </c>
      <c r="F1482">
        <v>3973.16</v>
      </c>
      <c r="G1482">
        <v>9242.11</v>
      </c>
      <c r="H1482">
        <v>4608.6499999999996</v>
      </c>
      <c r="I1482">
        <v>91.98</v>
      </c>
      <c r="J1482">
        <v>105.66</v>
      </c>
      <c r="K1482">
        <v>2411.7399999999998</v>
      </c>
      <c r="L1482">
        <v>92.89</v>
      </c>
      <c r="M1482">
        <v>42.96</v>
      </c>
      <c r="N1482">
        <v>1045.82</v>
      </c>
      <c r="O1482">
        <v>25.2</v>
      </c>
      <c r="P1482">
        <v>33.020000000000003</v>
      </c>
    </row>
    <row r="1483" spans="1:16">
      <c r="A1483" s="1" t="s">
        <v>1460</v>
      </c>
      <c r="B1483" s="1" t="s">
        <v>1540</v>
      </c>
      <c r="C1483" s="1" t="s">
        <v>18</v>
      </c>
      <c r="D1483" s="1" t="s">
        <v>44</v>
      </c>
      <c r="E1483" s="1" t="s">
        <v>1388</v>
      </c>
      <c r="F1483">
        <v>3741.73</v>
      </c>
      <c r="G1483">
        <v>9253.69</v>
      </c>
      <c r="H1483">
        <v>4297.28</v>
      </c>
      <c r="I1483">
        <v>81.36</v>
      </c>
      <c r="J1483">
        <v>74.84</v>
      </c>
      <c r="K1483">
        <v>2484.85</v>
      </c>
      <c r="L1483">
        <v>91.68</v>
      </c>
      <c r="M1483">
        <v>39.64</v>
      </c>
      <c r="N1483">
        <v>836.07</v>
      </c>
      <c r="O1483">
        <v>24.39</v>
      </c>
      <c r="P1483">
        <v>30.55</v>
      </c>
    </row>
    <row r="1484" spans="1:16">
      <c r="A1484" s="1" t="s">
        <v>1460</v>
      </c>
      <c r="B1484" s="1" t="s">
        <v>1541</v>
      </c>
      <c r="C1484" s="1" t="s">
        <v>18</v>
      </c>
      <c r="D1484" s="1" t="s">
        <v>44</v>
      </c>
      <c r="E1484" s="1" t="s">
        <v>1388</v>
      </c>
      <c r="F1484">
        <v>6214.52</v>
      </c>
      <c r="G1484">
        <v>11148.2</v>
      </c>
      <c r="H1484">
        <v>4197.79</v>
      </c>
      <c r="I1484">
        <v>59.66</v>
      </c>
      <c r="J1484">
        <v>359.17</v>
      </c>
      <c r="K1484">
        <v>2690.83</v>
      </c>
      <c r="L1484">
        <v>92.8</v>
      </c>
      <c r="M1484">
        <v>43.98</v>
      </c>
      <c r="N1484">
        <v>852.16</v>
      </c>
      <c r="O1484">
        <v>27.86</v>
      </c>
      <c r="P1484">
        <v>28.47</v>
      </c>
    </row>
    <row r="1485" spans="1:16">
      <c r="A1485" s="1" t="s">
        <v>1460</v>
      </c>
      <c r="B1485" s="1" t="s">
        <v>1542</v>
      </c>
      <c r="C1485" s="1" t="s">
        <v>18</v>
      </c>
      <c r="D1485" s="1" t="s">
        <v>44</v>
      </c>
      <c r="E1485" s="1" t="s">
        <v>1388</v>
      </c>
      <c r="F1485">
        <v>6375.08</v>
      </c>
      <c r="G1485">
        <v>10940.64</v>
      </c>
      <c r="H1485">
        <v>4173.49</v>
      </c>
      <c r="I1485">
        <v>73.290000000000006</v>
      </c>
      <c r="J1485">
        <v>338.41</v>
      </c>
      <c r="K1485">
        <v>2735.82</v>
      </c>
      <c r="L1485">
        <v>97.45</v>
      </c>
      <c r="M1485">
        <v>46.22</v>
      </c>
      <c r="N1485">
        <v>839.91</v>
      </c>
      <c r="O1485">
        <v>30.56</v>
      </c>
      <c r="P1485">
        <v>32.799999999999997</v>
      </c>
    </row>
    <row r="1486" spans="1:16">
      <c r="A1486" s="1" t="s">
        <v>1460</v>
      </c>
      <c r="B1486" s="1" t="s">
        <v>1543</v>
      </c>
      <c r="C1486" s="1" t="s">
        <v>18</v>
      </c>
      <c r="D1486" s="1" t="s">
        <v>44</v>
      </c>
      <c r="E1486" s="1" t="s">
        <v>1388</v>
      </c>
      <c r="F1486">
        <v>4418.7299999999996</v>
      </c>
      <c r="G1486">
        <v>9139.18</v>
      </c>
      <c r="H1486">
        <v>3850.84</v>
      </c>
      <c r="I1486">
        <v>63.58</v>
      </c>
      <c r="J1486">
        <v>20.12</v>
      </c>
      <c r="K1486">
        <v>2354.42</v>
      </c>
      <c r="L1486">
        <v>76.260000000000005</v>
      </c>
      <c r="M1486">
        <v>42.18</v>
      </c>
      <c r="N1486">
        <v>748.3</v>
      </c>
      <c r="O1486">
        <v>24.17</v>
      </c>
      <c r="P1486">
        <v>31.25</v>
      </c>
    </row>
    <row r="1487" spans="1:16">
      <c r="A1487" s="1" t="s">
        <v>1460</v>
      </c>
      <c r="B1487" s="1" t="s">
        <v>1544</v>
      </c>
      <c r="C1487" s="1" t="s">
        <v>18</v>
      </c>
      <c r="D1487" s="1" t="s">
        <v>44</v>
      </c>
      <c r="E1487" s="1" t="s">
        <v>1388</v>
      </c>
      <c r="F1487">
        <v>5525.98</v>
      </c>
      <c r="G1487">
        <v>10788.51</v>
      </c>
      <c r="H1487">
        <v>4518.59</v>
      </c>
      <c r="I1487">
        <v>68.959999999999994</v>
      </c>
      <c r="J1487">
        <v>261.66000000000003</v>
      </c>
      <c r="K1487">
        <v>2880.68</v>
      </c>
      <c r="L1487">
        <v>92.22</v>
      </c>
      <c r="M1487">
        <v>47.3</v>
      </c>
      <c r="N1487">
        <v>749.51</v>
      </c>
      <c r="O1487">
        <v>25.66</v>
      </c>
      <c r="P1487">
        <v>33.65</v>
      </c>
    </row>
    <row r="1488" spans="1:16">
      <c r="A1488" s="1" t="s">
        <v>1460</v>
      </c>
      <c r="B1488" s="1" t="s">
        <v>1545</v>
      </c>
      <c r="C1488" s="1" t="s">
        <v>18</v>
      </c>
      <c r="D1488" s="1" t="s">
        <v>44</v>
      </c>
      <c r="E1488" s="1" t="s">
        <v>1388</v>
      </c>
      <c r="F1488">
        <v>4870.95</v>
      </c>
      <c r="G1488">
        <v>8989.7000000000007</v>
      </c>
      <c r="H1488">
        <v>3512.09</v>
      </c>
      <c r="I1488">
        <v>57.45</v>
      </c>
      <c r="J1488">
        <v>238.89</v>
      </c>
      <c r="K1488">
        <v>2560.91</v>
      </c>
      <c r="L1488">
        <v>80.91</v>
      </c>
      <c r="M1488">
        <v>42.47</v>
      </c>
      <c r="N1488">
        <v>588.84</v>
      </c>
      <c r="O1488">
        <v>23.26</v>
      </c>
      <c r="P1488">
        <v>32.270000000000003</v>
      </c>
    </row>
    <row r="1489" spans="1:16">
      <c r="A1489" s="1" t="s">
        <v>1460</v>
      </c>
      <c r="B1489" s="1" t="s">
        <v>1546</v>
      </c>
      <c r="C1489" s="1" t="s">
        <v>18</v>
      </c>
      <c r="D1489" s="1" t="s">
        <v>44</v>
      </c>
      <c r="E1489" s="1" t="s">
        <v>1388</v>
      </c>
      <c r="F1489">
        <v>5490.55</v>
      </c>
      <c r="G1489">
        <v>10242.15</v>
      </c>
      <c r="H1489">
        <v>4417.7</v>
      </c>
      <c r="I1489">
        <v>66.77</v>
      </c>
      <c r="J1489">
        <v>210.09</v>
      </c>
      <c r="K1489">
        <v>2815.32</v>
      </c>
      <c r="L1489">
        <v>94.82</v>
      </c>
      <c r="M1489">
        <v>51.21</v>
      </c>
      <c r="N1489">
        <v>932.81</v>
      </c>
      <c r="O1489">
        <v>26.38</v>
      </c>
      <c r="P1489">
        <v>35.11</v>
      </c>
    </row>
    <row r="1490" spans="1:16">
      <c r="A1490" s="1" t="s">
        <v>1460</v>
      </c>
      <c r="B1490" s="1" t="s">
        <v>1547</v>
      </c>
      <c r="C1490" s="1" t="s">
        <v>18</v>
      </c>
      <c r="D1490" s="1" t="s">
        <v>44</v>
      </c>
      <c r="E1490" s="1" t="s">
        <v>1388</v>
      </c>
      <c r="F1490">
        <v>5356.49</v>
      </c>
      <c r="G1490">
        <v>9703.35</v>
      </c>
      <c r="H1490">
        <v>3914.04</v>
      </c>
      <c r="I1490">
        <v>63.45</v>
      </c>
      <c r="J1490">
        <v>321</v>
      </c>
      <c r="K1490">
        <v>2899.03</v>
      </c>
      <c r="L1490">
        <v>84.37</v>
      </c>
      <c r="M1490">
        <v>44.64</v>
      </c>
      <c r="N1490">
        <v>720.42</v>
      </c>
      <c r="O1490">
        <v>27</v>
      </c>
      <c r="P1490">
        <v>30.92</v>
      </c>
    </row>
    <row r="1491" spans="1:16">
      <c r="A1491" s="1" t="s">
        <v>1460</v>
      </c>
      <c r="B1491" s="1" t="s">
        <v>1548</v>
      </c>
      <c r="C1491" s="1" t="s">
        <v>18</v>
      </c>
      <c r="D1491" s="1" t="s">
        <v>44</v>
      </c>
      <c r="E1491" s="1" t="s">
        <v>1388</v>
      </c>
      <c r="F1491">
        <v>7366.15</v>
      </c>
      <c r="G1491">
        <v>11840.23</v>
      </c>
      <c r="H1491">
        <v>4945.5200000000004</v>
      </c>
      <c r="I1491">
        <v>80.760000000000005</v>
      </c>
      <c r="J1491">
        <v>349.98</v>
      </c>
      <c r="K1491">
        <v>3566.04</v>
      </c>
      <c r="L1491">
        <v>117.1</v>
      </c>
      <c r="M1491">
        <v>59.08</v>
      </c>
      <c r="N1491">
        <v>869.16</v>
      </c>
      <c r="O1491">
        <v>33.1</v>
      </c>
      <c r="P1491">
        <v>39.11</v>
      </c>
    </row>
    <row r="1492" spans="1:16">
      <c r="A1492" s="1" t="s">
        <v>1460</v>
      </c>
      <c r="B1492" s="1" t="s">
        <v>1549</v>
      </c>
      <c r="C1492" s="1" t="s">
        <v>18</v>
      </c>
      <c r="D1492" s="1" t="s">
        <v>44</v>
      </c>
      <c r="E1492" s="1" t="s">
        <v>1388</v>
      </c>
      <c r="F1492">
        <v>5070.0200000000004</v>
      </c>
      <c r="G1492">
        <v>10421.049999999999</v>
      </c>
      <c r="H1492">
        <v>4283.42</v>
      </c>
      <c r="I1492">
        <v>63.28</v>
      </c>
      <c r="J1492">
        <v>200.75</v>
      </c>
      <c r="K1492">
        <v>2762.27</v>
      </c>
      <c r="L1492">
        <v>90.85</v>
      </c>
      <c r="M1492">
        <v>40.68</v>
      </c>
      <c r="N1492">
        <v>677.85</v>
      </c>
      <c r="O1492">
        <v>23.82</v>
      </c>
      <c r="P1492">
        <v>31</v>
      </c>
    </row>
    <row r="1493" spans="1:16">
      <c r="A1493" s="1" t="s">
        <v>1460</v>
      </c>
      <c r="B1493" s="1" t="s">
        <v>1550</v>
      </c>
      <c r="C1493" s="1" t="s">
        <v>18</v>
      </c>
      <c r="D1493" s="1" t="s">
        <v>44</v>
      </c>
      <c r="E1493" s="1" t="s">
        <v>1388</v>
      </c>
      <c r="F1493">
        <v>5766.27</v>
      </c>
      <c r="G1493">
        <v>11450.45</v>
      </c>
      <c r="H1493">
        <v>4609.09</v>
      </c>
      <c r="I1493">
        <v>66.52</v>
      </c>
      <c r="J1493">
        <v>278.22000000000003</v>
      </c>
      <c r="K1493">
        <v>2863.19</v>
      </c>
      <c r="L1493">
        <v>93.28</v>
      </c>
      <c r="M1493">
        <v>49.81</v>
      </c>
      <c r="N1493">
        <v>730.77</v>
      </c>
      <c r="O1493">
        <v>27.61</v>
      </c>
      <c r="P1493">
        <v>32.94</v>
      </c>
    </row>
    <row r="1494" spans="1:16">
      <c r="A1494" s="1" t="s">
        <v>1460</v>
      </c>
      <c r="B1494" s="1" t="s">
        <v>1551</v>
      </c>
      <c r="C1494" s="1" t="s">
        <v>18</v>
      </c>
      <c r="D1494" s="1" t="s">
        <v>44</v>
      </c>
      <c r="E1494" s="1" t="s">
        <v>1388</v>
      </c>
      <c r="F1494">
        <v>5862.28</v>
      </c>
      <c r="G1494">
        <v>10755.76</v>
      </c>
      <c r="H1494">
        <v>4378.8599999999997</v>
      </c>
      <c r="I1494">
        <v>71.64</v>
      </c>
      <c r="J1494">
        <v>50.97</v>
      </c>
      <c r="K1494">
        <v>2902.26</v>
      </c>
      <c r="L1494">
        <v>93.48</v>
      </c>
      <c r="M1494">
        <v>46.23</v>
      </c>
      <c r="N1494">
        <v>687.91</v>
      </c>
      <c r="O1494">
        <v>26.67</v>
      </c>
      <c r="P1494">
        <v>33.82</v>
      </c>
    </row>
    <row r="1495" spans="1:16">
      <c r="A1495" s="1" t="s">
        <v>1460</v>
      </c>
      <c r="B1495" s="1" t="s">
        <v>1552</v>
      </c>
      <c r="C1495" s="1" t="s">
        <v>18</v>
      </c>
      <c r="D1495" s="1" t="s">
        <v>44</v>
      </c>
      <c r="E1495" s="1" t="s">
        <v>1388</v>
      </c>
      <c r="F1495">
        <v>4953.01</v>
      </c>
      <c r="G1495">
        <v>8687.3700000000008</v>
      </c>
      <c r="H1495">
        <v>3730.55</v>
      </c>
      <c r="I1495">
        <v>54.77</v>
      </c>
      <c r="J1495">
        <v>0.61</v>
      </c>
      <c r="K1495">
        <v>2674.97</v>
      </c>
      <c r="L1495">
        <v>95.08</v>
      </c>
      <c r="M1495">
        <v>43.81</v>
      </c>
      <c r="N1495">
        <v>643.16999999999996</v>
      </c>
      <c r="O1495">
        <v>26.56</v>
      </c>
      <c r="P1495">
        <v>30.3</v>
      </c>
    </row>
    <row r="1496" spans="1:16">
      <c r="A1496" s="1" t="s">
        <v>1460</v>
      </c>
      <c r="B1496" s="1" t="s">
        <v>1553</v>
      </c>
      <c r="C1496" s="1" t="s">
        <v>18</v>
      </c>
      <c r="D1496" s="1" t="s">
        <v>44</v>
      </c>
      <c r="E1496" s="1" t="s">
        <v>1388</v>
      </c>
      <c r="F1496">
        <v>5042.75</v>
      </c>
      <c r="G1496">
        <v>8552.36</v>
      </c>
      <c r="H1496">
        <v>3456.58</v>
      </c>
      <c r="I1496">
        <v>49.18</v>
      </c>
      <c r="J1496">
        <v>0.72</v>
      </c>
      <c r="K1496">
        <v>2680.38</v>
      </c>
      <c r="L1496">
        <v>83.27</v>
      </c>
      <c r="M1496">
        <v>38.44</v>
      </c>
      <c r="N1496">
        <v>698.53</v>
      </c>
      <c r="O1496">
        <v>22.96</v>
      </c>
      <c r="P1496">
        <v>30.39</v>
      </c>
    </row>
    <row r="1497" spans="1:16">
      <c r="A1497" s="1" t="s">
        <v>1460</v>
      </c>
      <c r="B1497" s="1" t="s">
        <v>1554</v>
      </c>
      <c r="C1497" s="1" t="s">
        <v>18</v>
      </c>
      <c r="D1497" s="1" t="s">
        <v>44</v>
      </c>
      <c r="E1497" s="1" t="s">
        <v>1388</v>
      </c>
      <c r="F1497">
        <v>7324.07</v>
      </c>
      <c r="G1497">
        <v>12296.42</v>
      </c>
      <c r="H1497">
        <v>4970.71</v>
      </c>
      <c r="I1497">
        <v>73.39</v>
      </c>
      <c r="J1497">
        <v>0.82</v>
      </c>
      <c r="K1497">
        <v>3023.6</v>
      </c>
      <c r="L1497">
        <v>112.02</v>
      </c>
      <c r="M1497">
        <v>56.89</v>
      </c>
      <c r="N1497">
        <v>904.28</v>
      </c>
      <c r="O1497">
        <v>31.2</v>
      </c>
      <c r="P1497">
        <v>33.549999999999997</v>
      </c>
    </row>
    <row r="1498" spans="1:16">
      <c r="A1498" s="1" t="s">
        <v>1460</v>
      </c>
      <c r="B1498" s="1" t="s">
        <v>1555</v>
      </c>
      <c r="C1498" s="1" t="s">
        <v>18</v>
      </c>
      <c r="D1498" s="1" t="s">
        <v>44</v>
      </c>
      <c r="E1498" s="1" t="s">
        <v>1388</v>
      </c>
      <c r="F1498">
        <v>6587.43</v>
      </c>
      <c r="G1498">
        <v>11385.66</v>
      </c>
      <c r="H1498">
        <v>4487.3999999999996</v>
      </c>
      <c r="I1498">
        <v>65.81</v>
      </c>
      <c r="J1498">
        <v>0.95</v>
      </c>
      <c r="K1498">
        <v>2948.98</v>
      </c>
      <c r="L1498">
        <v>97.93</v>
      </c>
      <c r="M1498">
        <v>44.47</v>
      </c>
      <c r="N1498">
        <v>740.65</v>
      </c>
      <c r="O1498">
        <v>27.3</v>
      </c>
      <c r="P1498">
        <v>36.54</v>
      </c>
    </row>
    <row r="1499" spans="1:16">
      <c r="A1499" s="1" t="s">
        <v>1460</v>
      </c>
      <c r="B1499" s="1" t="s">
        <v>1556</v>
      </c>
      <c r="C1499" s="1" t="s">
        <v>18</v>
      </c>
      <c r="D1499" s="1" t="s">
        <v>44</v>
      </c>
      <c r="E1499" s="1" t="s">
        <v>1388</v>
      </c>
      <c r="F1499">
        <v>5884.35</v>
      </c>
      <c r="G1499">
        <v>11542.16</v>
      </c>
      <c r="H1499">
        <v>4460.26</v>
      </c>
      <c r="I1499">
        <v>58.51</v>
      </c>
      <c r="J1499">
        <v>0.92</v>
      </c>
      <c r="K1499">
        <v>3059.05</v>
      </c>
      <c r="L1499">
        <v>103.76</v>
      </c>
      <c r="M1499">
        <v>42.63</v>
      </c>
      <c r="N1499">
        <v>736.97</v>
      </c>
      <c r="O1499">
        <v>27.06</v>
      </c>
      <c r="P1499">
        <v>35.64</v>
      </c>
    </row>
    <row r="1500" spans="1:16">
      <c r="A1500" s="1" t="s">
        <v>1460</v>
      </c>
      <c r="B1500" s="1" t="s">
        <v>1557</v>
      </c>
      <c r="C1500" s="1" t="s">
        <v>18</v>
      </c>
      <c r="D1500" s="1" t="s">
        <v>44</v>
      </c>
      <c r="E1500" s="1" t="s">
        <v>1388</v>
      </c>
      <c r="F1500">
        <v>5172.93</v>
      </c>
      <c r="G1500">
        <v>8644.83</v>
      </c>
      <c r="H1500">
        <v>3635.22</v>
      </c>
      <c r="I1500">
        <v>52.59</v>
      </c>
      <c r="J1500">
        <v>2.98</v>
      </c>
      <c r="K1500">
        <v>2687.83</v>
      </c>
      <c r="L1500">
        <v>72.67</v>
      </c>
      <c r="M1500">
        <v>41.29</v>
      </c>
      <c r="N1500">
        <v>583.55999999999995</v>
      </c>
      <c r="O1500">
        <v>22.8</v>
      </c>
      <c r="P1500">
        <v>28.69</v>
      </c>
    </row>
    <row r="1501" spans="1:16">
      <c r="A1501" s="1" t="s">
        <v>1460</v>
      </c>
      <c r="B1501" s="1" t="s">
        <v>1558</v>
      </c>
      <c r="C1501" s="1" t="s">
        <v>18</v>
      </c>
      <c r="D1501" s="1" t="s">
        <v>44</v>
      </c>
      <c r="E1501" s="1" t="s">
        <v>1388</v>
      </c>
      <c r="F1501">
        <v>6186.81</v>
      </c>
      <c r="G1501">
        <v>10576.23</v>
      </c>
      <c r="H1501">
        <v>4319.2299999999996</v>
      </c>
      <c r="I1501">
        <v>56.93</v>
      </c>
      <c r="J1501">
        <v>0.62</v>
      </c>
      <c r="K1501">
        <v>2792.3</v>
      </c>
      <c r="L1501">
        <v>98.42</v>
      </c>
      <c r="M1501">
        <v>47.13</v>
      </c>
      <c r="N1501">
        <v>714.84</v>
      </c>
      <c r="O1501">
        <v>24.25</v>
      </c>
      <c r="P1501">
        <v>31.21</v>
      </c>
    </row>
    <row r="1502" spans="1:16">
      <c r="A1502" s="1" t="s">
        <v>1460</v>
      </c>
      <c r="B1502" s="1" t="s">
        <v>1559</v>
      </c>
      <c r="C1502" s="1" t="s">
        <v>18</v>
      </c>
      <c r="D1502" s="1" t="s">
        <v>44</v>
      </c>
      <c r="E1502" s="1" t="s">
        <v>1388</v>
      </c>
      <c r="F1502">
        <v>6388.95</v>
      </c>
      <c r="G1502">
        <v>9719.43</v>
      </c>
      <c r="H1502">
        <v>4282.2700000000004</v>
      </c>
      <c r="I1502">
        <v>63.23</v>
      </c>
      <c r="J1502">
        <v>0.76</v>
      </c>
      <c r="K1502">
        <v>3306.64</v>
      </c>
      <c r="L1502">
        <v>95.9</v>
      </c>
      <c r="M1502">
        <v>54.27</v>
      </c>
      <c r="N1502">
        <v>757.18</v>
      </c>
      <c r="O1502">
        <v>26.59</v>
      </c>
      <c r="P1502">
        <v>35.950000000000003</v>
      </c>
    </row>
    <row r="1503" spans="1:16">
      <c r="A1503" s="1" t="s">
        <v>1460</v>
      </c>
      <c r="B1503" s="1" t="s">
        <v>1560</v>
      </c>
      <c r="C1503" s="1" t="s">
        <v>18</v>
      </c>
      <c r="D1503" s="1" t="s">
        <v>44</v>
      </c>
      <c r="E1503" s="1" t="s">
        <v>1388</v>
      </c>
      <c r="F1503">
        <v>6078.89</v>
      </c>
      <c r="G1503">
        <v>11398.9</v>
      </c>
      <c r="H1503">
        <v>4393.6099999999997</v>
      </c>
      <c r="I1503">
        <v>59.24</v>
      </c>
      <c r="J1503">
        <v>0.87</v>
      </c>
      <c r="K1503">
        <v>2810.61</v>
      </c>
      <c r="L1503">
        <v>104.8</v>
      </c>
      <c r="M1503">
        <v>47.06</v>
      </c>
      <c r="N1503">
        <v>768.78</v>
      </c>
      <c r="O1503">
        <v>25.79</v>
      </c>
      <c r="P1503">
        <v>35.67</v>
      </c>
    </row>
    <row r="1504" spans="1:16">
      <c r="A1504" s="1" t="s">
        <v>1460</v>
      </c>
      <c r="B1504" s="1" t="s">
        <v>1561</v>
      </c>
      <c r="C1504" s="1" t="s">
        <v>18</v>
      </c>
      <c r="D1504" s="1" t="s">
        <v>44</v>
      </c>
      <c r="E1504" s="1" t="s">
        <v>1388</v>
      </c>
      <c r="F1504">
        <v>4912.92</v>
      </c>
      <c r="G1504">
        <v>9420.15</v>
      </c>
      <c r="H1504">
        <v>3706.24</v>
      </c>
      <c r="I1504">
        <v>50.61</v>
      </c>
      <c r="J1504">
        <v>1.35</v>
      </c>
      <c r="K1504">
        <v>2501.2399999999998</v>
      </c>
      <c r="L1504">
        <v>81.069999999999993</v>
      </c>
      <c r="M1504">
        <v>41.08</v>
      </c>
      <c r="N1504">
        <v>617.30999999999995</v>
      </c>
      <c r="O1504">
        <v>21.91</v>
      </c>
      <c r="P1504">
        <v>28.85</v>
      </c>
    </row>
    <row r="1505" spans="1:16">
      <c r="A1505" s="1" t="s">
        <v>1460</v>
      </c>
      <c r="B1505" s="1" t="s">
        <v>1562</v>
      </c>
      <c r="C1505" s="1" t="s">
        <v>18</v>
      </c>
      <c r="D1505" s="1" t="s">
        <v>44</v>
      </c>
      <c r="E1505" s="1" t="s">
        <v>1388</v>
      </c>
      <c r="F1505">
        <v>4663.26</v>
      </c>
      <c r="G1505">
        <v>9442.1299999999992</v>
      </c>
      <c r="H1505">
        <v>4254.2</v>
      </c>
      <c r="I1505">
        <v>75.91</v>
      </c>
      <c r="J1505">
        <v>184.14</v>
      </c>
      <c r="K1505">
        <v>2777.57</v>
      </c>
      <c r="L1505">
        <v>89.53</v>
      </c>
      <c r="M1505">
        <v>47.77</v>
      </c>
      <c r="N1505">
        <v>748.89</v>
      </c>
      <c r="O1505">
        <v>25.45</v>
      </c>
      <c r="P1505">
        <v>31.96</v>
      </c>
    </row>
    <row r="1506" spans="1:16">
      <c r="A1506" s="1" t="s">
        <v>1460</v>
      </c>
      <c r="B1506" s="1" t="s">
        <v>1563</v>
      </c>
      <c r="C1506" s="1" t="s">
        <v>18</v>
      </c>
      <c r="D1506" s="1" t="s">
        <v>44</v>
      </c>
      <c r="E1506" s="1" t="s">
        <v>1388</v>
      </c>
      <c r="F1506">
        <v>4404.5600000000004</v>
      </c>
      <c r="G1506">
        <v>8732.1299999999992</v>
      </c>
      <c r="H1506">
        <v>3886.47</v>
      </c>
      <c r="I1506">
        <v>72.680000000000007</v>
      </c>
      <c r="J1506">
        <v>145.44</v>
      </c>
      <c r="K1506">
        <v>2251.44</v>
      </c>
      <c r="L1506">
        <v>71.63</v>
      </c>
      <c r="M1506">
        <v>40.83</v>
      </c>
      <c r="N1506">
        <v>537.97</v>
      </c>
      <c r="O1506">
        <v>23.74</v>
      </c>
      <c r="P1506">
        <v>25.72</v>
      </c>
    </row>
    <row r="1507" spans="1:16">
      <c r="A1507" s="1" t="s">
        <v>1460</v>
      </c>
      <c r="B1507" s="1" t="s">
        <v>1564</v>
      </c>
      <c r="C1507" s="1" t="s">
        <v>18</v>
      </c>
      <c r="D1507" s="1" t="s">
        <v>44</v>
      </c>
      <c r="E1507" s="1" t="s">
        <v>1388</v>
      </c>
      <c r="F1507">
        <v>5548.56</v>
      </c>
      <c r="G1507">
        <v>10196.24</v>
      </c>
      <c r="H1507">
        <v>4428.1099999999997</v>
      </c>
      <c r="I1507">
        <v>72.91</v>
      </c>
      <c r="J1507">
        <v>133.07</v>
      </c>
      <c r="K1507">
        <v>2876.03</v>
      </c>
      <c r="L1507">
        <v>86.93</v>
      </c>
      <c r="M1507">
        <v>44.3</v>
      </c>
      <c r="N1507">
        <v>736.96</v>
      </c>
      <c r="O1507">
        <v>23.31</v>
      </c>
      <c r="P1507">
        <v>32.56</v>
      </c>
    </row>
    <row r="1508" spans="1:16">
      <c r="A1508" s="1" t="s">
        <v>1460</v>
      </c>
      <c r="B1508" s="1" t="s">
        <v>1565</v>
      </c>
      <c r="C1508" s="1" t="s">
        <v>18</v>
      </c>
      <c r="D1508" s="1" t="s">
        <v>44</v>
      </c>
      <c r="E1508" s="1" t="s">
        <v>1388</v>
      </c>
      <c r="F1508">
        <v>7089.3</v>
      </c>
      <c r="G1508">
        <v>11384.93</v>
      </c>
      <c r="H1508">
        <v>4753.59</v>
      </c>
      <c r="I1508">
        <v>84.51</v>
      </c>
      <c r="J1508">
        <v>176.82</v>
      </c>
      <c r="K1508">
        <v>3480.54</v>
      </c>
      <c r="L1508">
        <v>96.62</v>
      </c>
      <c r="M1508">
        <v>46.92</v>
      </c>
      <c r="N1508">
        <v>821.86</v>
      </c>
      <c r="O1508">
        <v>26.54</v>
      </c>
      <c r="P1508">
        <v>38.79</v>
      </c>
    </row>
    <row r="1509" spans="1:16">
      <c r="A1509" s="1" t="s">
        <v>1460</v>
      </c>
      <c r="B1509" s="1" t="s">
        <v>1566</v>
      </c>
      <c r="C1509" s="1" t="s">
        <v>18</v>
      </c>
      <c r="D1509" s="1" t="s">
        <v>44</v>
      </c>
      <c r="E1509" s="1" t="s">
        <v>1388</v>
      </c>
      <c r="F1509">
        <v>3583.27</v>
      </c>
      <c r="G1509">
        <v>5030.38</v>
      </c>
      <c r="H1509">
        <v>430.58</v>
      </c>
      <c r="I1509">
        <v>48.32</v>
      </c>
      <c r="J1509">
        <v>0.68</v>
      </c>
      <c r="K1509">
        <v>1287.3800000000001</v>
      </c>
      <c r="L1509">
        <v>57.7</v>
      </c>
      <c r="M1509">
        <v>70.09</v>
      </c>
      <c r="N1509">
        <v>508.95</v>
      </c>
      <c r="O1509">
        <v>33.54</v>
      </c>
      <c r="P1509">
        <v>21.31</v>
      </c>
    </row>
    <row r="1510" spans="1:16">
      <c r="A1510" s="1" t="s">
        <v>1460</v>
      </c>
      <c r="B1510" s="1" t="s">
        <v>1567</v>
      </c>
      <c r="C1510" s="1" t="s">
        <v>18</v>
      </c>
      <c r="D1510" s="1" t="s">
        <v>44</v>
      </c>
      <c r="E1510" s="1" t="s">
        <v>1388</v>
      </c>
      <c r="F1510">
        <v>2965.79</v>
      </c>
      <c r="G1510">
        <v>6267.76</v>
      </c>
      <c r="H1510">
        <v>514.65</v>
      </c>
      <c r="I1510">
        <v>63.19</v>
      </c>
      <c r="J1510">
        <v>1.18</v>
      </c>
      <c r="K1510">
        <v>1650.72</v>
      </c>
      <c r="L1510">
        <v>68.62</v>
      </c>
      <c r="M1510">
        <v>100.87</v>
      </c>
      <c r="N1510">
        <v>538.46</v>
      </c>
      <c r="O1510">
        <v>47.38</v>
      </c>
      <c r="P1510">
        <v>27.93</v>
      </c>
    </row>
    <row r="1511" spans="1:16">
      <c r="A1511" s="1" t="s">
        <v>1460</v>
      </c>
      <c r="B1511" s="1" t="s">
        <v>1568</v>
      </c>
      <c r="C1511" s="1" t="s">
        <v>18</v>
      </c>
      <c r="D1511" s="1" t="s">
        <v>44</v>
      </c>
      <c r="E1511" s="1" t="s">
        <v>1388</v>
      </c>
      <c r="F1511">
        <v>3102.27</v>
      </c>
      <c r="G1511">
        <v>6108.54</v>
      </c>
      <c r="H1511">
        <v>510.18</v>
      </c>
      <c r="I1511">
        <v>60.13</v>
      </c>
      <c r="J1511">
        <v>1.01</v>
      </c>
      <c r="K1511">
        <v>1673.04</v>
      </c>
      <c r="L1511">
        <v>68</v>
      </c>
      <c r="M1511">
        <v>85.88</v>
      </c>
      <c r="N1511">
        <v>538.89</v>
      </c>
      <c r="O1511">
        <v>40.619999999999997</v>
      </c>
      <c r="P1511">
        <v>24.84</v>
      </c>
    </row>
    <row r="1512" spans="1:16">
      <c r="A1512" s="1" t="s">
        <v>1460</v>
      </c>
      <c r="B1512" s="1" t="s">
        <v>1569</v>
      </c>
      <c r="C1512" s="1" t="s">
        <v>18</v>
      </c>
      <c r="D1512" s="1" t="s">
        <v>44</v>
      </c>
      <c r="E1512" s="1" t="s">
        <v>1388</v>
      </c>
      <c r="F1512">
        <v>3588.62</v>
      </c>
      <c r="G1512">
        <v>7264.82</v>
      </c>
      <c r="H1512">
        <v>494.93</v>
      </c>
      <c r="I1512">
        <v>63.37</v>
      </c>
      <c r="J1512">
        <v>0.45</v>
      </c>
      <c r="K1512">
        <v>1651.5</v>
      </c>
      <c r="L1512">
        <v>64.290000000000006</v>
      </c>
      <c r="M1512">
        <v>74</v>
      </c>
      <c r="N1512">
        <v>537.39</v>
      </c>
      <c r="O1512">
        <v>41.49</v>
      </c>
      <c r="P1512">
        <v>22.83</v>
      </c>
    </row>
    <row r="1513" spans="1:16">
      <c r="A1513" s="1" t="s">
        <v>1460</v>
      </c>
      <c r="B1513" s="1" t="s">
        <v>1570</v>
      </c>
      <c r="C1513" s="1" t="s">
        <v>18</v>
      </c>
      <c r="D1513" s="1" t="s">
        <v>44</v>
      </c>
      <c r="E1513" s="1" t="s">
        <v>1388</v>
      </c>
      <c r="F1513">
        <v>3669.49</v>
      </c>
      <c r="G1513">
        <v>6765.45</v>
      </c>
      <c r="H1513">
        <v>484.75</v>
      </c>
      <c r="I1513">
        <v>61.49</v>
      </c>
      <c r="J1513">
        <v>3.23</v>
      </c>
      <c r="K1513">
        <v>1328.61</v>
      </c>
      <c r="L1513">
        <v>46.67</v>
      </c>
      <c r="M1513">
        <v>70.41</v>
      </c>
      <c r="N1513">
        <v>522.82000000000005</v>
      </c>
      <c r="O1513">
        <v>40.51</v>
      </c>
      <c r="P1513">
        <v>20.52</v>
      </c>
    </row>
    <row r="1514" spans="1:16">
      <c r="A1514" s="1" t="s">
        <v>1460</v>
      </c>
      <c r="B1514" s="1" t="s">
        <v>1571</v>
      </c>
      <c r="C1514" s="1" t="s">
        <v>18</v>
      </c>
      <c r="D1514" s="1" t="s">
        <v>44</v>
      </c>
      <c r="E1514" s="1" t="s">
        <v>1388</v>
      </c>
      <c r="F1514">
        <v>4361.54</v>
      </c>
      <c r="G1514">
        <v>7776.12</v>
      </c>
      <c r="H1514">
        <v>554.54</v>
      </c>
      <c r="I1514">
        <v>68.599999999999994</v>
      </c>
      <c r="J1514">
        <v>0.7</v>
      </c>
      <c r="K1514">
        <v>1755.73</v>
      </c>
      <c r="L1514">
        <v>68.180000000000007</v>
      </c>
      <c r="M1514">
        <v>82.62</v>
      </c>
      <c r="N1514">
        <v>508.32</v>
      </c>
      <c r="O1514">
        <v>42.91</v>
      </c>
      <c r="P1514">
        <v>24.72</v>
      </c>
    </row>
    <row r="1515" spans="1:16">
      <c r="A1515" s="1" t="s">
        <v>1460</v>
      </c>
      <c r="B1515" s="1" t="s">
        <v>1572</v>
      </c>
      <c r="C1515" s="1" t="s">
        <v>18</v>
      </c>
      <c r="D1515" s="1" t="s">
        <v>44</v>
      </c>
      <c r="E1515" s="1" t="s">
        <v>1388</v>
      </c>
      <c r="F1515">
        <v>4090.07</v>
      </c>
      <c r="G1515">
        <v>7261.95</v>
      </c>
      <c r="H1515">
        <v>525.38</v>
      </c>
      <c r="I1515">
        <v>69.16</v>
      </c>
      <c r="J1515" s="11">
        <f>0.359630901/2</f>
        <v>0.1798154505</v>
      </c>
      <c r="K1515">
        <v>1800.95</v>
      </c>
      <c r="L1515">
        <v>60.74</v>
      </c>
      <c r="M1515">
        <v>69.44</v>
      </c>
      <c r="N1515">
        <v>515.77</v>
      </c>
      <c r="O1515">
        <v>38.5</v>
      </c>
      <c r="P1515">
        <v>22.25</v>
      </c>
    </row>
    <row r="1516" spans="1:16">
      <c r="A1516" s="1" t="s">
        <v>1460</v>
      </c>
      <c r="B1516" s="1" t="s">
        <v>1573</v>
      </c>
      <c r="C1516" s="1" t="s">
        <v>18</v>
      </c>
      <c r="D1516" s="1" t="s">
        <v>44</v>
      </c>
      <c r="E1516" s="1" t="s">
        <v>1388</v>
      </c>
      <c r="F1516">
        <v>7009.01</v>
      </c>
      <c r="G1516">
        <v>8342.07</v>
      </c>
      <c r="H1516">
        <v>559.03</v>
      </c>
      <c r="I1516">
        <v>71.33</v>
      </c>
      <c r="J1516" s="11">
        <f>0.359630901/2</f>
        <v>0.1798154505</v>
      </c>
      <c r="K1516">
        <v>2114.9</v>
      </c>
      <c r="L1516">
        <v>73.260000000000005</v>
      </c>
      <c r="M1516">
        <v>89.2</v>
      </c>
      <c r="N1516">
        <v>559.51</v>
      </c>
      <c r="O1516">
        <v>44.37</v>
      </c>
      <c r="P1516">
        <v>29.91</v>
      </c>
    </row>
    <row r="1517" spans="1:16">
      <c r="A1517" s="1" t="s">
        <v>1460</v>
      </c>
      <c r="B1517" s="1" t="s">
        <v>1574</v>
      </c>
      <c r="C1517" s="1" t="s">
        <v>18</v>
      </c>
      <c r="D1517" s="1" t="s">
        <v>44</v>
      </c>
      <c r="E1517" s="1" t="s">
        <v>1388</v>
      </c>
      <c r="F1517">
        <v>4344.8900000000003</v>
      </c>
      <c r="G1517">
        <v>7518.17</v>
      </c>
      <c r="H1517">
        <v>524.34</v>
      </c>
      <c r="I1517">
        <v>71.84</v>
      </c>
      <c r="J1517" s="11">
        <f>0.359630901/2</f>
        <v>0.1798154505</v>
      </c>
      <c r="K1517">
        <v>2076.7600000000002</v>
      </c>
      <c r="L1517">
        <v>69.8</v>
      </c>
      <c r="M1517">
        <v>86.34</v>
      </c>
      <c r="N1517">
        <v>579.55999999999995</v>
      </c>
      <c r="O1517">
        <v>40.94</v>
      </c>
      <c r="P1517">
        <v>25.26</v>
      </c>
    </row>
    <row r="1518" spans="1:16">
      <c r="A1518" s="1" t="s">
        <v>1460</v>
      </c>
      <c r="B1518" s="1" t="s">
        <v>1575</v>
      </c>
      <c r="C1518" s="1" t="s">
        <v>18</v>
      </c>
      <c r="D1518" s="1" t="s">
        <v>44</v>
      </c>
      <c r="E1518" s="1" t="s">
        <v>1388</v>
      </c>
      <c r="F1518">
        <v>4206.28</v>
      </c>
      <c r="G1518">
        <v>6972.32</v>
      </c>
      <c r="H1518">
        <v>457.88</v>
      </c>
      <c r="I1518">
        <v>62.53</v>
      </c>
      <c r="J1518">
        <v>0.38</v>
      </c>
      <c r="K1518">
        <v>1832.71</v>
      </c>
      <c r="L1518">
        <v>61.17</v>
      </c>
      <c r="M1518">
        <v>75.760000000000005</v>
      </c>
      <c r="N1518">
        <v>518.58000000000004</v>
      </c>
      <c r="O1518">
        <v>38.93</v>
      </c>
      <c r="P1518">
        <v>24.11</v>
      </c>
    </row>
    <row r="1519" spans="1:16">
      <c r="A1519" s="1" t="s">
        <v>1460</v>
      </c>
      <c r="B1519" s="1" t="s">
        <v>1576</v>
      </c>
      <c r="C1519" s="1" t="s">
        <v>18</v>
      </c>
      <c r="D1519" s="1" t="s">
        <v>44</v>
      </c>
      <c r="E1519" s="1" t="s">
        <v>1388</v>
      </c>
      <c r="F1519">
        <v>3091.37</v>
      </c>
      <c r="G1519">
        <v>6537.21</v>
      </c>
      <c r="H1519">
        <v>471.17</v>
      </c>
      <c r="I1519">
        <v>61.91</v>
      </c>
      <c r="J1519">
        <v>2.91</v>
      </c>
      <c r="K1519">
        <v>1146.05</v>
      </c>
      <c r="L1519">
        <v>46.48</v>
      </c>
      <c r="M1519">
        <v>68.16</v>
      </c>
      <c r="N1519">
        <v>486.6</v>
      </c>
      <c r="O1519">
        <v>38.299999999999997</v>
      </c>
      <c r="P1519">
        <v>20.55</v>
      </c>
    </row>
    <row r="1520" spans="1:16">
      <c r="A1520" s="1" t="s">
        <v>1460</v>
      </c>
      <c r="B1520" s="1" t="s">
        <v>1577</v>
      </c>
      <c r="C1520" s="1" t="s">
        <v>18</v>
      </c>
      <c r="D1520" s="1" t="s">
        <v>44</v>
      </c>
      <c r="E1520" s="1" t="s">
        <v>1388</v>
      </c>
      <c r="F1520">
        <v>3893.79</v>
      </c>
      <c r="G1520">
        <v>7054.52</v>
      </c>
      <c r="H1520">
        <v>500.12</v>
      </c>
      <c r="I1520">
        <v>62.08</v>
      </c>
      <c r="J1520">
        <v>0.66</v>
      </c>
      <c r="K1520">
        <v>1890.62</v>
      </c>
      <c r="L1520">
        <v>60.04</v>
      </c>
      <c r="M1520">
        <v>67.52</v>
      </c>
      <c r="N1520">
        <v>490.02</v>
      </c>
      <c r="O1520">
        <v>39.07</v>
      </c>
      <c r="P1520">
        <v>26.93</v>
      </c>
    </row>
    <row r="1521" spans="1:16">
      <c r="A1521" s="1" t="s">
        <v>1460</v>
      </c>
      <c r="B1521" s="1" t="s">
        <v>1578</v>
      </c>
      <c r="C1521" s="1" t="s">
        <v>18</v>
      </c>
      <c r="D1521" s="1" t="s">
        <v>44</v>
      </c>
      <c r="E1521" s="1" t="s">
        <v>1388</v>
      </c>
      <c r="F1521">
        <v>3500.27</v>
      </c>
      <c r="G1521">
        <v>5937.1</v>
      </c>
      <c r="H1521">
        <v>408.74</v>
      </c>
      <c r="I1521">
        <v>52.26</v>
      </c>
      <c r="J1521">
        <v>0.83</v>
      </c>
      <c r="K1521">
        <v>1165.3900000000001</v>
      </c>
      <c r="L1521">
        <v>39.64</v>
      </c>
      <c r="M1521">
        <v>51.27</v>
      </c>
      <c r="N1521">
        <v>416.95</v>
      </c>
      <c r="O1521">
        <v>40.54</v>
      </c>
      <c r="P1521">
        <v>16.63</v>
      </c>
    </row>
    <row r="1522" spans="1:16">
      <c r="A1522" s="1" t="s">
        <v>1460</v>
      </c>
      <c r="B1522" s="1" t="s">
        <v>1579</v>
      </c>
      <c r="C1522" s="1" t="s">
        <v>18</v>
      </c>
      <c r="D1522" s="1" t="s">
        <v>44</v>
      </c>
      <c r="E1522" s="1" t="s">
        <v>1388</v>
      </c>
      <c r="F1522">
        <v>2569.87</v>
      </c>
      <c r="G1522">
        <v>5253.71</v>
      </c>
      <c r="H1522">
        <v>391.56</v>
      </c>
      <c r="I1522">
        <v>50.95</v>
      </c>
      <c r="J1522">
        <v>1.02</v>
      </c>
      <c r="K1522">
        <v>1138.46</v>
      </c>
      <c r="L1522">
        <v>38.85</v>
      </c>
      <c r="M1522">
        <v>48.18</v>
      </c>
      <c r="N1522">
        <v>382.26</v>
      </c>
      <c r="O1522">
        <v>32.57</v>
      </c>
      <c r="P1522">
        <v>17.559999999999999</v>
      </c>
    </row>
    <row r="1523" spans="1:16">
      <c r="A1523" s="1" t="s">
        <v>1460</v>
      </c>
      <c r="B1523" s="1" t="s">
        <v>1580</v>
      </c>
      <c r="C1523" s="1" t="s">
        <v>18</v>
      </c>
      <c r="D1523" s="1" t="s">
        <v>44</v>
      </c>
      <c r="E1523" s="1" t="s">
        <v>1388</v>
      </c>
      <c r="F1523">
        <v>65.7</v>
      </c>
      <c r="G1523">
        <v>6.07</v>
      </c>
      <c r="H1523">
        <v>0.28000000000000003</v>
      </c>
      <c r="I1523">
        <v>1</v>
      </c>
      <c r="J1523" s="11">
        <f>0.359630901/2</f>
        <v>0.1798154505</v>
      </c>
      <c r="K1523">
        <v>1211.4100000000001</v>
      </c>
      <c r="L1523">
        <v>6.19</v>
      </c>
      <c r="M1523">
        <v>17.87</v>
      </c>
      <c r="N1523">
        <v>19.600000000000001</v>
      </c>
      <c r="O1523">
        <f>0.03879/2</f>
        <v>1.9394999999999999E-2</v>
      </c>
      <c r="P1523">
        <v>0.107</v>
      </c>
    </row>
    <row r="1524" spans="1:16">
      <c r="A1524" s="1" t="s">
        <v>1460</v>
      </c>
      <c r="B1524" s="1" t="s">
        <v>1581</v>
      </c>
      <c r="C1524" s="1" t="s">
        <v>18</v>
      </c>
      <c r="D1524" s="1" t="s">
        <v>44</v>
      </c>
      <c r="E1524" s="1" t="s">
        <v>1388</v>
      </c>
      <c r="F1524">
        <v>4211.51</v>
      </c>
      <c r="G1524">
        <v>7321.66</v>
      </c>
      <c r="H1524">
        <v>465.63</v>
      </c>
      <c r="I1524">
        <v>55.04</v>
      </c>
      <c r="J1524">
        <v>2.21</v>
      </c>
      <c r="K1524">
        <v>1310.67</v>
      </c>
      <c r="L1524">
        <v>48.63</v>
      </c>
      <c r="M1524">
        <v>70.13</v>
      </c>
      <c r="N1524">
        <v>481.43</v>
      </c>
      <c r="O1524">
        <v>37.29</v>
      </c>
      <c r="P1524">
        <v>22.33</v>
      </c>
    </row>
    <row r="1525" spans="1:16">
      <c r="A1525" s="1" t="s">
        <v>1460</v>
      </c>
      <c r="B1525" s="1" t="s">
        <v>1582</v>
      </c>
      <c r="C1525" s="1" t="s">
        <v>18</v>
      </c>
      <c r="D1525" s="1" t="s">
        <v>44</v>
      </c>
      <c r="E1525" s="1" t="s">
        <v>1388</v>
      </c>
      <c r="F1525">
        <v>4318.9399999999996</v>
      </c>
      <c r="G1525">
        <v>7386.8</v>
      </c>
      <c r="H1525">
        <v>475.32</v>
      </c>
      <c r="I1525">
        <v>55.02</v>
      </c>
      <c r="J1525">
        <v>1.43</v>
      </c>
      <c r="K1525">
        <v>1477.07</v>
      </c>
      <c r="L1525">
        <v>53.95</v>
      </c>
      <c r="M1525">
        <v>71.86</v>
      </c>
      <c r="N1525">
        <v>489.08</v>
      </c>
      <c r="O1525">
        <v>41.52</v>
      </c>
      <c r="P1525">
        <v>22.27</v>
      </c>
    </row>
    <row r="1526" spans="1:16">
      <c r="A1526" s="1" t="s">
        <v>1460</v>
      </c>
      <c r="B1526" s="1" t="s">
        <v>1583</v>
      </c>
      <c r="C1526" s="1" t="s">
        <v>18</v>
      </c>
      <c r="D1526" s="1" t="s">
        <v>44</v>
      </c>
      <c r="E1526" s="1" t="s">
        <v>1388</v>
      </c>
      <c r="F1526">
        <v>5280.38</v>
      </c>
      <c r="G1526">
        <v>7830.07</v>
      </c>
      <c r="H1526">
        <v>476.44</v>
      </c>
      <c r="I1526">
        <v>63.47</v>
      </c>
      <c r="J1526">
        <v>0.55000000000000004</v>
      </c>
      <c r="K1526">
        <v>2277.3200000000002</v>
      </c>
      <c r="L1526">
        <v>77.16</v>
      </c>
      <c r="M1526">
        <v>91.94</v>
      </c>
      <c r="N1526">
        <v>592.86</v>
      </c>
      <c r="O1526">
        <v>44.52</v>
      </c>
      <c r="P1526">
        <v>28.16</v>
      </c>
    </row>
    <row r="1527" spans="1:16">
      <c r="A1527" s="1" t="s">
        <v>1460</v>
      </c>
      <c r="B1527" s="1" t="s">
        <v>1584</v>
      </c>
      <c r="C1527" s="1" t="s">
        <v>18</v>
      </c>
      <c r="D1527" s="1" t="s">
        <v>44</v>
      </c>
      <c r="E1527" s="1" t="s">
        <v>1388</v>
      </c>
      <c r="F1527">
        <v>3952.77</v>
      </c>
      <c r="G1527">
        <v>6248.61</v>
      </c>
      <c r="H1527">
        <v>405.82</v>
      </c>
      <c r="I1527">
        <v>51.83</v>
      </c>
      <c r="J1527">
        <v>0.7</v>
      </c>
      <c r="K1527">
        <v>1722.79</v>
      </c>
      <c r="L1527">
        <v>63.02</v>
      </c>
      <c r="M1527">
        <v>76.12</v>
      </c>
      <c r="N1527">
        <v>499.72</v>
      </c>
      <c r="O1527">
        <v>39.979999999999997</v>
      </c>
      <c r="P1527">
        <v>22.1</v>
      </c>
    </row>
    <row r="1528" spans="1:16">
      <c r="A1528" s="1" t="s">
        <v>1460</v>
      </c>
      <c r="B1528" s="1" t="s">
        <v>1585</v>
      </c>
      <c r="C1528" s="1" t="s">
        <v>18</v>
      </c>
      <c r="D1528" s="1" t="s">
        <v>44</v>
      </c>
      <c r="E1528" s="1" t="s">
        <v>1388</v>
      </c>
      <c r="F1528">
        <v>4639.17</v>
      </c>
      <c r="G1528">
        <v>7153.96</v>
      </c>
      <c r="H1528">
        <v>451.59</v>
      </c>
      <c r="I1528">
        <v>54</v>
      </c>
      <c r="J1528">
        <v>1.53</v>
      </c>
      <c r="K1528">
        <v>1938.94</v>
      </c>
      <c r="L1528">
        <v>71.2</v>
      </c>
      <c r="M1528">
        <v>76.400000000000006</v>
      </c>
      <c r="N1528">
        <v>515.47</v>
      </c>
      <c r="O1528">
        <v>41.32</v>
      </c>
      <c r="P1528">
        <v>25.3</v>
      </c>
    </row>
    <row r="1529" spans="1:16">
      <c r="A1529" s="1" t="s">
        <v>1460</v>
      </c>
      <c r="B1529" s="1" t="s">
        <v>1586</v>
      </c>
      <c r="C1529" s="1" t="s">
        <v>18</v>
      </c>
      <c r="D1529" s="1" t="s">
        <v>44</v>
      </c>
      <c r="E1529" s="1" t="s">
        <v>1388</v>
      </c>
      <c r="F1529">
        <v>5098.37</v>
      </c>
      <c r="G1529">
        <v>7171.25</v>
      </c>
      <c r="H1529">
        <v>440.08</v>
      </c>
      <c r="I1529">
        <v>55.93</v>
      </c>
      <c r="J1529">
        <v>1.52</v>
      </c>
      <c r="K1529">
        <v>1931.02</v>
      </c>
      <c r="L1529">
        <v>67.569999999999993</v>
      </c>
      <c r="M1529">
        <v>84.96</v>
      </c>
      <c r="N1529">
        <v>571.21</v>
      </c>
      <c r="O1529">
        <v>39.9</v>
      </c>
      <c r="P1529">
        <v>25.76</v>
      </c>
    </row>
    <row r="1530" spans="1:16">
      <c r="A1530" s="1" t="s">
        <v>1460</v>
      </c>
      <c r="B1530" s="1" t="s">
        <v>1587</v>
      </c>
      <c r="C1530" s="1" t="s">
        <v>18</v>
      </c>
      <c r="D1530" s="1" t="s">
        <v>44</v>
      </c>
      <c r="E1530" s="1" t="s">
        <v>1388</v>
      </c>
      <c r="F1530">
        <v>5170.7700000000004</v>
      </c>
      <c r="G1530">
        <v>6814.11</v>
      </c>
      <c r="H1530">
        <v>427.97</v>
      </c>
      <c r="I1530">
        <v>49.62</v>
      </c>
      <c r="J1530">
        <v>0.76</v>
      </c>
      <c r="K1530">
        <v>2013.83</v>
      </c>
      <c r="L1530">
        <v>69.819999999999993</v>
      </c>
      <c r="M1530">
        <v>78.650000000000006</v>
      </c>
      <c r="N1530">
        <v>517.78</v>
      </c>
      <c r="O1530">
        <v>40.799999999999997</v>
      </c>
      <c r="P1530">
        <v>26.35</v>
      </c>
    </row>
    <row r="1531" spans="1:16">
      <c r="A1531" s="1" t="s">
        <v>1460</v>
      </c>
      <c r="B1531" s="1" t="s">
        <v>1588</v>
      </c>
      <c r="C1531" s="1" t="s">
        <v>18</v>
      </c>
      <c r="D1531" s="1" t="s">
        <v>44</v>
      </c>
      <c r="E1531" s="1" t="s">
        <v>1388</v>
      </c>
      <c r="F1531">
        <v>5661.9</v>
      </c>
      <c r="G1531">
        <v>8178.18</v>
      </c>
      <c r="H1531">
        <v>503.85</v>
      </c>
      <c r="I1531">
        <v>63.19</v>
      </c>
      <c r="J1531" s="11">
        <f>0.359630901/2</f>
        <v>0.1798154505</v>
      </c>
      <c r="K1531">
        <v>2390.33</v>
      </c>
      <c r="L1531">
        <v>80.48</v>
      </c>
      <c r="M1531">
        <v>100.3</v>
      </c>
      <c r="N1531">
        <v>732.9</v>
      </c>
      <c r="O1531">
        <v>46.94</v>
      </c>
      <c r="P1531">
        <v>32.229999999999997</v>
      </c>
    </row>
    <row r="1532" spans="1:16">
      <c r="A1532" s="1" t="s">
        <v>1460</v>
      </c>
      <c r="B1532" s="1" t="s">
        <v>1589</v>
      </c>
      <c r="C1532" s="1" t="s">
        <v>18</v>
      </c>
      <c r="D1532" s="1" t="s">
        <v>44</v>
      </c>
      <c r="E1532" s="1" t="s">
        <v>1388</v>
      </c>
      <c r="F1532">
        <v>4761.7</v>
      </c>
      <c r="G1532">
        <v>7354.62</v>
      </c>
      <c r="H1532">
        <v>461.08</v>
      </c>
      <c r="I1532">
        <v>54.48</v>
      </c>
      <c r="J1532">
        <v>0.63</v>
      </c>
      <c r="K1532">
        <v>1967.8</v>
      </c>
      <c r="L1532">
        <v>72.349999999999994</v>
      </c>
      <c r="M1532">
        <v>88.42</v>
      </c>
      <c r="N1532">
        <v>560.42999999999995</v>
      </c>
      <c r="O1532">
        <v>41.73</v>
      </c>
      <c r="P1532">
        <v>25.85</v>
      </c>
    </row>
    <row r="1533" spans="1:16">
      <c r="A1533" s="1" t="s">
        <v>1460</v>
      </c>
      <c r="B1533" s="1" t="s">
        <v>1590</v>
      </c>
      <c r="C1533" s="1" t="s">
        <v>18</v>
      </c>
      <c r="D1533" s="1" t="s">
        <v>44</v>
      </c>
      <c r="E1533" s="1" t="s">
        <v>1388</v>
      </c>
      <c r="F1533">
        <v>3767.39</v>
      </c>
      <c r="G1533">
        <v>5774.28</v>
      </c>
      <c r="H1533">
        <v>370.52</v>
      </c>
      <c r="I1533">
        <v>45.26</v>
      </c>
      <c r="J1533" s="11">
        <f>0.359630901/2</f>
        <v>0.1798154505</v>
      </c>
      <c r="K1533">
        <v>1568.95</v>
      </c>
      <c r="L1533">
        <v>54.43</v>
      </c>
      <c r="M1533">
        <v>66.27</v>
      </c>
      <c r="N1533">
        <v>459.99</v>
      </c>
      <c r="O1533">
        <v>36.49</v>
      </c>
      <c r="P1533">
        <v>21.15</v>
      </c>
    </row>
    <row r="1534" spans="1:16">
      <c r="A1534" s="1" t="s">
        <v>1460</v>
      </c>
      <c r="B1534" s="1" t="s">
        <v>1591</v>
      </c>
      <c r="C1534" s="1" t="s">
        <v>18</v>
      </c>
      <c r="D1534" s="1" t="s">
        <v>44</v>
      </c>
      <c r="E1534" s="1" t="s">
        <v>1388</v>
      </c>
      <c r="F1534">
        <v>4264.3599999999997</v>
      </c>
      <c r="G1534">
        <v>6618.45</v>
      </c>
      <c r="H1534">
        <v>393.44</v>
      </c>
      <c r="I1534">
        <v>48.93</v>
      </c>
      <c r="J1534" s="11">
        <f>0.359630901/2</f>
        <v>0.1798154505</v>
      </c>
      <c r="K1534">
        <v>1838.86</v>
      </c>
      <c r="L1534">
        <v>60.75</v>
      </c>
      <c r="M1534">
        <v>73.55</v>
      </c>
      <c r="N1534">
        <v>508.81</v>
      </c>
      <c r="O1534">
        <v>37.299999999999997</v>
      </c>
      <c r="P1534">
        <v>26.66</v>
      </c>
    </row>
    <row r="1535" spans="1:16">
      <c r="A1535" s="1" t="s">
        <v>1460</v>
      </c>
      <c r="B1535" s="1" t="s">
        <v>1592</v>
      </c>
      <c r="C1535" s="1" t="s">
        <v>18</v>
      </c>
      <c r="D1535" s="1" t="s">
        <v>44</v>
      </c>
      <c r="E1535" s="1" t="s">
        <v>1388</v>
      </c>
      <c r="F1535">
        <v>5379.79</v>
      </c>
      <c r="G1535">
        <v>7925.47</v>
      </c>
      <c r="H1535">
        <v>470.27</v>
      </c>
      <c r="I1535">
        <v>53.7</v>
      </c>
      <c r="J1535" s="11">
        <f>0.359630901/2</f>
        <v>0.1798154505</v>
      </c>
      <c r="K1535">
        <v>2108.91</v>
      </c>
      <c r="L1535">
        <v>76.3</v>
      </c>
      <c r="M1535">
        <v>88.7</v>
      </c>
      <c r="N1535">
        <v>581.92999999999995</v>
      </c>
      <c r="O1535">
        <v>46.46</v>
      </c>
      <c r="P1535">
        <v>30.94</v>
      </c>
    </row>
    <row r="1536" spans="1:16">
      <c r="A1536" s="1" t="s">
        <v>1460</v>
      </c>
      <c r="B1536" s="1" t="s">
        <v>1593</v>
      </c>
      <c r="C1536" s="1" t="s">
        <v>18</v>
      </c>
      <c r="D1536" s="1" t="s">
        <v>44</v>
      </c>
      <c r="E1536" s="1" t="s">
        <v>1388</v>
      </c>
      <c r="F1536">
        <v>5140.91</v>
      </c>
      <c r="G1536">
        <v>7585.96</v>
      </c>
      <c r="H1536">
        <v>479.91</v>
      </c>
      <c r="I1536">
        <v>57.87</v>
      </c>
      <c r="J1536">
        <v>0.8</v>
      </c>
      <c r="K1536">
        <v>2101.88</v>
      </c>
      <c r="L1536">
        <v>76.760000000000005</v>
      </c>
      <c r="M1536">
        <v>88.43</v>
      </c>
      <c r="N1536">
        <v>566.92999999999995</v>
      </c>
      <c r="O1536">
        <v>44.8</v>
      </c>
      <c r="P1536">
        <v>27.66</v>
      </c>
    </row>
    <row r="1537" spans="1:16">
      <c r="A1537" s="1" t="s">
        <v>1460</v>
      </c>
      <c r="B1537" s="1" t="s">
        <v>1594</v>
      </c>
      <c r="C1537" s="1" t="s">
        <v>18</v>
      </c>
      <c r="D1537" s="1" t="s">
        <v>44</v>
      </c>
      <c r="E1537" s="1" t="s">
        <v>1388</v>
      </c>
      <c r="F1537">
        <v>4521.71</v>
      </c>
      <c r="G1537">
        <v>7059.74</v>
      </c>
      <c r="H1537">
        <v>439.18</v>
      </c>
      <c r="I1537">
        <v>55.22</v>
      </c>
      <c r="J1537">
        <v>0.46</v>
      </c>
      <c r="K1537">
        <v>2116.5700000000002</v>
      </c>
      <c r="L1537">
        <v>71.790000000000006</v>
      </c>
      <c r="M1537">
        <v>80.709999999999994</v>
      </c>
      <c r="N1537">
        <v>549.03</v>
      </c>
      <c r="O1537">
        <v>40.369999999999997</v>
      </c>
      <c r="P1537">
        <v>25.45</v>
      </c>
    </row>
    <row r="1538" spans="1:16">
      <c r="A1538" s="1" t="s">
        <v>1460</v>
      </c>
      <c r="B1538" s="1" t="s">
        <v>1595</v>
      </c>
      <c r="C1538" s="1" t="s">
        <v>18</v>
      </c>
      <c r="D1538" s="1" t="s">
        <v>44</v>
      </c>
      <c r="E1538" s="1" t="s">
        <v>1388</v>
      </c>
      <c r="F1538">
        <v>5178.3599999999997</v>
      </c>
      <c r="G1538">
        <v>8091.51</v>
      </c>
      <c r="H1538">
        <v>515.01</v>
      </c>
      <c r="I1538">
        <v>61.11</v>
      </c>
      <c r="J1538">
        <v>0.31</v>
      </c>
      <c r="K1538">
        <v>2042.82</v>
      </c>
      <c r="L1538">
        <v>78.739999999999995</v>
      </c>
      <c r="M1538">
        <v>84.69</v>
      </c>
      <c r="N1538">
        <v>563.99</v>
      </c>
      <c r="O1538">
        <v>40.380000000000003</v>
      </c>
      <c r="P1538">
        <v>27.8</v>
      </c>
    </row>
    <row r="1539" spans="1:16">
      <c r="A1539" s="1" t="s">
        <v>1460</v>
      </c>
      <c r="B1539" s="1" t="s">
        <v>1596</v>
      </c>
      <c r="C1539" s="1" t="s">
        <v>18</v>
      </c>
      <c r="D1539" s="1" t="s">
        <v>44</v>
      </c>
      <c r="E1539" s="1" t="s">
        <v>1388</v>
      </c>
      <c r="F1539">
        <v>4233.79</v>
      </c>
      <c r="G1539">
        <v>5350.43</v>
      </c>
      <c r="H1539">
        <v>389.89</v>
      </c>
      <c r="I1539">
        <v>61.63</v>
      </c>
      <c r="J1539">
        <v>2.4900000000000002</v>
      </c>
      <c r="K1539">
        <v>1991.93</v>
      </c>
      <c r="L1539">
        <v>67.56</v>
      </c>
      <c r="M1539">
        <v>79.8</v>
      </c>
      <c r="N1539">
        <v>535.22</v>
      </c>
      <c r="O1539">
        <v>37.369999999999997</v>
      </c>
      <c r="P1539">
        <v>23.02</v>
      </c>
    </row>
    <row r="1540" spans="1:16">
      <c r="A1540" s="1" t="s">
        <v>1460</v>
      </c>
      <c r="B1540" s="1" t="s">
        <v>1597</v>
      </c>
      <c r="C1540" s="1" t="s">
        <v>18</v>
      </c>
      <c r="D1540" s="1" t="s">
        <v>44</v>
      </c>
      <c r="E1540" s="1" t="s">
        <v>1388</v>
      </c>
      <c r="F1540">
        <v>4346.8599999999997</v>
      </c>
      <c r="G1540">
        <v>6819.49</v>
      </c>
      <c r="H1540">
        <v>428.96</v>
      </c>
      <c r="I1540">
        <v>72.069999999999993</v>
      </c>
      <c r="J1540" s="11">
        <f>0.359630901/2</f>
        <v>0.1798154505</v>
      </c>
      <c r="K1540">
        <v>1922.17</v>
      </c>
      <c r="L1540">
        <v>66.23</v>
      </c>
      <c r="M1540">
        <v>79.290000000000006</v>
      </c>
      <c r="N1540">
        <v>520.27</v>
      </c>
      <c r="O1540">
        <v>41.67</v>
      </c>
      <c r="P1540">
        <v>24.41</v>
      </c>
    </row>
    <row r="1541" spans="1:16">
      <c r="A1541" s="1" t="s">
        <v>1460</v>
      </c>
      <c r="B1541" s="1" t="s">
        <v>1598</v>
      </c>
      <c r="C1541" s="1" t="s">
        <v>18</v>
      </c>
      <c r="D1541" s="1" t="s">
        <v>44</v>
      </c>
      <c r="E1541" s="1" t="s">
        <v>1388</v>
      </c>
      <c r="F1541">
        <v>4414.1499999999996</v>
      </c>
      <c r="G1541">
        <v>7155.55</v>
      </c>
      <c r="H1541">
        <v>472.87</v>
      </c>
      <c r="I1541">
        <v>75.819999999999993</v>
      </c>
      <c r="J1541">
        <v>0.69</v>
      </c>
      <c r="K1541">
        <v>2124.0700000000002</v>
      </c>
      <c r="L1541">
        <v>70.069999999999993</v>
      </c>
      <c r="M1541">
        <v>88.11</v>
      </c>
      <c r="N1541">
        <v>585.19000000000005</v>
      </c>
      <c r="O1541">
        <v>41.83</v>
      </c>
      <c r="P1541">
        <v>25.73</v>
      </c>
    </row>
    <row r="1542" spans="1:16">
      <c r="A1542" s="1" t="s">
        <v>1460</v>
      </c>
      <c r="B1542" s="1" t="s">
        <v>1599</v>
      </c>
      <c r="C1542" s="1" t="s">
        <v>18</v>
      </c>
      <c r="D1542" s="1" t="s">
        <v>44</v>
      </c>
      <c r="E1542" s="1" t="s">
        <v>1388</v>
      </c>
      <c r="F1542">
        <v>4884.03</v>
      </c>
      <c r="G1542">
        <v>7422.62</v>
      </c>
      <c r="H1542">
        <v>502.14</v>
      </c>
      <c r="I1542">
        <v>82.67</v>
      </c>
      <c r="J1542">
        <v>0.48</v>
      </c>
      <c r="K1542">
        <v>2262.1</v>
      </c>
      <c r="L1542">
        <v>77.8</v>
      </c>
      <c r="M1542">
        <v>97.87</v>
      </c>
      <c r="N1542">
        <v>594.08000000000004</v>
      </c>
      <c r="O1542">
        <v>44.65</v>
      </c>
      <c r="P1542">
        <v>32.299999999999997</v>
      </c>
    </row>
    <row r="1543" spans="1:16">
      <c r="A1543" s="1" t="s">
        <v>1460</v>
      </c>
      <c r="B1543" s="1" t="s">
        <v>1600</v>
      </c>
      <c r="C1543" s="1" t="s">
        <v>18</v>
      </c>
      <c r="D1543" s="1" t="s">
        <v>44</v>
      </c>
      <c r="E1543" s="1" t="s">
        <v>1388</v>
      </c>
      <c r="F1543">
        <v>4760.3500000000004</v>
      </c>
      <c r="G1543">
        <v>8401.1200000000008</v>
      </c>
      <c r="H1543">
        <v>1122.1099999999999</v>
      </c>
      <c r="I1543">
        <v>109.68</v>
      </c>
      <c r="J1543">
        <v>6.75</v>
      </c>
      <c r="K1543">
        <v>1837.44</v>
      </c>
      <c r="L1543">
        <v>57.67</v>
      </c>
      <c r="M1543">
        <v>55.97</v>
      </c>
      <c r="N1543">
        <v>534.97</v>
      </c>
      <c r="O1543">
        <v>60.12</v>
      </c>
      <c r="P1543">
        <v>25.75</v>
      </c>
    </row>
    <row r="1544" spans="1:16">
      <c r="A1544" s="1" t="s">
        <v>1460</v>
      </c>
      <c r="B1544" s="1" t="s">
        <v>1601</v>
      </c>
      <c r="C1544" s="1" t="s">
        <v>18</v>
      </c>
      <c r="D1544" s="1" t="s">
        <v>44</v>
      </c>
      <c r="E1544" s="1" t="s">
        <v>1388</v>
      </c>
      <c r="F1544">
        <v>4955.68</v>
      </c>
      <c r="G1544">
        <v>8571.4</v>
      </c>
      <c r="H1544">
        <v>1203.6300000000001</v>
      </c>
      <c r="I1544">
        <v>116.45</v>
      </c>
      <c r="J1544">
        <v>12.18</v>
      </c>
      <c r="K1544">
        <v>1759.86</v>
      </c>
      <c r="L1544">
        <v>55.04</v>
      </c>
      <c r="M1544">
        <v>58.21</v>
      </c>
      <c r="N1544">
        <v>547.41999999999996</v>
      </c>
      <c r="O1544">
        <v>61.16</v>
      </c>
      <c r="P1544">
        <v>25.81</v>
      </c>
    </row>
    <row r="1545" spans="1:16">
      <c r="A1545" s="1" t="s">
        <v>1460</v>
      </c>
      <c r="B1545" s="1" t="s">
        <v>1602</v>
      </c>
      <c r="C1545" s="1" t="s">
        <v>18</v>
      </c>
      <c r="D1545" s="1" t="s">
        <v>44</v>
      </c>
      <c r="E1545" s="1" t="s">
        <v>1388</v>
      </c>
      <c r="F1545">
        <v>4997.6099999999997</v>
      </c>
      <c r="G1545">
        <v>9158.33</v>
      </c>
      <c r="H1545">
        <v>1130.69</v>
      </c>
      <c r="I1545">
        <v>112.86</v>
      </c>
      <c r="J1545">
        <v>15.23</v>
      </c>
      <c r="K1545">
        <v>1817.33</v>
      </c>
      <c r="L1545">
        <v>58.5</v>
      </c>
      <c r="M1545">
        <v>70.47</v>
      </c>
      <c r="N1545">
        <v>615.27</v>
      </c>
      <c r="O1545">
        <v>64.88</v>
      </c>
      <c r="P1545">
        <v>32.57</v>
      </c>
    </row>
    <row r="1546" spans="1:16">
      <c r="A1546" s="1" t="s">
        <v>1460</v>
      </c>
      <c r="B1546" s="1" t="s">
        <v>1603</v>
      </c>
      <c r="C1546" s="1" t="s">
        <v>18</v>
      </c>
      <c r="D1546" s="1" t="s">
        <v>44</v>
      </c>
      <c r="E1546" s="1" t="s">
        <v>1388</v>
      </c>
      <c r="F1546">
        <v>4777.07</v>
      </c>
      <c r="G1546">
        <v>8215.58</v>
      </c>
      <c r="H1546">
        <v>1078.1099999999999</v>
      </c>
      <c r="I1546">
        <v>109.36</v>
      </c>
      <c r="J1546">
        <v>1.35</v>
      </c>
      <c r="K1546">
        <v>2135.13</v>
      </c>
      <c r="L1546">
        <v>64.23</v>
      </c>
      <c r="M1546">
        <v>66.45</v>
      </c>
      <c r="N1546">
        <v>608.39</v>
      </c>
      <c r="O1546">
        <v>62.26</v>
      </c>
      <c r="P1546">
        <v>29.54</v>
      </c>
    </row>
    <row r="1547" spans="1:16">
      <c r="A1547" s="1" t="s">
        <v>1460</v>
      </c>
      <c r="B1547" s="1" t="s">
        <v>1604</v>
      </c>
      <c r="C1547" s="1" t="s">
        <v>18</v>
      </c>
      <c r="D1547" s="1" t="s">
        <v>44</v>
      </c>
      <c r="E1547" s="1" t="s">
        <v>1388</v>
      </c>
      <c r="F1547">
        <v>5149.93</v>
      </c>
      <c r="G1547">
        <v>8735.5499999999993</v>
      </c>
      <c r="H1547">
        <v>1122.3699999999999</v>
      </c>
      <c r="I1547">
        <v>117.44</v>
      </c>
      <c r="J1547">
        <v>3.23</v>
      </c>
      <c r="K1547">
        <v>1534.92</v>
      </c>
      <c r="L1547">
        <v>58.53</v>
      </c>
      <c r="M1547">
        <v>72.22</v>
      </c>
      <c r="N1547">
        <v>558.23</v>
      </c>
      <c r="O1547">
        <v>62.5</v>
      </c>
      <c r="P1547">
        <v>28.12</v>
      </c>
    </row>
    <row r="1548" spans="1:16">
      <c r="A1548" s="1" t="s">
        <v>1460</v>
      </c>
      <c r="B1548" s="1" t="s">
        <v>1605</v>
      </c>
      <c r="C1548" s="1" t="s">
        <v>18</v>
      </c>
      <c r="D1548" s="1" t="s">
        <v>44</v>
      </c>
      <c r="E1548" s="1" t="s">
        <v>1388</v>
      </c>
      <c r="F1548">
        <v>4570.6899999999996</v>
      </c>
      <c r="G1548">
        <v>7502.1</v>
      </c>
      <c r="H1548">
        <v>899.08</v>
      </c>
      <c r="I1548">
        <v>101.58</v>
      </c>
      <c r="J1548">
        <v>3.5</v>
      </c>
      <c r="K1548">
        <v>1538.67</v>
      </c>
      <c r="L1548">
        <v>53.03</v>
      </c>
      <c r="M1548">
        <v>58.6</v>
      </c>
      <c r="N1548">
        <v>530.64</v>
      </c>
      <c r="O1548">
        <v>72.239999999999995</v>
      </c>
      <c r="P1548">
        <v>24.04</v>
      </c>
    </row>
    <row r="1549" spans="1:16">
      <c r="A1549" s="1" t="s">
        <v>1460</v>
      </c>
      <c r="B1549" s="1" t="s">
        <v>1606</v>
      </c>
      <c r="C1549" s="1" t="s">
        <v>18</v>
      </c>
      <c r="D1549" s="1" t="s">
        <v>44</v>
      </c>
      <c r="E1549" s="1" t="s">
        <v>1388</v>
      </c>
      <c r="F1549">
        <v>5014.9799999999996</v>
      </c>
      <c r="G1549">
        <v>8223.51</v>
      </c>
      <c r="H1549">
        <v>996.99</v>
      </c>
      <c r="I1549">
        <v>107.9</v>
      </c>
      <c r="J1549">
        <v>3.1</v>
      </c>
      <c r="K1549">
        <v>1879.16</v>
      </c>
      <c r="L1549">
        <v>64.02</v>
      </c>
      <c r="M1549">
        <v>60.98</v>
      </c>
      <c r="N1549">
        <v>559.6</v>
      </c>
      <c r="O1549">
        <v>64.38</v>
      </c>
      <c r="P1549">
        <v>29.44</v>
      </c>
    </row>
    <row r="1550" spans="1:16">
      <c r="A1550" s="1" t="s">
        <v>1460</v>
      </c>
      <c r="B1550" s="1" t="s">
        <v>1607</v>
      </c>
      <c r="C1550" s="1" t="s">
        <v>18</v>
      </c>
      <c r="D1550" s="1" t="s">
        <v>44</v>
      </c>
      <c r="E1550" s="1" t="s">
        <v>1388</v>
      </c>
      <c r="F1550">
        <v>5118.9399999999996</v>
      </c>
      <c r="G1550">
        <v>8106.4</v>
      </c>
      <c r="H1550">
        <v>990.98</v>
      </c>
      <c r="I1550">
        <v>93.15</v>
      </c>
      <c r="J1550">
        <v>0.88</v>
      </c>
      <c r="K1550">
        <v>2166.4899999999998</v>
      </c>
      <c r="L1550">
        <v>79.16</v>
      </c>
      <c r="M1550">
        <v>69.58</v>
      </c>
      <c r="N1550">
        <v>684.75</v>
      </c>
      <c r="O1550">
        <v>62.05</v>
      </c>
      <c r="P1550">
        <v>28.84</v>
      </c>
    </row>
    <row r="1551" spans="1:16">
      <c r="A1551" s="1" t="s">
        <v>1460</v>
      </c>
      <c r="B1551" s="1" t="s">
        <v>1608</v>
      </c>
      <c r="C1551" s="1" t="s">
        <v>18</v>
      </c>
      <c r="D1551" s="1" t="s">
        <v>44</v>
      </c>
      <c r="E1551" s="1" t="s">
        <v>1388</v>
      </c>
      <c r="F1551">
        <v>4486.3100000000004</v>
      </c>
      <c r="G1551">
        <v>6674.55</v>
      </c>
      <c r="H1551">
        <v>803.74</v>
      </c>
      <c r="I1551">
        <v>73.19</v>
      </c>
      <c r="J1551">
        <v>0.9</v>
      </c>
      <c r="K1551">
        <v>1787.23</v>
      </c>
      <c r="L1551">
        <v>64.760000000000005</v>
      </c>
      <c r="M1551">
        <v>56.49</v>
      </c>
      <c r="N1551">
        <v>511.61</v>
      </c>
      <c r="O1551">
        <v>55.96</v>
      </c>
      <c r="P1551">
        <v>25.15</v>
      </c>
    </row>
    <row r="1552" spans="1:16">
      <c r="A1552" s="1" t="s">
        <v>1460</v>
      </c>
      <c r="B1552" s="1" t="s">
        <v>1609</v>
      </c>
      <c r="C1552" s="1" t="s">
        <v>18</v>
      </c>
      <c r="D1552" s="1" t="s">
        <v>44</v>
      </c>
      <c r="E1552" s="1" t="s">
        <v>1388</v>
      </c>
      <c r="F1552">
        <v>5354.82</v>
      </c>
      <c r="G1552">
        <v>8059.98</v>
      </c>
      <c r="H1552">
        <v>963.59</v>
      </c>
      <c r="I1552">
        <v>87.09</v>
      </c>
      <c r="J1552" s="11">
        <f>0.359630901/2</f>
        <v>0.1798154505</v>
      </c>
      <c r="K1552">
        <v>2210.13</v>
      </c>
      <c r="L1552">
        <v>75.819999999999993</v>
      </c>
      <c r="M1552">
        <v>67.150000000000006</v>
      </c>
      <c r="N1552">
        <v>619.17999999999995</v>
      </c>
      <c r="O1552">
        <v>63.31</v>
      </c>
      <c r="P1552">
        <v>31.04</v>
      </c>
    </row>
    <row r="1553" spans="1:16">
      <c r="A1553" s="1" t="s">
        <v>1460</v>
      </c>
      <c r="B1553" s="1" t="s">
        <v>1610</v>
      </c>
      <c r="C1553" s="1" t="s">
        <v>18</v>
      </c>
      <c r="D1553" s="1" t="s">
        <v>44</v>
      </c>
      <c r="E1553" s="1" t="s">
        <v>1388</v>
      </c>
      <c r="F1553">
        <v>5305.89</v>
      </c>
      <c r="G1553">
        <v>9200.7000000000007</v>
      </c>
      <c r="H1553">
        <v>1091.8800000000001</v>
      </c>
      <c r="I1553">
        <v>107.4</v>
      </c>
      <c r="J1553">
        <v>7.81</v>
      </c>
      <c r="K1553">
        <v>2197.9299999999998</v>
      </c>
      <c r="L1553">
        <v>82.44</v>
      </c>
      <c r="M1553">
        <v>68.510000000000005</v>
      </c>
      <c r="N1553">
        <v>622.83000000000004</v>
      </c>
      <c r="O1553">
        <v>64.819999999999993</v>
      </c>
      <c r="P1553">
        <v>34.21</v>
      </c>
    </row>
    <row r="1554" spans="1:16">
      <c r="A1554" s="1" t="s">
        <v>1460</v>
      </c>
      <c r="B1554" s="1" t="s">
        <v>1611</v>
      </c>
      <c r="C1554" s="1" t="s">
        <v>18</v>
      </c>
      <c r="D1554" s="1" t="s">
        <v>44</v>
      </c>
      <c r="E1554" s="1" t="s">
        <v>1388</v>
      </c>
      <c r="F1554">
        <v>4710.63</v>
      </c>
      <c r="G1554">
        <v>8565.84</v>
      </c>
      <c r="H1554">
        <v>1143.96</v>
      </c>
      <c r="I1554">
        <v>105.4</v>
      </c>
      <c r="J1554">
        <v>3.69</v>
      </c>
      <c r="K1554">
        <v>1956.29</v>
      </c>
      <c r="L1554">
        <v>71.53</v>
      </c>
      <c r="M1554">
        <v>60.97</v>
      </c>
      <c r="N1554">
        <v>581.16</v>
      </c>
      <c r="O1554">
        <v>61.57</v>
      </c>
      <c r="P1554">
        <v>28.18</v>
      </c>
    </row>
    <row r="1555" spans="1:16">
      <c r="A1555" s="1" t="s">
        <v>1460</v>
      </c>
      <c r="B1555" s="1" t="s">
        <v>1612</v>
      </c>
      <c r="C1555" s="1" t="s">
        <v>18</v>
      </c>
      <c r="D1555" s="1" t="s">
        <v>44</v>
      </c>
      <c r="E1555" s="1" t="s">
        <v>1388</v>
      </c>
      <c r="F1555">
        <v>4806.3999999999996</v>
      </c>
      <c r="G1555">
        <v>8612.77</v>
      </c>
      <c r="H1555">
        <v>1162.96</v>
      </c>
      <c r="I1555">
        <v>109.45</v>
      </c>
      <c r="J1555">
        <v>10.63</v>
      </c>
      <c r="K1555">
        <v>1715.51</v>
      </c>
      <c r="L1555">
        <v>54.25</v>
      </c>
      <c r="M1555">
        <v>50</v>
      </c>
      <c r="N1555">
        <v>582.46</v>
      </c>
      <c r="O1555">
        <v>61.7</v>
      </c>
      <c r="P1555">
        <v>29.43</v>
      </c>
    </row>
    <row r="1556" spans="1:16">
      <c r="A1556" s="1" t="s">
        <v>1460</v>
      </c>
      <c r="B1556" s="1" t="s">
        <v>1613</v>
      </c>
      <c r="C1556" s="1" t="s">
        <v>18</v>
      </c>
      <c r="D1556" s="1" t="s">
        <v>44</v>
      </c>
      <c r="E1556" s="1" t="s">
        <v>1388</v>
      </c>
      <c r="F1556">
        <v>5325.86</v>
      </c>
      <c r="G1556">
        <v>9149.34</v>
      </c>
      <c r="H1556">
        <v>1187.83</v>
      </c>
      <c r="I1556">
        <v>113.49</v>
      </c>
      <c r="J1556">
        <v>8.6999999999999993</v>
      </c>
      <c r="K1556">
        <v>1766.26</v>
      </c>
      <c r="L1556">
        <v>58.02</v>
      </c>
      <c r="M1556">
        <v>67.5</v>
      </c>
      <c r="N1556">
        <v>623.27</v>
      </c>
      <c r="O1556">
        <v>86.68</v>
      </c>
      <c r="P1556">
        <v>28.76</v>
      </c>
    </row>
    <row r="1557" spans="1:16">
      <c r="A1557" s="1" t="s">
        <v>1460</v>
      </c>
      <c r="B1557" s="1" t="s">
        <v>1614</v>
      </c>
      <c r="C1557" s="1" t="s">
        <v>18</v>
      </c>
      <c r="D1557" s="1" t="s">
        <v>44</v>
      </c>
      <c r="E1557" s="1" t="s">
        <v>1388</v>
      </c>
      <c r="F1557">
        <v>5150.82</v>
      </c>
      <c r="G1557">
        <v>8719.76</v>
      </c>
      <c r="H1557">
        <v>1195.19</v>
      </c>
      <c r="I1557">
        <v>95.43</v>
      </c>
      <c r="J1557">
        <v>13.39</v>
      </c>
      <c r="K1557">
        <v>1949.92</v>
      </c>
      <c r="L1557">
        <v>73.510000000000005</v>
      </c>
      <c r="M1557">
        <v>69.47</v>
      </c>
      <c r="N1557">
        <v>601.94000000000005</v>
      </c>
      <c r="O1557">
        <v>63.67</v>
      </c>
      <c r="P1557">
        <v>27.74</v>
      </c>
    </row>
    <row r="1558" spans="1:16">
      <c r="A1558" s="1" t="s">
        <v>1460</v>
      </c>
      <c r="B1558" s="1" t="s">
        <v>1615</v>
      </c>
      <c r="C1558" s="1" t="s">
        <v>18</v>
      </c>
      <c r="D1558" s="1" t="s">
        <v>44</v>
      </c>
      <c r="E1558" s="1" t="s">
        <v>1388</v>
      </c>
      <c r="F1558">
        <v>4571.41</v>
      </c>
      <c r="G1558">
        <v>8157.21</v>
      </c>
      <c r="H1558">
        <v>1157.32</v>
      </c>
      <c r="I1558">
        <v>85.17</v>
      </c>
      <c r="J1558">
        <v>17.97</v>
      </c>
      <c r="K1558">
        <v>2217.75</v>
      </c>
      <c r="L1558">
        <v>73.44</v>
      </c>
      <c r="M1558">
        <v>65.41</v>
      </c>
      <c r="N1558">
        <v>611.46</v>
      </c>
      <c r="O1558">
        <v>65.97</v>
      </c>
      <c r="P1558">
        <v>26.4</v>
      </c>
    </row>
    <row r="1559" spans="1:16">
      <c r="A1559" s="1" t="s">
        <v>1460</v>
      </c>
      <c r="B1559" s="1" t="s">
        <v>1616</v>
      </c>
      <c r="C1559" s="1" t="s">
        <v>18</v>
      </c>
      <c r="D1559" s="1" t="s">
        <v>44</v>
      </c>
      <c r="E1559" s="1" t="s">
        <v>1388</v>
      </c>
      <c r="F1559">
        <v>6102.99</v>
      </c>
      <c r="G1559">
        <v>8771.6200000000008</v>
      </c>
      <c r="H1559">
        <v>1188.21</v>
      </c>
      <c r="I1559">
        <v>102.69</v>
      </c>
      <c r="J1559">
        <v>45.1</v>
      </c>
      <c r="K1559">
        <v>1951.01</v>
      </c>
      <c r="L1559">
        <v>68.42</v>
      </c>
      <c r="M1559">
        <v>68.27</v>
      </c>
      <c r="N1559">
        <v>606.47</v>
      </c>
      <c r="O1559">
        <v>74.510000000000005</v>
      </c>
      <c r="P1559">
        <v>29.59</v>
      </c>
    </row>
    <row r="1560" spans="1:16">
      <c r="A1560" s="1" t="s">
        <v>1460</v>
      </c>
      <c r="B1560" s="1" t="s">
        <v>1617</v>
      </c>
      <c r="C1560" s="1" t="s">
        <v>18</v>
      </c>
      <c r="D1560" s="1" t="s">
        <v>44</v>
      </c>
      <c r="E1560" s="1" t="s">
        <v>1388</v>
      </c>
      <c r="F1560">
        <v>4228.8999999999996</v>
      </c>
      <c r="G1560">
        <v>7342.54</v>
      </c>
      <c r="H1560">
        <v>948.12</v>
      </c>
      <c r="I1560">
        <v>92.01</v>
      </c>
      <c r="J1560">
        <v>8.0399999999999991</v>
      </c>
      <c r="K1560">
        <v>1402.9</v>
      </c>
      <c r="L1560">
        <v>48.61</v>
      </c>
      <c r="M1560">
        <v>58.01</v>
      </c>
      <c r="N1560">
        <v>646.92999999999995</v>
      </c>
      <c r="O1560">
        <v>58.16</v>
      </c>
      <c r="P1560">
        <v>24.49</v>
      </c>
    </row>
    <row r="1561" spans="1:16">
      <c r="A1561" s="1" t="s">
        <v>1460</v>
      </c>
      <c r="B1561" s="1" t="s">
        <v>1618</v>
      </c>
      <c r="C1561" s="1" t="s">
        <v>18</v>
      </c>
      <c r="D1561" s="1" t="s">
        <v>44</v>
      </c>
      <c r="E1561" s="1" t="s">
        <v>1388</v>
      </c>
      <c r="F1561">
        <v>4537.1499999999996</v>
      </c>
      <c r="G1561">
        <v>7943.27</v>
      </c>
      <c r="H1561">
        <v>991.48</v>
      </c>
      <c r="I1561">
        <v>94.94</v>
      </c>
      <c r="J1561">
        <v>5.37</v>
      </c>
      <c r="K1561">
        <v>2026.11</v>
      </c>
      <c r="L1561">
        <v>65.650000000000006</v>
      </c>
      <c r="M1561">
        <v>61.95</v>
      </c>
      <c r="N1561">
        <v>546.75</v>
      </c>
      <c r="O1561">
        <v>63.07</v>
      </c>
      <c r="P1561">
        <v>26.81</v>
      </c>
    </row>
    <row r="1562" spans="1:16">
      <c r="A1562" s="1" t="s">
        <v>1460</v>
      </c>
      <c r="B1562" s="1" t="s">
        <v>1619</v>
      </c>
      <c r="C1562" s="1" t="s">
        <v>18</v>
      </c>
      <c r="D1562" s="1" t="s">
        <v>44</v>
      </c>
      <c r="E1562" s="1" t="s">
        <v>1388</v>
      </c>
      <c r="F1562">
        <v>5161.08</v>
      </c>
      <c r="G1562">
        <v>8398.39</v>
      </c>
      <c r="H1562">
        <v>1037.5899999999999</v>
      </c>
      <c r="I1562">
        <v>100.2</v>
      </c>
      <c r="J1562">
        <v>6.51</v>
      </c>
      <c r="K1562">
        <v>1954.71</v>
      </c>
      <c r="L1562">
        <v>64.010000000000005</v>
      </c>
      <c r="M1562">
        <v>62.58</v>
      </c>
      <c r="N1562">
        <v>604.53</v>
      </c>
      <c r="O1562">
        <v>63.8</v>
      </c>
      <c r="P1562">
        <v>29.61</v>
      </c>
    </row>
    <row r="1563" spans="1:16">
      <c r="A1563" s="1" t="s">
        <v>1620</v>
      </c>
      <c r="B1563" s="1" t="s">
        <v>1621</v>
      </c>
      <c r="C1563" s="1" t="s">
        <v>38</v>
      </c>
      <c r="D1563" s="1" t="s">
        <v>5504</v>
      </c>
      <c r="E1563" s="1" t="s">
        <v>1622</v>
      </c>
      <c r="F1563">
        <v>4246.6654989999997</v>
      </c>
      <c r="G1563">
        <v>15225.5496</v>
      </c>
      <c r="H1563">
        <v>53998.66289</v>
      </c>
      <c r="I1563">
        <v>3748.774903</v>
      </c>
      <c r="J1563">
        <v>343.17637830000001</v>
      </c>
      <c r="K1563">
        <v>18753.852360000001</v>
      </c>
      <c r="L1563">
        <v>116.6348017</v>
      </c>
      <c r="M1563">
        <v>189.23687480000001</v>
      </c>
      <c r="N1563">
        <v>4239.5449589999998</v>
      </c>
      <c r="O1563">
        <v>67.622860430000003</v>
      </c>
      <c r="P1563">
        <v>22.11469585</v>
      </c>
    </row>
    <row r="1564" spans="1:16">
      <c r="A1564" s="1" t="s">
        <v>1620</v>
      </c>
      <c r="B1564" s="1" t="s">
        <v>1623</v>
      </c>
      <c r="C1564" s="1" t="s">
        <v>38</v>
      </c>
      <c r="D1564" s="1" t="s">
        <v>5504</v>
      </c>
      <c r="E1564" s="1" t="s">
        <v>1622</v>
      </c>
      <c r="F1564">
        <v>2978.7610530000002</v>
      </c>
      <c r="G1564">
        <v>16066.4735</v>
      </c>
      <c r="H1564">
        <v>53841.51597</v>
      </c>
      <c r="I1564">
        <v>4036.9427919999998</v>
      </c>
      <c r="J1564">
        <v>380.01907360000001</v>
      </c>
      <c r="K1564">
        <v>16302.827960000001</v>
      </c>
      <c r="L1564">
        <v>140.87439950000001</v>
      </c>
      <c r="M1564">
        <v>182.10665399999999</v>
      </c>
      <c r="N1564">
        <v>5000.5200560000003</v>
      </c>
      <c r="O1564">
        <v>73.920941589999998</v>
      </c>
      <c r="P1564">
        <v>25.192254259999999</v>
      </c>
    </row>
    <row r="1565" spans="1:16">
      <c r="A1565" s="1" t="s">
        <v>1620</v>
      </c>
      <c r="B1565" s="1" t="s">
        <v>1624</v>
      </c>
      <c r="C1565" s="1" t="s">
        <v>38</v>
      </c>
      <c r="D1565" s="1" t="s">
        <v>5504</v>
      </c>
      <c r="E1565" s="1" t="s">
        <v>1625</v>
      </c>
      <c r="F1565">
        <v>2492.6241340000001</v>
      </c>
      <c r="G1565">
        <v>13163.39669</v>
      </c>
      <c r="H1565">
        <v>53091.367769999997</v>
      </c>
      <c r="I1565">
        <v>3934.8260730000002</v>
      </c>
      <c r="J1565">
        <v>333.46127239999998</v>
      </c>
      <c r="K1565">
        <v>17228.241389999999</v>
      </c>
      <c r="L1565">
        <v>137.89125150000001</v>
      </c>
      <c r="M1565">
        <v>188.1967143</v>
      </c>
      <c r="N1565">
        <v>4987.6422140000004</v>
      </c>
      <c r="O1565">
        <v>69.882825440000005</v>
      </c>
      <c r="P1565">
        <v>21.674782919999998</v>
      </c>
    </row>
    <row r="1566" spans="1:16">
      <c r="A1566" s="1" t="s">
        <v>1620</v>
      </c>
      <c r="B1566" s="1" t="s">
        <v>1626</v>
      </c>
      <c r="C1566" s="1" t="s">
        <v>38</v>
      </c>
      <c r="D1566" s="1" t="s">
        <v>5504</v>
      </c>
      <c r="E1566" s="1" t="s">
        <v>1625</v>
      </c>
      <c r="F1566">
        <v>4060.796578</v>
      </c>
      <c r="G1566">
        <v>17193.26715</v>
      </c>
      <c r="H1566">
        <v>44249.382749999997</v>
      </c>
      <c r="I1566">
        <v>4718.9616539999997</v>
      </c>
      <c r="J1566">
        <v>414.90481069999998</v>
      </c>
      <c r="K1566">
        <v>12809.79171</v>
      </c>
      <c r="L1566">
        <v>112.5888503</v>
      </c>
      <c r="M1566">
        <v>175.66899549999999</v>
      </c>
      <c r="N1566">
        <v>4972.2623450000001</v>
      </c>
      <c r="O1566">
        <v>88.52630551</v>
      </c>
      <c r="P1566">
        <v>26.071119379999999</v>
      </c>
    </row>
    <row r="1567" spans="1:16">
      <c r="A1567" s="1" t="s">
        <v>1620</v>
      </c>
      <c r="B1567" s="1" t="s">
        <v>1627</v>
      </c>
      <c r="C1567" s="1" t="s">
        <v>38</v>
      </c>
      <c r="D1567" s="1" t="s">
        <v>5504</v>
      </c>
      <c r="E1567" s="1" t="s">
        <v>1625</v>
      </c>
      <c r="F1567">
        <v>1404.1881080000001</v>
      </c>
      <c r="G1567">
        <v>14009.23761</v>
      </c>
      <c r="H1567">
        <v>54013.322509999998</v>
      </c>
      <c r="I1567">
        <v>4546.7646590000004</v>
      </c>
      <c r="J1567">
        <v>356.78532899999999</v>
      </c>
      <c r="K1567">
        <v>18917.331819999999</v>
      </c>
      <c r="L1567">
        <v>86.886524320000007</v>
      </c>
      <c r="M1567">
        <v>165.5200341</v>
      </c>
      <c r="N1567">
        <v>7924.6700030000002</v>
      </c>
      <c r="O1567">
        <v>80.984015619999994</v>
      </c>
      <c r="P1567">
        <v>23.552508029999998</v>
      </c>
    </row>
    <row r="1568" spans="1:16">
      <c r="A1568" s="1" t="s">
        <v>1620</v>
      </c>
      <c r="B1568" s="1" t="s">
        <v>1628</v>
      </c>
      <c r="C1568" s="1" t="s">
        <v>38</v>
      </c>
      <c r="D1568" s="1" t="s">
        <v>5504</v>
      </c>
      <c r="E1568" s="1" t="s">
        <v>1625</v>
      </c>
      <c r="F1568">
        <v>4540.5604590000003</v>
      </c>
      <c r="G1568">
        <v>15368.06388</v>
      </c>
      <c r="H1568">
        <v>51260.427380000001</v>
      </c>
      <c r="I1568">
        <v>5332.8387210000001</v>
      </c>
      <c r="J1568">
        <v>431.0991818</v>
      </c>
      <c r="K1568">
        <v>17673.4277</v>
      </c>
      <c r="L1568">
        <v>72.690779980000002</v>
      </c>
      <c r="M1568">
        <v>137.85329849999999</v>
      </c>
      <c r="N1568">
        <v>7326.8861139999999</v>
      </c>
      <c r="O1568">
        <v>80.079058470000007</v>
      </c>
      <c r="P1568">
        <v>29.887414790000001</v>
      </c>
    </row>
    <row r="1569" spans="1:16">
      <c r="A1569" s="1" t="s">
        <v>1620</v>
      </c>
      <c r="B1569" s="1" t="s">
        <v>1629</v>
      </c>
      <c r="C1569" s="1" t="s">
        <v>38</v>
      </c>
      <c r="D1569" s="1" t="s">
        <v>5504</v>
      </c>
      <c r="E1569" s="1" t="s">
        <v>1625</v>
      </c>
      <c r="F1569">
        <v>3756.26089</v>
      </c>
      <c r="G1569">
        <v>16441.717809999998</v>
      </c>
      <c r="H1569">
        <v>50459.654580000002</v>
      </c>
      <c r="I1569">
        <v>4970.4067320000004</v>
      </c>
      <c r="J1569">
        <v>409.29948030000003</v>
      </c>
      <c r="K1569">
        <v>17788.728490000001</v>
      </c>
      <c r="L1569">
        <v>81.708287639999995</v>
      </c>
      <c r="M1569">
        <v>123.8235356</v>
      </c>
      <c r="N1569">
        <v>7069.2483089999996</v>
      </c>
      <c r="O1569">
        <v>88.743073969999998</v>
      </c>
      <c r="P1569">
        <v>28.537853200000001</v>
      </c>
    </row>
    <row r="1570" spans="1:16">
      <c r="A1570" s="1" t="s">
        <v>1620</v>
      </c>
      <c r="B1570" s="1" t="s">
        <v>1630</v>
      </c>
      <c r="C1570" s="1" t="s">
        <v>38</v>
      </c>
      <c r="D1570" s="1" t="s">
        <v>5504</v>
      </c>
      <c r="E1570" s="1" t="s">
        <v>1625</v>
      </c>
      <c r="F1570">
        <v>2462.0001729999999</v>
      </c>
      <c r="G1570">
        <v>16675.097819999999</v>
      </c>
      <c r="H1570">
        <v>44505.724289999998</v>
      </c>
      <c r="I1570">
        <v>3404.2353109999999</v>
      </c>
      <c r="J1570">
        <v>296.3082804</v>
      </c>
      <c r="K1570">
        <v>13695.19486</v>
      </c>
      <c r="L1570">
        <v>91.408110910000005</v>
      </c>
      <c r="M1570">
        <v>120.944958</v>
      </c>
      <c r="N1570">
        <v>8043.6196179999997</v>
      </c>
      <c r="O1570">
        <v>85.375499750000003</v>
      </c>
      <c r="P1570">
        <v>25.55959524</v>
      </c>
    </row>
    <row r="1571" spans="1:16">
      <c r="A1571" s="1" t="s">
        <v>1620</v>
      </c>
      <c r="B1571" s="1" t="s">
        <v>1631</v>
      </c>
      <c r="C1571" s="1" t="s">
        <v>38</v>
      </c>
      <c r="D1571" s="1" t="s">
        <v>5504</v>
      </c>
      <c r="E1571" s="1" t="s">
        <v>1625</v>
      </c>
      <c r="F1571">
        <v>3575.4669039999999</v>
      </c>
      <c r="G1571">
        <v>14624.352730000001</v>
      </c>
      <c r="H1571">
        <v>77500.918510000003</v>
      </c>
      <c r="I1571">
        <v>5264.4271870000002</v>
      </c>
      <c r="J1571">
        <v>572.30661310000005</v>
      </c>
      <c r="K1571">
        <v>21707.707190000001</v>
      </c>
      <c r="L1571">
        <v>56.228366999999999</v>
      </c>
      <c r="M1571">
        <v>123.38321070000001</v>
      </c>
      <c r="N1571">
        <v>5670.1337020000001</v>
      </c>
      <c r="O1571">
        <v>62.333915089999998</v>
      </c>
      <c r="P1571">
        <v>31.216856910000001</v>
      </c>
    </row>
    <row r="1572" spans="1:16">
      <c r="A1572" s="1" t="s">
        <v>1620</v>
      </c>
      <c r="B1572" s="1" t="s">
        <v>1632</v>
      </c>
      <c r="C1572" s="1" t="s">
        <v>38</v>
      </c>
      <c r="D1572" s="1" t="s">
        <v>5504</v>
      </c>
      <c r="E1572" s="1" t="s">
        <v>1625</v>
      </c>
      <c r="F1572">
        <v>1096.4127719999999</v>
      </c>
      <c r="G1572">
        <v>10158.74417</v>
      </c>
      <c r="H1572">
        <v>42837.624860000004</v>
      </c>
      <c r="I1572">
        <v>4872.7083940000002</v>
      </c>
      <c r="J1572">
        <v>271.1820568</v>
      </c>
      <c r="K1572">
        <v>15196.815570000001</v>
      </c>
      <c r="L1572">
        <v>71.105089710000001</v>
      </c>
      <c r="M1572">
        <v>118.27022270000001</v>
      </c>
      <c r="N1572">
        <v>5878.1260579999998</v>
      </c>
      <c r="O1572">
        <v>85.598766280000007</v>
      </c>
      <c r="P1572">
        <v>22.230169610000001</v>
      </c>
    </row>
    <row r="1573" spans="1:16">
      <c r="A1573" s="1" t="s">
        <v>1620</v>
      </c>
      <c r="B1573" s="1" t="s">
        <v>1633</v>
      </c>
      <c r="C1573" s="1" t="s">
        <v>38</v>
      </c>
      <c r="D1573" s="1" t="s">
        <v>5504</v>
      </c>
      <c r="E1573" s="1" t="s">
        <v>1625</v>
      </c>
      <c r="F1573">
        <v>5812.8607039999997</v>
      </c>
      <c r="G1573">
        <v>16315.79709</v>
      </c>
      <c r="H1573">
        <v>49165.346010000001</v>
      </c>
      <c r="I1573">
        <v>4346.582437</v>
      </c>
      <c r="J1573">
        <v>356.69867620000002</v>
      </c>
      <c r="K1573">
        <v>13357.713159999999</v>
      </c>
      <c r="L1573">
        <v>93.714621710000003</v>
      </c>
      <c r="M1573">
        <v>118.5708551</v>
      </c>
      <c r="N1573">
        <v>4629.922681</v>
      </c>
      <c r="O1573">
        <v>84.300235330000007</v>
      </c>
      <c r="P1573">
        <v>25.927029139999998</v>
      </c>
    </row>
    <row r="1574" spans="1:16">
      <c r="A1574" s="1" t="s">
        <v>1620</v>
      </c>
      <c r="B1574" s="1" t="s">
        <v>1634</v>
      </c>
      <c r="C1574" s="1" t="s">
        <v>38</v>
      </c>
      <c r="D1574" s="1" t="s">
        <v>5504</v>
      </c>
      <c r="E1574" s="1" t="s">
        <v>1625</v>
      </c>
      <c r="F1574">
        <v>5384.6938559999999</v>
      </c>
      <c r="G1574">
        <v>15742.80134</v>
      </c>
      <c r="H1574">
        <v>43897.59431</v>
      </c>
      <c r="I1574">
        <v>4031.3145249999998</v>
      </c>
      <c r="J1574">
        <v>379.08292940000001</v>
      </c>
      <c r="K1574">
        <v>12858.385910000001</v>
      </c>
      <c r="L1574">
        <v>85.828467560000007</v>
      </c>
      <c r="M1574">
        <v>121.6824395</v>
      </c>
      <c r="N1574">
        <v>5573.9559879999997</v>
      </c>
      <c r="O1574">
        <v>86.664741500000005</v>
      </c>
      <c r="P1574">
        <v>26.886811179999999</v>
      </c>
    </row>
    <row r="1575" spans="1:16">
      <c r="A1575" s="1" t="s">
        <v>1620</v>
      </c>
      <c r="B1575" s="1" t="s">
        <v>1635</v>
      </c>
      <c r="C1575" s="1" t="s">
        <v>38</v>
      </c>
      <c r="D1575" s="1" t="s">
        <v>5504</v>
      </c>
      <c r="E1575" s="1" t="s">
        <v>1625</v>
      </c>
      <c r="F1575">
        <v>1979.5159349999999</v>
      </c>
      <c r="G1575">
        <v>15203.67409</v>
      </c>
      <c r="H1575">
        <v>46225.81783</v>
      </c>
      <c r="I1575">
        <v>2929.2747869999998</v>
      </c>
      <c r="J1575">
        <v>359.3374293</v>
      </c>
      <c r="K1575">
        <v>12888.581389999999</v>
      </c>
      <c r="L1575">
        <v>138.44789220000001</v>
      </c>
      <c r="M1575">
        <v>167.661079</v>
      </c>
      <c r="N1575">
        <v>6320.3438679999999</v>
      </c>
      <c r="O1575">
        <v>86.139187789999994</v>
      </c>
      <c r="P1575">
        <v>25.448333739999999</v>
      </c>
    </row>
    <row r="1576" spans="1:16">
      <c r="A1576" s="1" t="s">
        <v>1620</v>
      </c>
      <c r="B1576" s="1" t="s">
        <v>1636</v>
      </c>
      <c r="C1576" s="1" t="s">
        <v>38</v>
      </c>
      <c r="D1576" s="1" t="s">
        <v>5504</v>
      </c>
      <c r="E1576" s="1" t="s">
        <v>1625</v>
      </c>
      <c r="F1576">
        <v>1341.480098</v>
      </c>
      <c r="G1576">
        <v>12960.589180000001</v>
      </c>
      <c r="H1576">
        <v>43281.713539999997</v>
      </c>
      <c r="I1576">
        <v>2981.8075859999999</v>
      </c>
      <c r="J1576">
        <v>355.44280500000002</v>
      </c>
      <c r="K1576">
        <v>11836.166520000001</v>
      </c>
      <c r="L1576">
        <v>104.7736586</v>
      </c>
      <c r="M1576">
        <v>174.24662699999999</v>
      </c>
      <c r="N1576">
        <v>5681.6289839999999</v>
      </c>
      <c r="O1576">
        <v>81.338599180000003</v>
      </c>
      <c r="P1576">
        <v>20.79210698</v>
      </c>
    </row>
    <row r="1577" spans="1:16">
      <c r="A1577" s="1" t="s">
        <v>1620</v>
      </c>
      <c r="B1577" s="1" t="s">
        <v>1637</v>
      </c>
      <c r="C1577" s="1" t="s">
        <v>38</v>
      </c>
      <c r="D1577" s="1" t="s">
        <v>5504</v>
      </c>
      <c r="E1577" s="1" t="s">
        <v>1625</v>
      </c>
      <c r="F1577">
        <v>450.06153669999998</v>
      </c>
      <c r="G1577">
        <v>5804.5528370000002</v>
      </c>
      <c r="H1577">
        <v>34865.741139999998</v>
      </c>
      <c r="I1577">
        <v>6145.1744390000003</v>
      </c>
      <c r="J1577">
        <v>1294.879788</v>
      </c>
      <c r="K1577">
        <v>19225.862120000002</v>
      </c>
      <c r="L1577">
        <v>0.99126815800000001</v>
      </c>
      <c r="M1577">
        <v>53.924841520000001</v>
      </c>
      <c r="N1577">
        <v>6139.6955159999998</v>
      </c>
      <c r="O1577">
        <v>36.681043389999999</v>
      </c>
      <c r="P1577">
        <v>12.35084575</v>
      </c>
    </row>
    <row r="1578" spans="1:16">
      <c r="A1578" s="1" t="s">
        <v>1620</v>
      </c>
      <c r="B1578" s="1" t="s">
        <v>1638</v>
      </c>
      <c r="C1578" s="1" t="s">
        <v>38</v>
      </c>
      <c r="D1578" s="1" t="s">
        <v>5504</v>
      </c>
      <c r="E1578" s="1" t="s">
        <v>1625</v>
      </c>
      <c r="F1578">
        <v>542.17264669999997</v>
      </c>
      <c r="G1578">
        <v>9625.9729950000001</v>
      </c>
      <c r="H1578">
        <v>37132.659919999998</v>
      </c>
      <c r="I1578">
        <v>5725.2472669999997</v>
      </c>
      <c r="J1578">
        <v>1011.684859</v>
      </c>
      <c r="K1578">
        <v>17264.811320000001</v>
      </c>
      <c r="L1578">
        <v>2.5552964290000002</v>
      </c>
      <c r="M1578">
        <v>48.910053640000001</v>
      </c>
      <c r="N1578">
        <v>9927.0107520000001</v>
      </c>
      <c r="O1578">
        <v>71.202349960000006</v>
      </c>
      <c r="P1578">
        <v>16.069328590000001</v>
      </c>
    </row>
    <row r="1579" spans="1:16">
      <c r="A1579" s="1" t="s">
        <v>1620</v>
      </c>
      <c r="B1579" s="1" t="s">
        <v>1639</v>
      </c>
      <c r="C1579" s="1" t="s">
        <v>18</v>
      </c>
      <c r="D1579" s="1" t="s">
        <v>19</v>
      </c>
      <c r="E1579" s="1" t="s">
        <v>1625</v>
      </c>
      <c r="F1579">
        <v>1346.0993120000001</v>
      </c>
      <c r="G1579">
        <v>1794.717946</v>
      </c>
      <c r="H1579">
        <v>18964.744289999999</v>
      </c>
      <c r="I1579">
        <v>4012.5281230000001</v>
      </c>
      <c r="J1579">
        <v>16.16712485</v>
      </c>
      <c r="K1579">
        <v>1428.4771720000001</v>
      </c>
      <c r="L1579">
        <v>15.90812101</v>
      </c>
      <c r="M1579">
        <v>37.719156239999997</v>
      </c>
      <c r="N1579">
        <v>73.422920829999995</v>
      </c>
      <c r="O1579">
        <v>32.228581009999999</v>
      </c>
      <c r="P1579">
        <v>12.376689259999999</v>
      </c>
    </row>
    <row r="1580" spans="1:16">
      <c r="A1580" s="1" t="s">
        <v>1620</v>
      </c>
      <c r="B1580" s="1" t="s">
        <v>1640</v>
      </c>
      <c r="C1580" s="1" t="s">
        <v>18</v>
      </c>
      <c r="D1580" s="1" t="s">
        <v>19</v>
      </c>
      <c r="E1580" s="1" t="s">
        <v>1625</v>
      </c>
      <c r="F1580">
        <v>487.58208289999999</v>
      </c>
      <c r="G1580">
        <v>1708.6894119999999</v>
      </c>
      <c r="H1580">
        <v>22730.947619999999</v>
      </c>
      <c r="I1580">
        <v>4264.8145359999999</v>
      </c>
      <c r="J1580">
        <v>7.3094843330000003</v>
      </c>
      <c r="K1580">
        <v>3576.2203340000001</v>
      </c>
      <c r="L1580">
        <v>14.658583220000001</v>
      </c>
      <c r="M1580">
        <v>35.252660630000001</v>
      </c>
      <c r="N1580">
        <v>138.83952500000001</v>
      </c>
      <c r="O1580">
        <v>48.512086699999998</v>
      </c>
      <c r="P1580">
        <v>13.796423369999999</v>
      </c>
    </row>
    <row r="1581" spans="1:16">
      <c r="A1581" s="1" t="s">
        <v>1620</v>
      </c>
      <c r="B1581" s="1" t="s">
        <v>1641</v>
      </c>
      <c r="C1581" s="1" t="s">
        <v>18</v>
      </c>
      <c r="D1581" s="1" t="s">
        <v>19</v>
      </c>
      <c r="E1581" s="1" t="s">
        <v>1625</v>
      </c>
      <c r="F1581">
        <v>512.63245730000006</v>
      </c>
      <c r="G1581">
        <v>1367.395041</v>
      </c>
      <c r="H1581">
        <v>18758.918720000001</v>
      </c>
      <c r="I1581">
        <v>4246.4206759999997</v>
      </c>
      <c r="J1581">
        <v>10.041512640000001</v>
      </c>
      <c r="K1581">
        <v>982.1129512</v>
      </c>
      <c r="L1581">
        <v>14.47497473</v>
      </c>
      <c r="M1581">
        <v>38.431287259999998</v>
      </c>
      <c r="N1581">
        <v>49.009117619999998</v>
      </c>
      <c r="O1581">
        <v>25.76459646</v>
      </c>
      <c r="P1581">
        <v>11.584297429999999</v>
      </c>
    </row>
    <row r="1582" spans="1:16">
      <c r="A1582" s="1" t="s">
        <v>1620</v>
      </c>
      <c r="B1582" s="1" t="s">
        <v>1642</v>
      </c>
      <c r="C1582" s="1" t="s">
        <v>18</v>
      </c>
      <c r="D1582" s="1" t="s">
        <v>19</v>
      </c>
      <c r="E1582" s="1" t="s">
        <v>1625</v>
      </c>
      <c r="F1582">
        <v>609.57265740000003</v>
      </c>
      <c r="G1582">
        <v>1587.800285</v>
      </c>
      <c r="H1582">
        <v>21779.278200000001</v>
      </c>
      <c r="I1582">
        <v>4123.9452810000003</v>
      </c>
      <c r="J1582">
        <v>13.50904689</v>
      </c>
      <c r="K1582">
        <v>3186.4165859999998</v>
      </c>
      <c r="L1582">
        <v>20.063630750000002</v>
      </c>
      <c r="M1582">
        <v>37.139200260000003</v>
      </c>
      <c r="N1582">
        <v>146.30430609999999</v>
      </c>
      <c r="O1582">
        <v>41.370048150000002</v>
      </c>
      <c r="P1582">
        <v>11.40883826</v>
      </c>
    </row>
    <row r="1583" spans="1:16">
      <c r="A1583" s="1" t="s">
        <v>1620</v>
      </c>
      <c r="B1583" s="1" t="s">
        <v>1643</v>
      </c>
      <c r="C1583" s="1" t="s">
        <v>18</v>
      </c>
      <c r="D1583" s="1" t="s">
        <v>19</v>
      </c>
      <c r="E1583" s="1" t="s">
        <v>1625</v>
      </c>
      <c r="F1583">
        <v>694.40956180000001</v>
      </c>
      <c r="G1583">
        <v>2175.6256589999998</v>
      </c>
      <c r="H1583">
        <v>27043.686720000002</v>
      </c>
      <c r="I1583">
        <v>3489.554529</v>
      </c>
      <c r="J1583">
        <v>7.2290393880000003</v>
      </c>
      <c r="K1583">
        <v>3960.6082540000002</v>
      </c>
      <c r="L1583">
        <v>17.09645244</v>
      </c>
      <c r="M1583">
        <v>43.131887079999998</v>
      </c>
      <c r="N1583">
        <v>220.8801899</v>
      </c>
      <c r="O1583">
        <v>55.995560500000003</v>
      </c>
      <c r="P1583">
        <v>14.525958960000001</v>
      </c>
    </row>
    <row r="1584" spans="1:16">
      <c r="A1584" s="1" t="s">
        <v>1620</v>
      </c>
      <c r="B1584" s="1" t="s">
        <v>1644</v>
      </c>
      <c r="C1584" s="1" t="s">
        <v>18</v>
      </c>
      <c r="D1584" s="1" t="s">
        <v>19</v>
      </c>
      <c r="E1584" s="1" t="s">
        <v>1625</v>
      </c>
      <c r="F1584">
        <v>222.51778730000001</v>
      </c>
      <c r="G1584">
        <v>1650.2540280000001</v>
      </c>
      <c r="H1584">
        <v>22114.51773</v>
      </c>
      <c r="I1584">
        <v>4235.3162149999998</v>
      </c>
      <c r="J1584">
        <v>2.910006632</v>
      </c>
      <c r="K1584">
        <v>3911.4599250000001</v>
      </c>
      <c r="L1584">
        <v>7.3465002530000003</v>
      </c>
      <c r="M1584">
        <v>36.361076310000001</v>
      </c>
      <c r="N1584">
        <v>214.92363549999999</v>
      </c>
      <c r="O1584">
        <v>49.182315440000004</v>
      </c>
      <c r="P1584">
        <v>12.9165185</v>
      </c>
    </row>
    <row r="1585" spans="1:16">
      <c r="A1585" s="1" t="s">
        <v>1620</v>
      </c>
      <c r="B1585" s="1" t="s">
        <v>1645</v>
      </c>
      <c r="C1585" s="1" t="s">
        <v>18</v>
      </c>
      <c r="D1585" s="1" t="s">
        <v>19</v>
      </c>
      <c r="E1585" s="1" t="s">
        <v>1625</v>
      </c>
      <c r="F1585">
        <v>309.67291890000001</v>
      </c>
      <c r="G1585">
        <v>999.76106689999995</v>
      </c>
      <c r="H1585">
        <v>13914.39639</v>
      </c>
      <c r="I1585">
        <v>4126.7167410000002</v>
      </c>
      <c r="J1585">
        <v>7.3328263849999997</v>
      </c>
      <c r="K1585">
        <v>1397.1255000000001</v>
      </c>
      <c r="L1585">
        <v>2.9879218910000001</v>
      </c>
      <c r="M1585">
        <v>36.048849709999999</v>
      </c>
      <c r="N1585">
        <v>186.50626009999999</v>
      </c>
      <c r="O1585">
        <v>15.323396389999999</v>
      </c>
      <c r="P1585">
        <v>7.6960252950000001</v>
      </c>
    </row>
    <row r="1586" spans="1:16">
      <c r="A1586" s="1" t="s">
        <v>1620</v>
      </c>
      <c r="B1586" s="1" t="s">
        <v>1646</v>
      </c>
      <c r="C1586" s="1" t="s">
        <v>18</v>
      </c>
      <c r="D1586" s="1" t="s">
        <v>19</v>
      </c>
      <c r="E1586" s="1" t="s">
        <v>1625</v>
      </c>
      <c r="F1586">
        <v>297.50516729999998</v>
      </c>
      <c r="G1586">
        <v>1889.2228399999999</v>
      </c>
      <c r="H1586">
        <v>17460.434949999999</v>
      </c>
      <c r="I1586">
        <v>3624.6048449999998</v>
      </c>
      <c r="J1586">
        <v>7.5528266579999999</v>
      </c>
      <c r="K1586">
        <v>2103.8424450000002</v>
      </c>
      <c r="L1586">
        <v>3.6121638659999999</v>
      </c>
      <c r="M1586">
        <v>39.853271110000001</v>
      </c>
      <c r="N1586">
        <v>154.2519624</v>
      </c>
      <c r="O1586">
        <v>30.85662318</v>
      </c>
      <c r="P1586">
        <v>12.433571219999999</v>
      </c>
    </row>
    <row r="1587" spans="1:16">
      <c r="A1587" s="1" t="s">
        <v>1620</v>
      </c>
      <c r="B1587" s="1" t="s">
        <v>1647</v>
      </c>
      <c r="C1587" s="1" t="s">
        <v>18</v>
      </c>
      <c r="D1587" s="1" t="s">
        <v>19</v>
      </c>
      <c r="E1587" s="1" t="s">
        <v>1625</v>
      </c>
      <c r="F1587">
        <v>3071.8332610000002</v>
      </c>
      <c r="G1587">
        <v>2307.2783119999999</v>
      </c>
      <c r="H1587">
        <v>24192.572980000001</v>
      </c>
      <c r="I1587">
        <v>3248.5927729999999</v>
      </c>
      <c r="J1587">
        <v>7.209711575</v>
      </c>
      <c r="K1587">
        <v>481.4420058</v>
      </c>
      <c r="L1587">
        <v>3.596243651</v>
      </c>
      <c r="M1587">
        <v>27.697820360000001</v>
      </c>
      <c r="N1587">
        <v>232.49034589999999</v>
      </c>
      <c r="O1587">
        <v>12.11068957</v>
      </c>
      <c r="P1587">
        <v>13.926060639999999</v>
      </c>
    </row>
    <row r="1588" spans="1:16">
      <c r="A1588" s="1" t="s">
        <v>1620</v>
      </c>
      <c r="B1588" s="1" t="s">
        <v>1648</v>
      </c>
      <c r="C1588" s="1" t="s">
        <v>18</v>
      </c>
      <c r="D1588" s="1" t="s">
        <v>19</v>
      </c>
      <c r="E1588" s="1" t="s">
        <v>1625</v>
      </c>
      <c r="F1588">
        <v>264.1096905</v>
      </c>
      <c r="G1588">
        <v>1727.1401860000001</v>
      </c>
      <c r="H1588">
        <v>22397.516439999999</v>
      </c>
      <c r="I1588">
        <v>3662.4049989999999</v>
      </c>
      <c r="J1588">
        <v>7.2561796039999997</v>
      </c>
      <c r="K1588">
        <v>730.10738879999997</v>
      </c>
      <c r="L1588">
        <v>2.468260452</v>
      </c>
      <c r="M1588">
        <v>43.549399029999996</v>
      </c>
      <c r="N1588">
        <v>107.1047745</v>
      </c>
      <c r="O1588">
        <v>17.708973740000001</v>
      </c>
      <c r="P1588">
        <v>12.40314023</v>
      </c>
    </row>
    <row r="1589" spans="1:16">
      <c r="A1589" s="1" t="s">
        <v>1620</v>
      </c>
      <c r="B1589" s="1" t="s">
        <v>1649</v>
      </c>
      <c r="C1589" s="1" t="s">
        <v>18</v>
      </c>
      <c r="D1589" s="1" t="s">
        <v>19</v>
      </c>
      <c r="E1589" s="1" t="s">
        <v>1625</v>
      </c>
      <c r="F1589">
        <v>819.12452710000002</v>
      </c>
      <c r="G1589">
        <v>1862.435009</v>
      </c>
      <c r="H1589">
        <v>16238.26888</v>
      </c>
      <c r="I1589">
        <v>3700.6010299999998</v>
      </c>
      <c r="J1589">
        <v>9.7043261950000002</v>
      </c>
      <c r="K1589">
        <v>2568.284662</v>
      </c>
      <c r="L1589">
        <v>29.562699080000002</v>
      </c>
      <c r="M1589">
        <v>43.585305550000001</v>
      </c>
      <c r="N1589">
        <v>140.32522359999999</v>
      </c>
      <c r="O1589">
        <v>40.834064050000002</v>
      </c>
      <c r="P1589">
        <v>10.981544510000001</v>
      </c>
    </row>
    <row r="1590" spans="1:16">
      <c r="A1590" s="1" t="s">
        <v>1620</v>
      </c>
      <c r="B1590" s="1" t="s">
        <v>1650</v>
      </c>
      <c r="C1590" s="1" t="s">
        <v>18</v>
      </c>
      <c r="D1590" s="1" t="s">
        <v>19</v>
      </c>
      <c r="E1590" s="1" t="s">
        <v>1625</v>
      </c>
      <c r="F1590">
        <v>557.60276829999998</v>
      </c>
      <c r="G1590">
        <v>1666.2639859999999</v>
      </c>
      <c r="H1590">
        <v>22735.112499999999</v>
      </c>
      <c r="I1590">
        <v>4057.7336310000001</v>
      </c>
      <c r="J1590">
        <v>7.6615600730000004</v>
      </c>
      <c r="K1590">
        <v>3306.794903</v>
      </c>
      <c r="L1590">
        <v>15.990548840000001</v>
      </c>
      <c r="M1590">
        <v>37.12569508</v>
      </c>
      <c r="N1590">
        <v>127.23802139999999</v>
      </c>
      <c r="O1590">
        <v>48.871661779999997</v>
      </c>
      <c r="P1590">
        <v>11.82350862</v>
      </c>
    </row>
    <row r="1591" spans="1:16">
      <c r="A1591" s="1" t="s">
        <v>1620</v>
      </c>
      <c r="B1591" s="1" t="s">
        <v>1651</v>
      </c>
      <c r="C1591" s="1" t="s">
        <v>18</v>
      </c>
      <c r="D1591" s="1" t="s">
        <v>19</v>
      </c>
      <c r="E1591" s="1" t="s">
        <v>1625</v>
      </c>
      <c r="F1591">
        <v>2239.6261140000001</v>
      </c>
      <c r="G1591">
        <v>2253.5024530000001</v>
      </c>
      <c r="H1591">
        <v>28137.741549999999</v>
      </c>
      <c r="I1591">
        <v>3361.6055919999999</v>
      </c>
      <c r="J1591">
        <v>3.0061728560000001</v>
      </c>
      <c r="K1591">
        <v>5268.6030840000003</v>
      </c>
      <c r="L1591">
        <v>47.126735289999999</v>
      </c>
      <c r="M1591">
        <v>43.469834370000001</v>
      </c>
      <c r="N1591">
        <v>157.41755520000001</v>
      </c>
      <c r="O1591">
        <v>55.328332529999997</v>
      </c>
      <c r="P1591">
        <v>14.976751</v>
      </c>
    </row>
    <row r="1592" spans="1:16">
      <c r="A1592" s="1" t="s">
        <v>1620</v>
      </c>
      <c r="B1592" s="1" t="s">
        <v>1652</v>
      </c>
      <c r="C1592" s="1" t="s">
        <v>18</v>
      </c>
      <c r="D1592" s="1" t="s">
        <v>19</v>
      </c>
      <c r="E1592" s="1" t="s">
        <v>1625</v>
      </c>
      <c r="F1592">
        <v>705.71949029999996</v>
      </c>
      <c r="G1592">
        <v>1783.4186569999999</v>
      </c>
      <c r="H1592">
        <v>9000.7345839999998</v>
      </c>
      <c r="I1592">
        <v>1698.66032</v>
      </c>
      <c r="J1592">
        <f>2.19/2</f>
        <v>1.095</v>
      </c>
      <c r="K1592">
        <v>720.03060270000003</v>
      </c>
      <c r="L1592">
        <v>8.3143130589999998</v>
      </c>
      <c r="M1592">
        <v>27.610675560000001</v>
      </c>
      <c r="N1592">
        <v>32.257017189999999</v>
      </c>
      <c r="O1592">
        <v>29.029350239999999</v>
      </c>
      <c r="P1592">
        <v>5.3601264280000001</v>
      </c>
    </row>
    <row r="1593" spans="1:16">
      <c r="A1593" s="1" t="s">
        <v>1620</v>
      </c>
      <c r="B1593" s="1" t="s">
        <v>1653</v>
      </c>
      <c r="C1593" s="1" t="s">
        <v>18</v>
      </c>
      <c r="D1593" s="1" t="s">
        <v>19</v>
      </c>
      <c r="E1593" s="1" t="s">
        <v>1625</v>
      </c>
      <c r="F1593">
        <v>916.51418160000003</v>
      </c>
      <c r="G1593">
        <v>2186.9360879999999</v>
      </c>
      <c r="H1593">
        <v>25233.196769999999</v>
      </c>
      <c r="I1593">
        <v>3527.8478599999999</v>
      </c>
      <c r="J1593">
        <f>2.19/2</f>
        <v>1.095</v>
      </c>
      <c r="K1593">
        <v>3349.5628849999998</v>
      </c>
      <c r="L1593">
        <v>28.64609797</v>
      </c>
      <c r="M1593">
        <v>36.78835205</v>
      </c>
      <c r="N1593">
        <v>204.00889849999999</v>
      </c>
      <c r="O1593">
        <v>57.740247590000003</v>
      </c>
      <c r="P1593">
        <v>14.142515639999999</v>
      </c>
    </row>
    <row r="1594" spans="1:16">
      <c r="A1594" s="1" t="s">
        <v>1620</v>
      </c>
      <c r="B1594" s="1" t="s">
        <v>1654</v>
      </c>
      <c r="C1594" s="1" t="s">
        <v>18</v>
      </c>
      <c r="D1594" s="1" t="s">
        <v>19</v>
      </c>
      <c r="E1594" s="1" t="s">
        <v>1625</v>
      </c>
      <c r="F1594">
        <v>634.94819600000005</v>
      </c>
      <c r="G1594">
        <v>1560.6271979999999</v>
      </c>
      <c r="H1594">
        <v>22937.42165</v>
      </c>
      <c r="I1594">
        <v>3544.7174030000001</v>
      </c>
      <c r="J1594">
        <v>13.78966615</v>
      </c>
      <c r="K1594">
        <v>2391.7886530000001</v>
      </c>
      <c r="L1594">
        <v>17.404137649999999</v>
      </c>
      <c r="M1594">
        <v>37.972146309999999</v>
      </c>
      <c r="N1594">
        <v>163.140568</v>
      </c>
      <c r="O1594">
        <v>33.779193169999999</v>
      </c>
      <c r="P1594">
        <v>12.29886364</v>
      </c>
    </row>
    <row r="1595" spans="1:16">
      <c r="A1595" s="1" t="s">
        <v>1655</v>
      </c>
      <c r="B1595" s="1" t="s">
        <v>1656</v>
      </c>
      <c r="C1595" s="1" t="s">
        <v>18</v>
      </c>
      <c r="D1595" s="1" t="s">
        <v>19</v>
      </c>
      <c r="E1595" s="1" t="s">
        <v>1625</v>
      </c>
      <c r="F1595">
        <v>3849.9448252020302</v>
      </c>
      <c r="G1595">
        <v>7430.9314607123397</v>
      </c>
      <c r="H1595">
        <v>16917.274015875599</v>
      </c>
      <c r="I1595">
        <v>856.89904050671396</v>
      </c>
      <c r="J1595">
        <v>25.3950399973854</v>
      </c>
      <c r="K1595">
        <v>5957.4857280870001</v>
      </c>
      <c r="L1595">
        <v>93.405768913029902</v>
      </c>
      <c r="M1595">
        <v>52.3174284293762</v>
      </c>
      <c r="N1595">
        <v>1500.57954360695</v>
      </c>
      <c r="O1595">
        <v>27.335596750239901</v>
      </c>
      <c r="P1595">
        <v>9.2599164663647198</v>
      </c>
    </row>
    <row r="1596" spans="1:16">
      <c r="A1596" s="1" t="s">
        <v>1655</v>
      </c>
      <c r="B1596" s="1" t="s">
        <v>1657</v>
      </c>
      <c r="C1596" s="1" t="s">
        <v>18</v>
      </c>
      <c r="D1596" s="1" t="s">
        <v>19</v>
      </c>
      <c r="E1596" s="1" t="s">
        <v>1625</v>
      </c>
      <c r="F1596">
        <v>3510.9830592852099</v>
      </c>
      <c r="G1596">
        <v>7731.3059830177799</v>
      </c>
      <c r="H1596">
        <v>12861.4449913631</v>
      </c>
      <c r="I1596">
        <v>860.34212275827099</v>
      </c>
      <c r="J1596">
        <v>19.0341946699908</v>
      </c>
      <c r="K1596">
        <v>5224.2814019422703</v>
      </c>
      <c r="L1596">
        <v>93.071129012927202</v>
      </c>
      <c r="M1596">
        <v>54.402474377402399</v>
      </c>
      <c r="N1596">
        <v>1743.25142929191</v>
      </c>
      <c r="O1596">
        <v>28.363587453157599</v>
      </c>
      <c r="P1596">
        <v>9.7448673509500896</v>
      </c>
    </row>
    <row r="1597" spans="1:16">
      <c r="A1597" s="1" t="s">
        <v>1655</v>
      </c>
      <c r="B1597" s="1" t="s">
        <v>1658</v>
      </c>
      <c r="C1597" s="1" t="s">
        <v>18</v>
      </c>
      <c r="D1597" s="1" t="s">
        <v>19</v>
      </c>
      <c r="E1597" s="1" t="s">
        <v>1625</v>
      </c>
      <c r="F1597">
        <v>3592.9408717688002</v>
      </c>
      <c r="G1597">
        <v>7026.9689527122</v>
      </c>
      <c r="H1597">
        <v>20917.442397061201</v>
      </c>
      <c r="I1597">
        <v>804.36264866696001</v>
      </c>
      <c r="J1597">
        <v>24.6511718032015</v>
      </c>
      <c r="K1597">
        <v>8007.0001140261302</v>
      </c>
      <c r="L1597">
        <v>89.871713314608201</v>
      </c>
      <c r="M1597">
        <v>52.980364748021799</v>
      </c>
      <c r="N1597">
        <v>1308.29486585072</v>
      </c>
      <c r="O1597">
        <v>26.192455375741801</v>
      </c>
      <c r="P1597">
        <v>10.771549447856099</v>
      </c>
    </row>
    <row r="1598" spans="1:16">
      <c r="A1598" s="1" t="s">
        <v>1655</v>
      </c>
      <c r="B1598" s="1" t="s">
        <v>1659</v>
      </c>
      <c r="C1598" s="1" t="s">
        <v>18</v>
      </c>
      <c r="D1598" s="1" t="s">
        <v>19</v>
      </c>
      <c r="E1598" s="1" t="s">
        <v>1625</v>
      </c>
      <c r="F1598">
        <v>2688.9297915289098</v>
      </c>
      <c r="G1598">
        <v>5814.8841537051803</v>
      </c>
      <c r="H1598">
        <v>9618.6530186841501</v>
      </c>
      <c r="I1598">
        <v>817.01480435583096</v>
      </c>
      <c r="J1598">
        <v>15.5911379088357</v>
      </c>
      <c r="K1598">
        <v>5867.1826135765496</v>
      </c>
      <c r="L1598">
        <v>83.985289649304207</v>
      </c>
      <c r="M1598">
        <v>53.077421344765703</v>
      </c>
      <c r="N1598">
        <v>1203.95381442649</v>
      </c>
      <c r="O1598">
        <v>28.890552813553501</v>
      </c>
      <c r="P1598">
        <v>8.5748303105050194</v>
      </c>
    </row>
    <row r="1599" spans="1:16">
      <c r="A1599" s="1" t="s">
        <v>1655</v>
      </c>
      <c r="B1599" s="1" t="s">
        <v>1660</v>
      </c>
      <c r="C1599" s="1" t="s">
        <v>18</v>
      </c>
      <c r="D1599" s="1" t="s">
        <v>19</v>
      </c>
      <c r="E1599" s="1" t="s">
        <v>1625</v>
      </c>
      <c r="F1599">
        <v>2308.88187083397</v>
      </c>
      <c r="G1599">
        <v>4813.8086510245803</v>
      </c>
      <c r="H1599">
        <v>19046.958746398701</v>
      </c>
      <c r="I1599">
        <v>874.29659400413698</v>
      </c>
      <c r="J1599">
        <v>17.517832532303501</v>
      </c>
      <c r="K1599">
        <v>6488.9323004075904</v>
      </c>
      <c r="L1599">
        <v>87.552336299820794</v>
      </c>
      <c r="M1599">
        <v>53.391178444084701</v>
      </c>
      <c r="N1599">
        <v>553.430068584943</v>
      </c>
      <c r="O1599">
        <v>26.366355475205602</v>
      </c>
      <c r="P1599">
        <v>8.27999473927939</v>
      </c>
    </row>
    <row r="1600" spans="1:16">
      <c r="A1600" s="1" t="s">
        <v>1655</v>
      </c>
      <c r="B1600" s="1" t="s">
        <v>1661</v>
      </c>
      <c r="C1600" s="1" t="s">
        <v>18</v>
      </c>
      <c r="D1600" s="1" t="s">
        <v>19</v>
      </c>
      <c r="E1600" s="1" t="s">
        <v>1625</v>
      </c>
      <c r="F1600">
        <v>2353.2912739052999</v>
      </c>
      <c r="G1600">
        <v>5413.9537466791098</v>
      </c>
      <c r="H1600">
        <v>11350.5668784299</v>
      </c>
      <c r="I1600">
        <v>822.92032978140401</v>
      </c>
      <c r="J1600">
        <v>19.918489059809101</v>
      </c>
      <c r="K1600">
        <v>5533.3739995259302</v>
      </c>
      <c r="L1600">
        <v>90.335770459358798</v>
      </c>
      <c r="M1600">
        <v>56.7237099235927</v>
      </c>
      <c r="N1600">
        <v>1324.2728071077499</v>
      </c>
      <c r="O1600">
        <v>29.144039752388199</v>
      </c>
      <c r="P1600">
        <v>8.4654093502267092</v>
      </c>
    </row>
    <row r="1601" spans="1:16">
      <c r="A1601" s="1" t="s">
        <v>1655</v>
      </c>
      <c r="B1601" s="1" t="s">
        <v>1662</v>
      </c>
      <c r="C1601" s="1" t="s">
        <v>18</v>
      </c>
      <c r="D1601" s="1" t="s">
        <v>19</v>
      </c>
      <c r="E1601" s="1" t="s">
        <v>1625</v>
      </c>
      <c r="F1601">
        <v>3353.4314389961201</v>
      </c>
      <c r="G1601">
        <v>6663.5594767483499</v>
      </c>
      <c r="H1601">
        <v>13543.6576588936</v>
      </c>
      <c r="I1601">
        <v>848.69766104202699</v>
      </c>
      <c r="J1601">
        <v>18.1306146927454</v>
      </c>
      <c r="K1601">
        <v>5177.3839713887301</v>
      </c>
      <c r="L1601">
        <v>90.040004546938405</v>
      </c>
      <c r="M1601">
        <v>52.159167010750899</v>
      </c>
      <c r="N1601">
        <v>1521.24195094786</v>
      </c>
      <c r="O1601">
        <v>28.6261713475402</v>
      </c>
      <c r="P1601">
        <v>9.4038772159425701</v>
      </c>
    </row>
    <row r="1602" spans="1:16">
      <c r="A1602" s="1" t="s">
        <v>1655</v>
      </c>
      <c r="B1602" s="1" t="s">
        <v>1663</v>
      </c>
      <c r="C1602" s="1" t="s">
        <v>18</v>
      </c>
      <c r="D1602" s="1" t="s">
        <v>19</v>
      </c>
      <c r="E1602" s="1" t="s">
        <v>1625</v>
      </c>
      <c r="F1602">
        <v>1802.7232393587001</v>
      </c>
      <c r="G1602">
        <v>4532.6769648821501</v>
      </c>
      <c r="H1602">
        <v>16455.584273061999</v>
      </c>
      <c r="I1602">
        <v>800.95782476365105</v>
      </c>
      <c r="J1602">
        <v>15.279432154350401</v>
      </c>
      <c r="K1602">
        <v>7147.9794925487604</v>
      </c>
      <c r="L1602">
        <v>78.558436177259395</v>
      </c>
      <c r="M1602">
        <v>66.952532680224095</v>
      </c>
      <c r="N1602">
        <v>609.01089094773897</v>
      </c>
      <c r="O1602">
        <v>25.500206141597602</v>
      </c>
      <c r="P1602">
        <v>8.9439866857442603</v>
      </c>
    </row>
    <row r="1603" spans="1:16">
      <c r="A1603" s="1" t="s">
        <v>1655</v>
      </c>
      <c r="B1603" s="1" t="s">
        <v>1664</v>
      </c>
      <c r="C1603" s="1" t="s">
        <v>18</v>
      </c>
      <c r="D1603" s="1" t="s">
        <v>19</v>
      </c>
      <c r="E1603" s="1" t="s">
        <v>1625</v>
      </c>
      <c r="F1603">
        <v>1946.84198414347</v>
      </c>
      <c r="G1603">
        <v>4533.9490875235697</v>
      </c>
      <c r="H1603">
        <v>15086.133074868099</v>
      </c>
      <c r="I1603">
        <v>840.37300983829596</v>
      </c>
      <c r="J1603">
        <v>6.5786858020630703</v>
      </c>
      <c r="K1603">
        <v>9603.3985779453997</v>
      </c>
      <c r="L1603">
        <v>84.256045150237696</v>
      </c>
      <c r="M1603">
        <v>55.167816938423599</v>
      </c>
      <c r="N1603">
        <v>581.35397640458405</v>
      </c>
      <c r="O1603">
        <v>26.343426687130599</v>
      </c>
      <c r="P1603">
        <v>8.4887729343064198</v>
      </c>
    </row>
    <row r="1604" spans="1:16">
      <c r="A1604" s="1" t="s">
        <v>1655</v>
      </c>
      <c r="B1604" s="1" t="s">
        <v>1665</v>
      </c>
      <c r="C1604" s="1" t="s">
        <v>18</v>
      </c>
      <c r="D1604" s="1" t="s">
        <v>19</v>
      </c>
      <c r="E1604" s="1" t="s">
        <v>1625</v>
      </c>
      <c r="F1604">
        <v>1018.21616265076</v>
      </c>
      <c r="G1604">
        <v>4153.1896951060999</v>
      </c>
      <c r="H1604">
        <v>19842.867134539501</v>
      </c>
      <c r="I1604">
        <v>838.92895947645604</v>
      </c>
      <c r="J1604">
        <v>29.472518948998001</v>
      </c>
      <c r="K1604">
        <v>7960.0007915524902</v>
      </c>
      <c r="L1604">
        <v>74.152426280402594</v>
      </c>
      <c r="M1604">
        <v>53.317751111810097</v>
      </c>
      <c r="N1604">
        <v>526.39345851611301</v>
      </c>
      <c r="O1604">
        <v>26.332015962540201</v>
      </c>
      <c r="P1604">
        <v>10.378391230088701</v>
      </c>
    </row>
    <row r="1605" spans="1:16">
      <c r="A1605" s="1" t="s">
        <v>1655</v>
      </c>
      <c r="B1605" s="1" t="s">
        <v>1666</v>
      </c>
      <c r="C1605" s="1" t="s">
        <v>18</v>
      </c>
      <c r="D1605" s="1" t="s">
        <v>19</v>
      </c>
      <c r="E1605" s="1" t="s">
        <v>1625</v>
      </c>
      <c r="F1605">
        <v>1490.7321203271199</v>
      </c>
      <c r="G1605">
        <v>4889.1485467060802</v>
      </c>
      <c r="H1605">
        <v>10615.686419895001</v>
      </c>
      <c r="I1605">
        <v>843.33853264111497</v>
      </c>
      <c r="J1605">
        <v>19.975833107815099</v>
      </c>
      <c r="K1605">
        <v>6358.8652220410804</v>
      </c>
      <c r="L1605">
        <v>74.534136711912495</v>
      </c>
      <c r="M1605">
        <v>46.506499508017697</v>
      </c>
      <c r="N1605">
        <v>1065.3114976232</v>
      </c>
      <c r="O1605">
        <v>28.983976857294099</v>
      </c>
      <c r="P1605">
        <v>8.2257859268900493</v>
      </c>
    </row>
    <row r="1606" spans="1:16">
      <c r="A1606" s="1" t="s">
        <v>1655</v>
      </c>
      <c r="B1606" s="1" t="s">
        <v>1667</v>
      </c>
      <c r="C1606" s="1" t="s">
        <v>18</v>
      </c>
      <c r="D1606" s="1" t="s">
        <v>19</v>
      </c>
      <c r="E1606" s="1" t="s">
        <v>1625</v>
      </c>
      <c r="F1606">
        <v>2615.4970285813802</v>
      </c>
      <c r="G1606">
        <v>6970.2767686544903</v>
      </c>
      <c r="H1606">
        <v>10781.856001679</v>
      </c>
      <c r="I1606">
        <v>839.34829055260104</v>
      </c>
      <c r="J1606">
        <v>19.695393351934499</v>
      </c>
      <c r="K1606">
        <v>5602.3109220785</v>
      </c>
      <c r="L1606">
        <v>92.742360547058098</v>
      </c>
      <c r="M1606">
        <v>54.321170955556099</v>
      </c>
      <c r="N1606">
        <v>1708.1176884123699</v>
      </c>
      <c r="O1606">
        <v>31.386947409663701</v>
      </c>
      <c r="P1606">
        <v>9.4113809754316495</v>
      </c>
    </row>
    <row r="1607" spans="1:16">
      <c r="A1607" s="1" t="s">
        <v>1655</v>
      </c>
      <c r="B1607" s="1" t="s">
        <v>1668</v>
      </c>
      <c r="C1607" s="1" t="s">
        <v>18</v>
      </c>
      <c r="D1607" s="1" t="s">
        <v>19</v>
      </c>
      <c r="E1607" s="1" t="s">
        <v>1625</v>
      </c>
      <c r="F1607">
        <v>2589.06010670571</v>
      </c>
      <c r="G1607">
        <v>6421.6652599436902</v>
      </c>
      <c r="H1607">
        <v>5940.1998296049496</v>
      </c>
      <c r="I1607">
        <v>884.47392866519499</v>
      </c>
      <c r="J1607">
        <v>25.699973233934099</v>
      </c>
      <c r="K1607">
        <v>4480.7742354723896</v>
      </c>
      <c r="L1607">
        <v>88.156437373474205</v>
      </c>
      <c r="M1607">
        <v>43.154254515529502</v>
      </c>
      <c r="N1607">
        <v>1477.02801064715</v>
      </c>
      <c r="O1607">
        <v>28.8429384833779</v>
      </c>
      <c r="P1607">
        <v>9.3863086266445794</v>
      </c>
    </row>
    <row r="1608" spans="1:16">
      <c r="A1608" s="1" t="s">
        <v>1655</v>
      </c>
      <c r="B1608" s="1" t="s">
        <v>1669</v>
      </c>
      <c r="C1608" s="1" t="s">
        <v>18</v>
      </c>
      <c r="D1608" s="1" t="s">
        <v>19</v>
      </c>
      <c r="E1608" s="1" t="s">
        <v>1625</v>
      </c>
      <c r="F1608">
        <v>3366.77411602948</v>
      </c>
      <c r="G1608">
        <v>7080.85214803901</v>
      </c>
      <c r="H1608">
        <v>15736.5664179047</v>
      </c>
      <c r="I1608">
        <v>839.90420002303802</v>
      </c>
      <c r="J1608">
        <v>32.205891140645001</v>
      </c>
      <c r="K1608">
        <v>6071.0376935057602</v>
      </c>
      <c r="L1608">
        <v>95.145060321416395</v>
      </c>
      <c r="M1608">
        <v>49.229777079673902</v>
      </c>
      <c r="N1608">
        <v>1416.8341913821801</v>
      </c>
      <c r="O1608">
        <v>27.975435785389902</v>
      </c>
      <c r="P1608">
        <v>10.007899304053099</v>
      </c>
    </row>
    <row r="1609" spans="1:16">
      <c r="A1609" s="1" t="s">
        <v>1655</v>
      </c>
      <c r="B1609" s="1" t="s">
        <v>1670</v>
      </c>
      <c r="C1609" s="1" t="s">
        <v>18</v>
      </c>
      <c r="D1609" s="1" t="s">
        <v>19</v>
      </c>
      <c r="E1609" s="1" t="s">
        <v>1625</v>
      </c>
      <c r="F1609">
        <v>2985.5004197271301</v>
      </c>
      <c r="G1609">
        <v>7099.8069251728102</v>
      </c>
      <c r="H1609">
        <v>6297.41913985466</v>
      </c>
      <c r="I1609">
        <v>901.29588816038904</v>
      </c>
      <c r="J1609">
        <v>19.028619622505499</v>
      </c>
      <c r="K1609">
        <v>4449.5556073983498</v>
      </c>
      <c r="L1609">
        <v>95.479058303602002</v>
      </c>
      <c r="M1609">
        <v>49.199895572406902</v>
      </c>
      <c r="N1609">
        <v>1594.94476295972</v>
      </c>
      <c r="O1609">
        <v>30.3011491153135</v>
      </c>
      <c r="P1609">
        <v>11.2262806144164</v>
      </c>
    </row>
    <row r="1610" spans="1:16">
      <c r="A1610" s="1" t="s">
        <v>1655</v>
      </c>
      <c r="B1610" s="1" t="s">
        <v>1671</v>
      </c>
      <c r="C1610" s="1" t="s">
        <v>18</v>
      </c>
      <c r="D1610" s="1" t="s">
        <v>19</v>
      </c>
      <c r="E1610" s="1" t="s">
        <v>1625</v>
      </c>
      <c r="F1610">
        <v>838.85340498315395</v>
      </c>
      <c r="G1610">
        <v>4272.9436754522803</v>
      </c>
      <c r="H1610">
        <v>10519.797729420699</v>
      </c>
      <c r="I1610">
        <v>859.81092922576204</v>
      </c>
      <c r="J1610">
        <v>62.597457136650299</v>
      </c>
      <c r="K1610">
        <v>5840.3736476780696</v>
      </c>
      <c r="L1610">
        <v>74.389736881744398</v>
      </c>
      <c r="M1610">
        <v>49.461781487978101</v>
      </c>
      <c r="N1610">
        <v>1881.1337258122801</v>
      </c>
      <c r="O1610">
        <v>31.035923705894099</v>
      </c>
      <c r="P1610">
        <v>6.0960363643842097</v>
      </c>
    </row>
    <row r="1611" spans="1:16">
      <c r="A1611" s="1" t="s">
        <v>1655</v>
      </c>
      <c r="B1611" s="1" t="s">
        <v>1672</v>
      </c>
      <c r="C1611" s="1" t="s">
        <v>18</v>
      </c>
      <c r="D1611" s="1" t="s">
        <v>19</v>
      </c>
      <c r="E1611" s="1" t="s">
        <v>1625</v>
      </c>
      <c r="F1611">
        <v>765.82998496432299</v>
      </c>
      <c r="G1611">
        <v>4865.5975516323897</v>
      </c>
      <c r="H1611">
        <v>7644.8761735698399</v>
      </c>
      <c r="I1611">
        <v>836.295271107894</v>
      </c>
      <c r="J1611">
        <v>73.288175557190399</v>
      </c>
      <c r="K1611">
        <v>5603.4992256698297</v>
      </c>
      <c r="L1611">
        <v>78.9526595196632</v>
      </c>
      <c r="M1611">
        <v>52.763027938734403</v>
      </c>
      <c r="N1611">
        <v>2113.7838565181</v>
      </c>
      <c r="O1611">
        <v>31.943755020891199</v>
      </c>
      <c r="P1611">
        <v>5.3675622326774901</v>
      </c>
    </row>
    <row r="1612" spans="1:16">
      <c r="A1612" s="1" t="s">
        <v>1655</v>
      </c>
      <c r="B1612" s="1" t="s">
        <v>1673</v>
      </c>
      <c r="C1612" s="1" t="s">
        <v>18</v>
      </c>
      <c r="D1612" s="1" t="s">
        <v>19</v>
      </c>
      <c r="E1612" s="1" t="s">
        <v>1625</v>
      </c>
      <c r="F1612">
        <v>1069.68422794151</v>
      </c>
      <c r="G1612">
        <v>5451.6263848401704</v>
      </c>
      <c r="H1612">
        <v>6681.3604211104503</v>
      </c>
      <c r="I1612">
        <v>878.43437076153498</v>
      </c>
      <c r="J1612">
        <v>75.066141022582997</v>
      </c>
      <c r="K1612">
        <v>5648.4251587061099</v>
      </c>
      <c r="L1612">
        <v>85.005115369307703</v>
      </c>
      <c r="M1612">
        <v>55.0816790817859</v>
      </c>
      <c r="N1612">
        <v>2046.0972708397701</v>
      </c>
      <c r="O1612">
        <v>30.752544911618902</v>
      </c>
      <c r="P1612">
        <v>5.83442019451362</v>
      </c>
    </row>
    <row r="1613" spans="1:16">
      <c r="A1613" s="1" t="s">
        <v>1655</v>
      </c>
      <c r="B1613" s="1" t="s">
        <v>1674</v>
      </c>
      <c r="C1613" s="1" t="s">
        <v>18</v>
      </c>
      <c r="D1613" s="1" t="s">
        <v>19</v>
      </c>
      <c r="E1613" s="1" t="s">
        <v>1625</v>
      </c>
      <c r="F1613">
        <v>1085.1276242655299</v>
      </c>
      <c r="G1613">
        <v>5019.6530451437902</v>
      </c>
      <c r="H1613">
        <v>6321.3100571333398</v>
      </c>
      <c r="I1613">
        <v>839.26367347921098</v>
      </c>
      <c r="J1613">
        <v>73.298161160086494</v>
      </c>
      <c r="K1613">
        <v>4893.0157292037302</v>
      </c>
      <c r="L1613">
        <v>85.723038173927193</v>
      </c>
      <c r="M1613">
        <v>54.975605037368801</v>
      </c>
      <c r="N1613">
        <v>1434.41450854343</v>
      </c>
      <c r="O1613">
        <v>30.621299094032</v>
      </c>
      <c r="P1613">
        <v>5.7082604986041501</v>
      </c>
    </row>
    <row r="1614" spans="1:16">
      <c r="A1614" s="1" t="s">
        <v>1655</v>
      </c>
      <c r="B1614" s="1" t="s">
        <v>1675</v>
      </c>
      <c r="C1614" s="1" t="s">
        <v>18</v>
      </c>
      <c r="D1614" s="1" t="s">
        <v>19</v>
      </c>
      <c r="E1614" s="1" t="s">
        <v>1625</v>
      </c>
      <c r="F1614">
        <v>1136.5671022875599</v>
      </c>
      <c r="G1614">
        <v>5087.7891248856804</v>
      </c>
      <c r="H1614">
        <v>7668.1232360312097</v>
      </c>
      <c r="I1614">
        <v>893.94075102046099</v>
      </c>
      <c r="J1614">
        <v>74.531850447340901</v>
      </c>
      <c r="K1614">
        <v>4983.0607509818001</v>
      </c>
      <c r="L1614">
        <v>88.343180717022406</v>
      </c>
      <c r="M1614">
        <v>63.3678505349327</v>
      </c>
      <c r="N1614">
        <v>1615.6433091733199</v>
      </c>
      <c r="O1614">
        <v>33.1487298271878</v>
      </c>
      <c r="P1614">
        <v>5.9782224652393099</v>
      </c>
    </row>
    <row r="1615" spans="1:16">
      <c r="A1615" s="1" t="s">
        <v>1655</v>
      </c>
      <c r="B1615" s="1" t="s">
        <v>1676</v>
      </c>
      <c r="C1615" s="1" t="s">
        <v>18</v>
      </c>
      <c r="D1615" s="1" t="s">
        <v>19</v>
      </c>
      <c r="E1615" s="1" t="s">
        <v>1625</v>
      </c>
      <c r="F1615">
        <v>1593.9363473247499</v>
      </c>
      <c r="G1615">
        <v>5649.4985377717403</v>
      </c>
      <c r="H1615">
        <v>8083.8022807097996</v>
      </c>
      <c r="I1615">
        <v>862.00875917916403</v>
      </c>
      <c r="J1615">
        <v>45.2379356971039</v>
      </c>
      <c r="K1615">
        <v>5807.0166287398897</v>
      </c>
      <c r="L1615">
        <v>83.336907797152094</v>
      </c>
      <c r="M1615">
        <v>66.991856212831394</v>
      </c>
      <c r="N1615">
        <v>1586.17876650586</v>
      </c>
      <c r="O1615">
        <v>29.375837663790801</v>
      </c>
      <c r="P1615">
        <v>6.3461933290167503</v>
      </c>
    </row>
    <row r="1616" spans="1:16">
      <c r="A1616" s="1" t="s">
        <v>1655</v>
      </c>
      <c r="B1616" s="1" t="s">
        <v>1677</v>
      </c>
      <c r="C1616" s="1" t="s">
        <v>18</v>
      </c>
      <c r="D1616" s="1" t="s">
        <v>19</v>
      </c>
      <c r="E1616" s="1" t="s">
        <v>1625</v>
      </c>
      <c r="F1616">
        <v>1565.2432167514501</v>
      </c>
      <c r="G1616">
        <v>5794.7485432799904</v>
      </c>
      <c r="H1616">
        <v>5244.1182199963296</v>
      </c>
      <c r="I1616">
        <v>900.149654485925</v>
      </c>
      <c r="J1616">
        <v>59.260916374123497</v>
      </c>
      <c r="K1616">
        <v>4404.1897179478901</v>
      </c>
      <c r="L1616">
        <v>74.902490067115707</v>
      </c>
      <c r="M1616">
        <v>54.420195275298298</v>
      </c>
      <c r="N1616">
        <v>1385.6306328123701</v>
      </c>
      <c r="O1616">
        <v>30.443930093118301</v>
      </c>
      <c r="P1616">
        <v>7.0261488550583797</v>
      </c>
    </row>
    <row r="1617" spans="1:16">
      <c r="A1617" s="1" t="s">
        <v>1655</v>
      </c>
      <c r="B1617" s="1" t="s">
        <v>1678</v>
      </c>
      <c r="C1617" s="1" t="s">
        <v>18</v>
      </c>
      <c r="D1617" s="1" t="s">
        <v>19</v>
      </c>
      <c r="E1617" s="1" t="s">
        <v>1625</v>
      </c>
      <c r="F1617">
        <v>560.56608695230705</v>
      </c>
      <c r="G1617">
        <v>4081.0095734471502</v>
      </c>
      <c r="H1617">
        <v>14579.3460315962</v>
      </c>
      <c r="I1617">
        <v>885.89710738913595</v>
      </c>
      <c r="J1617">
        <v>76.873101049525403</v>
      </c>
      <c r="K1617">
        <v>6740.8797330521202</v>
      </c>
      <c r="L1617">
        <v>65.866424483396301</v>
      </c>
      <c r="M1617">
        <v>52.0881493713513</v>
      </c>
      <c r="N1617">
        <v>778.25287832140805</v>
      </c>
      <c r="O1617">
        <v>30.326564475062799</v>
      </c>
      <c r="P1617">
        <v>7.95326166894833</v>
      </c>
    </row>
    <row r="1618" spans="1:16">
      <c r="A1618" s="1" t="s">
        <v>1655</v>
      </c>
      <c r="B1618" s="1" t="s">
        <v>1679</v>
      </c>
      <c r="C1618" s="1" t="s">
        <v>18</v>
      </c>
      <c r="D1618" s="1" t="s">
        <v>19</v>
      </c>
      <c r="E1618" s="1" t="s">
        <v>1625</v>
      </c>
      <c r="F1618">
        <v>907.55640970416005</v>
      </c>
      <c r="G1618">
        <v>4459.9034893588896</v>
      </c>
      <c r="H1618">
        <v>10182.9755392444</v>
      </c>
      <c r="I1618">
        <v>833.77777862885102</v>
      </c>
      <c r="J1618">
        <v>61.489071914192202</v>
      </c>
      <c r="K1618">
        <v>5626.2211831975001</v>
      </c>
      <c r="L1618">
        <v>78.274608805390798</v>
      </c>
      <c r="M1618">
        <v>48.6280895449516</v>
      </c>
      <c r="N1618">
        <v>1102.3421190568899</v>
      </c>
      <c r="O1618">
        <v>31.478637045247101</v>
      </c>
      <c r="P1618">
        <v>6.9411765680258597</v>
      </c>
    </row>
    <row r="1619" spans="1:16">
      <c r="A1619" s="1" t="s">
        <v>1655</v>
      </c>
      <c r="B1619" s="1" t="s">
        <v>1680</v>
      </c>
      <c r="C1619" s="1" t="s">
        <v>18</v>
      </c>
      <c r="D1619" s="1" t="s">
        <v>19</v>
      </c>
      <c r="E1619" s="1" t="s">
        <v>1625</v>
      </c>
      <c r="F1619">
        <v>878.60925499336497</v>
      </c>
      <c r="G1619">
        <v>4474.5605807319298</v>
      </c>
      <c r="H1619">
        <v>10585.994521963999</v>
      </c>
      <c r="I1619">
        <v>891.23372602236498</v>
      </c>
      <c r="J1619">
        <v>31.492406133379799</v>
      </c>
      <c r="K1619">
        <v>5763.8331295652597</v>
      </c>
      <c r="L1619">
        <v>59.855913351067599</v>
      </c>
      <c r="M1619">
        <v>40.135509833950898</v>
      </c>
      <c r="N1619">
        <v>1220.0378203785001</v>
      </c>
      <c r="O1619">
        <v>29.280307654258401</v>
      </c>
      <c r="P1619">
        <v>9.1763108104032405</v>
      </c>
    </row>
    <row r="1620" spans="1:16" s="11" customFormat="1">
      <c r="A1620" s="1" t="s">
        <v>1681</v>
      </c>
      <c r="B1620" s="1" t="s">
        <v>5507</v>
      </c>
      <c r="C1620" s="1" t="s">
        <v>18</v>
      </c>
      <c r="D1620" s="1" t="s">
        <v>2646</v>
      </c>
      <c r="E1620" s="1" t="s">
        <v>1684</v>
      </c>
      <c r="F1620" s="11">
        <v>99.784440000000004</v>
      </c>
      <c r="G1620" s="11">
        <v>28.292760000000001</v>
      </c>
      <c r="H1620" s="11">
        <v>20.694959999999998</v>
      </c>
      <c r="I1620" s="11">
        <v>0.98409599999999997</v>
      </c>
      <c r="J1620" s="11">
        <v>2.1418560000000002</v>
      </c>
      <c r="K1620" s="11">
        <v>49.349520000000005</v>
      </c>
      <c r="L1620" s="11">
        <v>1.816236</v>
      </c>
      <c r="M1620" s="11">
        <v>33.792120000000004</v>
      </c>
      <c r="N1620" s="11">
        <v>506.52</v>
      </c>
      <c r="O1620" s="11">
        <v>0.1526796</v>
      </c>
      <c r="P1620" s="11">
        <v>0.38350800000000002</v>
      </c>
    </row>
    <row r="1621" spans="1:16" s="11" customFormat="1">
      <c r="A1621" s="1" t="s">
        <v>1681</v>
      </c>
      <c r="B1621" s="1" t="s">
        <v>5508</v>
      </c>
      <c r="C1621" s="1" t="s">
        <v>18</v>
      </c>
      <c r="D1621" s="1" t="s">
        <v>2646</v>
      </c>
      <c r="E1621" s="1" t="s">
        <v>1684</v>
      </c>
      <c r="F1621" s="11">
        <v>16.353359999999999</v>
      </c>
      <c r="G1621" s="11">
        <v>144.72</v>
      </c>
      <c r="H1621" s="11">
        <f>0.598880304/2</f>
        <v>0.29944015200000001</v>
      </c>
      <c r="I1621" s="11">
        <v>0.296676</v>
      </c>
      <c r="J1621" s="11">
        <v>2.1056759999999999</v>
      </c>
      <c r="K1621" s="11">
        <v>9.4791600000000003</v>
      </c>
      <c r="L1621" s="11">
        <v>0.32561999999999997</v>
      </c>
      <c r="M1621" s="11">
        <v>19.609560000000002</v>
      </c>
      <c r="N1621" s="11">
        <v>1.8090000000000002</v>
      </c>
      <c r="O1621" s="11">
        <v>0.1063692</v>
      </c>
      <c r="P1621" s="11">
        <v>0.11432879999999999</v>
      </c>
    </row>
    <row r="1622" spans="1:16" s="11" customFormat="1">
      <c r="A1622" s="1" t="s">
        <v>1681</v>
      </c>
      <c r="B1622" s="1" t="s">
        <v>5509</v>
      </c>
      <c r="C1622" s="1" t="s">
        <v>18</v>
      </c>
      <c r="D1622" s="1" t="s">
        <v>2646</v>
      </c>
      <c r="E1622" s="1" t="s">
        <v>1687</v>
      </c>
      <c r="F1622" s="11">
        <v>130.24799999999999</v>
      </c>
      <c r="G1622" s="11">
        <v>18.09</v>
      </c>
      <c r="H1622" s="11">
        <v>2.0984400000000001</v>
      </c>
      <c r="I1622" s="11">
        <v>0.20984399999999997</v>
      </c>
      <c r="J1622" s="11">
        <v>14.472000000000001</v>
      </c>
      <c r="K1622" s="11">
        <v>14.761439999999999</v>
      </c>
      <c r="L1622" s="11">
        <v>1.3024799999999999</v>
      </c>
      <c r="M1622" s="11">
        <v>18.09</v>
      </c>
      <c r="N1622" s="11">
        <v>2.6700840000000001</v>
      </c>
      <c r="O1622" s="11">
        <v>7.8148800000000004E-2</v>
      </c>
      <c r="P1622" s="11">
        <v>0.159192</v>
      </c>
    </row>
    <row r="1623" spans="1:16" s="11" customFormat="1">
      <c r="A1623" s="1" t="s">
        <v>1681</v>
      </c>
      <c r="B1623" s="1" t="s">
        <v>5510</v>
      </c>
      <c r="C1623" s="1" t="s">
        <v>18</v>
      </c>
      <c r="D1623" s="1" t="s">
        <v>2646</v>
      </c>
      <c r="E1623" s="1" t="s">
        <v>1687</v>
      </c>
      <c r="F1623" s="11">
        <v>34.94988</v>
      </c>
      <c r="G1623" s="11">
        <v>7.8872400000000003</v>
      </c>
      <c r="H1623" s="11">
        <v>4.4863200000000001</v>
      </c>
      <c r="I1623" s="11">
        <v>0.11215799999999999</v>
      </c>
      <c r="J1623" s="11">
        <v>0.60589999999999999</v>
      </c>
      <c r="K1623" s="11">
        <v>21.27384</v>
      </c>
      <c r="L1623" s="11">
        <v>1.259064</v>
      </c>
      <c r="M1623" s="11">
        <v>195.37200000000001</v>
      </c>
      <c r="N1623" s="11">
        <v>10.20276</v>
      </c>
      <c r="O1623" s="11">
        <v>0.1657044</v>
      </c>
      <c r="P1623" s="11">
        <v>0.15195599999999998</v>
      </c>
    </row>
    <row r="1624" spans="1:16" s="11" customFormat="1">
      <c r="A1624" s="1" t="s">
        <v>1681</v>
      </c>
      <c r="B1624" s="1" t="s">
        <v>5511</v>
      </c>
      <c r="C1624" s="1" t="s">
        <v>18</v>
      </c>
      <c r="D1624" s="1" t="s">
        <v>2646</v>
      </c>
      <c r="E1624" s="1" t="s">
        <v>1687</v>
      </c>
      <c r="F1624" s="11">
        <v>144.72</v>
      </c>
      <c r="G1624" s="11">
        <v>57.164400000000001</v>
      </c>
      <c r="H1624" s="11">
        <v>50.651999999999994</v>
      </c>
      <c r="I1624" s="11">
        <v>3.03912</v>
      </c>
      <c r="J1624" s="11">
        <v>0.68018400000000001</v>
      </c>
      <c r="K1624" s="11">
        <v>109.9872</v>
      </c>
      <c r="L1624" s="11">
        <v>3.9798</v>
      </c>
      <c r="M1624" s="11">
        <v>107.0928</v>
      </c>
      <c r="N1624" s="11">
        <v>11.64996</v>
      </c>
      <c r="O1624" s="11">
        <v>0.376272</v>
      </c>
      <c r="P1624" s="11">
        <v>1.3820759999999999</v>
      </c>
    </row>
    <row r="1625" spans="1:16" s="11" customFormat="1">
      <c r="A1625" s="1" t="s">
        <v>1681</v>
      </c>
      <c r="B1625" s="1" t="s">
        <v>1749</v>
      </c>
      <c r="C1625" s="1" t="s">
        <v>18</v>
      </c>
      <c r="D1625" s="1" t="s">
        <v>2646</v>
      </c>
      <c r="E1625" s="1" t="s">
        <v>1687</v>
      </c>
      <c r="F1625" s="11">
        <v>35.456400000000002</v>
      </c>
      <c r="G1625" s="11">
        <v>551.38319999999999</v>
      </c>
      <c r="H1625" s="11">
        <v>0.94067999999999996</v>
      </c>
      <c r="I1625" s="11">
        <v>0.2257632</v>
      </c>
      <c r="J1625" s="11">
        <v>1.5485039999999999</v>
      </c>
      <c r="K1625" s="11">
        <v>55.065959999999997</v>
      </c>
      <c r="L1625" s="11">
        <v>0.44139600000000001</v>
      </c>
      <c r="M1625" s="11">
        <v>79.596000000000004</v>
      </c>
      <c r="N1625" s="11">
        <v>1.91754</v>
      </c>
      <c r="O1625" s="11">
        <v>0.28220400000000001</v>
      </c>
      <c r="P1625" s="11">
        <v>0.22938120000000001</v>
      </c>
    </row>
    <row r="1626" spans="1:16" s="11" customFormat="1">
      <c r="A1626" s="1" t="s">
        <v>1681</v>
      </c>
      <c r="B1626" s="1" t="s">
        <v>1682</v>
      </c>
      <c r="C1626" s="1" t="s">
        <v>18</v>
      </c>
      <c r="D1626" s="1" t="s">
        <v>2646</v>
      </c>
      <c r="E1626" s="1" t="s">
        <v>1687</v>
      </c>
      <c r="F1626" s="11">
        <v>6.8742000000000001</v>
      </c>
      <c r="G1626" s="11">
        <v>4.7829960000000007</v>
      </c>
      <c r="H1626" s="11">
        <f>0.598880304/2</f>
        <v>0.29944015200000001</v>
      </c>
      <c r="I1626" s="11">
        <f>0.0460991088/2</f>
        <v>2.3049554399999998E-2</v>
      </c>
      <c r="J1626" s="11">
        <v>0.60589999999999999</v>
      </c>
      <c r="K1626" s="11">
        <v>15.774480000000001</v>
      </c>
      <c r="L1626" s="11">
        <f>0.023618304/2</f>
        <v>1.1809152E-2</v>
      </c>
      <c r="M1626" s="11">
        <f>0.147/2</f>
        <v>7.3499999999999996E-2</v>
      </c>
      <c r="N1626" s="11">
        <v>4.6961639999999996</v>
      </c>
      <c r="O1626" s="11">
        <v>2.2359239999999998</v>
      </c>
      <c r="P1626" s="11">
        <f>0.074/2</f>
        <v>3.6999999999999998E-2</v>
      </c>
    </row>
    <row r="1627" spans="1:16">
      <c r="A1627" s="1" t="s">
        <v>5505</v>
      </c>
      <c r="B1627" s="1" t="s">
        <v>1685</v>
      </c>
      <c r="C1627" s="1" t="s">
        <v>38</v>
      </c>
      <c r="D1627" s="1" t="s">
        <v>1683</v>
      </c>
      <c r="E1627" s="1" t="s">
        <v>1684</v>
      </c>
      <c r="F1627">
        <v>723.6</v>
      </c>
      <c r="G1627">
        <v>1.9537199999999999</v>
      </c>
      <c r="H1627">
        <f>0.598880304/2</f>
        <v>0.29944015200000001</v>
      </c>
      <c r="I1627">
        <f>0.0460991088/2</f>
        <v>2.3049554399999998E-2</v>
      </c>
      <c r="J1627">
        <v>1.51956</v>
      </c>
      <c r="K1627">
        <v>35.384039999999999</v>
      </c>
      <c r="L1627">
        <v>2.3155200000000002</v>
      </c>
      <c r="M1627">
        <v>2677.32</v>
      </c>
      <c r="N1627">
        <v>50.651999999999994</v>
      </c>
      <c r="O1627">
        <v>1.2301200000000001</v>
      </c>
      <c r="P1627">
        <v>0.10854</v>
      </c>
    </row>
    <row r="1628" spans="1:16">
      <c r="A1628" s="1" t="s">
        <v>1681</v>
      </c>
      <c r="B1628" s="1" t="s">
        <v>5506</v>
      </c>
      <c r="C1628" s="1" t="s">
        <v>38</v>
      </c>
      <c r="D1628" s="1" t="s">
        <v>1683</v>
      </c>
      <c r="E1628" s="1" t="s">
        <v>1684</v>
      </c>
      <c r="F1628">
        <v>38.061360000000001</v>
      </c>
      <c r="G1628">
        <v>1.59192</v>
      </c>
      <c r="H1628">
        <f>0.598880304/2</f>
        <v>0.29944015200000001</v>
      </c>
      <c r="I1628">
        <v>1.020276</v>
      </c>
      <c r="J1628">
        <v>2.1707999999999998</v>
      </c>
      <c r="K1628">
        <v>147.61439999999999</v>
      </c>
      <c r="L1628">
        <v>7.9596</v>
      </c>
      <c r="M1628">
        <v>1107.1079999999999</v>
      </c>
      <c r="N1628">
        <v>105.6456</v>
      </c>
      <c r="O1628">
        <v>12.88008</v>
      </c>
      <c r="P1628">
        <v>0.73807200000000006</v>
      </c>
    </row>
    <row r="1629" spans="1:16">
      <c r="A1629" s="1" t="s">
        <v>1681</v>
      </c>
      <c r="B1629" s="1" t="s">
        <v>1686</v>
      </c>
      <c r="C1629" s="1" t="s">
        <v>38</v>
      </c>
      <c r="D1629" s="1" t="s">
        <v>1683</v>
      </c>
      <c r="E1629" s="1" t="s">
        <v>1687</v>
      </c>
      <c r="F1629">
        <v>2243.16</v>
      </c>
      <c r="G1629">
        <v>5.7164400000000004</v>
      </c>
      <c r="H1629">
        <v>0.84661200000000003</v>
      </c>
      <c r="I1629">
        <v>3.820608</v>
      </c>
      <c r="J1629">
        <v>2.214216</v>
      </c>
      <c r="K1629">
        <v>3929.1479999999997</v>
      </c>
      <c r="L1629">
        <v>87.19380000000001</v>
      </c>
      <c r="M1629">
        <v>2366.172</v>
      </c>
      <c r="N1629">
        <v>107.0928</v>
      </c>
      <c r="O1629">
        <v>17.872920000000001</v>
      </c>
      <c r="P1629">
        <v>71.057519999999997</v>
      </c>
    </row>
    <row r="1630" spans="1:16">
      <c r="A1630" s="1" t="s">
        <v>1681</v>
      </c>
      <c r="B1630" s="1" t="s">
        <v>1688</v>
      </c>
      <c r="C1630" s="1" t="s">
        <v>38</v>
      </c>
      <c r="D1630" s="1" t="s">
        <v>1683</v>
      </c>
      <c r="E1630" s="1" t="s">
        <v>1687</v>
      </c>
      <c r="F1630">
        <v>2178.0360000000001</v>
      </c>
      <c r="G1630">
        <v>9.3344400000000007</v>
      </c>
      <c r="H1630">
        <f>0.598880304/2</f>
        <v>0.29944015200000001</v>
      </c>
      <c r="I1630">
        <v>4.3415999999999997</v>
      </c>
      <c r="J1630">
        <v>1.997136</v>
      </c>
      <c r="K1630">
        <v>3849.5520000000001</v>
      </c>
      <c r="L1630">
        <v>82.562759999999997</v>
      </c>
      <c r="M1630">
        <v>1758.348</v>
      </c>
      <c r="N1630">
        <v>133.14240000000001</v>
      </c>
      <c r="O1630">
        <v>18.451799999999999</v>
      </c>
      <c r="P1630">
        <v>75.978000000000009</v>
      </c>
    </row>
    <row r="1631" spans="1:16">
      <c r="A1631" s="1" t="s">
        <v>1681</v>
      </c>
      <c r="B1631" s="1" t="s">
        <v>1689</v>
      </c>
      <c r="C1631" s="1" t="s">
        <v>38</v>
      </c>
      <c r="D1631" s="1" t="s">
        <v>1683</v>
      </c>
      <c r="E1631" s="1" t="s">
        <v>1687</v>
      </c>
      <c r="F1631">
        <v>28.220400000000001</v>
      </c>
      <c r="G1631">
        <v>1.3024799999999999</v>
      </c>
      <c r="H1631">
        <f>0.598880304/2</f>
        <v>0.29944015200000001</v>
      </c>
      <c r="I1631">
        <v>0.39508559999999998</v>
      </c>
      <c r="J1631">
        <v>2.24316</v>
      </c>
      <c r="K1631">
        <v>6367.68</v>
      </c>
      <c r="L1631">
        <v>66.933000000000007</v>
      </c>
      <c r="M1631">
        <v>1830.7080000000001</v>
      </c>
      <c r="N1631">
        <v>44.935560000000002</v>
      </c>
      <c r="O1631">
        <v>4.92048E-2</v>
      </c>
      <c r="P1631">
        <v>12.959676</v>
      </c>
    </row>
    <row r="1632" spans="1:16">
      <c r="A1632" s="1" t="s">
        <v>1681</v>
      </c>
      <c r="B1632" s="1" t="s">
        <v>1690</v>
      </c>
      <c r="C1632" s="1" t="s">
        <v>38</v>
      </c>
      <c r="D1632" s="1" t="s">
        <v>1683</v>
      </c>
      <c r="E1632" s="1" t="s">
        <v>1687</v>
      </c>
      <c r="F1632">
        <v>29.378160000000001</v>
      </c>
      <c r="G1632">
        <v>0.64400400000000002</v>
      </c>
      <c r="H1632">
        <f>0.598880304/2</f>
        <v>0.29944015200000001</v>
      </c>
      <c r="I1632">
        <v>0.50507279999999999</v>
      </c>
      <c r="J1632">
        <v>0.65123999999999993</v>
      </c>
      <c r="K1632">
        <v>6483.4559999999992</v>
      </c>
      <c r="L1632">
        <v>63.893880000000003</v>
      </c>
      <c r="M1632">
        <v>1895.8319999999999</v>
      </c>
      <c r="N1632">
        <v>40.449240000000003</v>
      </c>
      <c r="O1632">
        <v>6.2229599999999996E-2</v>
      </c>
      <c r="P1632">
        <v>16.06392</v>
      </c>
    </row>
    <row r="1633" spans="1:16">
      <c r="A1633" s="1" t="s">
        <v>1681</v>
      </c>
      <c r="B1633" s="1" t="s">
        <v>1691</v>
      </c>
      <c r="C1633" s="1" t="s">
        <v>38</v>
      </c>
      <c r="D1633" s="1" t="s">
        <v>1683</v>
      </c>
      <c r="E1633" s="1" t="s">
        <v>1687</v>
      </c>
      <c r="F1633">
        <v>10.275119999999999</v>
      </c>
      <c r="G1633">
        <v>13.024799999999999</v>
      </c>
      <c r="H1633">
        <f>0.598880304/2</f>
        <v>0.29944015200000001</v>
      </c>
      <c r="I1633">
        <v>0.3494988</v>
      </c>
      <c r="J1633">
        <v>1.7294040000000002</v>
      </c>
      <c r="K1633">
        <v>6374.9159999999993</v>
      </c>
      <c r="L1633">
        <v>66.354120000000009</v>
      </c>
      <c r="M1633">
        <v>2004.3719999999998</v>
      </c>
      <c r="N1633">
        <v>47.68524</v>
      </c>
      <c r="O1633">
        <v>8.0319600000000005E-2</v>
      </c>
      <c r="P1633">
        <v>10.774404000000001</v>
      </c>
    </row>
    <row r="1634" spans="1:16">
      <c r="A1634" s="1" t="s">
        <v>1681</v>
      </c>
      <c r="B1634" s="1" t="s">
        <v>1692</v>
      </c>
      <c r="C1634" s="1" t="s">
        <v>38</v>
      </c>
      <c r="D1634" s="1" t="s">
        <v>1683</v>
      </c>
      <c r="E1634" s="1" t="s">
        <v>1687</v>
      </c>
      <c r="F1634">
        <v>48.119399999999999</v>
      </c>
      <c r="G1634">
        <v>0.74530799999999997</v>
      </c>
      <c r="H1634">
        <v>0.80319600000000002</v>
      </c>
      <c r="I1634">
        <v>0.26411400000000002</v>
      </c>
      <c r="J1634">
        <v>0.94067999999999996</v>
      </c>
      <c r="K1634">
        <v>6273.6120000000001</v>
      </c>
      <c r="L1634">
        <v>72.866519999999994</v>
      </c>
      <c r="M1634">
        <v>1881.36</v>
      </c>
      <c r="N1634">
        <v>47.612880000000004</v>
      </c>
      <c r="O1634">
        <v>6.5124000000000001E-2</v>
      </c>
      <c r="P1634">
        <v>16.93224</v>
      </c>
    </row>
    <row r="1635" spans="1:16">
      <c r="A1635" s="1" t="s">
        <v>1681</v>
      </c>
      <c r="B1635" s="1" t="s">
        <v>1693</v>
      </c>
      <c r="C1635" s="1" t="s">
        <v>38</v>
      </c>
      <c r="D1635" s="1" t="s">
        <v>1683</v>
      </c>
      <c r="E1635" s="1" t="s">
        <v>1687</v>
      </c>
      <c r="F1635">
        <v>20.984399999999997</v>
      </c>
      <c r="G1635">
        <v>0.39798</v>
      </c>
      <c r="H1635">
        <v>0.67294799999999999</v>
      </c>
      <c r="I1635">
        <v>0.24023520000000001</v>
      </c>
      <c r="J1635">
        <f>0.6059/2</f>
        <v>0.30295</v>
      </c>
      <c r="K1635">
        <v>6013.116</v>
      </c>
      <c r="L1635">
        <v>57.598559999999999</v>
      </c>
      <c r="M1635">
        <v>2040.5519999999999</v>
      </c>
      <c r="N1635">
        <v>89.726399999999998</v>
      </c>
      <c r="O1635">
        <v>3.76272E-2</v>
      </c>
      <c r="P1635">
        <v>10.557323999999999</v>
      </c>
    </row>
    <row r="1636" spans="1:16">
      <c r="A1636" s="1" t="s">
        <v>1681</v>
      </c>
      <c r="B1636" s="1" t="s">
        <v>1694</v>
      </c>
      <c r="C1636" s="1" t="s">
        <v>38</v>
      </c>
      <c r="D1636" s="1" t="s">
        <v>1683</v>
      </c>
      <c r="E1636" s="1" t="s">
        <v>1687</v>
      </c>
      <c r="F1636">
        <v>37.699559999999998</v>
      </c>
      <c r="G1636">
        <v>0.72360000000000002</v>
      </c>
      <c r="H1636">
        <v>0.82490399999999997</v>
      </c>
      <c r="I1636">
        <v>0.38206079999999998</v>
      </c>
      <c r="J1636">
        <f>0.6059/2</f>
        <v>0.30295</v>
      </c>
      <c r="K1636">
        <v>6512.4</v>
      </c>
      <c r="L1636">
        <v>65.268720000000002</v>
      </c>
      <c r="M1636">
        <v>1895.8319999999999</v>
      </c>
      <c r="N1636">
        <v>101.30399999999999</v>
      </c>
      <c r="O1636">
        <v>3.5456399999999999E-2</v>
      </c>
      <c r="P1636">
        <v>14.768676000000001</v>
      </c>
    </row>
    <row r="1637" spans="1:16">
      <c r="A1637" s="1" t="s">
        <v>1681</v>
      </c>
      <c r="B1637" s="1" t="s">
        <v>1695</v>
      </c>
      <c r="C1637" s="1" t="s">
        <v>38</v>
      </c>
      <c r="D1637" s="1" t="s">
        <v>1683</v>
      </c>
      <c r="E1637" s="1" t="s">
        <v>1687</v>
      </c>
      <c r="F1637">
        <v>42.041159999999998</v>
      </c>
      <c r="G1637">
        <v>0.83213999999999999</v>
      </c>
      <c r="H1637">
        <v>1.128816</v>
      </c>
      <c r="I1637">
        <v>0.46165680000000003</v>
      </c>
      <c r="J1637">
        <f>0.6059/2</f>
        <v>0.30295</v>
      </c>
      <c r="K1637">
        <v>6208.4879999999994</v>
      </c>
      <c r="L1637">
        <v>67.873679999999993</v>
      </c>
      <c r="M1637">
        <v>1896.5556000000001</v>
      </c>
      <c r="N1637">
        <v>87.555599999999998</v>
      </c>
      <c r="O1637">
        <v>2.8944000000000001E-2</v>
      </c>
      <c r="P1637">
        <v>14.739732</v>
      </c>
    </row>
    <row r="1638" spans="1:16">
      <c r="A1638" s="1" t="s">
        <v>1681</v>
      </c>
      <c r="B1638" s="1" t="s">
        <v>1696</v>
      </c>
      <c r="C1638" s="1" t="s">
        <v>38</v>
      </c>
      <c r="D1638" s="1" t="s">
        <v>1683</v>
      </c>
      <c r="E1638" s="1" t="s">
        <v>1687</v>
      </c>
      <c r="F1638">
        <v>1866.8880000000001</v>
      </c>
      <c r="G1638">
        <v>2563.7147999999997</v>
      </c>
      <c r="H1638">
        <v>3451.5720000000001</v>
      </c>
      <c r="I1638">
        <v>870.49079999999992</v>
      </c>
      <c r="J1638">
        <v>541.25279999999998</v>
      </c>
      <c r="K1638">
        <v>5238.8640000000005</v>
      </c>
      <c r="L1638">
        <v>94.140360000000001</v>
      </c>
      <c r="M1638">
        <v>1154.1420000000001</v>
      </c>
      <c r="N1638">
        <v>141.102</v>
      </c>
      <c r="O1638">
        <v>11.157912</v>
      </c>
      <c r="P1638">
        <v>12.518279999999999</v>
      </c>
    </row>
    <row r="1639" spans="1:16">
      <c r="A1639" s="1" t="s">
        <v>1681</v>
      </c>
      <c r="B1639" s="1" t="s">
        <v>1697</v>
      </c>
      <c r="C1639" s="1" t="s">
        <v>38</v>
      </c>
      <c r="D1639" s="1" t="s">
        <v>1683</v>
      </c>
      <c r="E1639" s="1" t="s">
        <v>1687</v>
      </c>
      <c r="F1639">
        <v>1603.4975999999999</v>
      </c>
      <c r="G1639">
        <v>3176.6039999999998</v>
      </c>
      <c r="H1639">
        <v>3675.8879999999999</v>
      </c>
      <c r="I1639">
        <v>818.39160000000004</v>
      </c>
      <c r="J1639">
        <v>48.264120000000005</v>
      </c>
      <c r="K1639">
        <v>5296.7520000000004</v>
      </c>
      <c r="L1639">
        <v>95.587559999999996</v>
      </c>
      <c r="M1639">
        <v>1164.9960000000001</v>
      </c>
      <c r="N1639">
        <v>148.33799999999999</v>
      </c>
      <c r="O1639">
        <v>10.70928</v>
      </c>
      <c r="P1639">
        <v>12.88008</v>
      </c>
    </row>
    <row r="1640" spans="1:16">
      <c r="A1640" s="1" t="s">
        <v>1681</v>
      </c>
      <c r="B1640" s="1" t="s">
        <v>1698</v>
      </c>
      <c r="C1640" s="1" t="s">
        <v>38</v>
      </c>
      <c r="D1640" s="1" t="s">
        <v>1683</v>
      </c>
      <c r="E1640" s="1" t="s">
        <v>1687</v>
      </c>
      <c r="F1640">
        <v>1910.3039999999999</v>
      </c>
      <c r="G1640">
        <v>1309.7160000000001</v>
      </c>
      <c r="H1640">
        <v>1326.3588</v>
      </c>
      <c r="I1640">
        <v>608.54759999999999</v>
      </c>
      <c r="J1640">
        <v>6.5123999999999995</v>
      </c>
      <c r="K1640">
        <v>4486.32</v>
      </c>
      <c r="L1640">
        <v>105.6456</v>
      </c>
      <c r="M1640">
        <v>1143.288</v>
      </c>
      <c r="N1640">
        <v>191.03040000000001</v>
      </c>
      <c r="O1640">
        <v>10.99872</v>
      </c>
      <c r="P1640">
        <v>15.557399999999999</v>
      </c>
    </row>
    <row r="1641" spans="1:16">
      <c r="A1641" s="1" t="s">
        <v>1681</v>
      </c>
      <c r="B1641" s="1" t="s">
        <v>1699</v>
      </c>
      <c r="C1641" s="1" t="s">
        <v>38</v>
      </c>
      <c r="D1641" s="1" t="s">
        <v>1683</v>
      </c>
      <c r="E1641" s="1" t="s">
        <v>1687</v>
      </c>
      <c r="F1641">
        <v>1809</v>
      </c>
      <c r="G1641">
        <v>1142.5644</v>
      </c>
      <c r="H1641">
        <v>1210.5828000000001</v>
      </c>
      <c r="I1641">
        <v>534.01679999999999</v>
      </c>
      <c r="J1641">
        <v>665.71199999999999</v>
      </c>
      <c r="K1641">
        <v>4609.3320000000003</v>
      </c>
      <c r="L1641">
        <v>98.409600000000012</v>
      </c>
      <c r="M1641">
        <v>1107.1079999999999</v>
      </c>
      <c r="N1641">
        <v>184.51799999999997</v>
      </c>
      <c r="O1641">
        <v>10.492199999999999</v>
      </c>
      <c r="P1641">
        <v>15.48504</v>
      </c>
    </row>
    <row r="1642" spans="1:16">
      <c r="A1642" s="1" t="s">
        <v>1681</v>
      </c>
      <c r="B1642" s="1" t="s">
        <v>1700</v>
      </c>
      <c r="C1642" s="1" t="s">
        <v>38</v>
      </c>
      <c r="D1642" s="1" t="s">
        <v>1683</v>
      </c>
      <c r="E1642" s="1" t="s">
        <v>1687</v>
      </c>
      <c r="F1642">
        <v>1823.472</v>
      </c>
      <c r="G1642">
        <v>1628.8236000000002</v>
      </c>
      <c r="H1642">
        <v>1683.8172</v>
      </c>
      <c r="I1642">
        <v>568.74959999999999</v>
      </c>
      <c r="J1642">
        <v>230.82839999999999</v>
      </c>
      <c r="K1642">
        <v>4529.7359999999999</v>
      </c>
      <c r="L1642">
        <v>99.639719999999997</v>
      </c>
      <c r="M1642">
        <v>1244.5919999999999</v>
      </c>
      <c r="N1642">
        <v>168.59880000000001</v>
      </c>
      <c r="O1642">
        <v>10.99872</v>
      </c>
      <c r="P1642">
        <v>14.472000000000001</v>
      </c>
    </row>
    <row r="1643" spans="1:16">
      <c r="A1643" s="1" t="s">
        <v>1681</v>
      </c>
      <c r="B1643" s="1" t="s">
        <v>1701</v>
      </c>
      <c r="C1643" s="1" t="s">
        <v>38</v>
      </c>
      <c r="D1643" s="1" t="s">
        <v>1683</v>
      </c>
      <c r="E1643" s="1" t="s">
        <v>1687</v>
      </c>
      <c r="F1643">
        <v>1316.2284000000002</v>
      </c>
      <c r="G1643">
        <v>2815.5275999999999</v>
      </c>
      <c r="H1643">
        <v>3254.7527999999998</v>
      </c>
      <c r="I1643">
        <v>812.6028</v>
      </c>
      <c r="J1643">
        <v>83.213999999999999</v>
      </c>
      <c r="K1643">
        <v>5166.5040000000008</v>
      </c>
      <c r="L1643">
        <v>96.166439999999994</v>
      </c>
      <c r="M1643">
        <v>1192.4928</v>
      </c>
      <c r="N1643">
        <v>187.41239999999999</v>
      </c>
      <c r="O1643">
        <v>11.049372</v>
      </c>
      <c r="P1643">
        <v>13.827995999999999</v>
      </c>
    </row>
    <row r="1644" spans="1:16">
      <c r="A1644" s="1" t="s">
        <v>1681</v>
      </c>
      <c r="B1644" s="1" t="s">
        <v>1702</v>
      </c>
      <c r="C1644" s="1" t="s">
        <v>38</v>
      </c>
      <c r="D1644" s="1" t="s">
        <v>1683</v>
      </c>
      <c r="E1644" s="1" t="s">
        <v>1687</v>
      </c>
      <c r="F1644">
        <v>1642.5719999999999</v>
      </c>
      <c r="G1644">
        <v>3248.9639999999999</v>
      </c>
      <c r="H1644">
        <v>3733.7760000000003</v>
      </c>
      <c r="I1644">
        <v>753.26760000000002</v>
      </c>
      <c r="J1644">
        <v>861.08400000000006</v>
      </c>
      <c r="K1644">
        <v>5354.64</v>
      </c>
      <c r="L1644">
        <v>89.509320000000002</v>
      </c>
      <c r="M1644">
        <v>1112.1732</v>
      </c>
      <c r="N1644">
        <v>124.4592</v>
      </c>
      <c r="O1644">
        <v>11.939400000000001</v>
      </c>
      <c r="P1644">
        <v>12.88008</v>
      </c>
    </row>
    <row r="1645" spans="1:16">
      <c r="A1645" s="1" t="s">
        <v>1681</v>
      </c>
      <c r="B1645" s="1" t="s">
        <v>1703</v>
      </c>
      <c r="C1645" s="1" t="s">
        <v>38</v>
      </c>
      <c r="D1645" s="1" t="s">
        <v>1683</v>
      </c>
      <c r="E1645" s="1" t="s">
        <v>1687</v>
      </c>
      <c r="F1645">
        <v>2445.7679999999996</v>
      </c>
      <c r="G1645">
        <v>5455.9440000000004</v>
      </c>
      <c r="H1645">
        <v>2858.22</v>
      </c>
      <c r="I1645">
        <v>626.63760000000002</v>
      </c>
      <c r="J1645">
        <v>43.343640000000001</v>
      </c>
      <c r="K1645">
        <v>6360.4440000000004</v>
      </c>
      <c r="L1645">
        <v>61.506</v>
      </c>
      <c r="M1645">
        <v>923.31359999999995</v>
      </c>
      <c r="N1645">
        <v>107.52696</v>
      </c>
      <c r="O1645">
        <v>8.3648159999999994</v>
      </c>
      <c r="P1645">
        <v>9.4791600000000003</v>
      </c>
    </row>
    <row r="1646" spans="1:16">
      <c r="A1646" s="1" t="s">
        <v>1681</v>
      </c>
      <c r="B1646" s="1" t="s">
        <v>1704</v>
      </c>
      <c r="C1646" s="1" t="s">
        <v>38</v>
      </c>
      <c r="D1646" s="1" t="s">
        <v>1683</v>
      </c>
      <c r="E1646" s="1" t="s">
        <v>1687</v>
      </c>
      <c r="F1646">
        <v>2771.3879999999999</v>
      </c>
      <c r="G1646">
        <v>6447.2759999999998</v>
      </c>
      <c r="H1646">
        <v>3343.0320000000002</v>
      </c>
      <c r="I1646">
        <v>662.09400000000005</v>
      </c>
      <c r="J1646">
        <v>19.1754</v>
      </c>
      <c r="K1646">
        <v>6751.1880000000001</v>
      </c>
      <c r="L1646">
        <v>67.439520000000002</v>
      </c>
      <c r="M1646">
        <v>955.87560000000008</v>
      </c>
      <c r="N1646">
        <v>128.80080000000001</v>
      </c>
      <c r="O1646">
        <v>7.9089479999999996</v>
      </c>
      <c r="P1646">
        <v>10.70928</v>
      </c>
    </row>
    <row r="1647" spans="1:16">
      <c r="A1647" s="1" t="s">
        <v>1681</v>
      </c>
      <c r="B1647" s="1" t="s">
        <v>1705</v>
      </c>
      <c r="C1647" s="1" t="s">
        <v>38</v>
      </c>
      <c r="D1647" s="1" t="s">
        <v>1683</v>
      </c>
      <c r="E1647" s="1" t="s">
        <v>1687</v>
      </c>
      <c r="F1647">
        <v>1898.0028</v>
      </c>
      <c r="G1647">
        <v>4703.3999999999996</v>
      </c>
      <c r="H1647">
        <v>2521.0224000000003</v>
      </c>
      <c r="I1647">
        <v>526.7808</v>
      </c>
      <c r="J1647">
        <v>36.903599999999997</v>
      </c>
      <c r="K1647">
        <v>5976.9359999999997</v>
      </c>
      <c r="L1647">
        <v>76.846320000000006</v>
      </c>
      <c r="M1647">
        <v>1033.3008</v>
      </c>
      <c r="N1647">
        <v>167.1516</v>
      </c>
      <c r="O1647">
        <v>7.16364</v>
      </c>
      <c r="P1647">
        <v>12.88008</v>
      </c>
    </row>
    <row r="1648" spans="1:16">
      <c r="A1648" s="1" t="s">
        <v>1681</v>
      </c>
      <c r="B1648" s="1" t="s">
        <v>1706</v>
      </c>
      <c r="C1648" s="1" t="s">
        <v>38</v>
      </c>
      <c r="D1648" s="1" t="s">
        <v>1683</v>
      </c>
      <c r="E1648" s="1" t="s">
        <v>1687</v>
      </c>
      <c r="F1648">
        <v>1823.472</v>
      </c>
      <c r="G1648">
        <v>4638.2759999999998</v>
      </c>
      <c r="H1648">
        <v>2469.6468</v>
      </c>
      <c r="I1648">
        <v>534.01679999999999</v>
      </c>
      <c r="J1648">
        <v>8.6831999999999994</v>
      </c>
      <c r="K1648">
        <v>6165.0720000000001</v>
      </c>
      <c r="L1648">
        <v>84.154679999999999</v>
      </c>
      <c r="M1648">
        <v>1090.4652000000001</v>
      </c>
      <c r="N1648">
        <v>269.17920000000004</v>
      </c>
      <c r="O1648">
        <v>7.5543840000000007</v>
      </c>
      <c r="P1648">
        <v>13.647095999999999</v>
      </c>
    </row>
    <row r="1649" spans="1:16">
      <c r="A1649" s="1" t="s">
        <v>1681</v>
      </c>
      <c r="B1649" s="1" t="s">
        <v>1707</v>
      </c>
      <c r="C1649" s="1" t="s">
        <v>38</v>
      </c>
      <c r="D1649" s="1" t="s">
        <v>1683</v>
      </c>
      <c r="E1649" s="1" t="s">
        <v>1687</v>
      </c>
      <c r="F1649">
        <v>2069.4960000000001</v>
      </c>
      <c r="G1649">
        <v>1329.2532000000001</v>
      </c>
      <c r="H1649">
        <v>1487.7215999999999</v>
      </c>
      <c r="I1649">
        <v>552.10680000000002</v>
      </c>
      <c r="J1649">
        <v>5.2678080000000005</v>
      </c>
      <c r="K1649">
        <v>4674.4559999999992</v>
      </c>
      <c r="L1649">
        <v>102.31703999999999</v>
      </c>
      <c r="M1649">
        <v>1215.6480000000001</v>
      </c>
      <c r="N1649">
        <v>414.62280000000004</v>
      </c>
      <c r="O1649">
        <v>8.1260279999999998</v>
      </c>
      <c r="P1649">
        <v>11.867040000000001</v>
      </c>
    </row>
    <row r="1650" spans="1:16">
      <c r="A1650" s="1" t="s">
        <v>1681</v>
      </c>
      <c r="B1650" s="1" t="s">
        <v>1708</v>
      </c>
      <c r="C1650" s="1" t="s">
        <v>38</v>
      </c>
      <c r="D1650" s="1" t="s">
        <v>1683</v>
      </c>
      <c r="E1650" s="1" t="s">
        <v>1687</v>
      </c>
      <c r="F1650">
        <v>2040.5519999999999</v>
      </c>
      <c r="G1650">
        <v>1483.3799999999999</v>
      </c>
      <c r="H1650">
        <v>1597.7087999999999</v>
      </c>
      <c r="I1650">
        <v>505.07280000000003</v>
      </c>
      <c r="J1650">
        <v>4.2475320000000005</v>
      </c>
      <c r="K1650">
        <v>5130.3240000000005</v>
      </c>
      <c r="L1650">
        <v>92.548439999999999</v>
      </c>
      <c r="M1650">
        <v>1136.7755999999999</v>
      </c>
      <c r="N1650">
        <v>578.88</v>
      </c>
      <c r="O1650">
        <v>7.865532</v>
      </c>
      <c r="P1650">
        <v>13.31424</v>
      </c>
    </row>
    <row r="1651" spans="1:16">
      <c r="A1651" s="1" t="s">
        <v>1681</v>
      </c>
      <c r="B1651" s="1" t="s">
        <v>1709</v>
      </c>
      <c r="C1651" s="1" t="s">
        <v>38</v>
      </c>
      <c r="D1651" s="1" t="s">
        <v>1683</v>
      </c>
      <c r="E1651" s="1" t="s">
        <v>1687</v>
      </c>
      <c r="F1651">
        <v>2474.712</v>
      </c>
      <c r="G1651">
        <v>6903.1440000000002</v>
      </c>
      <c r="H1651">
        <v>3581.82</v>
      </c>
      <c r="I1651">
        <v>681.63120000000004</v>
      </c>
      <c r="J1651">
        <v>87.555599999999998</v>
      </c>
      <c r="K1651">
        <v>7380.72</v>
      </c>
      <c r="L1651">
        <v>83.937599999999989</v>
      </c>
      <c r="M1651">
        <v>1047.0491999999999</v>
      </c>
      <c r="N1651">
        <v>196.09559999999999</v>
      </c>
      <c r="O1651">
        <v>9.262080000000001</v>
      </c>
      <c r="P1651">
        <v>14.32728</v>
      </c>
    </row>
    <row r="1652" spans="1:16">
      <c r="A1652" s="1" t="s">
        <v>1681</v>
      </c>
      <c r="B1652" s="1" t="s">
        <v>1710</v>
      </c>
      <c r="C1652" s="1" t="s">
        <v>38</v>
      </c>
      <c r="D1652" s="1" t="s">
        <v>1683</v>
      </c>
      <c r="E1652" s="1" t="s">
        <v>1687</v>
      </c>
      <c r="F1652">
        <v>2286.576</v>
      </c>
      <c r="G1652">
        <v>3958.0920000000001</v>
      </c>
      <c r="H1652">
        <v>2055.0239999999999</v>
      </c>
      <c r="I1652">
        <v>512.30880000000002</v>
      </c>
      <c r="J1652">
        <v>19.10304</v>
      </c>
      <c r="K1652">
        <v>6584.76</v>
      </c>
      <c r="L1652">
        <v>78.148800000000008</v>
      </c>
      <c r="M1652">
        <v>1020.9996</v>
      </c>
      <c r="N1652">
        <v>179.4528</v>
      </c>
      <c r="O1652">
        <v>8.5384799999999998</v>
      </c>
      <c r="P1652">
        <v>14.32728</v>
      </c>
    </row>
    <row r="1653" spans="1:16">
      <c r="A1653" s="1" t="s">
        <v>1681</v>
      </c>
      <c r="B1653" s="1" t="s">
        <v>1711</v>
      </c>
      <c r="C1653" s="1" t="s">
        <v>38</v>
      </c>
      <c r="D1653" s="1" t="s">
        <v>1683</v>
      </c>
      <c r="E1653" s="1" t="s">
        <v>1687</v>
      </c>
      <c r="F1653">
        <v>1618.6932000000002</v>
      </c>
      <c r="G1653">
        <v>4754.0520000000006</v>
      </c>
      <c r="H1653">
        <v>2474.712</v>
      </c>
      <c r="I1653">
        <v>576.70920000000001</v>
      </c>
      <c r="J1653">
        <v>11.79468</v>
      </c>
      <c r="K1653">
        <v>6251.9040000000005</v>
      </c>
      <c r="L1653">
        <v>79.378919999999994</v>
      </c>
      <c r="M1653">
        <v>1099.8719999999998</v>
      </c>
      <c r="N1653">
        <v>230.10480000000001</v>
      </c>
      <c r="O1653">
        <v>7.5977999999999994</v>
      </c>
      <c r="P1653">
        <v>14.110200000000001</v>
      </c>
    </row>
    <row r="1654" spans="1:16">
      <c r="A1654" s="1" t="s">
        <v>1681</v>
      </c>
      <c r="B1654" s="1" t="s">
        <v>1712</v>
      </c>
      <c r="C1654" s="1" t="s">
        <v>38</v>
      </c>
      <c r="D1654" s="1" t="s">
        <v>1683</v>
      </c>
      <c r="E1654" s="1" t="s">
        <v>1687</v>
      </c>
      <c r="F1654">
        <v>2641.14</v>
      </c>
      <c r="G1654">
        <v>6577.5240000000003</v>
      </c>
      <c r="H1654">
        <v>3241.7279999999996</v>
      </c>
      <c r="I1654">
        <v>688.14359999999999</v>
      </c>
      <c r="J1654">
        <v>12.011760000000001</v>
      </c>
      <c r="K1654">
        <v>7047.8640000000005</v>
      </c>
      <c r="L1654">
        <v>74.530799999999999</v>
      </c>
      <c r="M1654">
        <v>1128.816</v>
      </c>
      <c r="N1654">
        <v>177.28200000000001</v>
      </c>
      <c r="O1654">
        <v>7.8148799999999996</v>
      </c>
      <c r="P1654">
        <v>13.531319999999999</v>
      </c>
    </row>
    <row r="1655" spans="1:16">
      <c r="A1655" s="1" t="s">
        <v>1681</v>
      </c>
      <c r="B1655" s="1" t="s">
        <v>1713</v>
      </c>
      <c r="C1655" s="1" t="s">
        <v>38</v>
      </c>
      <c r="D1655" s="1" t="s">
        <v>1683</v>
      </c>
      <c r="E1655" s="1" t="s">
        <v>1687</v>
      </c>
      <c r="F1655">
        <v>2250.3960000000002</v>
      </c>
      <c r="G1655">
        <v>3849.5520000000001</v>
      </c>
      <c r="H1655">
        <v>2272.1039999999998</v>
      </c>
      <c r="I1655">
        <v>590.45759999999996</v>
      </c>
      <c r="J1655">
        <v>51.447959999999995</v>
      </c>
      <c r="K1655">
        <v>6099.9479999999994</v>
      </c>
      <c r="L1655">
        <v>84.154679999999999</v>
      </c>
      <c r="M1655">
        <v>1128.816</v>
      </c>
      <c r="N1655">
        <v>226.48679999999999</v>
      </c>
      <c r="O1655">
        <v>7.5616199999999996</v>
      </c>
      <c r="P1655">
        <v>14.32728</v>
      </c>
    </row>
    <row r="1656" spans="1:16">
      <c r="A1656" s="1" t="s">
        <v>1681</v>
      </c>
      <c r="B1656" s="1" t="s">
        <v>1714</v>
      </c>
      <c r="C1656" s="1" t="s">
        <v>38</v>
      </c>
      <c r="D1656" s="1" t="s">
        <v>1683</v>
      </c>
      <c r="E1656" s="1" t="s">
        <v>1687</v>
      </c>
      <c r="F1656">
        <v>3596.2920000000004</v>
      </c>
      <c r="G1656">
        <v>7293.8879999999999</v>
      </c>
      <c r="H1656">
        <v>3343.0320000000002</v>
      </c>
      <c r="I1656">
        <v>730.11239999999998</v>
      </c>
      <c r="J1656">
        <v>94.791600000000003</v>
      </c>
      <c r="K1656">
        <v>6758.424</v>
      </c>
      <c r="L1656">
        <v>73.879559999999998</v>
      </c>
      <c r="M1656">
        <v>1081.0583999999999</v>
      </c>
      <c r="N1656">
        <v>238.78799999999998</v>
      </c>
      <c r="O1656">
        <v>7.5977999999999994</v>
      </c>
      <c r="P1656">
        <v>12.590639999999999</v>
      </c>
    </row>
    <row r="1657" spans="1:16">
      <c r="A1657" s="1" t="s">
        <v>1681</v>
      </c>
      <c r="B1657" s="1" t="s">
        <v>1715</v>
      </c>
      <c r="C1657" s="1" t="s">
        <v>38</v>
      </c>
      <c r="D1657" s="1" t="s">
        <v>1683</v>
      </c>
      <c r="E1657" s="1" t="s">
        <v>1687</v>
      </c>
      <c r="F1657">
        <v>3437.1</v>
      </c>
      <c r="G1657">
        <v>2299.6008000000002</v>
      </c>
      <c r="H1657">
        <v>16628.328000000001</v>
      </c>
      <c r="I1657">
        <v>3154.8960000000002</v>
      </c>
      <c r="J1657">
        <v>2047.788</v>
      </c>
      <c r="K1657">
        <v>7416.9</v>
      </c>
      <c r="L1657">
        <v>99.350279999999998</v>
      </c>
      <c r="M1657">
        <v>1251.828</v>
      </c>
      <c r="N1657">
        <v>217.80359999999999</v>
      </c>
      <c r="O1657">
        <v>23.734080000000002</v>
      </c>
      <c r="P1657">
        <v>22.576319999999999</v>
      </c>
    </row>
    <row r="1658" spans="1:16">
      <c r="A1658" s="1" t="s">
        <v>1681</v>
      </c>
      <c r="B1658" s="1" t="s">
        <v>1716</v>
      </c>
      <c r="C1658" s="1" t="s">
        <v>38</v>
      </c>
      <c r="D1658" s="1" t="s">
        <v>1683</v>
      </c>
      <c r="E1658" s="1" t="s">
        <v>1687</v>
      </c>
      <c r="F1658">
        <v>2670.0839999999998</v>
      </c>
      <c r="G1658">
        <v>5180.9759999999997</v>
      </c>
      <c r="H1658">
        <v>21006.108</v>
      </c>
      <c r="I1658">
        <v>3697.596</v>
      </c>
      <c r="J1658">
        <v>7134.6959999999999</v>
      </c>
      <c r="K1658">
        <v>9088.4159999999993</v>
      </c>
      <c r="L1658">
        <v>98.7714</v>
      </c>
      <c r="M1658">
        <v>1186.704</v>
      </c>
      <c r="N1658">
        <v>245.3004</v>
      </c>
      <c r="O1658">
        <v>24.38532</v>
      </c>
      <c r="P1658">
        <v>20.477879999999999</v>
      </c>
    </row>
    <row r="1659" spans="1:16">
      <c r="A1659" s="1" t="s">
        <v>1681</v>
      </c>
      <c r="B1659" s="1" t="s">
        <v>1717</v>
      </c>
      <c r="C1659" s="1" t="s">
        <v>38</v>
      </c>
      <c r="D1659" s="1" t="s">
        <v>1683</v>
      </c>
      <c r="E1659" s="1" t="s">
        <v>1687</v>
      </c>
      <c r="F1659">
        <v>3111.48</v>
      </c>
      <c r="G1659">
        <v>4392.2520000000004</v>
      </c>
      <c r="H1659">
        <v>20919.276000000002</v>
      </c>
      <c r="I1659">
        <v>3574.5839999999998</v>
      </c>
      <c r="J1659">
        <v>3965.328</v>
      </c>
      <c r="K1659">
        <v>9052.235999999999</v>
      </c>
      <c r="L1659">
        <v>90.667079999999984</v>
      </c>
      <c r="M1659">
        <v>1090.4652000000001</v>
      </c>
      <c r="N1659">
        <v>200.43719999999999</v>
      </c>
      <c r="O1659">
        <v>22.793399999999998</v>
      </c>
      <c r="P1659">
        <v>17.511119999999998</v>
      </c>
    </row>
    <row r="1660" spans="1:16">
      <c r="A1660" s="1" t="s">
        <v>1681</v>
      </c>
      <c r="B1660" s="1" t="s">
        <v>1718</v>
      </c>
      <c r="C1660" s="1" t="s">
        <v>38</v>
      </c>
      <c r="D1660" s="1" t="s">
        <v>1683</v>
      </c>
      <c r="E1660" s="1" t="s">
        <v>1687</v>
      </c>
      <c r="F1660">
        <v>2112.9119999999998</v>
      </c>
      <c r="G1660">
        <v>8487.8279999999995</v>
      </c>
      <c r="H1660">
        <v>26339.040000000001</v>
      </c>
      <c r="I1660">
        <v>5209.92</v>
      </c>
      <c r="J1660">
        <v>8748.3240000000005</v>
      </c>
      <c r="K1660">
        <v>10810.584000000001</v>
      </c>
      <c r="L1660">
        <v>100.9422</v>
      </c>
      <c r="M1660">
        <v>1324.1880000000001</v>
      </c>
      <c r="N1660">
        <v>324.17280000000005</v>
      </c>
      <c r="O1660">
        <v>25.253639999999997</v>
      </c>
      <c r="P1660">
        <v>15.774480000000001</v>
      </c>
    </row>
    <row r="1661" spans="1:16">
      <c r="A1661" s="1" t="s">
        <v>1681</v>
      </c>
      <c r="B1661" s="1" t="s">
        <v>1719</v>
      </c>
      <c r="C1661" s="1" t="s">
        <v>38</v>
      </c>
      <c r="D1661" s="1" t="s">
        <v>1683</v>
      </c>
      <c r="E1661" s="1" t="s">
        <v>1687</v>
      </c>
      <c r="F1661">
        <v>3415.3920000000003</v>
      </c>
      <c r="G1661">
        <v>1798.8696</v>
      </c>
      <c r="H1661">
        <v>13965.48</v>
      </c>
      <c r="I1661">
        <v>2981.232</v>
      </c>
      <c r="J1661">
        <v>1693.2239999999999</v>
      </c>
      <c r="K1661">
        <v>6968.268</v>
      </c>
      <c r="L1661">
        <v>98.7714</v>
      </c>
      <c r="M1661">
        <v>1237.356</v>
      </c>
      <c r="N1661">
        <v>222.86879999999999</v>
      </c>
      <c r="O1661">
        <v>24.31296</v>
      </c>
      <c r="P1661">
        <v>24.168240000000001</v>
      </c>
    </row>
    <row r="1662" spans="1:16">
      <c r="A1662" s="1" t="s">
        <v>1681</v>
      </c>
      <c r="B1662" s="1" t="s">
        <v>1720</v>
      </c>
      <c r="C1662" s="1" t="s">
        <v>38</v>
      </c>
      <c r="D1662" s="1" t="s">
        <v>1683</v>
      </c>
      <c r="E1662" s="1" t="s">
        <v>1687</v>
      </c>
      <c r="F1662">
        <v>3089.7720000000004</v>
      </c>
      <c r="G1662">
        <v>5947.9920000000002</v>
      </c>
      <c r="H1662">
        <v>22952.592000000001</v>
      </c>
      <c r="I1662">
        <v>4211.3519999999999</v>
      </c>
      <c r="J1662">
        <v>6809.0759999999991</v>
      </c>
      <c r="K1662">
        <v>10745.46</v>
      </c>
      <c r="L1662">
        <v>90.594719999999995</v>
      </c>
      <c r="M1662">
        <v>1138.9464</v>
      </c>
      <c r="N1662">
        <v>204.77879999999999</v>
      </c>
      <c r="O1662">
        <v>24.38532</v>
      </c>
      <c r="P1662">
        <v>15.629759999999999</v>
      </c>
    </row>
    <row r="1663" spans="1:16">
      <c r="A1663" s="1" t="s">
        <v>1681</v>
      </c>
      <c r="B1663" s="1" t="s">
        <v>1721</v>
      </c>
      <c r="C1663" s="1" t="s">
        <v>38</v>
      </c>
      <c r="D1663" s="1" t="s">
        <v>1683</v>
      </c>
      <c r="E1663" s="1" t="s">
        <v>1687</v>
      </c>
      <c r="F1663">
        <v>1335.0419999999999</v>
      </c>
      <c r="G1663">
        <v>5354.64</v>
      </c>
      <c r="H1663">
        <v>14189.796</v>
      </c>
      <c r="I1663">
        <v>2865.4560000000001</v>
      </c>
      <c r="J1663">
        <v>2785.86</v>
      </c>
      <c r="K1663">
        <v>7843.8240000000005</v>
      </c>
      <c r="L1663">
        <v>95.515200000000007</v>
      </c>
      <c r="M1663">
        <v>1141.1171999999999</v>
      </c>
      <c r="N1663">
        <v>198.2664</v>
      </c>
      <c r="O1663">
        <v>23.661719999999999</v>
      </c>
      <c r="P1663">
        <v>17.800560000000001</v>
      </c>
    </row>
    <row r="1664" spans="1:16">
      <c r="A1664" s="1" t="s">
        <v>1681</v>
      </c>
      <c r="B1664" s="1" t="s">
        <v>1722</v>
      </c>
      <c r="C1664" s="1" t="s">
        <v>38</v>
      </c>
      <c r="D1664" s="1" t="s">
        <v>1683</v>
      </c>
      <c r="E1664" s="1" t="s">
        <v>1687</v>
      </c>
      <c r="F1664">
        <v>2040.5519999999999</v>
      </c>
      <c r="G1664">
        <v>4877.0640000000003</v>
      </c>
      <c r="H1664">
        <v>3741.0120000000002</v>
      </c>
      <c r="I1664">
        <v>762.67439999999988</v>
      </c>
      <c r="J1664">
        <v>62.229599999999998</v>
      </c>
      <c r="K1664">
        <v>4840.884</v>
      </c>
      <c r="L1664">
        <v>112.95396</v>
      </c>
      <c r="M1664">
        <v>1277.8776</v>
      </c>
      <c r="N1664">
        <v>230.82839999999999</v>
      </c>
      <c r="O1664">
        <v>5.1158520000000003</v>
      </c>
      <c r="P1664">
        <v>47.323439999999998</v>
      </c>
    </row>
    <row r="1665" spans="1:16">
      <c r="A1665" s="1" t="s">
        <v>1681</v>
      </c>
      <c r="B1665" s="1" t="s">
        <v>1723</v>
      </c>
      <c r="C1665" s="1" t="s">
        <v>38</v>
      </c>
      <c r="D1665" s="1" t="s">
        <v>1683</v>
      </c>
      <c r="E1665" s="1" t="s">
        <v>1687</v>
      </c>
      <c r="F1665">
        <v>1975.4280000000001</v>
      </c>
      <c r="G1665">
        <v>6063.768</v>
      </c>
      <c r="H1665">
        <v>4768.5240000000003</v>
      </c>
      <c r="I1665">
        <v>588.28680000000008</v>
      </c>
      <c r="J1665">
        <v>94.067999999999998</v>
      </c>
      <c r="K1665">
        <v>5752.62</v>
      </c>
      <c r="L1665">
        <v>97.396560000000008</v>
      </c>
      <c r="M1665">
        <v>1215.6480000000001</v>
      </c>
      <c r="N1665">
        <v>186.68880000000001</v>
      </c>
      <c r="O1665">
        <v>5.6440799999999998</v>
      </c>
      <c r="P1665">
        <v>31.548960000000001</v>
      </c>
    </row>
    <row r="1666" spans="1:16">
      <c r="A1666" s="1" t="s">
        <v>1681</v>
      </c>
      <c r="B1666" s="1" t="s">
        <v>1724</v>
      </c>
      <c r="C1666" s="1" t="s">
        <v>38</v>
      </c>
      <c r="D1666" s="1" t="s">
        <v>1683</v>
      </c>
      <c r="E1666" s="1" t="s">
        <v>1687</v>
      </c>
      <c r="F1666">
        <v>1635.336</v>
      </c>
      <c r="G1666">
        <v>4305.42</v>
      </c>
      <c r="H1666">
        <v>3321.3240000000001</v>
      </c>
      <c r="I1666">
        <v>497.83679999999998</v>
      </c>
      <c r="J1666">
        <v>178.72920000000002</v>
      </c>
      <c r="K1666">
        <v>4754.0520000000006</v>
      </c>
      <c r="L1666">
        <v>102.31703999999999</v>
      </c>
      <c r="M1666">
        <v>1302.48</v>
      </c>
      <c r="N1666">
        <v>183.7944</v>
      </c>
      <c r="O1666">
        <v>5.0362559999999998</v>
      </c>
      <c r="P1666">
        <v>43.777799999999999</v>
      </c>
    </row>
    <row r="1667" spans="1:16">
      <c r="A1667" s="1" t="s">
        <v>1681</v>
      </c>
      <c r="B1667" s="1" t="s">
        <v>1725</v>
      </c>
      <c r="C1667" s="1" t="s">
        <v>38</v>
      </c>
      <c r="D1667" s="1" t="s">
        <v>1683</v>
      </c>
      <c r="E1667" s="1" t="s">
        <v>1687</v>
      </c>
      <c r="F1667">
        <v>1611.4572000000001</v>
      </c>
      <c r="G1667">
        <v>4334.3639999999996</v>
      </c>
      <c r="H1667">
        <v>3258.3708000000001</v>
      </c>
      <c r="I1667">
        <v>486.98280000000005</v>
      </c>
      <c r="J1667">
        <v>228.6576</v>
      </c>
      <c r="K1667">
        <v>4891.5359999999991</v>
      </c>
      <c r="L1667">
        <v>102.89591999999999</v>
      </c>
      <c r="M1667">
        <v>1251.828</v>
      </c>
      <c r="N1667">
        <v>167.1516</v>
      </c>
      <c r="O1667">
        <v>5.094144</v>
      </c>
      <c r="P1667">
        <v>41.606999999999999</v>
      </c>
    </row>
    <row r="1668" spans="1:16">
      <c r="A1668" s="1" t="s">
        <v>1681</v>
      </c>
      <c r="B1668" s="1" t="s">
        <v>1726</v>
      </c>
      <c r="C1668" s="1" t="s">
        <v>38</v>
      </c>
      <c r="D1668" s="1" t="s">
        <v>1683</v>
      </c>
      <c r="E1668" s="1" t="s">
        <v>1687</v>
      </c>
      <c r="F1668">
        <v>1828.5372</v>
      </c>
      <c r="G1668">
        <v>2201.1912000000002</v>
      </c>
      <c r="H1668">
        <v>1685.2644</v>
      </c>
      <c r="I1668">
        <v>366.86520000000002</v>
      </c>
      <c r="J1668">
        <v>120.8412</v>
      </c>
      <c r="K1668">
        <v>4544.2079999999996</v>
      </c>
      <c r="L1668">
        <v>114.90768</v>
      </c>
      <c r="M1668">
        <v>1246.7628</v>
      </c>
      <c r="N1668">
        <v>217.80359999999999</v>
      </c>
      <c r="O1668">
        <v>5.5283039999999994</v>
      </c>
      <c r="P1668">
        <v>43.198920000000001</v>
      </c>
    </row>
    <row r="1669" spans="1:16">
      <c r="A1669" s="1" t="s">
        <v>1681</v>
      </c>
      <c r="B1669" s="1" t="s">
        <v>1727</v>
      </c>
      <c r="C1669" s="1" t="s">
        <v>38</v>
      </c>
      <c r="D1669" s="1" t="s">
        <v>1683</v>
      </c>
      <c r="E1669" s="1" t="s">
        <v>1687</v>
      </c>
      <c r="F1669">
        <v>1823.472</v>
      </c>
      <c r="G1669">
        <v>3791.6639999999998</v>
      </c>
      <c r="H1669">
        <v>2766.3227999999999</v>
      </c>
      <c r="I1669">
        <v>439.22520000000003</v>
      </c>
      <c r="J1669">
        <v>163.53359999999998</v>
      </c>
      <c r="K1669">
        <v>4862.5920000000006</v>
      </c>
      <c r="L1669">
        <v>104.05368</v>
      </c>
      <c r="M1669">
        <v>1230.1199999999999</v>
      </c>
      <c r="N1669">
        <v>170.04599999999999</v>
      </c>
      <c r="O1669">
        <v>5.2316280000000006</v>
      </c>
      <c r="P1669">
        <v>40.521600000000007</v>
      </c>
    </row>
    <row r="1670" spans="1:16">
      <c r="A1670" s="1" t="s">
        <v>1681</v>
      </c>
      <c r="B1670" s="1" t="s">
        <v>1728</v>
      </c>
      <c r="C1670" s="1" t="s">
        <v>38</v>
      </c>
      <c r="D1670" s="1" t="s">
        <v>1683</v>
      </c>
      <c r="E1670" s="1" t="s">
        <v>1687</v>
      </c>
      <c r="F1670">
        <v>1712.7612000000001</v>
      </c>
      <c r="G1670">
        <v>4377.78</v>
      </c>
      <c r="H1670">
        <v>2908.8720000000003</v>
      </c>
      <c r="I1670">
        <v>410.28120000000001</v>
      </c>
      <c r="J1670">
        <v>98.409600000000012</v>
      </c>
      <c r="K1670">
        <v>4949.424</v>
      </c>
      <c r="L1670">
        <v>100.43567999999999</v>
      </c>
      <c r="M1670">
        <v>1230.1199999999999</v>
      </c>
      <c r="N1670">
        <v>164.98079999999999</v>
      </c>
      <c r="O1670">
        <v>4.8191760000000006</v>
      </c>
      <c r="P1670">
        <v>37.554839999999999</v>
      </c>
    </row>
    <row r="1671" spans="1:16">
      <c r="A1671" s="1" t="s">
        <v>1681</v>
      </c>
      <c r="B1671" s="1" t="s">
        <v>1729</v>
      </c>
      <c r="C1671" s="1" t="s">
        <v>38</v>
      </c>
      <c r="D1671" s="1" t="s">
        <v>1683</v>
      </c>
      <c r="E1671" s="1" t="s">
        <v>1687</v>
      </c>
      <c r="F1671">
        <v>1700.46</v>
      </c>
      <c r="G1671">
        <v>3632.4720000000002</v>
      </c>
      <c r="H1671">
        <v>1787.2919999999999</v>
      </c>
      <c r="I1671">
        <v>257.60160000000002</v>
      </c>
      <c r="J1671">
        <v>8.4661200000000001</v>
      </c>
      <c r="K1671">
        <v>4565.9160000000002</v>
      </c>
      <c r="L1671">
        <v>98.409600000000012</v>
      </c>
      <c r="M1671">
        <v>1172.232</v>
      </c>
      <c r="N1671">
        <v>135.31319999999999</v>
      </c>
      <c r="O1671">
        <v>5.8611599999999999</v>
      </c>
      <c r="P1671">
        <v>48.553560000000004</v>
      </c>
    </row>
    <row r="1672" spans="1:16">
      <c r="A1672" s="1" t="s">
        <v>1681</v>
      </c>
      <c r="B1672" s="1" t="s">
        <v>1730</v>
      </c>
      <c r="C1672" s="1" t="s">
        <v>38</v>
      </c>
      <c r="D1672" s="1" t="s">
        <v>1683</v>
      </c>
      <c r="E1672" s="1" t="s">
        <v>1687</v>
      </c>
      <c r="F1672">
        <v>1874.1239999999998</v>
      </c>
      <c r="G1672">
        <v>4920.4799999999996</v>
      </c>
      <c r="H1672">
        <v>3502.2239999999997</v>
      </c>
      <c r="I1672">
        <v>725.04719999999998</v>
      </c>
      <c r="J1672">
        <v>2.38788</v>
      </c>
      <c r="K1672">
        <v>4609.3320000000003</v>
      </c>
      <c r="L1672">
        <v>129.52440000000001</v>
      </c>
      <c r="M1672">
        <v>1276.4304</v>
      </c>
      <c r="N1672">
        <v>235.17</v>
      </c>
      <c r="O1672">
        <v>6.5847600000000002</v>
      </c>
      <c r="P1672">
        <v>42.909479999999995</v>
      </c>
    </row>
    <row r="1673" spans="1:16">
      <c r="A1673" s="1" t="s">
        <v>1681</v>
      </c>
      <c r="B1673" s="1" t="s">
        <v>1731</v>
      </c>
      <c r="C1673" s="1" t="s">
        <v>38</v>
      </c>
      <c r="D1673" s="1" t="s">
        <v>1683</v>
      </c>
      <c r="E1673" s="1" t="s">
        <v>1687</v>
      </c>
      <c r="F1673">
        <v>1743.876</v>
      </c>
      <c r="G1673">
        <v>3545.64</v>
      </c>
      <c r="H1673">
        <v>2539.8360000000002</v>
      </c>
      <c r="I1673">
        <v>412.452</v>
      </c>
      <c r="J1673">
        <v>127.3536</v>
      </c>
      <c r="K1673">
        <v>5043.4920000000002</v>
      </c>
      <c r="L1673">
        <v>94.067999999999998</v>
      </c>
      <c r="M1673">
        <v>1114.3440000000001</v>
      </c>
      <c r="N1673">
        <v>142.54919999999998</v>
      </c>
      <c r="O1673">
        <v>4.9928400000000002</v>
      </c>
      <c r="P1673">
        <v>37.554839999999999</v>
      </c>
    </row>
    <row r="1674" spans="1:16">
      <c r="A1674" s="1" t="s">
        <v>1681</v>
      </c>
      <c r="B1674" s="1" t="s">
        <v>1732</v>
      </c>
      <c r="C1674" s="1" t="s">
        <v>38</v>
      </c>
      <c r="D1674" s="1" t="s">
        <v>1683</v>
      </c>
      <c r="E1674" s="1" t="s">
        <v>1687</v>
      </c>
      <c r="F1674">
        <v>1852.4160000000002</v>
      </c>
      <c r="G1674">
        <v>4790.232</v>
      </c>
      <c r="H1674">
        <v>3538.404</v>
      </c>
      <c r="I1674">
        <v>564.40800000000002</v>
      </c>
      <c r="J1674">
        <v>112.158</v>
      </c>
      <c r="K1674">
        <v>4754.0520000000006</v>
      </c>
      <c r="L1674">
        <v>108.53999999999999</v>
      </c>
      <c r="M1674">
        <v>1360.3679999999999</v>
      </c>
      <c r="N1674">
        <v>179.4528</v>
      </c>
      <c r="O1674">
        <v>4.77576</v>
      </c>
      <c r="P1674">
        <v>43.63308</v>
      </c>
    </row>
    <row r="1675" spans="1:16">
      <c r="A1675" s="1" t="s">
        <v>1681</v>
      </c>
      <c r="B1675" s="1" t="s">
        <v>1733</v>
      </c>
      <c r="C1675" s="1" t="s">
        <v>38</v>
      </c>
      <c r="D1675" s="1" t="s">
        <v>1683</v>
      </c>
      <c r="E1675" s="1" t="s">
        <v>1687</v>
      </c>
      <c r="F1675">
        <v>1722.1680000000001</v>
      </c>
      <c r="G1675">
        <v>725.77079999999989</v>
      </c>
      <c r="H1675">
        <v>673.67160000000001</v>
      </c>
      <c r="I1675">
        <v>154.1268</v>
      </c>
      <c r="J1675">
        <v>6.2953199999999994</v>
      </c>
      <c r="K1675">
        <v>4493.5560000000005</v>
      </c>
      <c r="L1675">
        <v>107.0928</v>
      </c>
      <c r="M1675">
        <v>1201.1760000000002</v>
      </c>
      <c r="N1675">
        <v>139.65479999999999</v>
      </c>
      <c r="O1675">
        <v>5.2099199999999994</v>
      </c>
      <c r="P1675">
        <v>43.343640000000001</v>
      </c>
    </row>
    <row r="1676" spans="1:16">
      <c r="A1676" s="1" t="s">
        <v>1681</v>
      </c>
      <c r="B1676" s="1" t="s">
        <v>1734</v>
      </c>
      <c r="C1676" s="1" t="s">
        <v>38</v>
      </c>
      <c r="D1676" s="1" t="s">
        <v>1683</v>
      </c>
      <c r="E1676" s="1" t="s">
        <v>1687</v>
      </c>
      <c r="F1676">
        <v>4254.768</v>
      </c>
      <c r="G1676">
        <v>16353.36</v>
      </c>
      <c r="H1676">
        <v>12402.504000000001</v>
      </c>
      <c r="I1676">
        <v>1951.5491999999999</v>
      </c>
      <c r="J1676">
        <v>100.50803999999999</v>
      </c>
      <c r="K1676">
        <v>7127.46</v>
      </c>
      <c r="L1676">
        <v>66.571200000000005</v>
      </c>
      <c r="M1676">
        <v>1584.684</v>
      </c>
      <c r="N1676">
        <v>136.0368</v>
      </c>
      <c r="O1676">
        <v>23.37228</v>
      </c>
      <c r="P1676">
        <v>8.6831999999999994</v>
      </c>
    </row>
    <row r="1677" spans="1:16">
      <c r="A1677" s="1" t="s">
        <v>1681</v>
      </c>
      <c r="B1677" s="1" t="s">
        <v>1735</v>
      </c>
      <c r="C1677" s="1" t="s">
        <v>38</v>
      </c>
      <c r="D1677" s="1" t="s">
        <v>1683</v>
      </c>
      <c r="E1677" s="1" t="s">
        <v>1687</v>
      </c>
      <c r="F1677">
        <v>2923.3440000000001</v>
      </c>
      <c r="G1677">
        <v>13024.8</v>
      </c>
      <c r="H1677">
        <v>9768.6</v>
      </c>
      <c r="I1677">
        <v>2055.0239999999999</v>
      </c>
      <c r="J1677">
        <v>103.47479999999999</v>
      </c>
      <c r="K1677">
        <v>5803.2719999999999</v>
      </c>
      <c r="L1677">
        <v>103.47479999999999</v>
      </c>
      <c r="M1677">
        <v>2069.4960000000001</v>
      </c>
      <c r="N1677">
        <v>312.59520000000003</v>
      </c>
      <c r="O1677">
        <v>22.142160000000001</v>
      </c>
      <c r="P1677">
        <v>5.1086159999999996</v>
      </c>
    </row>
    <row r="1678" spans="1:16">
      <c r="A1678" s="1" t="s">
        <v>1681</v>
      </c>
      <c r="B1678" s="1" t="s">
        <v>1736</v>
      </c>
      <c r="C1678" s="1" t="s">
        <v>38</v>
      </c>
      <c r="D1678" s="1" t="s">
        <v>1683</v>
      </c>
      <c r="E1678" s="1" t="s">
        <v>1687</v>
      </c>
      <c r="F1678">
        <v>5390.82</v>
      </c>
      <c r="G1678">
        <v>16845.407999999999</v>
      </c>
      <c r="H1678">
        <v>9623.8799999999992</v>
      </c>
      <c r="I1678">
        <v>2243.16</v>
      </c>
      <c r="J1678">
        <v>141.82560000000001</v>
      </c>
      <c r="K1678">
        <v>5904.5759999999991</v>
      </c>
      <c r="L1678">
        <v>105.6456</v>
      </c>
      <c r="M1678">
        <v>1519.56</v>
      </c>
      <c r="N1678">
        <v>426.2004</v>
      </c>
      <c r="O1678">
        <v>28.79928</v>
      </c>
      <c r="P1678">
        <v>8.3214000000000006</v>
      </c>
    </row>
    <row r="1679" spans="1:16">
      <c r="A1679" s="1" t="s">
        <v>1681</v>
      </c>
      <c r="B1679" s="1" t="s">
        <v>1737</v>
      </c>
      <c r="C1679" s="1" t="s">
        <v>38</v>
      </c>
      <c r="D1679" s="1" t="s">
        <v>1683</v>
      </c>
      <c r="E1679" s="1" t="s">
        <v>1687</v>
      </c>
      <c r="F1679">
        <v>4906.0079999999998</v>
      </c>
      <c r="G1679">
        <v>14110.2</v>
      </c>
      <c r="H1679">
        <v>6649.884</v>
      </c>
      <c r="I1679">
        <v>2250.3960000000002</v>
      </c>
      <c r="J1679">
        <v>86.831999999999994</v>
      </c>
      <c r="K1679">
        <v>6157.8359999999993</v>
      </c>
      <c r="L1679">
        <v>85.384799999999998</v>
      </c>
      <c r="M1679">
        <v>1664.28</v>
      </c>
      <c r="N1679">
        <v>224.316</v>
      </c>
      <c r="O1679">
        <v>27.786239999999999</v>
      </c>
      <c r="P1679">
        <v>6.8742000000000001</v>
      </c>
    </row>
    <row r="1680" spans="1:16">
      <c r="A1680" s="1" t="s">
        <v>1681</v>
      </c>
      <c r="B1680" s="1" t="s">
        <v>1738</v>
      </c>
      <c r="C1680" s="1" t="s">
        <v>38</v>
      </c>
      <c r="D1680" s="1" t="s">
        <v>1683</v>
      </c>
      <c r="E1680" s="1" t="s">
        <v>1687</v>
      </c>
      <c r="F1680">
        <v>2843.7479999999996</v>
      </c>
      <c r="G1680">
        <v>14139.144</v>
      </c>
      <c r="H1680">
        <v>13524.084000000001</v>
      </c>
      <c r="I1680">
        <v>2335.7808</v>
      </c>
      <c r="J1680">
        <v>132.63587999999999</v>
      </c>
      <c r="K1680">
        <v>6838.0199999999995</v>
      </c>
      <c r="L1680">
        <v>69.465599999999995</v>
      </c>
      <c r="M1680">
        <v>5289.5159999999996</v>
      </c>
      <c r="N1680">
        <v>114.40115999999999</v>
      </c>
      <c r="O1680">
        <v>11.5776</v>
      </c>
      <c r="P1680">
        <v>2.1129120000000001</v>
      </c>
    </row>
    <row r="1681" spans="1:16">
      <c r="A1681" s="1" t="s">
        <v>1681</v>
      </c>
      <c r="B1681" s="1" t="s">
        <v>1739</v>
      </c>
      <c r="C1681" s="1" t="s">
        <v>38</v>
      </c>
      <c r="D1681" s="1" t="s">
        <v>1683</v>
      </c>
      <c r="E1681" s="1" t="s">
        <v>1687</v>
      </c>
      <c r="F1681">
        <v>653.41079999999999</v>
      </c>
      <c r="G1681">
        <v>715.6404</v>
      </c>
      <c r="H1681">
        <v>1177.2972</v>
      </c>
      <c r="I1681">
        <v>696.1031999999999</v>
      </c>
      <c r="J1681">
        <v>116.4996</v>
      </c>
      <c r="K1681">
        <v>3914.6759999999999</v>
      </c>
      <c r="L1681">
        <v>108.97416</v>
      </c>
      <c r="M1681">
        <v>1244.5919999999999</v>
      </c>
      <c r="N1681">
        <v>387.12599999999998</v>
      </c>
      <c r="O1681">
        <v>5.5283039999999994</v>
      </c>
      <c r="P1681">
        <v>8.8134480000000011</v>
      </c>
    </row>
    <row r="1682" spans="1:16">
      <c r="A1682" s="1" t="s">
        <v>1681</v>
      </c>
      <c r="B1682" s="1" t="s">
        <v>1740</v>
      </c>
      <c r="C1682" s="1" t="s">
        <v>38</v>
      </c>
      <c r="D1682" s="1" t="s">
        <v>1683</v>
      </c>
      <c r="E1682" s="1" t="s">
        <v>1687</v>
      </c>
      <c r="F1682">
        <v>694.65599999999995</v>
      </c>
      <c r="G1682">
        <v>1007.2512</v>
      </c>
      <c r="H1682">
        <v>4667.22</v>
      </c>
      <c r="I1682">
        <v>858.91319999999996</v>
      </c>
      <c r="J1682">
        <v>36.397080000000003</v>
      </c>
      <c r="K1682">
        <v>4124.5199999999995</v>
      </c>
      <c r="L1682">
        <v>114.6906</v>
      </c>
      <c r="M1682">
        <v>1210.5828000000001</v>
      </c>
      <c r="N1682">
        <v>456.59159999999997</v>
      </c>
      <c r="O1682">
        <v>5.5355400000000001</v>
      </c>
      <c r="P1682">
        <v>7.9668359999999998</v>
      </c>
    </row>
    <row r="1683" spans="1:16">
      <c r="A1683" s="1" t="s">
        <v>1681</v>
      </c>
      <c r="B1683" s="1" t="s">
        <v>1741</v>
      </c>
      <c r="C1683" s="1" t="s">
        <v>38</v>
      </c>
      <c r="D1683" s="1" t="s">
        <v>1683</v>
      </c>
      <c r="E1683" s="1" t="s">
        <v>1687</v>
      </c>
      <c r="F1683">
        <v>659.92319999999995</v>
      </c>
      <c r="G1683">
        <v>623.74319999999989</v>
      </c>
      <c r="H1683">
        <v>1218.5424</v>
      </c>
      <c r="I1683">
        <v>688.14359999999999</v>
      </c>
      <c r="J1683">
        <v>154.56095999999999</v>
      </c>
      <c r="K1683">
        <v>3350.2679999999996</v>
      </c>
      <c r="L1683">
        <v>132.20171999999999</v>
      </c>
      <c r="M1683">
        <v>1301.7564</v>
      </c>
      <c r="N1683">
        <v>460.20960000000002</v>
      </c>
      <c r="O1683">
        <v>5.57172</v>
      </c>
      <c r="P1683">
        <v>6.7367160000000004</v>
      </c>
    </row>
    <row r="1684" spans="1:16">
      <c r="A1684" s="1" t="s">
        <v>1681</v>
      </c>
      <c r="B1684" s="1" t="s">
        <v>1742</v>
      </c>
      <c r="C1684" s="1" t="s">
        <v>38</v>
      </c>
      <c r="D1684" s="1" t="s">
        <v>1683</v>
      </c>
      <c r="E1684" s="1" t="s">
        <v>1687</v>
      </c>
      <c r="F1684">
        <v>620.84879999999998</v>
      </c>
      <c r="G1684">
        <v>609.99479999999994</v>
      </c>
      <c r="H1684">
        <v>1141.8407999999999</v>
      </c>
      <c r="I1684">
        <v>669.33</v>
      </c>
      <c r="J1684">
        <v>71.346959999999996</v>
      </c>
      <c r="K1684">
        <v>3552.8760000000002</v>
      </c>
      <c r="L1684">
        <v>126.12348</v>
      </c>
      <c r="M1684">
        <v>1262.682</v>
      </c>
      <c r="N1684">
        <v>398.70359999999999</v>
      </c>
      <c r="O1684">
        <v>5.2099199999999994</v>
      </c>
      <c r="P1684">
        <v>8.1766799999999993</v>
      </c>
    </row>
    <row r="1685" spans="1:16">
      <c r="A1685" s="1" t="s">
        <v>1681</v>
      </c>
      <c r="B1685" s="1" t="s">
        <v>1743</v>
      </c>
      <c r="C1685" s="1" t="s">
        <v>38</v>
      </c>
      <c r="D1685" s="1" t="s">
        <v>1683</v>
      </c>
      <c r="E1685" s="1" t="s">
        <v>1687</v>
      </c>
      <c r="F1685">
        <v>517.37400000000002</v>
      </c>
      <c r="G1685">
        <v>138.42468</v>
      </c>
      <c r="H1685">
        <v>901.60560000000009</v>
      </c>
      <c r="I1685">
        <v>525.33359999999993</v>
      </c>
      <c r="J1685">
        <v>15.9192</v>
      </c>
      <c r="K1685">
        <v>4167.9359999999997</v>
      </c>
      <c r="L1685">
        <v>95.804640000000006</v>
      </c>
      <c r="M1685">
        <v>1166.4432000000002</v>
      </c>
      <c r="N1685">
        <v>280.03320000000002</v>
      </c>
      <c r="O1685">
        <v>5.0579640000000001</v>
      </c>
      <c r="P1685">
        <v>10.275119999999999</v>
      </c>
    </row>
    <row r="1686" spans="1:16">
      <c r="A1686" s="1" t="s">
        <v>1681</v>
      </c>
      <c r="B1686" s="1" t="s">
        <v>1744</v>
      </c>
      <c r="C1686" s="1" t="s">
        <v>38</v>
      </c>
      <c r="D1686" s="1" t="s">
        <v>1683</v>
      </c>
      <c r="E1686" s="1" t="s">
        <v>1687</v>
      </c>
      <c r="F1686">
        <v>437.77799999999996</v>
      </c>
      <c r="G1686">
        <v>137.12219999999999</v>
      </c>
      <c r="H1686">
        <v>1091.1887999999999</v>
      </c>
      <c r="I1686">
        <v>449.35559999999998</v>
      </c>
      <c r="J1686">
        <v>38.857320000000001</v>
      </c>
      <c r="K1686">
        <v>4450.1400000000003</v>
      </c>
      <c r="L1686">
        <v>89.581679999999992</v>
      </c>
      <c r="M1686">
        <v>1133.8812</v>
      </c>
      <c r="N1686">
        <v>217.07999999999998</v>
      </c>
      <c r="O1686">
        <v>4.298184</v>
      </c>
      <c r="P1686">
        <v>10.419839999999999</v>
      </c>
    </row>
    <row r="1687" spans="1:16">
      <c r="A1687" s="1" t="s">
        <v>1681</v>
      </c>
      <c r="B1687" s="1" t="s">
        <v>1745</v>
      </c>
      <c r="C1687" s="1" t="s">
        <v>38</v>
      </c>
      <c r="D1687" s="1" t="s">
        <v>1683</v>
      </c>
      <c r="E1687" s="1" t="s">
        <v>1687</v>
      </c>
      <c r="F1687">
        <v>356.73479999999995</v>
      </c>
      <c r="G1687">
        <v>110.78316</v>
      </c>
      <c r="H1687">
        <v>989.16120000000001</v>
      </c>
      <c r="I1687">
        <v>482.64119999999997</v>
      </c>
      <c r="J1687">
        <v>45.442079999999997</v>
      </c>
      <c r="K1687">
        <v>3987.0360000000001</v>
      </c>
      <c r="L1687">
        <v>94.212720000000004</v>
      </c>
      <c r="M1687">
        <v>1238.0796</v>
      </c>
      <c r="N1687">
        <v>300.29400000000004</v>
      </c>
      <c r="O1687">
        <v>5.0724359999999997</v>
      </c>
      <c r="P1687">
        <v>9.6238799999999998</v>
      </c>
    </row>
    <row r="1688" spans="1:16">
      <c r="A1688" s="1" t="s">
        <v>1681</v>
      </c>
      <c r="B1688" s="1" t="s">
        <v>1746</v>
      </c>
      <c r="C1688" s="1" t="s">
        <v>38</v>
      </c>
      <c r="D1688" s="1" t="s">
        <v>1683</v>
      </c>
      <c r="E1688" s="1" t="s">
        <v>1687</v>
      </c>
      <c r="F1688">
        <v>521.71559999999999</v>
      </c>
      <c r="G1688">
        <v>430.54200000000003</v>
      </c>
      <c r="H1688">
        <v>1186.704</v>
      </c>
      <c r="I1688">
        <v>732.28319999999997</v>
      </c>
      <c r="J1688">
        <v>197.5428</v>
      </c>
      <c r="K1688">
        <v>3827.8440000000001</v>
      </c>
      <c r="L1688">
        <v>126.63</v>
      </c>
      <c r="M1688">
        <v>1274.2595999999999</v>
      </c>
      <c r="N1688">
        <v>546.31799999999998</v>
      </c>
      <c r="O1688">
        <v>5.7670919999999999</v>
      </c>
      <c r="P1688">
        <v>8.6180760000000003</v>
      </c>
    </row>
    <row r="1689" spans="1:16">
      <c r="A1689" s="1" t="s">
        <v>1681</v>
      </c>
      <c r="B1689" s="1" t="s">
        <v>1747</v>
      </c>
      <c r="C1689" s="1" t="s">
        <v>38</v>
      </c>
      <c r="D1689" s="1" t="s">
        <v>1683</v>
      </c>
      <c r="E1689" s="1" t="s">
        <v>1687</v>
      </c>
      <c r="F1689">
        <v>487.70640000000003</v>
      </c>
      <c r="G1689">
        <v>326.34359999999998</v>
      </c>
      <c r="H1689">
        <v>1061.5211999999999</v>
      </c>
      <c r="I1689">
        <v>609.27120000000002</v>
      </c>
      <c r="J1689">
        <v>72.938879999999997</v>
      </c>
      <c r="K1689">
        <v>4204.116</v>
      </c>
      <c r="L1689">
        <v>108.61236</v>
      </c>
      <c r="M1689">
        <v>1244.5919999999999</v>
      </c>
      <c r="N1689">
        <v>477.57599999999996</v>
      </c>
      <c r="O1689">
        <v>5.6874960000000003</v>
      </c>
      <c r="P1689">
        <v>9.1897199999999994</v>
      </c>
    </row>
    <row r="1690" spans="1:16">
      <c r="A1690" s="1" t="s">
        <v>1681</v>
      </c>
      <c r="B1690" s="1" t="s">
        <v>1748</v>
      </c>
      <c r="C1690" s="1" t="s">
        <v>38</v>
      </c>
      <c r="D1690" s="1" t="s">
        <v>1683</v>
      </c>
      <c r="E1690" s="1" t="s">
        <v>1687</v>
      </c>
      <c r="F1690">
        <v>530.39880000000005</v>
      </c>
      <c r="G1690">
        <v>638.93880000000001</v>
      </c>
      <c r="H1690">
        <v>2836.5120000000002</v>
      </c>
      <c r="I1690">
        <v>769.91039999999998</v>
      </c>
      <c r="J1690">
        <v>34.226279999999996</v>
      </c>
      <c r="K1690">
        <v>4131.7560000000003</v>
      </c>
      <c r="L1690">
        <v>112.73688</v>
      </c>
      <c r="M1690">
        <v>1243.1448</v>
      </c>
      <c r="N1690">
        <v>462.38039999999995</v>
      </c>
      <c r="O1690">
        <v>5.1447959999999995</v>
      </c>
      <c r="P1690">
        <v>8.3069279999999992</v>
      </c>
    </row>
    <row r="1691" spans="1:16">
      <c r="A1691" s="1" t="s">
        <v>1681</v>
      </c>
      <c r="B1691" s="1" t="s">
        <v>1734</v>
      </c>
      <c r="C1691" s="1" t="s">
        <v>38</v>
      </c>
      <c r="D1691" s="1" t="s">
        <v>1683</v>
      </c>
      <c r="E1691" s="1" t="s">
        <v>1687</v>
      </c>
      <c r="F1691">
        <v>2713.5</v>
      </c>
      <c r="G1691">
        <v>16136.28</v>
      </c>
      <c r="H1691">
        <v>12482.1</v>
      </c>
      <c r="I1691">
        <v>1829.9843999999998</v>
      </c>
      <c r="J1691">
        <v>108.61236</v>
      </c>
      <c r="K1691">
        <v>6411.0959999999995</v>
      </c>
      <c r="L1691">
        <v>91.897199999999998</v>
      </c>
      <c r="M1691">
        <v>5021.7840000000006</v>
      </c>
      <c r="N1691">
        <v>78.438240000000008</v>
      </c>
      <c r="O1691">
        <v>11.953872</v>
      </c>
      <c r="P1691">
        <v>2.2576320000000001</v>
      </c>
    </row>
    <row r="1692" spans="1:16">
      <c r="A1692" s="1" t="s">
        <v>1681</v>
      </c>
      <c r="B1692" s="1" t="s">
        <v>1735</v>
      </c>
      <c r="C1692" s="1" t="s">
        <v>38</v>
      </c>
      <c r="D1692" s="1" t="s">
        <v>1683</v>
      </c>
      <c r="E1692" s="1" t="s">
        <v>1687</v>
      </c>
      <c r="F1692">
        <v>1534.7556</v>
      </c>
      <c r="G1692">
        <v>10730.988000000001</v>
      </c>
      <c r="H1692">
        <v>11903.22</v>
      </c>
      <c r="I1692">
        <v>1992.7944</v>
      </c>
      <c r="J1692">
        <v>165.70439999999999</v>
      </c>
      <c r="K1692">
        <v>5832.2159999999994</v>
      </c>
      <c r="L1692">
        <v>112.80923999999999</v>
      </c>
      <c r="M1692">
        <v>1309.7160000000001</v>
      </c>
      <c r="N1692">
        <v>440.67239999999998</v>
      </c>
      <c r="O1692">
        <v>27.279720000000001</v>
      </c>
      <c r="P1692">
        <v>8.2200959999999998</v>
      </c>
    </row>
    <row r="1693" spans="1:16">
      <c r="A1693" s="1" t="s">
        <v>1681</v>
      </c>
      <c r="B1693" s="1" t="s">
        <v>1736</v>
      </c>
      <c r="C1693" s="1" t="s">
        <v>38</v>
      </c>
      <c r="D1693" s="1" t="s">
        <v>1683</v>
      </c>
      <c r="E1693" s="1" t="s">
        <v>1687</v>
      </c>
      <c r="F1693">
        <v>7359.0119999999997</v>
      </c>
      <c r="G1693">
        <v>12207.132</v>
      </c>
      <c r="H1693">
        <v>6165.0720000000001</v>
      </c>
      <c r="I1693">
        <v>1299.5856000000001</v>
      </c>
      <c r="J1693">
        <v>130.03091999999998</v>
      </c>
      <c r="K1693">
        <v>5050.7280000000001</v>
      </c>
      <c r="L1693">
        <v>99.567359999999994</v>
      </c>
      <c r="M1693">
        <v>1201.8996</v>
      </c>
      <c r="N1693">
        <v>365.41800000000001</v>
      </c>
      <c r="O1693">
        <v>27.858599999999999</v>
      </c>
      <c r="P1693">
        <v>9.262080000000001</v>
      </c>
    </row>
    <row r="1694" spans="1:16">
      <c r="A1694" s="1" t="s">
        <v>1681</v>
      </c>
      <c r="B1694" s="1" t="s">
        <v>1737</v>
      </c>
      <c r="C1694" s="1" t="s">
        <v>38</v>
      </c>
      <c r="D1694" s="1" t="s">
        <v>1683</v>
      </c>
      <c r="E1694" s="1" t="s">
        <v>1687</v>
      </c>
      <c r="F1694">
        <v>5730.9120000000003</v>
      </c>
      <c r="G1694">
        <v>218.52719999999999</v>
      </c>
      <c r="H1694">
        <v>376.27199999999999</v>
      </c>
      <c r="I1694">
        <v>1316.952</v>
      </c>
      <c r="J1694">
        <v>14.616720000000001</v>
      </c>
      <c r="K1694">
        <v>3509.46</v>
      </c>
      <c r="L1694">
        <v>84.227039999999988</v>
      </c>
      <c r="M1694">
        <v>1157.76</v>
      </c>
      <c r="N1694">
        <v>128.80080000000001</v>
      </c>
      <c r="O1694">
        <v>23.878800000000002</v>
      </c>
      <c r="P1694">
        <v>8.9726400000000002</v>
      </c>
    </row>
    <row r="1695" spans="1:16">
      <c r="A1695" s="1" t="s">
        <v>1681</v>
      </c>
      <c r="B1695" s="1" t="s">
        <v>1738</v>
      </c>
      <c r="C1695" s="1" t="s">
        <v>38</v>
      </c>
      <c r="D1695" s="1" t="s">
        <v>1683</v>
      </c>
      <c r="E1695" s="1" t="s">
        <v>1687</v>
      </c>
      <c r="F1695">
        <v>2026.08</v>
      </c>
      <c r="G1695">
        <v>14906.16</v>
      </c>
      <c r="H1695">
        <v>13386.6</v>
      </c>
      <c r="I1695">
        <v>1924.7760000000001</v>
      </c>
      <c r="J1695">
        <v>115.48656000000001</v>
      </c>
      <c r="K1695">
        <v>6005.88</v>
      </c>
      <c r="L1695">
        <v>32.634360000000001</v>
      </c>
      <c r="M1695">
        <v>2445.7679999999996</v>
      </c>
      <c r="N1695">
        <v>86.325479999999999</v>
      </c>
      <c r="O1695">
        <v>11.932164</v>
      </c>
      <c r="P1695">
        <v>2.1780359999999996</v>
      </c>
    </row>
    <row r="1696" spans="1:16">
      <c r="A1696" s="1" t="s">
        <v>1681</v>
      </c>
      <c r="B1696" s="1" t="s">
        <v>1750</v>
      </c>
      <c r="C1696" s="1" t="s">
        <v>38</v>
      </c>
      <c r="D1696" s="1" t="s">
        <v>1683</v>
      </c>
      <c r="E1696" s="1" t="s">
        <v>1687</v>
      </c>
      <c r="F1696">
        <v>4196.88</v>
      </c>
      <c r="G1696">
        <v>9312.732</v>
      </c>
      <c r="H1696">
        <v>7814.88</v>
      </c>
      <c r="I1696">
        <v>521.71559999999999</v>
      </c>
      <c r="J1696">
        <v>837.20519999999999</v>
      </c>
      <c r="K1696">
        <v>2424.06</v>
      </c>
      <c r="L1696">
        <v>118.67039999999999</v>
      </c>
      <c r="M1696">
        <v>2829.2760000000003</v>
      </c>
      <c r="N1696">
        <v>119.39399999999999</v>
      </c>
      <c r="O1696">
        <v>35.818199999999997</v>
      </c>
      <c r="P1696">
        <v>61.288919999999997</v>
      </c>
    </row>
    <row r="1697" spans="1:16">
      <c r="A1697" s="1" t="s">
        <v>1681</v>
      </c>
      <c r="B1697" s="1" t="s">
        <v>5512</v>
      </c>
      <c r="C1697" s="1" t="s">
        <v>38</v>
      </c>
      <c r="D1697" s="1" t="s">
        <v>1683</v>
      </c>
      <c r="E1697" s="1" t="s">
        <v>1687</v>
      </c>
      <c r="F1697">
        <v>7583.3279999999995</v>
      </c>
      <c r="G1697">
        <v>11020.428</v>
      </c>
      <c r="H1697">
        <v>24435.971999999998</v>
      </c>
      <c r="I1697">
        <v>2604.96</v>
      </c>
      <c r="J1697">
        <v>57164.4</v>
      </c>
      <c r="K1697">
        <v>4030.4520000000002</v>
      </c>
      <c r="L1697">
        <v>163.53359999999998</v>
      </c>
      <c r="M1697">
        <v>3031.884</v>
      </c>
      <c r="N1697">
        <v>434.8836</v>
      </c>
      <c r="O1697">
        <v>39.798000000000002</v>
      </c>
      <c r="P1697">
        <v>33.86448</v>
      </c>
    </row>
    <row r="1698" spans="1:16">
      <c r="A1698" s="1" t="s">
        <v>1681</v>
      </c>
      <c r="B1698" s="1" t="s">
        <v>5513</v>
      </c>
      <c r="C1698" s="1" t="s">
        <v>38</v>
      </c>
      <c r="D1698" s="1" t="s">
        <v>1683</v>
      </c>
      <c r="E1698" s="1" t="s">
        <v>1687</v>
      </c>
      <c r="F1698">
        <v>5521.0679999999993</v>
      </c>
      <c r="G1698">
        <v>8422.7039999999997</v>
      </c>
      <c r="H1698">
        <v>23668.956000000002</v>
      </c>
      <c r="I1698">
        <v>1773.5436000000002</v>
      </c>
      <c r="J1698">
        <v>6454.5119999999997</v>
      </c>
      <c r="K1698">
        <v>3234.4920000000002</v>
      </c>
      <c r="L1698">
        <v>125.76168</v>
      </c>
      <c r="M1698">
        <v>2583.2520000000004</v>
      </c>
      <c r="N1698">
        <v>177.28200000000001</v>
      </c>
      <c r="O1698">
        <v>35.890560000000001</v>
      </c>
      <c r="P1698">
        <v>58.539240000000007</v>
      </c>
    </row>
    <row r="1699" spans="1:16">
      <c r="A1699" s="1" t="s">
        <v>1681</v>
      </c>
      <c r="B1699" s="1" t="s">
        <v>1751</v>
      </c>
      <c r="C1699" s="1" t="s">
        <v>38</v>
      </c>
      <c r="D1699" s="1" t="s">
        <v>1683</v>
      </c>
      <c r="E1699" s="1" t="s">
        <v>1687</v>
      </c>
      <c r="F1699">
        <v>5079.6720000000005</v>
      </c>
      <c r="G1699">
        <v>1939.248</v>
      </c>
      <c r="H1699">
        <v>327.79079999999999</v>
      </c>
      <c r="I1699">
        <v>228.44051999999999</v>
      </c>
      <c r="J1699">
        <v>90.739440000000002</v>
      </c>
      <c r="K1699">
        <v>3618</v>
      </c>
      <c r="L1699">
        <v>64.110960000000006</v>
      </c>
      <c r="M1699">
        <v>840.0995999999999</v>
      </c>
      <c r="N1699">
        <v>49.928399999999996</v>
      </c>
      <c r="O1699">
        <v>9.3778559999999995</v>
      </c>
      <c r="P1699">
        <v>1.895832</v>
      </c>
    </row>
    <row r="1700" spans="1:16">
      <c r="A1700" s="1" t="s">
        <v>1681</v>
      </c>
      <c r="B1700" s="1" t="s">
        <v>1752</v>
      </c>
      <c r="C1700" s="1" t="s">
        <v>38</v>
      </c>
      <c r="D1700" s="1" t="s">
        <v>1683</v>
      </c>
      <c r="E1700" s="1" t="s">
        <v>1687</v>
      </c>
      <c r="F1700">
        <v>4479.0839999999998</v>
      </c>
      <c r="G1700">
        <v>1301.7564</v>
      </c>
      <c r="H1700">
        <v>507.24359999999996</v>
      </c>
      <c r="I1700">
        <v>188.57015999999999</v>
      </c>
      <c r="J1700">
        <v>487.70640000000003</v>
      </c>
      <c r="K1700">
        <v>3335.7960000000003</v>
      </c>
      <c r="L1700">
        <v>62.229599999999998</v>
      </c>
      <c r="M1700">
        <v>969.62400000000002</v>
      </c>
      <c r="N1700">
        <v>30.029399999999999</v>
      </c>
      <c r="O1700">
        <v>8.914752</v>
      </c>
      <c r="P1700">
        <v>0.78148800000000007</v>
      </c>
    </row>
    <row r="1701" spans="1:16">
      <c r="A1701" s="1" t="s">
        <v>1681</v>
      </c>
      <c r="B1701" s="1" t="s">
        <v>1753</v>
      </c>
      <c r="C1701" s="1" t="s">
        <v>38</v>
      </c>
      <c r="D1701" s="1" t="s">
        <v>1683</v>
      </c>
      <c r="E1701" s="1" t="s">
        <v>1687</v>
      </c>
      <c r="F1701">
        <v>8133.2640000000001</v>
      </c>
      <c r="G1701">
        <v>5542.7759999999998</v>
      </c>
      <c r="H1701">
        <v>3856.7879999999996</v>
      </c>
      <c r="I1701">
        <v>225.32903999999999</v>
      </c>
      <c r="J1701">
        <v>397.25639999999999</v>
      </c>
      <c r="K1701">
        <v>4551.4439999999995</v>
      </c>
      <c r="L1701">
        <v>52.171559999999999</v>
      </c>
      <c r="M1701">
        <v>687.42</v>
      </c>
      <c r="N1701">
        <v>62.229599999999998</v>
      </c>
      <c r="O1701">
        <v>11.389464</v>
      </c>
      <c r="P1701">
        <v>0.5347404</v>
      </c>
    </row>
    <row r="1702" spans="1:16">
      <c r="A1702" s="1" t="s">
        <v>1681</v>
      </c>
      <c r="B1702" s="1" t="s">
        <v>1754</v>
      </c>
      <c r="C1702" s="1" t="s">
        <v>38</v>
      </c>
      <c r="D1702" s="1" t="s">
        <v>1683</v>
      </c>
      <c r="E1702" s="1" t="s">
        <v>1687</v>
      </c>
      <c r="F1702">
        <v>2358.9360000000001</v>
      </c>
      <c r="G1702">
        <v>9291.0239999999994</v>
      </c>
      <c r="H1702">
        <v>15079.824000000001</v>
      </c>
      <c r="I1702">
        <v>1318.3991999999998</v>
      </c>
      <c r="J1702">
        <v>2959.5239999999999</v>
      </c>
      <c r="K1702">
        <v>4884.3</v>
      </c>
      <c r="L1702">
        <v>98.047799999999995</v>
      </c>
      <c r="M1702">
        <v>1628.1</v>
      </c>
      <c r="N1702">
        <v>212.73839999999998</v>
      </c>
      <c r="O1702">
        <v>35.239319999999999</v>
      </c>
      <c r="P1702">
        <v>10.275119999999999</v>
      </c>
    </row>
    <row r="1703" spans="1:16">
      <c r="A1703" s="1" t="s">
        <v>1681</v>
      </c>
      <c r="B1703" s="1" t="s">
        <v>1755</v>
      </c>
      <c r="C1703" s="1" t="s">
        <v>38</v>
      </c>
      <c r="D1703" s="1" t="s">
        <v>1683</v>
      </c>
      <c r="E1703" s="1" t="s">
        <v>1687</v>
      </c>
      <c r="F1703">
        <v>1910.3039999999999</v>
      </c>
      <c r="G1703">
        <v>9182.4840000000004</v>
      </c>
      <c r="H1703">
        <v>15014.7</v>
      </c>
      <c r="I1703">
        <v>1212.03</v>
      </c>
      <c r="J1703">
        <v>441.39599999999996</v>
      </c>
      <c r="K1703">
        <v>4500.7920000000004</v>
      </c>
      <c r="L1703">
        <v>85.240079999999992</v>
      </c>
      <c r="M1703">
        <v>1482.6563999999998</v>
      </c>
      <c r="N1703">
        <v>130.9716</v>
      </c>
      <c r="O1703">
        <v>31.548960000000001</v>
      </c>
      <c r="P1703">
        <v>9.8409600000000008</v>
      </c>
    </row>
    <row r="1704" spans="1:16">
      <c r="A1704" s="1" t="s">
        <v>1681</v>
      </c>
      <c r="B1704" s="1" t="s">
        <v>1756</v>
      </c>
      <c r="C1704" s="1" t="s">
        <v>38</v>
      </c>
      <c r="D1704" s="1" t="s">
        <v>1683</v>
      </c>
      <c r="E1704" s="1" t="s">
        <v>1687</v>
      </c>
      <c r="F1704">
        <v>2923.3440000000001</v>
      </c>
      <c r="G1704">
        <v>7778.7</v>
      </c>
      <c r="H1704">
        <v>12691.944</v>
      </c>
      <c r="I1704">
        <v>1208.412</v>
      </c>
      <c r="J1704">
        <v>311.14799999999997</v>
      </c>
      <c r="K1704">
        <v>4327.1279999999997</v>
      </c>
      <c r="L1704">
        <v>173.66399999999999</v>
      </c>
      <c r="M1704">
        <v>2018.8439999999998</v>
      </c>
      <c r="N1704">
        <v>105.6456</v>
      </c>
      <c r="O1704">
        <v>29.595239999999997</v>
      </c>
      <c r="P1704">
        <v>7.8148799999999996</v>
      </c>
    </row>
    <row r="1705" spans="1:16">
      <c r="A1705" s="1" t="s">
        <v>1681</v>
      </c>
      <c r="B1705" s="1" t="s">
        <v>1757</v>
      </c>
      <c r="C1705" s="1" t="s">
        <v>38</v>
      </c>
      <c r="D1705" s="1" t="s">
        <v>1683</v>
      </c>
      <c r="E1705" s="1" t="s">
        <v>1687</v>
      </c>
      <c r="F1705">
        <v>2366.172</v>
      </c>
      <c r="G1705">
        <v>4920.4799999999996</v>
      </c>
      <c r="H1705">
        <v>3618</v>
      </c>
      <c r="I1705">
        <v>340.09199999999998</v>
      </c>
      <c r="J1705">
        <v>218.52719999999999</v>
      </c>
      <c r="K1705">
        <v>2879.9279999999999</v>
      </c>
      <c r="L1705">
        <v>79.306560000000005</v>
      </c>
      <c r="M1705">
        <v>1910.3039999999999</v>
      </c>
      <c r="N1705">
        <v>105.6456</v>
      </c>
      <c r="O1705">
        <v>23.37228</v>
      </c>
      <c r="P1705">
        <v>8.4516480000000005</v>
      </c>
    </row>
    <row r="1706" spans="1:16">
      <c r="A1706" s="1" t="s">
        <v>1681</v>
      </c>
      <c r="B1706" s="1" t="s">
        <v>1758</v>
      </c>
      <c r="C1706" s="1" t="s">
        <v>38</v>
      </c>
      <c r="D1706" s="1" t="s">
        <v>1683</v>
      </c>
      <c r="E1706" s="1" t="s">
        <v>1687</v>
      </c>
      <c r="F1706">
        <v>2539.8360000000002</v>
      </c>
      <c r="G1706">
        <v>7822.1159999999991</v>
      </c>
      <c r="H1706">
        <v>9457.4519999999993</v>
      </c>
      <c r="I1706">
        <v>624.46680000000003</v>
      </c>
      <c r="J1706">
        <v>379.89</v>
      </c>
      <c r="K1706">
        <v>4095.576</v>
      </c>
      <c r="L1706">
        <v>86.831999999999994</v>
      </c>
      <c r="M1706">
        <v>2026.08</v>
      </c>
      <c r="N1706">
        <v>183.7944</v>
      </c>
      <c r="O1706">
        <v>25.832519999999999</v>
      </c>
      <c r="P1706">
        <v>11.07108</v>
      </c>
    </row>
    <row r="1707" spans="1:16">
      <c r="A1707" s="1" t="s">
        <v>1681</v>
      </c>
      <c r="B1707" s="1" t="s">
        <v>1759</v>
      </c>
      <c r="C1707" s="1" t="s">
        <v>38</v>
      </c>
      <c r="D1707" s="1" t="s">
        <v>1683</v>
      </c>
      <c r="E1707" s="1" t="s">
        <v>1687</v>
      </c>
      <c r="F1707">
        <v>1541.268</v>
      </c>
      <c r="G1707">
        <v>5658.5520000000006</v>
      </c>
      <c r="H1707">
        <v>4819.1759999999995</v>
      </c>
      <c r="I1707">
        <v>230.10480000000001</v>
      </c>
      <c r="J1707">
        <v>225.03959999999998</v>
      </c>
      <c r="K1707">
        <v>2865.4560000000001</v>
      </c>
      <c r="L1707">
        <v>74.964960000000005</v>
      </c>
      <c r="M1707">
        <v>1519.56</v>
      </c>
      <c r="N1707">
        <v>78.872399999999999</v>
      </c>
      <c r="O1707">
        <v>25.977239999999998</v>
      </c>
      <c r="P1707">
        <v>7.4530799999999999</v>
      </c>
    </row>
    <row r="1708" spans="1:16">
      <c r="A1708" s="1" t="s">
        <v>1760</v>
      </c>
      <c r="B1708" s="1" t="s">
        <v>1761</v>
      </c>
      <c r="C1708" s="1" t="s">
        <v>18</v>
      </c>
      <c r="D1708" s="1" t="s">
        <v>44</v>
      </c>
      <c r="E1708" s="1" t="s">
        <v>1762</v>
      </c>
      <c r="F1708">
        <v>2692.39</v>
      </c>
      <c r="G1708">
        <v>3577</v>
      </c>
      <c r="H1708">
        <v>149.47</v>
      </c>
      <c r="I1708">
        <v>45.1</v>
      </c>
      <c r="J1708">
        <v>0.71</v>
      </c>
      <c r="K1708">
        <v>531.48</v>
      </c>
      <c r="L1708">
        <v>29.8</v>
      </c>
      <c r="M1708">
        <v>26.88</v>
      </c>
      <c r="N1708">
        <v>89.61</v>
      </c>
      <c r="O1708">
        <v>9.2200000000000006</v>
      </c>
      <c r="P1708">
        <v>12.32</v>
      </c>
    </row>
    <row r="1709" spans="1:16">
      <c r="A1709" s="1" t="s">
        <v>1760</v>
      </c>
      <c r="B1709" s="1" t="s">
        <v>1763</v>
      </c>
      <c r="C1709" s="1" t="s">
        <v>1764</v>
      </c>
      <c r="D1709" s="1" t="s">
        <v>1765</v>
      </c>
      <c r="E1709" s="1" t="s">
        <v>1766</v>
      </c>
      <c r="F1709">
        <v>2271.1999999999998</v>
      </c>
      <c r="G1709">
        <v>1615.62</v>
      </c>
      <c r="H1709">
        <v>149.6</v>
      </c>
      <c r="I1709">
        <v>43.45</v>
      </c>
      <c r="J1709">
        <v>0.92</v>
      </c>
      <c r="K1709">
        <v>414.36</v>
      </c>
      <c r="L1709">
        <v>27.51</v>
      </c>
      <c r="M1709">
        <v>26.91</v>
      </c>
      <c r="N1709">
        <v>61.01</v>
      </c>
      <c r="O1709">
        <v>6.85</v>
      </c>
      <c r="P1709">
        <v>10.85</v>
      </c>
    </row>
    <row r="1710" spans="1:16">
      <c r="A1710" s="1" t="s">
        <v>1760</v>
      </c>
      <c r="B1710" s="1" t="s">
        <v>1767</v>
      </c>
      <c r="C1710" s="1" t="s">
        <v>18</v>
      </c>
      <c r="D1710" s="1" t="s">
        <v>44</v>
      </c>
      <c r="E1710" s="1" t="s">
        <v>1766</v>
      </c>
      <c r="F1710">
        <v>3359.22</v>
      </c>
      <c r="G1710">
        <v>2405.71</v>
      </c>
      <c r="H1710">
        <v>148.5</v>
      </c>
      <c r="I1710">
        <v>45.21</v>
      </c>
      <c r="J1710">
        <v>3.79</v>
      </c>
      <c r="K1710">
        <v>510.07</v>
      </c>
      <c r="L1710">
        <v>27.76</v>
      </c>
      <c r="M1710">
        <v>25.28</v>
      </c>
      <c r="N1710">
        <v>74.87</v>
      </c>
      <c r="O1710">
        <v>8.9700000000000006</v>
      </c>
      <c r="P1710">
        <v>13.07</v>
      </c>
    </row>
    <row r="1711" spans="1:16">
      <c r="A1711" s="1" t="s">
        <v>1760</v>
      </c>
      <c r="B1711" s="1" t="s">
        <v>1768</v>
      </c>
      <c r="C1711" s="1" t="s">
        <v>1764</v>
      </c>
      <c r="D1711" s="1" t="s">
        <v>1765</v>
      </c>
      <c r="E1711" s="1" t="s">
        <v>1766</v>
      </c>
      <c r="F1711">
        <v>2443.29</v>
      </c>
      <c r="G1711">
        <v>2468.5300000000002</v>
      </c>
      <c r="H1711">
        <v>169.54</v>
      </c>
      <c r="I1711">
        <v>47.98</v>
      </c>
      <c r="J1711">
        <v>1.63</v>
      </c>
      <c r="K1711">
        <v>648.95000000000005</v>
      </c>
      <c r="L1711">
        <v>30.55</v>
      </c>
      <c r="M1711">
        <v>25.47</v>
      </c>
      <c r="N1711">
        <v>71.900000000000006</v>
      </c>
      <c r="O1711">
        <v>8.19</v>
      </c>
      <c r="P1711">
        <v>11.78</v>
      </c>
    </row>
    <row r="1712" spans="1:16">
      <c r="A1712" s="1" t="s">
        <v>1760</v>
      </c>
      <c r="B1712" s="1" t="s">
        <v>1769</v>
      </c>
      <c r="C1712" s="1" t="s">
        <v>18</v>
      </c>
      <c r="D1712" s="1" t="s">
        <v>44</v>
      </c>
      <c r="E1712" s="1" t="s">
        <v>1766</v>
      </c>
      <c r="F1712">
        <v>2882.86</v>
      </c>
      <c r="G1712">
        <v>3268.65</v>
      </c>
      <c r="H1712">
        <v>158.22999999999999</v>
      </c>
      <c r="I1712">
        <v>46.86</v>
      </c>
      <c r="J1712">
        <v>4.09</v>
      </c>
      <c r="K1712">
        <v>526.08000000000004</v>
      </c>
      <c r="L1712">
        <v>29.44</v>
      </c>
      <c r="M1712">
        <v>23.62</v>
      </c>
      <c r="N1712">
        <v>84.28</v>
      </c>
      <c r="O1712">
        <v>8.81</v>
      </c>
      <c r="P1712">
        <v>12.18</v>
      </c>
    </row>
    <row r="1713" spans="1:16">
      <c r="A1713" s="1" t="s">
        <v>1760</v>
      </c>
      <c r="B1713" s="1" t="s">
        <v>1770</v>
      </c>
      <c r="C1713" s="1" t="s">
        <v>1764</v>
      </c>
      <c r="D1713" s="1" t="s">
        <v>1765</v>
      </c>
      <c r="E1713" s="1" t="s">
        <v>1766</v>
      </c>
      <c r="F1713">
        <v>2323.61</v>
      </c>
      <c r="G1713">
        <v>1919.89</v>
      </c>
      <c r="H1713">
        <v>133.91</v>
      </c>
      <c r="I1713">
        <v>45.47</v>
      </c>
      <c r="J1713">
        <v>1.79</v>
      </c>
      <c r="K1713">
        <v>482.09</v>
      </c>
      <c r="L1713">
        <v>32.92</v>
      </c>
      <c r="M1713">
        <v>27.21</v>
      </c>
      <c r="N1713">
        <v>74.84</v>
      </c>
      <c r="O1713">
        <v>10.01</v>
      </c>
      <c r="P1713">
        <v>12.26</v>
      </c>
    </row>
    <row r="1714" spans="1:16">
      <c r="A1714" s="1" t="s">
        <v>1760</v>
      </c>
      <c r="B1714" s="1" t="s">
        <v>1771</v>
      </c>
      <c r="C1714" s="1" t="s">
        <v>18</v>
      </c>
      <c r="D1714" s="1" t="s">
        <v>44</v>
      </c>
      <c r="E1714" s="1" t="s">
        <v>1766</v>
      </c>
      <c r="F1714">
        <v>2050.5300000000002</v>
      </c>
      <c r="G1714">
        <v>2494.33</v>
      </c>
      <c r="H1714">
        <v>143.04</v>
      </c>
      <c r="I1714">
        <v>45.89</v>
      </c>
      <c r="J1714">
        <v>0.79</v>
      </c>
      <c r="K1714">
        <v>475.97</v>
      </c>
      <c r="L1714">
        <v>27.06</v>
      </c>
      <c r="M1714">
        <v>24.49</v>
      </c>
      <c r="N1714">
        <v>57.04</v>
      </c>
      <c r="O1714">
        <v>7.93</v>
      </c>
      <c r="P1714">
        <v>10.72</v>
      </c>
    </row>
    <row r="1715" spans="1:16">
      <c r="A1715" s="1" t="s">
        <v>1760</v>
      </c>
      <c r="B1715" s="1" t="s">
        <v>1772</v>
      </c>
      <c r="C1715" s="1" t="s">
        <v>1764</v>
      </c>
      <c r="D1715" s="1" t="s">
        <v>1765</v>
      </c>
      <c r="E1715" s="1" t="s">
        <v>1766</v>
      </c>
      <c r="F1715">
        <v>2394.36</v>
      </c>
      <c r="G1715">
        <v>2219.9</v>
      </c>
      <c r="H1715">
        <v>152.96</v>
      </c>
      <c r="I1715">
        <v>48.87</v>
      </c>
      <c r="J1715">
        <v>4.79</v>
      </c>
      <c r="K1715">
        <v>484.41</v>
      </c>
      <c r="L1715">
        <v>28.5</v>
      </c>
      <c r="M1715">
        <v>26.23</v>
      </c>
      <c r="N1715">
        <v>69.099999999999994</v>
      </c>
      <c r="O1715">
        <v>7.66</v>
      </c>
      <c r="P1715">
        <v>14.48</v>
      </c>
    </row>
    <row r="1716" spans="1:16">
      <c r="A1716" s="1" t="s">
        <v>1760</v>
      </c>
      <c r="B1716" s="1" t="s">
        <v>1773</v>
      </c>
      <c r="C1716" s="1" t="s">
        <v>18</v>
      </c>
      <c r="D1716" s="1" t="s">
        <v>44</v>
      </c>
      <c r="E1716" s="1" t="s">
        <v>1766</v>
      </c>
      <c r="F1716">
        <v>2139.88</v>
      </c>
      <c r="G1716">
        <v>1500.57</v>
      </c>
      <c r="H1716">
        <v>154.56</v>
      </c>
      <c r="I1716">
        <v>52.66</v>
      </c>
      <c r="J1716">
        <v>3.58</v>
      </c>
      <c r="K1716">
        <v>491.85</v>
      </c>
      <c r="L1716">
        <v>28.68</v>
      </c>
      <c r="M1716">
        <v>26.4</v>
      </c>
      <c r="N1716">
        <v>76.58</v>
      </c>
      <c r="O1716">
        <v>7.82</v>
      </c>
      <c r="P1716">
        <v>13.5</v>
      </c>
    </row>
    <row r="1717" spans="1:16">
      <c r="A1717" s="1" t="s">
        <v>1760</v>
      </c>
      <c r="B1717" s="1" t="s">
        <v>1774</v>
      </c>
      <c r="C1717" s="1" t="s">
        <v>1764</v>
      </c>
      <c r="D1717" s="1" t="s">
        <v>1765</v>
      </c>
      <c r="E1717" s="1" t="s">
        <v>1766</v>
      </c>
      <c r="F1717">
        <v>2535.86</v>
      </c>
      <c r="G1717">
        <v>2675.9</v>
      </c>
      <c r="H1717">
        <v>150.02000000000001</v>
      </c>
      <c r="I1717">
        <v>47.07</v>
      </c>
      <c r="J1717">
        <v>1.1000000000000001</v>
      </c>
      <c r="K1717">
        <v>505.4</v>
      </c>
      <c r="L1717">
        <v>29.66</v>
      </c>
      <c r="M1717">
        <v>26.43</v>
      </c>
      <c r="N1717">
        <v>70.77</v>
      </c>
      <c r="O1717">
        <v>8.98</v>
      </c>
      <c r="P1717">
        <v>12.6</v>
      </c>
    </row>
    <row r="1718" spans="1:16">
      <c r="A1718" s="1" t="s">
        <v>1760</v>
      </c>
      <c r="B1718" s="1" t="s">
        <v>1775</v>
      </c>
      <c r="C1718" s="1" t="s">
        <v>18</v>
      </c>
      <c r="D1718" s="1" t="s">
        <v>44</v>
      </c>
      <c r="E1718" s="1" t="s">
        <v>1766</v>
      </c>
      <c r="F1718">
        <v>2542.6999999999998</v>
      </c>
      <c r="G1718">
        <v>3225.89</v>
      </c>
      <c r="H1718">
        <v>161.82</v>
      </c>
      <c r="I1718">
        <v>47.89</v>
      </c>
      <c r="J1718">
        <v>1.51</v>
      </c>
      <c r="K1718">
        <v>569.32000000000005</v>
      </c>
      <c r="L1718">
        <v>29.3</v>
      </c>
      <c r="M1718">
        <v>25.52</v>
      </c>
      <c r="N1718">
        <v>73.319999999999993</v>
      </c>
      <c r="O1718">
        <v>9.9700000000000006</v>
      </c>
      <c r="P1718">
        <v>12.46</v>
      </c>
    </row>
    <row r="1719" spans="1:16">
      <c r="A1719" s="1" t="s">
        <v>1760</v>
      </c>
      <c r="B1719" s="1" t="s">
        <v>1776</v>
      </c>
      <c r="C1719" s="1" t="s">
        <v>1764</v>
      </c>
      <c r="D1719" s="1" t="s">
        <v>1765</v>
      </c>
      <c r="E1719" s="1" t="s">
        <v>1766</v>
      </c>
      <c r="F1719">
        <v>2234.0100000000002</v>
      </c>
      <c r="G1719">
        <v>2878.54</v>
      </c>
      <c r="H1719">
        <v>139.65</v>
      </c>
      <c r="I1719">
        <v>39.61</v>
      </c>
      <c r="J1719">
        <v>0.71</v>
      </c>
      <c r="K1719">
        <v>484.98</v>
      </c>
      <c r="L1719">
        <v>30.88</v>
      </c>
      <c r="M1719">
        <v>23.7</v>
      </c>
      <c r="N1719">
        <v>63.14</v>
      </c>
      <c r="O1719">
        <v>8.5</v>
      </c>
      <c r="P1719">
        <v>11.46</v>
      </c>
    </row>
    <row r="1720" spans="1:16">
      <c r="A1720" s="1" t="s">
        <v>1760</v>
      </c>
      <c r="B1720" s="1" t="s">
        <v>1777</v>
      </c>
      <c r="C1720" s="1" t="s">
        <v>18</v>
      </c>
      <c r="D1720" s="1" t="s">
        <v>44</v>
      </c>
      <c r="E1720" s="1" t="s">
        <v>1766</v>
      </c>
      <c r="F1720">
        <v>1895.07</v>
      </c>
      <c r="G1720">
        <v>1451.8</v>
      </c>
      <c r="H1720">
        <v>140.76</v>
      </c>
      <c r="I1720">
        <v>43.3</v>
      </c>
      <c r="J1720">
        <v>1.58</v>
      </c>
      <c r="K1720">
        <v>459.48</v>
      </c>
      <c r="L1720">
        <v>29.92</v>
      </c>
      <c r="M1720">
        <v>25.23</v>
      </c>
      <c r="N1720">
        <v>61.8</v>
      </c>
      <c r="O1720">
        <v>8.52</v>
      </c>
      <c r="P1720">
        <v>12.83</v>
      </c>
    </row>
    <row r="1721" spans="1:16">
      <c r="A1721" s="1" t="s">
        <v>1760</v>
      </c>
      <c r="B1721" s="1" t="s">
        <v>1778</v>
      </c>
      <c r="C1721" s="1" t="s">
        <v>1764</v>
      </c>
      <c r="D1721" s="1" t="s">
        <v>1765</v>
      </c>
      <c r="E1721" s="1" t="s">
        <v>1766</v>
      </c>
      <c r="F1721">
        <v>1916.11</v>
      </c>
      <c r="G1721">
        <v>1651.43</v>
      </c>
      <c r="H1721">
        <v>119.28</v>
      </c>
      <c r="I1721">
        <v>30.74</v>
      </c>
      <c r="J1721">
        <v>0.98</v>
      </c>
      <c r="K1721">
        <v>360.93</v>
      </c>
      <c r="L1721">
        <v>20.04</v>
      </c>
      <c r="M1721">
        <v>16.75</v>
      </c>
      <c r="N1721">
        <v>56.83</v>
      </c>
      <c r="O1721">
        <v>5.57</v>
      </c>
      <c r="P1721">
        <v>8.41</v>
      </c>
    </row>
    <row r="1722" spans="1:16">
      <c r="A1722" s="1" t="s">
        <v>1760</v>
      </c>
      <c r="B1722" s="1" t="s">
        <v>1779</v>
      </c>
      <c r="C1722" s="1" t="s">
        <v>18</v>
      </c>
      <c r="D1722" s="1" t="s">
        <v>44</v>
      </c>
      <c r="E1722" s="1" t="s">
        <v>1766</v>
      </c>
      <c r="F1722">
        <v>2421.3000000000002</v>
      </c>
      <c r="G1722">
        <v>2761.96</v>
      </c>
      <c r="H1722">
        <v>141.5</v>
      </c>
      <c r="I1722">
        <v>41.94</v>
      </c>
      <c r="J1722">
        <v>1.07</v>
      </c>
      <c r="K1722">
        <v>524.5</v>
      </c>
      <c r="L1722">
        <v>28.74</v>
      </c>
      <c r="M1722">
        <v>23.23</v>
      </c>
      <c r="N1722">
        <v>73.680000000000007</v>
      </c>
      <c r="O1722">
        <v>7.91</v>
      </c>
      <c r="P1722">
        <v>12.03</v>
      </c>
    </row>
    <row r="1723" spans="1:16">
      <c r="A1723" s="1" t="s">
        <v>1760</v>
      </c>
      <c r="B1723" s="1" t="s">
        <v>1780</v>
      </c>
      <c r="C1723" s="1" t="s">
        <v>1764</v>
      </c>
      <c r="D1723" s="1" t="s">
        <v>1765</v>
      </c>
      <c r="E1723" s="1" t="s">
        <v>1766</v>
      </c>
      <c r="F1723">
        <v>2044.64</v>
      </c>
      <c r="G1723">
        <v>2527.71</v>
      </c>
      <c r="H1723">
        <v>141.38</v>
      </c>
      <c r="I1723">
        <v>40.6</v>
      </c>
      <c r="J1723">
        <v>2.5099999999999998</v>
      </c>
      <c r="K1723">
        <v>493.67</v>
      </c>
      <c r="L1723">
        <v>26.47</v>
      </c>
      <c r="M1723">
        <v>23.38</v>
      </c>
      <c r="N1723">
        <v>64.900000000000006</v>
      </c>
      <c r="O1723">
        <v>8.0399999999999991</v>
      </c>
      <c r="P1723">
        <v>10.91</v>
      </c>
    </row>
    <row r="1724" spans="1:16">
      <c r="A1724" s="1" t="s">
        <v>1760</v>
      </c>
      <c r="B1724" s="1" t="s">
        <v>1781</v>
      </c>
      <c r="C1724" s="1" t="s">
        <v>18</v>
      </c>
      <c r="D1724" s="1" t="s">
        <v>44</v>
      </c>
      <c r="E1724" s="1" t="s">
        <v>1766</v>
      </c>
      <c r="F1724">
        <v>2194.44</v>
      </c>
      <c r="G1724">
        <v>3094.96</v>
      </c>
      <c r="H1724">
        <v>150.41</v>
      </c>
      <c r="I1724">
        <v>43.74</v>
      </c>
      <c r="J1724">
        <v>1.47</v>
      </c>
      <c r="K1724">
        <v>518.92999999999995</v>
      </c>
      <c r="L1724">
        <v>30.24</v>
      </c>
      <c r="M1724">
        <v>23.68</v>
      </c>
      <c r="N1724">
        <v>79.97</v>
      </c>
      <c r="O1724">
        <v>8.39</v>
      </c>
      <c r="P1724">
        <v>11.91</v>
      </c>
    </row>
    <row r="1725" spans="1:16">
      <c r="A1725" s="1" t="s">
        <v>1760</v>
      </c>
      <c r="B1725" s="1" t="s">
        <v>1782</v>
      </c>
      <c r="C1725" s="1" t="s">
        <v>1764</v>
      </c>
      <c r="D1725" s="1" t="s">
        <v>1765</v>
      </c>
      <c r="E1725" s="1" t="s">
        <v>1766</v>
      </c>
      <c r="F1725">
        <v>2909.27</v>
      </c>
      <c r="G1725">
        <v>3921.39</v>
      </c>
      <c r="H1725">
        <v>147.19</v>
      </c>
      <c r="I1725">
        <v>46.76</v>
      </c>
      <c r="J1725">
        <v>0.81</v>
      </c>
      <c r="K1725">
        <v>549.59</v>
      </c>
      <c r="L1725">
        <v>30.27</v>
      </c>
      <c r="M1725">
        <v>29.34</v>
      </c>
      <c r="N1725">
        <v>72.5</v>
      </c>
      <c r="O1725">
        <v>8.7899999999999991</v>
      </c>
      <c r="P1725">
        <v>13.41</v>
      </c>
    </row>
    <row r="1726" spans="1:16">
      <c r="A1726" s="1" t="s">
        <v>1760</v>
      </c>
      <c r="B1726" s="1" t="s">
        <v>1783</v>
      </c>
      <c r="C1726" s="1" t="s">
        <v>18</v>
      </c>
      <c r="D1726" s="1" t="s">
        <v>44</v>
      </c>
      <c r="E1726" s="1" t="s">
        <v>1766</v>
      </c>
      <c r="F1726">
        <v>2526.91</v>
      </c>
      <c r="G1726">
        <v>2984.6</v>
      </c>
      <c r="H1726">
        <v>142.13999999999999</v>
      </c>
      <c r="I1726">
        <v>42.81</v>
      </c>
      <c r="J1726">
        <v>1.24</v>
      </c>
      <c r="K1726">
        <v>520.4</v>
      </c>
      <c r="L1726">
        <v>28.82</v>
      </c>
      <c r="M1726">
        <v>22.77</v>
      </c>
      <c r="N1726">
        <v>61.17</v>
      </c>
      <c r="O1726">
        <v>8.16</v>
      </c>
      <c r="P1726">
        <v>12.24</v>
      </c>
    </row>
    <row r="1727" spans="1:16">
      <c r="A1727" s="1" t="s">
        <v>1760</v>
      </c>
      <c r="B1727" s="1" t="s">
        <v>1784</v>
      </c>
      <c r="C1727" s="1" t="s">
        <v>1764</v>
      </c>
      <c r="D1727" s="1" t="s">
        <v>1765</v>
      </c>
      <c r="E1727" s="1" t="s">
        <v>1766</v>
      </c>
      <c r="F1727">
        <v>2581.04</v>
      </c>
      <c r="G1727">
        <v>3169.95</v>
      </c>
      <c r="H1727">
        <v>128.19</v>
      </c>
      <c r="I1727">
        <v>41.12</v>
      </c>
      <c r="J1727">
        <v>1.01</v>
      </c>
      <c r="K1727">
        <v>497.28</v>
      </c>
      <c r="L1727">
        <v>28.16</v>
      </c>
      <c r="M1727">
        <v>21.54</v>
      </c>
      <c r="N1727">
        <v>78.489999999999995</v>
      </c>
      <c r="O1727">
        <v>8.15</v>
      </c>
      <c r="P1727">
        <v>10.95</v>
      </c>
    </row>
    <row r="1728" spans="1:16">
      <c r="A1728" s="1" t="s">
        <v>1760</v>
      </c>
      <c r="B1728" s="1" t="s">
        <v>1785</v>
      </c>
      <c r="C1728" s="1" t="s">
        <v>18</v>
      </c>
      <c r="D1728" s="1" t="s">
        <v>44</v>
      </c>
      <c r="E1728" s="1" t="s">
        <v>1766</v>
      </c>
      <c r="F1728">
        <v>3153.21</v>
      </c>
      <c r="G1728">
        <v>2920.75</v>
      </c>
      <c r="H1728">
        <v>156.87</v>
      </c>
      <c r="I1728">
        <v>51.07</v>
      </c>
      <c r="J1728">
        <v>0.91</v>
      </c>
      <c r="K1728">
        <v>534.01</v>
      </c>
      <c r="L1728">
        <v>31.17</v>
      </c>
      <c r="M1728">
        <v>25.16</v>
      </c>
      <c r="N1728">
        <v>59.43</v>
      </c>
      <c r="O1728">
        <v>8.86</v>
      </c>
      <c r="P1728">
        <v>12.69</v>
      </c>
    </row>
    <row r="1729" spans="1:16">
      <c r="A1729" s="1" t="s">
        <v>1760</v>
      </c>
      <c r="B1729" s="1" t="s">
        <v>1786</v>
      </c>
      <c r="C1729" s="1" t="s">
        <v>1764</v>
      </c>
      <c r="D1729" s="1" t="s">
        <v>1765</v>
      </c>
      <c r="E1729" s="1" t="s">
        <v>1766</v>
      </c>
      <c r="F1729">
        <v>2554.5300000000002</v>
      </c>
      <c r="G1729">
        <v>2081.5300000000002</v>
      </c>
      <c r="H1729">
        <v>138.46</v>
      </c>
      <c r="I1729">
        <v>41.77</v>
      </c>
      <c r="J1729">
        <v>2.7</v>
      </c>
      <c r="K1729">
        <v>476.18</v>
      </c>
      <c r="L1729">
        <v>28.83</v>
      </c>
      <c r="M1729">
        <v>23.14</v>
      </c>
      <c r="N1729">
        <v>53.06</v>
      </c>
      <c r="O1729">
        <v>7.81</v>
      </c>
      <c r="P1729">
        <v>11.5</v>
      </c>
    </row>
    <row r="1730" spans="1:16">
      <c r="A1730" s="1" t="s">
        <v>1760</v>
      </c>
      <c r="B1730" s="1" t="s">
        <v>1787</v>
      </c>
      <c r="C1730" s="1" t="s">
        <v>18</v>
      </c>
      <c r="D1730" s="1" t="s">
        <v>44</v>
      </c>
      <c r="E1730" s="1" t="s">
        <v>1766</v>
      </c>
      <c r="F1730">
        <v>2556.6</v>
      </c>
      <c r="G1730">
        <v>2272.13</v>
      </c>
      <c r="H1730">
        <v>132.57</v>
      </c>
      <c r="I1730">
        <v>43.14</v>
      </c>
      <c r="J1730">
        <v>1.86</v>
      </c>
      <c r="K1730">
        <v>474.24</v>
      </c>
      <c r="L1730">
        <v>27.88</v>
      </c>
      <c r="M1730">
        <v>23.42</v>
      </c>
      <c r="N1730">
        <v>48.07</v>
      </c>
      <c r="O1730">
        <v>7.6</v>
      </c>
      <c r="P1730">
        <v>11.76</v>
      </c>
    </row>
    <row r="1731" spans="1:16">
      <c r="A1731" s="1" t="s">
        <v>1760</v>
      </c>
      <c r="B1731" s="1" t="s">
        <v>1788</v>
      </c>
      <c r="C1731" s="1" t="s">
        <v>1764</v>
      </c>
      <c r="D1731" s="1" t="s">
        <v>1765</v>
      </c>
      <c r="E1731" s="1" t="s">
        <v>1766</v>
      </c>
      <c r="F1731">
        <v>3616.13</v>
      </c>
      <c r="G1731">
        <v>2423.7800000000002</v>
      </c>
      <c r="H1731">
        <v>139.08000000000001</v>
      </c>
      <c r="I1731">
        <v>41.86</v>
      </c>
      <c r="J1731">
        <v>0.75</v>
      </c>
      <c r="K1731">
        <v>490.93</v>
      </c>
      <c r="L1731">
        <v>28.84</v>
      </c>
      <c r="M1731">
        <v>21.59</v>
      </c>
      <c r="N1731">
        <v>50.43</v>
      </c>
      <c r="O1731">
        <v>8.15</v>
      </c>
      <c r="P1731">
        <v>11.73</v>
      </c>
    </row>
    <row r="1732" spans="1:16">
      <c r="A1732" s="1" t="s">
        <v>1760</v>
      </c>
      <c r="B1732" s="1" t="s">
        <v>1789</v>
      </c>
      <c r="C1732" s="1" t="s">
        <v>18</v>
      </c>
      <c r="D1732" s="1" t="s">
        <v>44</v>
      </c>
      <c r="E1732" s="1" t="s">
        <v>1766</v>
      </c>
      <c r="F1732">
        <v>4915.1099999999997</v>
      </c>
      <c r="G1732">
        <v>2326.58</v>
      </c>
      <c r="H1732">
        <v>146.25</v>
      </c>
      <c r="I1732">
        <v>44.12</v>
      </c>
      <c r="J1732">
        <v>1.44</v>
      </c>
      <c r="K1732">
        <v>509.42</v>
      </c>
      <c r="L1732">
        <v>30.94</v>
      </c>
      <c r="M1732">
        <v>24.19</v>
      </c>
      <c r="N1732">
        <v>46.69</v>
      </c>
      <c r="O1732">
        <v>8.89</v>
      </c>
      <c r="P1732">
        <v>12.08</v>
      </c>
    </row>
    <row r="1733" spans="1:16">
      <c r="A1733" s="1" t="s">
        <v>1760</v>
      </c>
      <c r="B1733" s="1" t="s">
        <v>1790</v>
      </c>
      <c r="C1733" s="1" t="s">
        <v>1764</v>
      </c>
      <c r="D1733" s="1" t="s">
        <v>1765</v>
      </c>
      <c r="E1733" s="1" t="s">
        <v>1766</v>
      </c>
      <c r="F1733">
        <v>3555.78</v>
      </c>
      <c r="G1733">
        <v>3956.65</v>
      </c>
      <c r="H1733">
        <v>147.03</v>
      </c>
      <c r="I1733">
        <v>43.23</v>
      </c>
      <c r="J1733">
        <v>7.95</v>
      </c>
      <c r="K1733">
        <v>544.66999999999996</v>
      </c>
      <c r="L1733">
        <v>30.68</v>
      </c>
      <c r="M1733">
        <v>28.36</v>
      </c>
      <c r="N1733">
        <v>86.02</v>
      </c>
      <c r="O1733">
        <v>8.9499999999999993</v>
      </c>
      <c r="P1733">
        <v>12.82</v>
      </c>
    </row>
    <row r="1734" spans="1:16">
      <c r="A1734" s="1" t="s">
        <v>1760</v>
      </c>
      <c r="B1734" s="1" t="s">
        <v>1791</v>
      </c>
      <c r="C1734" s="1" t="s">
        <v>18</v>
      </c>
      <c r="D1734" s="1" t="s">
        <v>44</v>
      </c>
      <c r="E1734" s="1" t="s">
        <v>1766</v>
      </c>
      <c r="F1734">
        <v>2622.03</v>
      </c>
      <c r="G1734">
        <v>2744.69</v>
      </c>
      <c r="H1734">
        <v>136.75</v>
      </c>
      <c r="I1734">
        <v>41.09</v>
      </c>
      <c r="J1734">
        <v>1.8</v>
      </c>
      <c r="K1734">
        <v>476.46</v>
      </c>
      <c r="L1734">
        <v>26.99</v>
      </c>
      <c r="M1734">
        <v>19.72</v>
      </c>
      <c r="N1734">
        <v>60.41</v>
      </c>
      <c r="O1734">
        <v>8.1199999999999992</v>
      </c>
      <c r="P1734">
        <v>10.49</v>
      </c>
    </row>
    <row r="1735" spans="1:16">
      <c r="A1735" s="1" t="s">
        <v>1760</v>
      </c>
      <c r="B1735" s="1" t="s">
        <v>1792</v>
      </c>
      <c r="C1735" s="1" t="s">
        <v>1764</v>
      </c>
      <c r="D1735" s="1" t="s">
        <v>1765</v>
      </c>
      <c r="E1735" s="1" t="s">
        <v>1766</v>
      </c>
      <c r="F1735">
        <v>2421.15</v>
      </c>
      <c r="G1735">
        <v>3865.46</v>
      </c>
      <c r="H1735">
        <v>134.25</v>
      </c>
      <c r="I1735">
        <v>42.89</v>
      </c>
      <c r="J1735">
        <v>0.85</v>
      </c>
      <c r="K1735">
        <v>543.57000000000005</v>
      </c>
      <c r="L1735">
        <v>28.73</v>
      </c>
      <c r="M1735">
        <v>23.92</v>
      </c>
      <c r="N1735">
        <v>85.46</v>
      </c>
      <c r="O1735">
        <v>8.7100000000000009</v>
      </c>
      <c r="P1735">
        <v>11.5</v>
      </c>
    </row>
    <row r="1736" spans="1:16">
      <c r="A1736" s="1" t="s">
        <v>1760</v>
      </c>
      <c r="B1736" s="1" t="s">
        <v>1793</v>
      </c>
      <c r="C1736" s="1" t="s">
        <v>18</v>
      </c>
      <c r="D1736" s="1" t="s">
        <v>44</v>
      </c>
      <c r="E1736" s="1" t="s">
        <v>1766</v>
      </c>
      <c r="F1736">
        <v>2537.12</v>
      </c>
      <c r="G1736">
        <v>3749.81</v>
      </c>
      <c r="H1736">
        <v>146.31</v>
      </c>
      <c r="I1736">
        <v>44.2</v>
      </c>
      <c r="J1736">
        <v>2.57</v>
      </c>
      <c r="K1736">
        <v>549.73</v>
      </c>
      <c r="L1736">
        <v>29.24</v>
      </c>
      <c r="M1736">
        <v>24.18</v>
      </c>
      <c r="N1736">
        <v>100.21</v>
      </c>
      <c r="O1736">
        <v>8.32</v>
      </c>
      <c r="P1736">
        <v>11.75</v>
      </c>
    </row>
    <row r="1737" spans="1:16">
      <c r="A1737" s="1" t="s">
        <v>1760</v>
      </c>
      <c r="B1737" s="1" t="s">
        <v>1794</v>
      </c>
      <c r="C1737" s="1" t="s">
        <v>1764</v>
      </c>
      <c r="D1737" s="1" t="s">
        <v>1765</v>
      </c>
      <c r="E1737" s="1" t="s">
        <v>1766</v>
      </c>
      <c r="F1737">
        <v>3132.3</v>
      </c>
      <c r="G1737">
        <v>3488</v>
      </c>
      <c r="H1737">
        <v>141.94</v>
      </c>
      <c r="I1737">
        <v>45.33</v>
      </c>
      <c r="J1737">
        <v>3.95</v>
      </c>
      <c r="K1737">
        <v>564.47</v>
      </c>
      <c r="L1737">
        <v>33.9</v>
      </c>
      <c r="M1737">
        <v>22.57</v>
      </c>
      <c r="N1737">
        <v>76.010000000000005</v>
      </c>
      <c r="O1737">
        <v>8.83</v>
      </c>
      <c r="P1737">
        <v>14.32</v>
      </c>
    </row>
    <row r="1738" spans="1:16">
      <c r="A1738" s="1" t="s">
        <v>1760</v>
      </c>
      <c r="B1738" s="1" t="s">
        <v>1795</v>
      </c>
      <c r="C1738" s="1" t="s">
        <v>18</v>
      </c>
      <c r="D1738" s="1" t="s">
        <v>44</v>
      </c>
      <c r="E1738" s="1" t="s">
        <v>1766</v>
      </c>
      <c r="F1738">
        <v>2439.1999999999998</v>
      </c>
      <c r="G1738">
        <v>3097.94</v>
      </c>
      <c r="H1738">
        <v>133.63999999999999</v>
      </c>
      <c r="I1738">
        <v>45.85</v>
      </c>
      <c r="J1738">
        <v>0.89</v>
      </c>
      <c r="K1738">
        <v>490.52</v>
      </c>
      <c r="L1738">
        <v>27.1</v>
      </c>
      <c r="M1738">
        <v>24.69</v>
      </c>
      <c r="N1738">
        <v>63.53</v>
      </c>
      <c r="O1738">
        <v>8.68</v>
      </c>
      <c r="P1738">
        <v>12.63</v>
      </c>
    </row>
    <row r="1739" spans="1:16">
      <c r="A1739" s="1" t="s">
        <v>1760</v>
      </c>
      <c r="B1739" s="1" t="s">
        <v>1796</v>
      </c>
      <c r="C1739" s="1" t="s">
        <v>1764</v>
      </c>
      <c r="D1739" s="1" t="s">
        <v>1765</v>
      </c>
      <c r="E1739" s="1" t="s">
        <v>1766</v>
      </c>
      <c r="F1739">
        <v>2689.84</v>
      </c>
      <c r="G1739">
        <v>3463.86</v>
      </c>
      <c r="H1739">
        <v>141.13999999999999</v>
      </c>
      <c r="I1739">
        <v>44.5</v>
      </c>
      <c r="J1739">
        <v>1.41</v>
      </c>
      <c r="K1739">
        <v>488.21</v>
      </c>
      <c r="L1739">
        <v>28.38</v>
      </c>
      <c r="M1739">
        <v>26.37</v>
      </c>
      <c r="N1739">
        <v>84.51</v>
      </c>
      <c r="O1739">
        <v>8.67</v>
      </c>
      <c r="P1739">
        <v>12.11</v>
      </c>
    </row>
    <row r="1740" spans="1:16">
      <c r="A1740" s="1" t="s">
        <v>1760</v>
      </c>
      <c r="B1740" s="1" t="s">
        <v>1797</v>
      </c>
      <c r="C1740" s="1" t="s">
        <v>18</v>
      </c>
      <c r="D1740" s="1" t="s">
        <v>44</v>
      </c>
      <c r="E1740" s="1" t="s">
        <v>1766</v>
      </c>
      <c r="F1740">
        <v>2073.31</v>
      </c>
      <c r="G1740">
        <v>2783.53</v>
      </c>
      <c r="H1740">
        <v>150.13</v>
      </c>
      <c r="I1740">
        <v>44.39</v>
      </c>
      <c r="J1740">
        <v>1.34</v>
      </c>
      <c r="K1740">
        <v>416.4</v>
      </c>
      <c r="L1740">
        <v>31.53</v>
      </c>
      <c r="M1740">
        <v>23.72</v>
      </c>
      <c r="N1740">
        <v>57.73</v>
      </c>
      <c r="O1740">
        <v>8.15</v>
      </c>
      <c r="P1740">
        <v>12.46</v>
      </c>
    </row>
    <row r="1741" spans="1:16">
      <c r="A1741" s="1" t="s">
        <v>1760</v>
      </c>
      <c r="B1741" s="1" t="s">
        <v>1798</v>
      </c>
      <c r="C1741" s="1" t="s">
        <v>1764</v>
      </c>
      <c r="D1741" s="1" t="s">
        <v>1765</v>
      </c>
      <c r="E1741" s="1" t="s">
        <v>1766</v>
      </c>
      <c r="F1741">
        <v>2132.5100000000002</v>
      </c>
      <c r="G1741">
        <v>3085.03</v>
      </c>
      <c r="H1741">
        <v>152.88</v>
      </c>
      <c r="I1741">
        <v>45.4</v>
      </c>
      <c r="J1741">
        <v>0.32</v>
      </c>
      <c r="K1741">
        <v>414.21</v>
      </c>
      <c r="L1741">
        <v>29.44</v>
      </c>
      <c r="M1741">
        <v>26.49</v>
      </c>
      <c r="N1741">
        <v>63.02</v>
      </c>
      <c r="O1741">
        <v>9.84</v>
      </c>
      <c r="P1741">
        <v>11.92</v>
      </c>
    </row>
    <row r="1742" spans="1:16">
      <c r="A1742" s="1" t="s">
        <v>1760</v>
      </c>
      <c r="B1742" s="1" t="s">
        <v>1799</v>
      </c>
      <c r="C1742" s="1" t="s">
        <v>18</v>
      </c>
      <c r="D1742" s="1" t="s">
        <v>44</v>
      </c>
      <c r="E1742" s="1" t="s">
        <v>1766</v>
      </c>
      <c r="F1742">
        <v>2152.64</v>
      </c>
      <c r="G1742">
        <v>2964.92</v>
      </c>
      <c r="H1742">
        <v>125.59</v>
      </c>
      <c r="I1742">
        <v>40.35</v>
      </c>
      <c r="J1742">
        <v>0.45</v>
      </c>
      <c r="K1742">
        <v>393.5</v>
      </c>
      <c r="L1742">
        <v>25.67</v>
      </c>
      <c r="M1742">
        <v>22.27</v>
      </c>
      <c r="N1742">
        <v>58.15</v>
      </c>
      <c r="O1742">
        <v>7.29</v>
      </c>
      <c r="P1742">
        <v>11.78</v>
      </c>
    </row>
    <row r="1743" spans="1:16">
      <c r="A1743" s="1" t="s">
        <v>5522</v>
      </c>
      <c r="B1743" s="1" t="s">
        <v>1800</v>
      </c>
      <c r="C1743" s="1" t="s">
        <v>18</v>
      </c>
      <c r="D1743" s="1" t="s">
        <v>19</v>
      </c>
      <c r="E1743" s="1" t="s">
        <v>1801</v>
      </c>
      <c r="F1743">
        <v>7170</v>
      </c>
      <c r="G1743">
        <v>397</v>
      </c>
      <c r="H1743">
        <v>80.900000000000006</v>
      </c>
      <c r="I1743">
        <v>861</v>
      </c>
      <c r="J1743">
        <f>3.4/2</f>
        <v>1.7</v>
      </c>
      <c r="K1743">
        <v>294</v>
      </c>
      <c r="L1743">
        <v>110.4</v>
      </c>
      <c r="M1743">
        <v>274</v>
      </c>
      <c r="N1743">
        <v>21.3</v>
      </c>
      <c r="O1743">
        <v>1.54</v>
      </c>
      <c r="P1743">
        <v>5.89</v>
      </c>
    </row>
    <row r="1744" spans="1:16">
      <c r="A1744" s="1" t="s">
        <v>5522</v>
      </c>
      <c r="B1744" s="1" t="s">
        <v>1802</v>
      </c>
      <c r="C1744" s="1" t="s">
        <v>18</v>
      </c>
      <c r="D1744" s="1" t="s">
        <v>19</v>
      </c>
      <c r="E1744" s="1" t="s">
        <v>1801</v>
      </c>
      <c r="F1744">
        <v>9480</v>
      </c>
      <c r="G1744">
        <v>417</v>
      </c>
      <c r="H1744">
        <v>80.5</v>
      </c>
      <c r="I1744">
        <v>1048</v>
      </c>
      <c r="J1744" s="11">
        <f t="shared" ref="J1744:J1807" si="0">3.4/2</f>
        <v>1.7</v>
      </c>
      <c r="K1744">
        <v>323</v>
      </c>
      <c r="L1744">
        <v>113.6</v>
      </c>
      <c r="M1744">
        <v>282</v>
      </c>
      <c r="N1744">
        <v>27.3</v>
      </c>
      <c r="O1744">
        <v>1.24</v>
      </c>
      <c r="P1744">
        <v>6.23</v>
      </c>
    </row>
    <row r="1745" spans="1:16">
      <c r="A1745" s="1" t="s">
        <v>5522</v>
      </c>
      <c r="B1745" s="1" t="s">
        <v>1803</v>
      </c>
      <c r="C1745" s="1" t="s">
        <v>18</v>
      </c>
      <c r="D1745" s="1" t="s">
        <v>19</v>
      </c>
      <c r="E1745" s="1" t="s">
        <v>1804</v>
      </c>
      <c r="F1745">
        <v>8580</v>
      </c>
      <c r="G1745">
        <v>400</v>
      </c>
      <c r="H1745">
        <v>80.5</v>
      </c>
      <c r="I1745">
        <v>912</v>
      </c>
      <c r="J1745" s="11">
        <f t="shared" si="0"/>
        <v>1.7</v>
      </c>
      <c r="K1745">
        <v>335</v>
      </c>
      <c r="L1745">
        <v>112.6</v>
      </c>
      <c r="M1745">
        <v>279</v>
      </c>
      <c r="N1745">
        <v>33.1</v>
      </c>
      <c r="O1745">
        <v>1.77</v>
      </c>
      <c r="P1745">
        <v>7.18</v>
      </c>
    </row>
    <row r="1746" spans="1:16">
      <c r="A1746" s="1" t="s">
        <v>5522</v>
      </c>
      <c r="B1746" s="1" t="s">
        <v>1805</v>
      </c>
      <c r="C1746" s="1" t="s">
        <v>18</v>
      </c>
      <c r="D1746" s="1" t="s">
        <v>19</v>
      </c>
      <c r="E1746" s="1" t="s">
        <v>1804</v>
      </c>
      <c r="F1746">
        <v>7110</v>
      </c>
      <c r="G1746">
        <v>394</v>
      </c>
      <c r="H1746">
        <v>72.400000000000006</v>
      </c>
      <c r="I1746">
        <v>846</v>
      </c>
      <c r="J1746" s="11">
        <f t="shared" si="0"/>
        <v>1.7</v>
      </c>
      <c r="K1746">
        <v>343</v>
      </c>
      <c r="L1746">
        <v>108.9</v>
      </c>
      <c r="M1746">
        <v>281.89999999999998</v>
      </c>
      <c r="N1746">
        <v>32.4</v>
      </c>
      <c r="O1746">
        <v>1.37</v>
      </c>
      <c r="P1746">
        <v>5.91</v>
      </c>
    </row>
    <row r="1747" spans="1:16">
      <c r="A1747" s="1" t="s">
        <v>5522</v>
      </c>
      <c r="B1747" s="1" t="s">
        <v>1806</v>
      </c>
      <c r="C1747" s="1" t="s">
        <v>18</v>
      </c>
      <c r="D1747" s="1" t="s">
        <v>19</v>
      </c>
      <c r="E1747" s="1" t="s">
        <v>1804</v>
      </c>
      <c r="F1747">
        <v>5940</v>
      </c>
      <c r="G1747">
        <v>338</v>
      </c>
      <c r="H1747">
        <v>45.1</v>
      </c>
      <c r="I1747">
        <v>1240</v>
      </c>
      <c r="J1747" s="11">
        <f t="shared" si="0"/>
        <v>1.7</v>
      </c>
      <c r="K1747">
        <v>334</v>
      </c>
      <c r="L1747">
        <v>110.3</v>
      </c>
      <c r="M1747">
        <v>298</v>
      </c>
      <c r="N1747">
        <v>41.6</v>
      </c>
      <c r="O1747">
        <v>1.91</v>
      </c>
      <c r="P1747">
        <v>5.08</v>
      </c>
    </row>
    <row r="1748" spans="1:16">
      <c r="A1748" s="1" t="s">
        <v>5522</v>
      </c>
      <c r="B1748" s="1" t="s">
        <v>1807</v>
      </c>
      <c r="C1748" s="1" t="s">
        <v>18</v>
      </c>
      <c r="D1748" s="1" t="s">
        <v>19</v>
      </c>
      <c r="E1748" s="1" t="s">
        <v>1804</v>
      </c>
      <c r="F1748">
        <v>5900</v>
      </c>
      <c r="G1748">
        <v>319</v>
      </c>
      <c r="H1748">
        <v>39.799999999999997</v>
      </c>
      <c r="I1748">
        <v>1201</v>
      </c>
      <c r="J1748" s="11">
        <f t="shared" si="0"/>
        <v>1.7</v>
      </c>
      <c r="K1748">
        <v>335</v>
      </c>
      <c r="L1748">
        <v>104.3</v>
      </c>
      <c r="M1748">
        <v>282</v>
      </c>
      <c r="N1748">
        <v>34.700000000000003</v>
      </c>
      <c r="O1748">
        <v>1.88</v>
      </c>
      <c r="P1748">
        <v>4.42</v>
      </c>
    </row>
    <row r="1749" spans="1:16">
      <c r="A1749" s="1" t="s">
        <v>5522</v>
      </c>
      <c r="B1749" s="1" t="s">
        <v>1808</v>
      </c>
      <c r="C1749" s="1" t="s">
        <v>18</v>
      </c>
      <c r="D1749" s="1" t="s">
        <v>19</v>
      </c>
      <c r="E1749" s="1" t="s">
        <v>1804</v>
      </c>
      <c r="F1749">
        <v>6100</v>
      </c>
      <c r="G1749">
        <v>359</v>
      </c>
      <c r="H1749">
        <v>37.799999999999997</v>
      </c>
      <c r="I1749">
        <v>1273</v>
      </c>
      <c r="J1749" s="11">
        <f t="shared" si="0"/>
        <v>1.7</v>
      </c>
      <c r="K1749">
        <v>343.9</v>
      </c>
      <c r="L1749">
        <v>111.1</v>
      </c>
      <c r="M1749">
        <v>282</v>
      </c>
      <c r="N1749">
        <v>33.5</v>
      </c>
      <c r="O1749">
        <v>1.5</v>
      </c>
      <c r="P1749">
        <v>4.5</v>
      </c>
    </row>
    <row r="1750" spans="1:16">
      <c r="A1750" s="1" t="s">
        <v>5522</v>
      </c>
      <c r="B1750" s="1" t="s">
        <v>1809</v>
      </c>
      <c r="C1750" s="1" t="s">
        <v>18</v>
      </c>
      <c r="D1750" s="1" t="s">
        <v>19</v>
      </c>
      <c r="E1750" s="1" t="s">
        <v>1804</v>
      </c>
      <c r="F1750">
        <v>6440</v>
      </c>
      <c r="G1750">
        <v>370</v>
      </c>
      <c r="H1750">
        <v>38.200000000000003</v>
      </c>
      <c r="I1750">
        <v>1317</v>
      </c>
      <c r="J1750" s="11">
        <f t="shared" si="0"/>
        <v>1.7</v>
      </c>
      <c r="K1750">
        <v>355</v>
      </c>
      <c r="L1750">
        <v>108.5</v>
      </c>
      <c r="M1750">
        <v>282.3</v>
      </c>
      <c r="N1750">
        <v>33.5</v>
      </c>
      <c r="O1750">
        <v>1.59</v>
      </c>
      <c r="P1750">
        <v>4.99</v>
      </c>
    </row>
    <row r="1751" spans="1:16">
      <c r="A1751" s="1" t="s">
        <v>5522</v>
      </c>
      <c r="B1751" s="1" t="s">
        <v>1810</v>
      </c>
      <c r="C1751" s="1" t="s">
        <v>18</v>
      </c>
      <c r="D1751" s="1" t="s">
        <v>19</v>
      </c>
      <c r="E1751" s="1" t="s">
        <v>1804</v>
      </c>
      <c r="F1751">
        <v>6150</v>
      </c>
      <c r="G1751">
        <v>393</v>
      </c>
      <c r="H1751">
        <v>48</v>
      </c>
      <c r="I1751">
        <v>1325</v>
      </c>
      <c r="J1751" s="11">
        <f t="shared" si="0"/>
        <v>1.7</v>
      </c>
      <c r="K1751">
        <v>351</v>
      </c>
      <c r="L1751">
        <v>109.7</v>
      </c>
      <c r="M1751">
        <v>284</v>
      </c>
      <c r="N1751">
        <v>37.700000000000003</v>
      </c>
      <c r="O1751">
        <v>1.64</v>
      </c>
      <c r="P1751">
        <v>5.7</v>
      </c>
    </row>
    <row r="1752" spans="1:16">
      <c r="A1752" s="1" t="s">
        <v>5522</v>
      </c>
      <c r="B1752" s="1" t="s">
        <v>1811</v>
      </c>
      <c r="C1752" s="1" t="s">
        <v>18</v>
      </c>
      <c r="D1752" s="1" t="s">
        <v>19</v>
      </c>
      <c r="E1752" s="1" t="s">
        <v>1804</v>
      </c>
      <c r="F1752">
        <v>6790</v>
      </c>
      <c r="G1752">
        <v>464</v>
      </c>
      <c r="H1752">
        <v>81</v>
      </c>
      <c r="I1752">
        <v>1310</v>
      </c>
      <c r="J1752" s="11">
        <f t="shared" si="0"/>
        <v>1.7</v>
      </c>
      <c r="K1752">
        <v>364</v>
      </c>
      <c r="L1752">
        <v>108.4</v>
      </c>
      <c r="M1752">
        <v>282</v>
      </c>
      <c r="N1752">
        <v>39.1</v>
      </c>
      <c r="O1752">
        <v>1.45</v>
      </c>
      <c r="P1752">
        <v>5.78</v>
      </c>
    </row>
    <row r="1753" spans="1:16">
      <c r="A1753" s="1" t="s">
        <v>5522</v>
      </c>
      <c r="B1753" s="1" t="s">
        <v>1812</v>
      </c>
      <c r="C1753" s="1" t="s">
        <v>18</v>
      </c>
      <c r="D1753" s="1" t="s">
        <v>19</v>
      </c>
      <c r="E1753" s="1" t="s">
        <v>1804</v>
      </c>
      <c r="F1753">
        <v>10920</v>
      </c>
      <c r="G1753">
        <v>557</v>
      </c>
      <c r="H1753">
        <v>91.8</v>
      </c>
      <c r="I1753">
        <v>1154</v>
      </c>
      <c r="J1753" s="11">
        <f t="shared" si="0"/>
        <v>1.7</v>
      </c>
      <c r="K1753">
        <v>369</v>
      </c>
      <c r="L1753">
        <v>109.5</v>
      </c>
      <c r="M1753">
        <v>293</v>
      </c>
      <c r="N1753">
        <v>42.6</v>
      </c>
      <c r="O1753">
        <v>1.76</v>
      </c>
      <c r="P1753">
        <v>8.34</v>
      </c>
    </row>
    <row r="1754" spans="1:16">
      <c r="A1754" s="1" t="s">
        <v>5522</v>
      </c>
      <c r="B1754" s="1" t="s">
        <v>1813</v>
      </c>
      <c r="C1754" s="1" t="s">
        <v>18</v>
      </c>
      <c r="D1754" s="1" t="s">
        <v>19</v>
      </c>
      <c r="E1754" s="1" t="s">
        <v>1804</v>
      </c>
      <c r="F1754">
        <v>6770</v>
      </c>
      <c r="G1754">
        <v>168</v>
      </c>
      <c r="H1754">
        <v>43.3</v>
      </c>
      <c r="I1754">
        <v>735</v>
      </c>
      <c r="J1754" s="11">
        <f t="shared" si="0"/>
        <v>1.7</v>
      </c>
      <c r="K1754">
        <v>180</v>
      </c>
      <c r="L1754">
        <v>104.5</v>
      </c>
      <c r="M1754">
        <v>247</v>
      </c>
      <c r="N1754">
        <v>13.6</v>
      </c>
      <c r="O1754">
        <f>0.94/2</f>
        <v>0.47</v>
      </c>
      <c r="P1754">
        <v>5.6</v>
      </c>
    </row>
    <row r="1755" spans="1:16">
      <c r="A1755" s="1" t="s">
        <v>5522</v>
      </c>
      <c r="B1755" s="1" t="s">
        <v>1814</v>
      </c>
      <c r="C1755" s="1" t="s">
        <v>18</v>
      </c>
      <c r="D1755" s="1" t="s">
        <v>19</v>
      </c>
      <c r="E1755" s="1" t="s">
        <v>1804</v>
      </c>
      <c r="F1755">
        <v>5740</v>
      </c>
      <c r="G1755">
        <v>175</v>
      </c>
      <c r="H1755">
        <f>37.26/2</f>
        <v>18.63</v>
      </c>
      <c r="I1755">
        <v>728</v>
      </c>
      <c r="J1755" s="11">
        <f t="shared" si="0"/>
        <v>1.7</v>
      </c>
      <c r="K1755">
        <v>101</v>
      </c>
      <c r="L1755">
        <v>107</v>
      </c>
      <c r="M1755">
        <v>250</v>
      </c>
      <c r="N1755">
        <v>18.2</v>
      </c>
      <c r="O1755" s="11">
        <f>0.94/2</f>
        <v>0.47</v>
      </c>
      <c r="P1755">
        <v>3.35</v>
      </c>
    </row>
    <row r="1756" spans="1:16">
      <c r="A1756" s="1" t="s">
        <v>5522</v>
      </c>
      <c r="B1756" s="1" t="s">
        <v>1815</v>
      </c>
      <c r="C1756" s="1" t="s">
        <v>18</v>
      </c>
      <c r="D1756" s="1" t="s">
        <v>19</v>
      </c>
      <c r="E1756" s="1" t="s">
        <v>1804</v>
      </c>
      <c r="F1756">
        <v>6320</v>
      </c>
      <c r="G1756">
        <v>1079</v>
      </c>
      <c r="H1756">
        <v>148</v>
      </c>
      <c r="I1756">
        <v>1029</v>
      </c>
      <c r="J1756" s="11">
        <f t="shared" si="0"/>
        <v>1.7</v>
      </c>
      <c r="K1756">
        <v>256.60000000000002</v>
      </c>
      <c r="L1756">
        <v>104.4</v>
      </c>
      <c r="M1756">
        <v>284</v>
      </c>
      <c r="N1756">
        <v>25</v>
      </c>
      <c r="O1756">
        <v>1.7</v>
      </c>
      <c r="P1756">
        <v>5.09</v>
      </c>
    </row>
    <row r="1757" spans="1:16">
      <c r="A1757" s="1" t="s">
        <v>5522</v>
      </c>
      <c r="B1757" s="1" t="s">
        <v>1816</v>
      </c>
      <c r="C1757" s="1" t="s">
        <v>18</v>
      </c>
      <c r="D1757" s="1" t="s">
        <v>19</v>
      </c>
      <c r="E1757" s="1" t="s">
        <v>1804</v>
      </c>
      <c r="F1757">
        <v>4450</v>
      </c>
      <c r="G1757">
        <v>374</v>
      </c>
      <c r="H1757">
        <v>136</v>
      </c>
      <c r="I1757">
        <v>979</v>
      </c>
      <c r="J1757" s="11">
        <f t="shared" si="0"/>
        <v>1.7</v>
      </c>
      <c r="K1757">
        <v>327</v>
      </c>
      <c r="L1757">
        <v>100.4</v>
      </c>
      <c r="M1757">
        <v>214.2</v>
      </c>
      <c r="N1757">
        <v>43.4</v>
      </c>
      <c r="O1757">
        <v>1.94</v>
      </c>
      <c r="P1757">
        <v>70.5</v>
      </c>
    </row>
    <row r="1758" spans="1:16">
      <c r="A1758" s="1" t="s">
        <v>5522</v>
      </c>
      <c r="B1758" s="1" t="s">
        <v>1817</v>
      </c>
      <c r="C1758" s="1" t="s">
        <v>18</v>
      </c>
      <c r="D1758" s="1" t="s">
        <v>19</v>
      </c>
      <c r="E1758" s="1" t="s">
        <v>1804</v>
      </c>
      <c r="F1758">
        <v>5620</v>
      </c>
      <c r="G1758">
        <v>413</v>
      </c>
      <c r="H1758">
        <v>138</v>
      </c>
      <c r="I1758">
        <v>1040</v>
      </c>
      <c r="J1758" s="11">
        <f t="shared" si="0"/>
        <v>1.7</v>
      </c>
      <c r="K1758">
        <v>365</v>
      </c>
      <c r="L1758">
        <v>88</v>
      </c>
      <c r="M1758">
        <v>229</v>
      </c>
      <c r="N1758">
        <v>36.4</v>
      </c>
      <c r="O1758">
        <v>2.4</v>
      </c>
      <c r="P1758">
        <v>89</v>
      </c>
    </row>
    <row r="1759" spans="1:16">
      <c r="A1759" s="1" t="s">
        <v>5522</v>
      </c>
      <c r="B1759" s="1" t="s">
        <v>1818</v>
      </c>
      <c r="C1759" s="1" t="s">
        <v>18</v>
      </c>
      <c r="D1759" s="1" t="s">
        <v>19</v>
      </c>
      <c r="E1759" s="1" t="s">
        <v>1804</v>
      </c>
      <c r="F1759">
        <v>5800</v>
      </c>
      <c r="G1759">
        <v>470</v>
      </c>
      <c r="H1759">
        <v>220</v>
      </c>
      <c r="I1759">
        <v>1010</v>
      </c>
      <c r="J1759" s="11">
        <f t="shared" si="0"/>
        <v>1.7</v>
      </c>
      <c r="K1759">
        <v>380</v>
      </c>
      <c r="L1759">
        <v>106</v>
      </c>
      <c r="M1759">
        <v>248</v>
      </c>
      <c r="N1759">
        <v>42.4</v>
      </c>
      <c r="O1759">
        <v>1.8</v>
      </c>
      <c r="P1759">
        <v>112</v>
      </c>
    </row>
    <row r="1760" spans="1:16">
      <c r="A1760" s="1" t="s">
        <v>5522</v>
      </c>
      <c r="B1760" s="1" t="s">
        <v>1819</v>
      </c>
      <c r="C1760" s="1" t="s">
        <v>18</v>
      </c>
      <c r="D1760" s="1" t="s">
        <v>19</v>
      </c>
      <c r="E1760" s="1" t="s">
        <v>1804</v>
      </c>
      <c r="F1760">
        <v>4630</v>
      </c>
      <c r="G1760">
        <v>424</v>
      </c>
      <c r="H1760">
        <v>164</v>
      </c>
      <c r="I1760">
        <v>1016</v>
      </c>
      <c r="J1760" s="11">
        <f t="shared" si="0"/>
        <v>1.7</v>
      </c>
      <c r="K1760">
        <v>358</v>
      </c>
      <c r="L1760">
        <v>105.8</v>
      </c>
      <c r="M1760">
        <v>222</v>
      </c>
      <c r="N1760">
        <v>51.6</v>
      </c>
      <c r="O1760">
        <v>1.32</v>
      </c>
      <c r="P1760">
        <v>90.5</v>
      </c>
    </row>
    <row r="1761" spans="1:16">
      <c r="A1761" s="1" t="s">
        <v>5522</v>
      </c>
      <c r="B1761" s="1" t="s">
        <v>1820</v>
      </c>
      <c r="C1761" s="1" t="s">
        <v>18</v>
      </c>
      <c r="D1761" s="1" t="s">
        <v>19</v>
      </c>
      <c r="E1761" s="1" t="s">
        <v>1804</v>
      </c>
      <c r="F1761">
        <v>6010</v>
      </c>
      <c r="G1761">
        <v>2110</v>
      </c>
      <c r="H1761">
        <v>346</v>
      </c>
      <c r="I1761">
        <v>955</v>
      </c>
      <c r="J1761" s="11">
        <f t="shared" si="0"/>
        <v>1.7</v>
      </c>
      <c r="K1761">
        <v>30.3</v>
      </c>
      <c r="L1761">
        <v>106</v>
      </c>
      <c r="M1761">
        <v>285</v>
      </c>
      <c r="N1761">
        <v>28.1</v>
      </c>
      <c r="O1761">
        <v>1.23</v>
      </c>
      <c r="P1761">
        <v>4.24</v>
      </c>
    </row>
    <row r="1762" spans="1:16">
      <c r="A1762" s="1" t="s">
        <v>5522</v>
      </c>
      <c r="B1762" s="1" t="s">
        <v>1821</v>
      </c>
      <c r="C1762" s="1" t="s">
        <v>18</v>
      </c>
      <c r="D1762" s="1" t="s">
        <v>19</v>
      </c>
      <c r="E1762" s="1" t="s">
        <v>1804</v>
      </c>
      <c r="F1762">
        <v>6870</v>
      </c>
      <c r="G1762">
        <v>1523</v>
      </c>
      <c r="H1762">
        <v>417</v>
      </c>
      <c r="I1762">
        <v>1040</v>
      </c>
      <c r="J1762" s="11">
        <f t="shared" si="0"/>
        <v>1.7</v>
      </c>
      <c r="K1762">
        <v>61.6</v>
      </c>
      <c r="L1762">
        <v>113.1</v>
      </c>
      <c r="M1762">
        <v>286</v>
      </c>
      <c r="N1762">
        <v>16.5</v>
      </c>
      <c r="O1762">
        <v>1.04</v>
      </c>
      <c r="P1762">
        <v>6.7</v>
      </c>
    </row>
    <row r="1763" spans="1:16">
      <c r="A1763" s="1" t="s">
        <v>5522</v>
      </c>
      <c r="B1763" s="1" t="s">
        <v>1822</v>
      </c>
      <c r="C1763" s="1" t="s">
        <v>18</v>
      </c>
      <c r="D1763" s="1" t="s">
        <v>19</v>
      </c>
      <c r="E1763" s="1" t="s">
        <v>1804</v>
      </c>
      <c r="F1763">
        <v>6640</v>
      </c>
      <c r="G1763">
        <v>2074</v>
      </c>
      <c r="H1763">
        <v>1072</v>
      </c>
      <c r="I1763">
        <v>863</v>
      </c>
      <c r="J1763" s="11">
        <f t="shared" si="0"/>
        <v>1.7</v>
      </c>
      <c r="K1763">
        <v>374</v>
      </c>
      <c r="L1763">
        <v>113.2</v>
      </c>
      <c r="M1763">
        <v>312</v>
      </c>
      <c r="N1763">
        <v>48.8</v>
      </c>
      <c r="O1763">
        <v>3.59</v>
      </c>
      <c r="P1763">
        <v>7.88</v>
      </c>
    </row>
    <row r="1764" spans="1:16">
      <c r="A1764" s="1" t="s">
        <v>5522</v>
      </c>
      <c r="B1764" s="1" t="s">
        <v>1823</v>
      </c>
      <c r="C1764" s="1" t="s">
        <v>18</v>
      </c>
      <c r="D1764" s="1" t="s">
        <v>19</v>
      </c>
      <c r="E1764" s="1" t="s">
        <v>1804</v>
      </c>
      <c r="F1764">
        <v>6600</v>
      </c>
      <c r="G1764">
        <v>1820</v>
      </c>
      <c r="H1764">
        <v>1020</v>
      </c>
      <c r="I1764">
        <v>750</v>
      </c>
      <c r="J1764" s="11">
        <f t="shared" si="0"/>
        <v>1.7</v>
      </c>
      <c r="K1764">
        <v>456</v>
      </c>
      <c r="L1764">
        <v>106</v>
      </c>
      <c r="M1764">
        <v>248</v>
      </c>
      <c r="N1764">
        <v>45</v>
      </c>
      <c r="O1764">
        <v>3.09</v>
      </c>
      <c r="P1764">
        <v>4.8</v>
      </c>
    </row>
    <row r="1765" spans="1:16">
      <c r="A1765" s="1" t="s">
        <v>5522</v>
      </c>
      <c r="B1765" s="1" t="s">
        <v>1824</v>
      </c>
      <c r="C1765" s="1" t="s">
        <v>18</v>
      </c>
      <c r="D1765" s="1" t="s">
        <v>19</v>
      </c>
      <c r="E1765" s="1" t="s">
        <v>1804</v>
      </c>
      <c r="F1765">
        <v>6980</v>
      </c>
      <c r="G1765">
        <v>2100</v>
      </c>
      <c r="H1765">
        <v>1110</v>
      </c>
      <c r="I1765">
        <v>819</v>
      </c>
      <c r="J1765" s="11">
        <f t="shared" si="0"/>
        <v>1.7</v>
      </c>
      <c r="K1765">
        <v>488</v>
      </c>
      <c r="L1765">
        <v>105.4</v>
      </c>
      <c r="M1765">
        <v>293</v>
      </c>
      <c r="N1765">
        <v>48.3</v>
      </c>
      <c r="O1765">
        <v>2.39</v>
      </c>
      <c r="P1765">
        <v>4.96</v>
      </c>
    </row>
    <row r="1766" spans="1:16">
      <c r="A1766" s="1" t="s">
        <v>5522</v>
      </c>
      <c r="B1766" s="1" t="s">
        <v>1825</v>
      </c>
      <c r="C1766" s="1" t="s">
        <v>18</v>
      </c>
      <c r="D1766" s="1" t="s">
        <v>19</v>
      </c>
      <c r="E1766" s="1" t="s">
        <v>1804</v>
      </c>
      <c r="F1766">
        <v>6570</v>
      </c>
      <c r="G1766">
        <v>1819</v>
      </c>
      <c r="H1766">
        <v>1060</v>
      </c>
      <c r="I1766">
        <v>794</v>
      </c>
      <c r="J1766" s="11">
        <f t="shared" si="0"/>
        <v>1.7</v>
      </c>
      <c r="K1766">
        <v>401</v>
      </c>
      <c r="L1766">
        <v>115</v>
      </c>
      <c r="M1766">
        <v>264</v>
      </c>
      <c r="N1766">
        <v>43</v>
      </c>
      <c r="O1766">
        <v>3.52</v>
      </c>
      <c r="P1766">
        <v>4.3</v>
      </c>
    </row>
    <row r="1767" spans="1:16">
      <c r="A1767" s="1" t="s">
        <v>5522</v>
      </c>
      <c r="B1767" s="1" t="s">
        <v>1826</v>
      </c>
      <c r="C1767" s="1" t="s">
        <v>18</v>
      </c>
      <c r="D1767" s="1" t="s">
        <v>19</v>
      </c>
      <c r="E1767" s="1" t="s">
        <v>1804</v>
      </c>
      <c r="F1767">
        <v>6550</v>
      </c>
      <c r="G1767">
        <v>2000</v>
      </c>
      <c r="H1767">
        <v>1040</v>
      </c>
      <c r="I1767">
        <v>1000</v>
      </c>
      <c r="J1767" s="11">
        <f t="shared" si="0"/>
        <v>1.7</v>
      </c>
      <c r="K1767">
        <v>460</v>
      </c>
      <c r="L1767">
        <v>102</v>
      </c>
      <c r="M1767">
        <v>287</v>
      </c>
      <c r="N1767">
        <v>44</v>
      </c>
      <c r="O1767">
        <v>4.3</v>
      </c>
      <c r="P1767">
        <v>4.7</v>
      </c>
    </row>
    <row r="1768" spans="1:16">
      <c r="A1768" s="1" t="s">
        <v>5522</v>
      </c>
      <c r="B1768" s="1" t="s">
        <v>1827</v>
      </c>
      <c r="C1768" s="1" t="s">
        <v>18</v>
      </c>
      <c r="D1768" s="1" t="s">
        <v>19</v>
      </c>
      <c r="E1768" s="1" t="s">
        <v>1804</v>
      </c>
      <c r="F1768">
        <v>5620</v>
      </c>
      <c r="G1768">
        <v>1830</v>
      </c>
      <c r="H1768">
        <v>910</v>
      </c>
      <c r="I1768">
        <v>860</v>
      </c>
      <c r="J1768" s="11">
        <f t="shared" si="0"/>
        <v>1.7</v>
      </c>
      <c r="K1768">
        <v>345</v>
      </c>
      <c r="L1768">
        <v>114</v>
      </c>
      <c r="M1768">
        <v>310</v>
      </c>
      <c r="N1768">
        <v>48</v>
      </c>
      <c r="O1768">
        <v>3.3</v>
      </c>
      <c r="P1768">
        <v>6.5</v>
      </c>
    </row>
    <row r="1769" spans="1:16">
      <c r="A1769" s="1" t="s">
        <v>5522</v>
      </c>
      <c r="B1769" s="1" t="s">
        <v>1828</v>
      </c>
      <c r="C1769" s="1" t="s">
        <v>18</v>
      </c>
      <c r="D1769" s="1" t="s">
        <v>19</v>
      </c>
      <c r="E1769" s="1" t="s">
        <v>1804</v>
      </c>
      <c r="F1769">
        <v>7370</v>
      </c>
      <c r="G1769">
        <v>2161</v>
      </c>
      <c r="H1769">
        <v>1165</v>
      </c>
      <c r="I1769">
        <v>847</v>
      </c>
      <c r="J1769" s="11">
        <f t="shared" si="0"/>
        <v>1.7</v>
      </c>
      <c r="K1769">
        <v>456</v>
      </c>
      <c r="L1769">
        <v>104.4</v>
      </c>
      <c r="M1769">
        <v>276</v>
      </c>
      <c r="N1769">
        <v>50.9</v>
      </c>
      <c r="O1769">
        <v>3.17</v>
      </c>
      <c r="P1769">
        <v>5.76</v>
      </c>
    </row>
    <row r="1770" spans="1:16">
      <c r="A1770" s="1" t="s">
        <v>5522</v>
      </c>
      <c r="B1770" s="1" t="s">
        <v>1829</v>
      </c>
      <c r="C1770" s="1" t="s">
        <v>18</v>
      </c>
      <c r="D1770" s="1" t="s">
        <v>19</v>
      </c>
      <c r="E1770" s="1" t="s">
        <v>1804</v>
      </c>
      <c r="F1770">
        <v>7040</v>
      </c>
      <c r="G1770">
        <v>2130</v>
      </c>
      <c r="H1770">
        <v>1080</v>
      </c>
      <c r="I1770">
        <v>887</v>
      </c>
      <c r="J1770" s="11">
        <f t="shared" si="0"/>
        <v>1.7</v>
      </c>
      <c r="K1770">
        <v>428</v>
      </c>
      <c r="L1770">
        <v>111.3</v>
      </c>
      <c r="M1770">
        <v>312</v>
      </c>
      <c r="N1770">
        <v>55.5</v>
      </c>
      <c r="O1770">
        <v>3.43</v>
      </c>
      <c r="P1770">
        <v>7.64</v>
      </c>
    </row>
    <row r="1771" spans="1:16">
      <c r="A1771" s="1" t="s">
        <v>5522</v>
      </c>
      <c r="B1771" s="1" t="s">
        <v>1830</v>
      </c>
      <c r="C1771" s="1" t="s">
        <v>18</v>
      </c>
      <c r="D1771" s="1" t="s">
        <v>19</v>
      </c>
      <c r="E1771" s="1" t="s">
        <v>1804</v>
      </c>
      <c r="F1771">
        <v>7290</v>
      </c>
      <c r="G1771">
        <v>2085</v>
      </c>
      <c r="H1771">
        <v>1114</v>
      </c>
      <c r="I1771">
        <v>850</v>
      </c>
      <c r="J1771" s="11">
        <f t="shared" si="0"/>
        <v>1.7</v>
      </c>
      <c r="K1771">
        <v>447</v>
      </c>
      <c r="L1771">
        <v>103.9</v>
      </c>
      <c r="M1771">
        <v>285</v>
      </c>
      <c r="N1771">
        <v>58.6</v>
      </c>
      <c r="O1771">
        <v>3.19</v>
      </c>
      <c r="P1771">
        <v>6.55</v>
      </c>
    </row>
    <row r="1772" spans="1:16">
      <c r="A1772" s="1" t="s">
        <v>5522</v>
      </c>
      <c r="B1772" s="1" t="s">
        <v>1831</v>
      </c>
      <c r="C1772" s="1" t="s">
        <v>18</v>
      </c>
      <c r="D1772" s="1" t="s">
        <v>19</v>
      </c>
      <c r="E1772" s="1" t="s">
        <v>1804</v>
      </c>
      <c r="F1772">
        <v>7660</v>
      </c>
      <c r="G1772">
        <v>414</v>
      </c>
      <c r="H1772">
        <v>44.4</v>
      </c>
      <c r="I1772">
        <v>712</v>
      </c>
      <c r="J1772" s="11">
        <f t="shared" si="0"/>
        <v>1.7</v>
      </c>
      <c r="K1772">
        <v>355.5</v>
      </c>
      <c r="L1772">
        <v>94.5</v>
      </c>
      <c r="M1772">
        <v>256</v>
      </c>
      <c r="N1772">
        <v>42.7</v>
      </c>
      <c r="O1772" s="11">
        <f t="shared" ref="O1772:O1781" si="1">0.94/2</f>
        <v>0.47</v>
      </c>
      <c r="P1772">
        <v>5.95</v>
      </c>
    </row>
    <row r="1773" spans="1:16">
      <c r="A1773" s="1" t="s">
        <v>5522</v>
      </c>
      <c r="B1773" s="1" t="s">
        <v>1832</v>
      </c>
      <c r="C1773" s="1" t="s">
        <v>18</v>
      </c>
      <c r="D1773" s="1" t="s">
        <v>19</v>
      </c>
      <c r="E1773" s="1" t="s">
        <v>1804</v>
      </c>
      <c r="F1773">
        <v>7030</v>
      </c>
      <c r="G1773">
        <v>780</v>
      </c>
      <c r="H1773">
        <v>202</v>
      </c>
      <c r="I1773">
        <v>997</v>
      </c>
      <c r="J1773" s="11">
        <f t="shared" si="0"/>
        <v>1.7</v>
      </c>
      <c r="K1773">
        <v>90.8</v>
      </c>
      <c r="L1773">
        <v>103.1</v>
      </c>
      <c r="M1773">
        <v>260</v>
      </c>
      <c r="N1773">
        <v>37.299999999999997</v>
      </c>
      <c r="O1773" s="11">
        <f t="shared" si="1"/>
        <v>0.47</v>
      </c>
      <c r="P1773">
        <v>5.67</v>
      </c>
    </row>
    <row r="1774" spans="1:16">
      <c r="A1774" s="1" t="s">
        <v>5522</v>
      </c>
      <c r="B1774" s="1" t="s">
        <v>1833</v>
      </c>
      <c r="C1774" s="1" t="s">
        <v>18</v>
      </c>
      <c r="D1774" s="1" t="s">
        <v>19</v>
      </c>
      <c r="E1774" s="1" t="s">
        <v>1804</v>
      </c>
      <c r="F1774">
        <v>7130</v>
      </c>
      <c r="G1774">
        <f>36.52/2</f>
        <v>18.260000000000002</v>
      </c>
      <c r="H1774" s="11">
        <f t="shared" ref="H1774:H1781" si="2">37.26/2</f>
        <v>18.63</v>
      </c>
      <c r="I1774">
        <v>683</v>
      </c>
      <c r="J1774" s="11">
        <f t="shared" si="0"/>
        <v>1.7</v>
      </c>
      <c r="K1774">
        <v>401.3</v>
      </c>
      <c r="L1774">
        <v>110.7</v>
      </c>
      <c r="M1774">
        <v>208</v>
      </c>
      <c r="N1774">
        <v>53.5</v>
      </c>
      <c r="O1774" s="11">
        <f t="shared" si="1"/>
        <v>0.47</v>
      </c>
      <c r="P1774">
        <v>5.4</v>
      </c>
    </row>
    <row r="1775" spans="1:16">
      <c r="A1775" s="1" t="s">
        <v>5522</v>
      </c>
      <c r="B1775" s="1" t="s">
        <v>1834</v>
      </c>
      <c r="C1775" s="1" t="s">
        <v>18</v>
      </c>
      <c r="D1775" s="1" t="s">
        <v>19</v>
      </c>
      <c r="E1775" s="1" t="s">
        <v>1804</v>
      </c>
      <c r="F1775">
        <v>7430</v>
      </c>
      <c r="G1775" s="11">
        <f>36.52/2</f>
        <v>18.260000000000002</v>
      </c>
      <c r="H1775" s="11">
        <f t="shared" si="2"/>
        <v>18.63</v>
      </c>
      <c r="I1775">
        <v>675</v>
      </c>
      <c r="J1775" s="11">
        <f t="shared" si="0"/>
        <v>1.7</v>
      </c>
      <c r="K1775">
        <v>395</v>
      </c>
      <c r="L1775">
        <v>106.1</v>
      </c>
      <c r="M1775">
        <v>200.2</v>
      </c>
      <c r="N1775">
        <v>55.5</v>
      </c>
      <c r="O1775" s="11">
        <f t="shared" si="1"/>
        <v>0.47</v>
      </c>
      <c r="P1775">
        <v>5.96</v>
      </c>
    </row>
    <row r="1776" spans="1:16">
      <c r="A1776" s="1" t="s">
        <v>5522</v>
      </c>
      <c r="B1776" s="1" t="s">
        <v>1835</v>
      </c>
      <c r="C1776" s="1" t="s">
        <v>18</v>
      </c>
      <c r="D1776" s="1" t="s">
        <v>19</v>
      </c>
      <c r="E1776" s="1" t="s">
        <v>1804</v>
      </c>
      <c r="F1776">
        <v>7560</v>
      </c>
      <c r="G1776" s="11">
        <f>36.52/2</f>
        <v>18.260000000000002</v>
      </c>
      <c r="H1776" s="11">
        <f t="shared" si="2"/>
        <v>18.63</v>
      </c>
      <c r="I1776">
        <v>624</v>
      </c>
      <c r="J1776" s="11">
        <f t="shared" si="0"/>
        <v>1.7</v>
      </c>
      <c r="K1776">
        <v>390</v>
      </c>
      <c r="L1776">
        <v>103.3</v>
      </c>
      <c r="M1776">
        <v>199.4</v>
      </c>
      <c r="N1776">
        <v>57.1</v>
      </c>
      <c r="O1776" s="11">
        <f t="shared" si="1"/>
        <v>0.47</v>
      </c>
      <c r="P1776">
        <v>5.97</v>
      </c>
    </row>
    <row r="1777" spans="1:16">
      <c r="A1777" s="1" t="s">
        <v>5522</v>
      </c>
      <c r="B1777" s="1" t="s">
        <v>1836</v>
      </c>
      <c r="C1777" s="1" t="s">
        <v>18</v>
      </c>
      <c r="D1777" s="1" t="s">
        <v>19</v>
      </c>
      <c r="E1777" s="1" t="s">
        <v>1804</v>
      </c>
      <c r="F1777">
        <v>7020</v>
      </c>
      <c r="G1777" s="11">
        <f>36.52/2</f>
        <v>18.260000000000002</v>
      </c>
      <c r="H1777" s="11">
        <f t="shared" si="2"/>
        <v>18.63</v>
      </c>
      <c r="I1777">
        <v>613</v>
      </c>
      <c r="J1777" s="11">
        <f t="shared" si="0"/>
        <v>1.7</v>
      </c>
      <c r="K1777">
        <v>361.2</v>
      </c>
      <c r="L1777">
        <v>116.1</v>
      </c>
      <c r="M1777">
        <v>208.8</v>
      </c>
      <c r="N1777">
        <v>62.5</v>
      </c>
      <c r="O1777" s="11">
        <f t="shared" si="1"/>
        <v>0.47</v>
      </c>
      <c r="P1777">
        <v>5.59</v>
      </c>
    </row>
    <row r="1778" spans="1:16">
      <c r="A1778" s="1" t="s">
        <v>5522</v>
      </c>
      <c r="B1778" s="1" t="s">
        <v>1837</v>
      </c>
      <c r="C1778" s="1" t="s">
        <v>18</v>
      </c>
      <c r="D1778" s="1" t="s">
        <v>19</v>
      </c>
      <c r="E1778" s="1" t="s">
        <v>1804</v>
      </c>
      <c r="F1778">
        <v>7610</v>
      </c>
      <c r="G1778">
        <v>40.6</v>
      </c>
      <c r="H1778" s="11">
        <f t="shared" si="2"/>
        <v>18.63</v>
      </c>
      <c r="I1778">
        <v>618</v>
      </c>
      <c r="J1778" s="11">
        <f t="shared" si="0"/>
        <v>1.7</v>
      </c>
      <c r="K1778">
        <v>401</v>
      </c>
      <c r="L1778">
        <v>111.1</v>
      </c>
      <c r="M1778">
        <v>194.9</v>
      </c>
      <c r="N1778">
        <v>62.3</v>
      </c>
      <c r="O1778" s="11">
        <f t="shared" si="1"/>
        <v>0.47</v>
      </c>
      <c r="P1778">
        <v>5.76</v>
      </c>
    </row>
    <row r="1779" spans="1:16">
      <c r="A1779" s="1" t="s">
        <v>5522</v>
      </c>
      <c r="B1779" s="1" t="s">
        <v>1838</v>
      </c>
      <c r="C1779" s="1" t="s">
        <v>18</v>
      </c>
      <c r="D1779" s="1" t="s">
        <v>19</v>
      </c>
      <c r="E1779" s="1" t="s">
        <v>1804</v>
      </c>
      <c r="F1779">
        <v>7710</v>
      </c>
      <c r="G1779" s="11">
        <f>36.52/2</f>
        <v>18.260000000000002</v>
      </c>
      <c r="H1779" s="11">
        <f t="shared" si="2"/>
        <v>18.63</v>
      </c>
      <c r="I1779">
        <v>593</v>
      </c>
      <c r="J1779" s="11">
        <f t="shared" si="0"/>
        <v>1.7</v>
      </c>
      <c r="K1779">
        <v>402.3</v>
      </c>
      <c r="L1779">
        <v>107.6</v>
      </c>
      <c r="M1779">
        <v>208.8</v>
      </c>
      <c r="N1779">
        <v>57.9</v>
      </c>
      <c r="O1779" s="11">
        <f t="shared" si="1"/>
        <v>0.47</v>
      </c>
      <c r="P1779">
        <v>5.92</v>
      </c>
    </row>
    <row r="1780" spans="1:16">
      <c r="A1780" s="1" t="s">
        <v>5522</v>
      </c>
      <c r="B1780" s="1" t="s">
        <v>1839</v>
      </c>
      <c r="C1780" s="1" t="s">
        <v>18</v>
      </c>
      <c r="D1780" s="1" t="s">
        <v>19</v>
      </c>
      <c r="E1780" s="1" t="s">
        <v>1804</v>
      </c>
      <c r="F1780">
        <v>7690</v>
      </c>
      <c r="G1780" s="11">
        <f>36.52/2</f>
        <v>18.260000000000002</v>
      </c>
      <c r="H1780" s="11">
        <f t="shared" si="2"/>
        <v>18.63</v>
      </c>
      <c r="I1780">
        <v>611</v>
      </c>
      <c r="J1780" s="11">
        <f t="shared" si="0"/>
        <v>1.7</v>
      </c>
      <c r="K1780">
        <v>390.8</v>
      </c>
      <c r="L1780">
        <v>104.2</v>
      </c>
      <c r="M1780">
        <v>196</v>
      </c>
      <c r="N1780">
        <v>56.3</v>
      </c>
      <c r="O1780" s="11">
        <f t="shared" si="1"/>
        <v>0.47</v>
      </c>
      <c r="P1780">
        <v>6.03</v>
      </c>
    </row>
    <row r="1781" spans="1:16">
      <c r="A1781" s="1" t="s">
        <v>5522</v>
      </c>
      <c r="B1781" s="1" t="s">
        <v>1840</v>
      </c>
      <c r="C1781" s="1" t="s">
        <v>18</v>
      </c>
      <c r="D1781" s="1" t="s">
        <v>19</v>
      </c>
      <c r="E1781" s="1" t="s">
        <v>1804</v>
      </c>
      <c r="F1781">
        <v>6970</v>
      </c>
      <c r="G1781" s="11">
        <f>36.52/2</f>
        <v>18.260000000000002</v>
      </c>
      <c r="H1781" s="11">
        <f t="shared" si="2"/>
        <v>18.63</v>
      </c>
      <c r="I1781">
        <v>716</v>
      </c>
      <c r="J1781" s="11">
        <f t="shared" si="0"/>
        <v>1.7</v>
      </c>
      <c r="K1781">
        <v>396</v>
      </c>
      <c r="L1781">
        <v>107.2</v>
      </c>
      <c r="M1781">
        <v>206</v>
      </c>
      <c r="N1781">
        <v>52.7</v>
      </c>
      <c r="O1781" s="11">
        <f t="shared" si="1"/>
        <v>0.47</v>
      </c>
      <c r="P1781">
        <v>4.96</v>
      </c>
    </row>
    <row r="1782" spans="1:16">
      <c r="A1782" s="1" t="s">
        <v>5522</v>
      </c>
      <c r="B1782" s="1" t="s">
        <v>1841</v>
      </c>
      <c r="C1782" s="1" t="s">
        <v>18</v>
      </c>
      <c r="D1782" s="1" t="s">
        <v>19</v>
      </c>
      <c r="E1782" s="1" t="s">
        <v>1804</v>
      </c>
      <c r="F1782">
        <v>8460</v>
      </c>
      <c r="G1782">
        <v>247</v>
      </c>
      <c r="H1782">
        <v>53.9</v>
      </c>
      <c r="I1782">
        <v>891</v>
      </c>
      <c r="J1782" s="11">
        <f t="shared" si="0"/>
        <v>1.7</v>
      </c>
      <c r="K1782">
        <v>73.599999999999994</v>
      </c>
      <c r="L1782">
        <v>106.7</v>
      </c>
      <c r="M1782">
        <v>276</v>
      </c>
      <c r="N1782">
        <v>12.2</v>
      </c>
      <c r="O1782">
        <v>1.43</v>
      </c>
      <c r="P1782">
        <v>5.48</v>
      </c>
    </row>
    <row r="1783" spans="1:16">
      <c r="A1783" s="1" t="s">
        <v>5522</v>
      </c>
      <c r="B1783" s="1" t="s">
        <v>1842</v>
      </c>
      <c r="C1783" s="1" t="s">
        <v>18</v>
      </c>
      <c r="D1783" s="1" t="s">
        <v>19</v>
      </c>
      <c r="E1783" s="1" t="s">
        <v>1804</v>
      </c>
      <c r="F1783">
        <v>12170</v>
      </c>
      <c r="G1783">
        <v>320</v>
      </c>
      <c r="H1783">
        <v>56</v>
      </c>
      <c r="I1783">
        <v>800</v>
      </c>
      <c r="J1783" s="11">
        <f t="shared" si="0"/>
        <v>1.7</v>
      </c>
      <c r="K1783">
        <v>130.1</v>
      </c>
      <c r="L1783">
        <v>99.7</v>
      </c>
      <c r="M1783">
        <v>279</v>
      </c>
      <c r="N1783">
        <v>15.1</v>
      </c>
      <c r="O1783">
        <v>1.57</v>
      </c>
      <c r="P1783">
        <v>5.86</v>
      </c>
    </row>
    <row r="1784" spans="1:16">
      <c r="A1784" s="1" t="s">
        <v>5522</v>
      </c>
      <c r="B1784" s="1" t="s">
        <v>1843</v>
      </c>
      <c r="C1784" s="1" t="s">
        <v>18</v>
      </c>
      <c r="D1784" s="1" t="s">
        <v>19</v>
      </c>
      <c r="E1784" s="1" t="s">
        <v>1804</v>
      </c>
      <c r="F1784">
        <v>1680</v>
      </c>
      <c r="G1784">
        <v>451</v>
      </c>
      <c r="H1784">
        <v>132</v>
      </c>
      <c r="I1784">
        <v>937</v>
      </c>
      <c r="J1784" s="11">
        <f t="shared" si="0"/>
        <v>1.7</v>
      </c>
      <c r="K1784">
        <v>36.6</v>
      </c>
      <c r="L1784">
        <v>103</v>
      </c>
      <c r="M1784">
        <v>295</v>
      </c>
      <c r="N1784">
        <f>5.57/2</f>
        <v>2.7850000000000001</v>
      </c>
      <c r="O1784">
        <v>2.16</v>
      </c>
      <c r="P1784">
        <v>5.29</v>
      </c>
    </row>
    <row r="1785" spans="1:16">
      <c r="A1785" s="1" t="s">
        <v>5522</v>
      </c>
      <c r="B1785" s="1" t="s">
        <v>1844</v>
      </c>
      <c r="C1785" s="1" t="s">
        <v>18</v>
      </c>
      <c r="D1785" s="1" t="s">
        <v>19</v>
      </c>
      <c r="E1785" s="1" t="s">
        <v>1804</v>
      </c>
      <c r="F1785">
        <v>2630</v>
      </c>
      <c r="G1785">
        <v>470</v>
      </c>
      <c r="H1785">
        <v>143</v>
      </c>
      <c r="I1785">
        <v>978</v>
      </c>
      <c r="J1785" s="11">
        <f t="shared" si="0"/>
        <v>1.7</v>
      </c>
      <c r="K1785">
        <v>53.7</v>
      </c>
      <c r="L1785">
        <v>102.2</v>
      </c>
      <c r="M1785">
        <v>303</v>
      </c>
      <c r="N1785" s="11">
        <f>5.57/2</f>
        <v>2.7850000000000001</v>
      </c>
      <c r="O1785">
        <v>2.13</v>
      </c>
      <c r="P1785">
        <v>5.76</v>
      </c>
    </row>
    <row r="1786" spans="1:16">
      <c r="A1786" s="1" t="s">
        <v>5522</v>
      </c>
      <c r="B1786" s="1" t="s">
        <v>1845</v>
      </c>
      <c r="C1786" s="1" t="s">
        <v>18</v>
      </c>
      <c r="D1786" s="1" t="s">
        <v>19</v>
      </c>
      <c r="E1786" s="1" t="s">
        <v>1804</v>
      </c>
      <c r="F1786">
        <v>6400</v>
      </c>
      <c r="G1786">
        <v>852</v>
      </c>
      <c r="H1786">
        <v>137</v>
      </c>
      <c r="I1786">
        <v>1030</v>
      </c>
      <c r="J1786" s="11">
        <f t="shared" si="0"/>
        <v>1.7</v>
      </c>
      <c r="K1786">
        <v>112.1</v>
      </c>
      <c r="L1786">
        <v>99.5</v>
      </c>
      <c r="M1786">
        <v>251</v>
      </c>
      <c r="N1786">
        <v>10.9</v>
      </c>
      <c r="O1786">
        <v>3.12</v>
      </c>
      <c r="P1786">
        <v>5.72</v>
      </c>
    </row>
    <row r="1787" spans="1:16">
      <c r="A1787" s="1" t="s">
        <v>5522</v>
      </c>
      <c r="B1787" s="1" t="s">
        <v>1846</v>
      </c>
      <c r="C1787" s="1" t="s">
        <v>18</v>
      </c>
      <c r="D1787" s="1" t="s">
        <v>19</v>
      </c>
      <c r="E1787" s="1" t="s">
        <v>1804</v>
      </c>
      <c r="F1787">
        <v>7140</v>
      </c>
      <c r="G1787">
        <v>905</v>
      </c>
      <c r="H1787">
        <v>150</v>
      </c>
      <c r="I1787">
        <v>962</v>
      </c>
      <c r="J1787" s="11">
        <f t="shared" si="0"/>
        <v>1.7</v>
      </c>
      <c r="K1787">
        <v>117.9</v>
      </c>
      <c r="L1787">
        <v>98.1</v>
      </c>
      <c r="M1787">
        <v>254</v>
      </c>
      <c r="N1787">
        <v>9.6999999999999993</v>
      </c>
      <c r="O1787">
        <v>2.58</v>
      </c>
      <c r="P1787">
        <v>5.5</v>
      </c>
    </row>
    <row r="1788" spans="1:16">
      <c r="A1788" s="1" t="s">
        <v>5522</v>
      </c>
      <c r="B1788" s="1" t="s">
        <v>1847</v>
      </c>
      <c r="C1788" s="1" t="s">
        <v>18</v>
      </c>
      <c r="D1788" s="1" t="s">
        <v>19</v>
      </c>
      <c r="E1788" s="1" t="s">
        <v>1804</v>
      </c>
      <c r="F1788">
        <v>6590</v>
      </c>
      <c r="G1788">
        <v>786</v>
      </c>
      <c r="H1788">
        <v>166</v>
      </c>
      <c r="I1788">
        <v>943</v>
      </c>
      <c r="J1788" s="11">
        <f t="shared" si="0"/>
        <v>1.7</v>
      </c>
      <c r="K1788">
        <v>64.2</v>
      </c>
      <c r="L1788">
        <v>103.5</v>
      </c>
      <c r="M1788">
        <v>254.3</v>
      </c>
      <c r="N1788">
        <v>16.3</v>
      </c>
      <c r="O1788">
        <v>1.94</v>
      </c>
      <c r="P1788">
        <v>7</v>
      </c>
    </row>
    <row r="1789" spans="1:16">
      <c r="A1789" s="1" t="s">
        <v>5522</v>
      </c>
      <c r="B1789" s="1" t="s">
        <v>1848</v>
      </c>
      <c r="C1789" s="1" t="s">
        <v>18</v>
      </c>
      <c r="D1789" s="1" t="s">
        <v>19</v>
      </c>
      <c r="E1789" s="1" t="s">
        <v>1804</v>
      </c>
      <c r="F1789">
        <v>6950</v>
      </c>
      <c r="G1789">
        <v>843</v>
      </c>
      <c r="H1789">
        <v>161</v>
      </c>
      <c r="I1789">
        <v>890</v>
      </c>
      <c r="J1789" s="11">
        <f t="shared" si="0"/>
        <v>1.7</v>
      </c>
      <c r="K1789">
        <v>30.4</v>
      </c>
      <c r="L1789">
        <v>106.2</v>
      </c>
      <c r="M1789">
        <v>251</v>
      </c>
      <c r="N1789">
        <v>41.6</v>
      </c>
      <c r="O1789">
        <v>1.2</v>
      </c>
      <c r="P1789">
        <v>6.35</v>
      </c>
    </row>
    <row r="1790" spans="1:16">
      <c r="A1790" s="1" t="s">
        <v>5522</v>
      </c>
      <c r="B1790" s="1" t="s">
        <v>1849</v>
      </c>
      <c r="C1790" s="1" t="s">
        <v>18</v>
      </c>
      <c r="D1790" s="1" t="s">
        <v>19</v>
      </c>
      <c r="E1790" s="1" t="s">
        <v>1804</v>
      </c>
      <c r="F1790">
        <v>9430</v>
      </c>
      <c r="G1790" s="11">
        <f>36.52/2</f>
        <v>18.260000000000002</v>
      </c>
      <c r="H1790" s="11">
        <f>37.26/2</f>
        <v>18.63</v>
      </c>
      <c r="I1790">
        <v>637</v>
      </c>
      <c r="J1790" s="11">
        <f t="shared" si="0"/>
        <v>1.7</v>
      </c>
      <c r="K1790">
        <v>427</v>
      </c>
      <c r="L1790">
        <v>127</v>
      </c>
      <c r="M1790">
        <v>241</v>
      </c>
      <c r="N1790">
        <v>74.2</v>
      </c>
      <c r="O1790" s="11">
        <f t="shared" ref="O1790:O1792" si="3">0.94/2</f>
        <v>0.47</v>
      </c>
      <c r="P1790">
        <v>8.6999999999999993</v>
      </c>
    </row>
    <row r="1791" spans="1:16">
      <c r="A1791" s="1" t="s">
        <v>5522</v>
      </c>
      <c r="B1791" s="1" t="s">
        <v>1850</v>
      </c>
      <c r="C1791" s="1" t="s">
        <v>18</v>
      </c>
      <c r="D1791" s="1" t="s">
        <v>19</v>
      </c>
      <c r="E1791" s="1" t="s">
        <v>1804</v>
      </c>
      <c r="F1791">
        <v>2480</v>
      </c>
      <c r="G1791">
        <v>517</v>
      </c>
      <c r="H1791">
        <v>76</v>
      </c>
      <c r="I1791">
        <v>739</v>
      </c>
      <c r="J1791" s="11">
        <f t="shared" si="0"/>
        <v>1.7</v>
      </c>
      <c r="K1791">
        <v>30.5</v>
      </c>
      <c r="L1791">
        <v>94.6</v>
      </c>
      <c r="M1791">
        <v>265</v>
      </c>
      <c r="N1791">
        <v>15.6</v>
      </c>
      <c r="O1791" s="11">
        <f t="shared" si="3"/>
        <v>0.47</v>
      </c>
      <c r="P1791">
        <v>6.3</v>
      </c>
    </row>
    <row r="1792" spans="1:16">
      <c r="A1792" s="1" t="s">
        <v>5522</v>
      </c>
      <c r="B1792" s="1" t="s">
        <v>1851</v>
      </c>
      <c r="C1792" s="1" t="s">
        <v>18</v>
      </c>
      <c r="D1792" s="1" t="s">
        <v>19</v>
      </c>
      <c r="E1792" s="1" t="s">
        <v>1804</v>
      </c>
      <c r="F1792">
        <v>2119</v>
      </c>
      <c r="G1792">
        <v>540</v>
      </c>
      <c r="H1792">
        <v>79.2</v>
      </c>
      <c r="I1792">
        <v>751</v>
      </c>
      <c r="J1792" s="11">
        <f t="shared" si="0"/>
        <v>1.7</v>
      </c>
      <c r="K1792">
        <v>31</v>
      </c>
      <c r="L1792">
        <v>88.4</v>
      </c>
      <c r="M1792">
        <v>256</v>
      </c>
      <c r="N1792">
        <v>18.399999999999999</v>
      </c>
      <c r="O1792" s="11">
        <f t="shared" si="3"/>
        <v>0.47</v>
      </c>
      <c r="P1792">
        <v>6.94</v>
      </c>
    </row>
    <row r="1793" spans="1:16">
      <c r="A1793" s="1" t="s">
        <v>5522</v>
      </c>
      <c r="B1793" s="1" t="s">
        <v>1852</v>
      </c>
      <c r="C1793" s="1" t="s">
        <v>18</v>
      </c>
      <c r="D1793" s="1" t="s">
        <v>19</v>
      </c>
      <c r="E1793" s="1" t="s">
        <v>1804</v>
      </c>
      <c r="F1793">
        <v>7160</v>
      </c>
      <c r="G1793">
        <v>1424</v>
      </c>
      <c r="H1793">
        <v>161</v>
      </c>
      <c r="I1793">
        <v>814</v>
      </c>
      <c r="J1793" s="11">
        <f t="shared" si="0"/>
        <v>1.7</v>
      </c>
      <c r="K1793">
        <v>208</v>
      </c>
      <c r="L1793">
        <v>98.5</v>
      </c>
      <c r="M1793">
        <v>283</v>
      </c>
      <c r="N1793">
        <v>33.200000000000003</v>
      </c>
      <c r="O1793">
        <v>2.61</v>
      </c>
      <c r="P1793">
        <v>6.97</v>
      </c>
    </row>
    <row r="1794" spans="1:16">
      <c r="A1794" s="1" t="s">
        <v>5522</v>
      </c>
      <c r="B1794" s="1" t="s">
        <v>1853</v>
      </c>
      <c r="C1794" s="1" t="s">
        <v>18</v>
      </c>
      <c r="D1794" s="1" t="s">
        <v>19</v>
      </c>
      <c r="E1794" s="1" t="s">
        <v>1804</v>
      </c>
      <c r="F1794">
        <v>6800</v>
      </c>
      <c r="G1794">
        <v>1288</v>
      </c>
      <c r="H1794">
        <v>150</v>
      </c>
      <c r="I1794">
        <v>823</v>
      </c>
      <c r="J1794" s="11">
        <f t="shared" si="0"/>
        <v>1.7</v>
      </c>
      <c r="K1794">
        <v>204.4</v>
      </c>
      <c r="L1794">
        <v>102.4</v>
      </c>
      <c r="M1794">
        <v>265</v>
      </c>
      <c r="N1794">
        <v>33.299999999999997</v>
      </c>
      <c r="O1794">
        <v>2.2999999999999998</v>
      </c>
      <c r="P1794">
        <v>5.85</v>
      </c>
    </row>
    <row r="1795" spans="1:16">
      <c r="A1795" s="1" t="s">
        <v>5522</v>
      </c>
      <c r="B1795" s="1" t="s">
        <v>1854</v>
      </c>
      <c r="C1795" s="1" t="s">
        <v>18</v>
      </c>
      <c r="D1795" s="1" t="s">
        <v>19</v>
      </c>
      <c r="E1795" s="1" t="s">
        <v>1804</v>
      </c>
      <c r="F1795">
        <v>7800</v>
      </c>
      <c r="G1795">
        <v>80.099999999999994</v>
      </c>
      <c r="H1795" s="11">
        <f t="shared" ref="H1795:H1802" si="4">37.26/2</f>
        <v>18.63</v>
      </c>
      <c r="I1795">
        <v>774</v>
      </c>
      <c r="J1795" s="11">
        <f t="shared" si="0"/>
        <v>1.7</v>
      </c>
      <c r="K1795">
        <v>430</v>
      </c>
      <c r="L1795">
        <v>118</v>
      </c>
      <c r="M1795">
        <v>219</v>
      </c>
      <c r="N1795">
        <v>41.3</v>
      </c>
      <c r="O1795" s="11">
        <f t="shared" ref="O1795:O1802" si="5">0.94/2</f>
        <v>0.47</v>
      </c>
      <c r="P1795">
        <v>12.7</v>
      </c>
    </row>
    <row r="1796" spans="1:16">
      <c r="A1796" s="1" t="s">
        <v>5522</v>
      </c>
      <c r="B1796" s="1" t="s">
        <v>1855</v>
      </c>
      <c r="C1796" s="1" t="s">
        <v>18</v>
      </c>
      <c r="D1796" s="1" t="s">
        <v>19</v>
      </c>
      <c r="E1796" s="1" t="s">
        <v>1804</v>
      </c>
      <c r="F1796">
        <v>8230</v>
      </c>
      <c r="G1796">
        <v>75.099999999999994</v>
      </c>
      <c r="H1796" s="11">
        <f t="shared" si="4"/>
        <v>18.63</v>
      </c>
      <c r="I1796">
        <v>711</v>
      </c>
      <c r="J1796" s="11">
        <f t="shared" si="0"/>
        <v>1.7</v>
      </c>
      <c r="K1796">
        <v>418</v>
      </c>
      <c r="L1796">
        <v>111.5</v>
      </c>
      <c r="M1796">
        <v>225</v>
      </c>
      <c r="N1796">
        <v>39</v>
      </c>
      <c r="O1796" s="11">
        <f t="shared" si="5"/>
        <v>0.47</v>
      </c>
      <c r="P1796">
        <v>15.2</v>
      </c>
    </row>
    <row r="1797" spans="1:16">
      <c r="A1797" s="1" t="s">
        <v>5522</v>
      </c>
      <c r="B1797" s="1" t="s">
        <v>1856</v>
      </c>
      <c r="C1797" s="1" t="s">
        <v>18</v>
      </c>
      <c r="D1797" s="1" t="s">
        <v>19</v>
      </c>
      <c r="E1797" s="1" t="s">
        <v>1804</v>
      </c>
      <c r="F1797">
        <v>8650</v>
      </c>
      <c r="G1797">
        <v>78.900000000000006</v>
      </c>
      <c r="H1797" s="11">
        <f t="shared" si="4"/>
        <v>18.63</v>
      </c>
      <c r="I1797">
        <v>683</v>
      </c>
      <c r="J1797" s="11">
        <f t="shared" si="0"/>
        <v>1.7</v>
      </c>
      <c r="K1797">
        <v>434</v>
      </c>
      <c r="L1797">
        <v>114.8</v>
      </c>
      <c r="M1797">
        <v>217.1</v>
      </c>
      <c r="N1797">
        <v>43.4</v>
      </c>
      <c r="O1797" s="11">
        <f t="shared" si="5"/>
        <v>0.47</v>
      </c>
      <c r="P1797">
        <v>14.84</v>
      </c>
    </row>
    <row r="1798" spans="1:16">
      <c r="A1798" s="1" t="s">
        <v>5522</v>
      </c>
      <c r="B1798" s="1" t="s">
        <v>1857</v>
      </c>
      <c r="C1798" s="1" t="s">
        <v>18</v>
      </c>
      <c r="D1798" s="1" t="s">
        <v>19</v>
      </c>
      <c r="E1798" s="1" t="s">
        <v>1804</v>
      </c>
      <c r="F1798">
        <v>7110</v>
      </c>
      <c r="G1798">
        <v>58.5</v>
      </c>
      <c r="H1798" s="11">
        <f t="shared" si="4"/>
        <v>18.63</v>
      </c>
      <c r="I1798">
        <v>650</v>
      </c>
      <c r="J1798" s="11">
        <f t="shared" si="0"/>
        <v>1.7</v>
      </c>
      <c r="K1798">
        <v>399</v>
      </c>
      <c r="L1798">
        <v>100.8</v>
      </c>
      <c r="M1798">
        <v>211</v>
      </c>
      <c r="N1798">
        <v>40.4</v>
      </c>
      <c r="O1798" s="11">
        <f t="shared" si="5"/>
        <v>0.47</v>
      </c>
      <c r="P1798">
        <v>12.61</v>
      </c>
    </row>
    <row r="1799" spans="1:16">
      <c r="A1799" s="1" t="s">
        <v>5522</v>
      </c>
      <c r="B1799" s="1" t="s">
        <v>1858</v>
      </c>
      <c r="C1799" s="1" t="s">
        <v>18</v>
      </c>
      <c r="D1799" s="1" t="s">
        <v>19</v>
      </c>
      <c r="E1799" s="1" t="s">
        <v>1804</v>
      </c>
      <c r="F1799">
        <v>8190</v>
      </c>
      <c r="G1799">
        <v>65.5</v>
      </c>
      <c r="H1799" s="11">
        <f t="shared" si="4"/>
        <v>18.63</v>
      </c>
      <c r="I1799">
        <v>715</v>
      </c>
      <c r="J1799" s="11">
        <f t="shared" si="0"/>
        <v>1.7</v>
      </c>
      <c r="K1799">
        <v>417</v>
      </c>
      <c r="L1799">
        <v>108.8</v>
      </c>
      <c r="M1799">
        <v>210.4</v>
      </c>
      <c r="N1799">
        <v>40.1</v>
      </c>
      <c r="O1799" s="11">
        <f t="shared" si="5"/>
        <v>0.47</v>
      </c>
      <c r="P1799">
        <v>15.27</v>
      </c>
    </row>
    <row r="1800" spans="1:16">
      <c r="A1800" s="1" t="s">
        <v>5522</v>
      </c>
      <c r="B1800" s="1" t="s">
        <v>1859</v>
      </c>
      <c r="C1800" s="1" t="s">
        <v>18</v>
      </c>
      <c r="D1800" s="1" t="s">
        <v>19</v>
      </c>
      <c r="E1800" s="1" t="s">
        <v>1804</v>
      </c>
      <c r="F1800">
        <v>8090</v>
      </c>
      <c r="G1800">
        <v>65</v>
      </c>
      <c r="H1800" s="11">
        <f t="shared" si="4"/>
        <v>18.63</v>
      </c>
      <c r="I1800">
        <v>711</v>
      </c>
      <c r="J1800" s="11">
        <f t="shared" si="0"/>
        <v>1.7</v>
      </c>
      <c r="K1800">
        <v>422</v>
      </c>
      <c r="L1800">
        <v>111.3</v>
      </c>
      <c r="M1800">
        <v>215</v>
      </c>
      <c r="N1800">
        <v>42.8</v>
      </c>
      <c r="O1800" s="11">
        <f t="shared" si="5"/>
        <v>0.47</v>
      </c>
      <c r="P1800">
        <v>13.73</v>
      </c>
    </row>
    <row r="1801" spans="1:16">
      <c r="A1801" s="1" t="s">
        <v>5522</v>
      </c>
      <c r="B1801" s="1" t="s">
        <v>1860</v>
      </c>
      <c r="C1801" s="1" t="s">
        <v>18</v>
      </c>
      <c r="D1801" s="1" t="s">
        <v>19</v>
      </c>
      <c r="E1801" s="1" t="s">
        <v>1804</v>
      </c>
      <c r="F1801">
        <v>6360</v>
      </c>
      <c r="G1801">
        <v>58</v>
      </c>
      <c r="H1801" s="11">
        <f t="shared" si="4"/>
        <v>18.63</v>
      </c>
      <c r="I1801">
        <v>709</v>
      </c>
      <c r="J1801" s="11">
        <f t="shared" si="0"/>
        <v>1.7</v>
      </c>
      <c r="K1801">
        <v>402</v>
      </c>
      <c r="L1801">
        <v>109.5</v>
      </c>
      <c r="M1801">
        <v>206.3</v>
      </c>
      <c r="N1801">
        <v>43.5</v>
      </c>
      <c r="O1801" s="11">
        <f t="shared" si="5"/>
        <v>0.47</v>
      </c>
      <c r="P1801">
        <v>13.43</v>
      </c>
    </row>
    <row r="1802" spans="1:16">
      <c r="A1802" s="1" t="s">
        <v>5522</v>
      </c>
      <c r="B1802" s="1" t="s">
        <v>1861</v>
      </c>
      <c r="C1802" s="1" t="s">
        <v>18</v>
      </c>
      <c r="D1802" s="1" t="s">
        <v>19</v>
      </c>
      <c r="E1802" s="1" t="s">
        <v>1804</v>
      </c>
      <c r="F1802">
        <v>7700</v>
      </c>
      <c r="G1802">
        <v>68</v>
      </c>
      <c r="H1802" s="11">
        <f t="shared" si="4"/>
        <v>18.63</v>
      </c>
      <c r="I1802">
        <v>690</v>
      </c>
      <c r="J1802" s="11">
        <f t="shared" si="0"/>
        <v>1.7</v>
      </c>
      <c r="K1802">
        <v>418</v>
      </c>
      <c r="L1802">
        <v>109.3</v>
      </c>
      <c r="M1802">
        <v>214.1</v>
      </c>
      <c r="N1802">
        <v>41.5</v>
      </c>
      <c r="O1802" s="11">
        <f t="shared" si="5"/>
        <v>0.47</v>
      </c>
      <c r="P1802">
        <v>14.61</v>
      </c>
    </row>
    <row r="1803" spans="1:16">
      <c r="A1803" s="1" t="s">
        <v>5522</v>
      </c>
      <c r="B1803" s="1" t="s">
        <v>1862</v>
      </c>
      <c r="C1803" s="1" t="s">
        <v>18</v>
      </c>
      <c r="D1803" s="1" t="s">
        <v>19</v>
      </c>
      <c r="E1803" s="1" t="s">
        <v>1804</v>
      </c>
      <c r="F1803">
        <v>5350</v>
      </c>
      <c r="G1803">
        <v>690</v>
      </c>
      <c r="H1803">
        <v>118</v>
      </c>
      <c r="I1803">
        <v>1200</v>
      </c>
      <c r="J1803" s="11">
        <f t="shared" si="0"/>
        <v>1.7</v>
      </c>
      <c r="K1803">
        <v>240</v>
      </c>
      <c r="L1803">
        <v>101.8</v>
      </c>
      <c r="M1803">
        <v>276</v>
      </c>
      <c r="N1803">
        <v>20.3</v>
      </c>
      <c r="O1803">
        <v>2.65</v>
      </c>
      <c r="P1803">
        <v>4.76</v>
      </c>
    </row>
    <row r="1804" spans="1:16">
      <c r="A1804" s="1" t="s">
        <v>5522</v>
      </c>
      <c r="B1804" s="1" t="s">
        <v>1863</v>
      </c>
      <c r="C1804" s="1" t="s">
        <v>18</v>
      </c>
      <c r="D1804" s="1" t="s">
        <v>19</v>
      </c>
      <c r="E1804" s="1" t="s">
        <v>1804</v>
      </c>
      <c r="F1804">
        <v>5800</v>
      </c>
      <c r="G1804">
        <v>691</v>
      </c>
      <c r="H1804">
        <v>128</v>
      </c>
      <c r="I1804">
        <v>1205</v>
      </c>
      <c r="J1804" s="11">
        <f t="shared" si="0"/>
        <v>1.7</v>
      </c>
      <c r="K1804">
        <v>221.9</v>
      </c>
      <c r="L1804">
        <v>101</v>
      </c>
      <c r="M1804">
        <v>273</v>
      </c>
      <c r="N1804">
        <v>20.6</v>
      </c>
      <c r="O1804">
        <v>3.16</v>
      </c>
      <c r="P1804">
        <v>5.35</v>
      </c>
    </row>
    <row r="1805" spans="1:16">
      <c r="A1805" s="1" t="s">
        <v>5522</v>
      </c>
      <c r="B1805" s="1" t="s">
        <v>1864</v>
      </c>
      <c r="C1805" s="1" t="s">
        <v>18</v>
      </c>
      <c r="D1805" s="1" t="s">
        <v>19</v>
      </c>
      <c r="E1805" s="1" t="s">
        <v>1804</v>
      </c>
      <c r="F1805">
        <v>9300</v>
      </c>
      <c r="G1805" s="11">
        <f>36.52/2</f>
        <v>18.260000000000002</v>
      </c>
      <c r="H1805">
        <v>82</v>
      </c>
      <c r="I1805">
        <v>972</v>
      </c>
      <c r="J1805" s="11">
        <f t="shared" si="0"/>
        <v>1.7</v>
      </c>
      <c r="K1805">
        <v>321</v>
      </c>
      <c r="L1805">
        <v>104</v>
      </c>
      <c r="M1805">
        <v>249</v>
      </c>
      <c r="N1805">
        <v>30.6</v>
      </c>
      <c r="O1805">
        <v>1.1000000000000001</v>
      </c>
      <c r="P1805">
        <v>7.04</v>
      </c>
    </row>
    <row r="1806" spans="1:16">
      <c r="A1806" s="1" t="s">
        <v>5522</v>
      </c>
      <c r="B1806" s="1" t="s">
        <v>1865</v>
      </c>
      <c r="C1806" s="1" t="s">
        <v>18</v>
      </c>
      <c r="D1806" s="1" t="s">
        <v>19</v>
      </c>
      <c r="E1806" s="1" t="s">
        <v>1804</v>
      </c>
      <c r="F1806">
        <v>6010</v>
      </c>
      <c r="G1806">
        <v>663.86129032258054</v>
      </c>
      <c r="H1806">
        <v>58.7</v>
      </c>
      <c r="I1806">
        <v>1282</v>
      </c>
      <c r="J1806" s="11">
        <f t="shared" si="0"/>
        <v>1.7</v>
      </c>
      <c r="K1806">
        <v>349</v>
      </c>
      <c r="L1806">
        <v>109.8</v>
      </c>
      <c r="M1806">
        <v>283</v>
      </c>
      <c r="N1806">
        <v>39</v>
      </c>
      <c r="O1806">
        <v>1.42</v>
      </c>
      <c r="P1806">
        <v>6.16</v>
      </c>
    </row>
    <row r="1807" spans="1:16">
      <c r="A1807" s="1" t="s">
        <v>5522</v>
      </c>
      <c r="B1807" s="1" t="s">
        <v>1866</v>
      </c>
      <c r="C1807" s="1" t="s">
        <v>18</v>
      </c>
      <c r="D1807" s="1" t="s">
        <v>19</v>
      </c>
      <c r="E1807" s="1" t="s">
        <v>1804</v>
      </c>
      <c r="F1807">
        <v>6190</v>
      </c>
      <c r="G1807">
        <v>2161</v>
      </c>
      <c r="H1807">
        <v>62</v>
      </c>
      <c r="I1807">
        <v>1360</v>
      </c>
      <c r="J1807" s="11">
        <f t="shared" si="0"/>
        <v>1.7</v>
      </c>
      <c r="K1807">
        <v>330</v>
      </c>
      <c r="L1807">
        <v>108.7</v>
      </c>
      <c r="M1807">
        <v>285</v>
      </c>
      <c r="N1807">
        <v>32.200000000000003</v>
      </c>
      <c r="O1807">
        <v>1.51</v>
      </c>
      <c r="P1807">
        <v>5.89</v>
      </c>
    </row>
    <row r="1808" spans="1:16">
      <c r="A1808" s="1" t="s">
        <v>5522</v>
      </c>
      <c r="B1808" s="1" t="s">
        <v>1867</v>
      </c>
      <c r="C1808" s="1" t="s">
        <v>18</v>
      </c>
      <c r="D1808" s="1" t="s">
        <v>19</v>
      </c>
      <c r="E1808" s="1" t="s">
        <v>1804</v>
      </c>
      <c r="F1808">
        <v>6070</v>
      </c>
      <c r="G1808">
        <v>688.43260806998796</v>
      </c>
      <c r="H1808">
        <v>72</v>
      </c>
      <c r="I1808">
        <v>1300</v>
      </c>
      <c r="J1808" s="11">
        <f t="shared" ref="J1808:J1848" si="6">3.4/2</f>
        <v>1.7</v>
      </c>
      <c r="K1808">
        <v>320</v>
      </c>
      <c r="L1808">
        <v>102.4</v>
      </c>
      <c r="M1808">
        <v>278</v>
      </c>
      <c r="N1808">
        <v>33.799999999999997</v>
      </c>
      <c r="O1808">
        <v>1.2</v>
      </c>
      <c r="P1808">
        <v>5.47</v>
      </c>
    </row>
    <row r="1809" spans="1:16">
      <c r="A1809" s="1" t="s">
        <v>5522</v>
      </c>
      <c r="B1809" s="1" t="s">
        <v>1868</v>
      </c>
      <c r="C1809" s="1" t="s">
        <v>18</v>
      </c>
      <c r="D1809" s="1" t="s">
        <v>19</v>
      </c>
      <c r="E1809" s="1" t="s">
        <v>1804</v>
      </c>
      <c r="F1809">
        <v>7840</v>
      </c>
      <c r="G1809">
        <v>383</v>
      </c>
      <c r="H1809">
        <v>40.5</v>
      </c>
      <c r="I1809">
        <v>743</v>
      </c>
      <c r="J1809" s="11">
        <f t="shared" si="6"/>
        <v>1.7</v>
      </c>
      <c r="K1809">
        <v>154.5</v>
      </c>
      <c r="L1809">
        <v>101.9</v>
      </c>
      <c r="M1809">
        <v>247</v>
      </c>
      <c r="N1809">
        <v>21.6</v>
      </c>
      <c r="O1809" s="11">
        <f>0.94/2</f>
        <v>0.47</v>
      </c>
      <c r="P1809">
        <v>6.91</v>
      </c>
    </row>
    <row r="1810" spans="1:16">
      <c r="A1810" s="1" t="s">
        <v>5522</v>
      </c>
      <c r="B1810" s="1" t="s">
        <v>1869</v>
      </c>
      <c r="C1810" s="1" t="s">
        <v>18</v>
      </c>
      <c r="D1810" s="1" t="s">
        <v>19</v>
      </c>
      <c r="E1810" s="1" t="s">
        <v>1804</v>
      </c>
      <c r="F1810">
        <v>8620</v>
      </c>
      <c r="G1810">
        <v>407</v>
      </c>
      <c r="H1810">
        <v>139</v>
      </c>
      <c r="I1810">
        <v>934</v>
      </c>
      <c r="J1810" s="11">
        <f t="shared" si="6"/>
        <v>1.7</v>
      </c>
      <c r="K1810">
        <v>348</v>
      </c>
      <c r="L1810">
        <v>92.6</v>
      </c>
      <c r="M1810">
        <v>211</v>
      </c>
      <c r="N1810">
        <v>43</v>
      </c>
      <c r="O1810">
        <v>1.9</v>
      </c>
      <c r="P1810">
        <v>125</v>
      </c>
    </row>
    <row r="1811" spans="1:16">
      <c r="A1811" s="1" t="s">
        <v>5522</v>
      </c>
      <c r="B1811" s="1" t="s">
        <v>1870</v>
      </c>
      <c r="C1811" s="1" t="s">
        <v>18</v>
      </c>
      <c r="D1811" s="1" t="s">
        <v>19</v>
      </c>
      <c r="E1811" s="1" t="s">
        <v>1804</v>
      </c>
      <c r="F1811">
        <v>4430</v>
      </c>
      <c r="G1811">
        <v>420</v>
      </c>
      <c r="H1811">
        <v>178</v>
      </c>
      <c r="I1811">
        <v>1100</v>
      </c>
      <c r="J1811" s="11">
        <f t="shared" si="6"/>
        <v>1.7</v>
      </c>
      <c r="K1811">
        <v>367</v>
      </c>
      <c r="L1811">
        <v>101</v>
      </c>
      <c r="M1811">
        <v>232</v>
      </c>
      <c r="N1811">
        <v>45</v>
      </c>
      <c r="O1811">
        <v>2.0299999999999998</v>
      </c>
      <c r="P1811">
        <v>99.6</v>
      </c>
    </row>
    <row r="1812" spans="1:16">
      <c r="A1812" s="1" t="s">
        <v>5522</v>
      </c>
      <c r="B1812" s="1" t="s">
        <v>1871</v>
      </c>
      <c r="C1812" s="1" t="s">
        <v>18</v>
      </c>
      <c r="D1812" s="1" t="s">
        <v>19</v>
      </c>
      <c r="E1812" s="1" t="s">
        <v>1804</v>
      </c>
      <c r="F1812">
        <v>6540</v>
      </c>
      <c r="G1812">
        <v>430</v>
      </c>
      <c r="H1812">
        <v>1128</v>
      </c>
      <c r="I1812">
        <v>908</v>
      </c>
      <c r="J1812" s="11">
        <f t="shared" si="6"/>
        <v>1.7</v>
      </c>
      <c r="K1812">
        <v>306</v>
      </c>
      <c r="L1812">
        <v>110.5</v>
      </c>
      <c r="M1812">
        <v>302</v>
      </c>
      <c r="N1812">
        <v>48.9</v>
      </c>
      <c r="O1812">
        <v>3.39</v>
      </c>
      <c r="P1812">
        <v>7.49</v>
      </c>
    </row>
    <row r="1813" spans="1:16">
      <c r="A1813" s="1" t="s">
        <v>5522</v>
      </c>
      <c r="B1813" s="1" t="s">
        <v>1872</v>
      </c>
      <c r="C1813" s="1" t="s">
        <v>18</v>
      </c>
      <c r="D1813" s="1" t="s">
        <v>19</v>
      </c>
      <c r="E1813" s="1" t="s">
        <v>1804</v>
      </c>
      <c r="F1813">
        <v>5100</v>
      </c>
      <c r="G1813">
        <v>185</v>
      </c>
      <c r="H1813">
        <v>1015</v>
      </c>
      <c r="I1813">
        <v>847</v>
      </c>
      <c r="J1813" s="11">
        <f t="shared" si="6"/>
        <v>1.7</v>
      </c>
      <c r="K1813">
        <v>277</v>
      </c>
      <c r="L1813">
        <v>109.6</v>
      </c>
      <c r="M1813">
        <v>300</v>
      </c>
      <c r="N1813">
        <v>45.8</v>
      </c>
      <c r="O1813">
        <v>3</v>
      </c>
      <c r="P1813">
        <v>7.1</v>
      </c>
    </row>
    <row r="1814" spans="1:16">
      <c r="A1814" s="1" t="s">
        <v>5522</v>
      </c>
      <c r="B1814" s="1" t="s">
        <v>1873</v>
      </c>
      <c r="C1814" s="1" t="s">
        <v>18</v>
      </c>
      <c r="D1814" s="1" t="s">
        <v>19</v>
      </c>
      <c r="E1814" s="1" t="s">
        <v>1804</v>
      </c>
      <c r="F1814">
        <v>7440</v>
      </c>
      <c r="G1814">
        <v>424</v>
      </c>
      <c r="H1814">
        <v>1069</v>
      </c>
      <c r="I1814">
        <v>833</v>
      </c>
      <c r="J1814" s="11">
        <f t="shared" si="6"/>
        <v>1.7</v>
      </c>
      <c r="K1814">
        <v>417</v>
      </c>
      <c r="L1814">
        <v>105.2</v>
      </c>
      <c r="M1814">
        <v>286</v>
      </c>
      <c r="N1814">
        <v>47.4</v>
      </c>
      <c r="O1814">
        <v>2.86</v>
      </c>
      <c r="P1814">
        <v>6.33</v>
      </c>
    </row>
    <row r="1815" spans="1:16">
      <c r="A1815" s="1" t="s">
        <v>5522</v>
      </c>
      <c r="B1815" s="1" t="s">
        <v>1874</v>
      </c>
      <c r="C1815" s="1" t="s">
        <v>18</v>
      </c>
      <c r="D1815" s="1" t="s">
        <v>19</v>
      </c>
      <c r="E1815" s="1" t="s">
        <v>1804</v>
      </c>
      <c r="F1815">
        <v>7020</v>
      </c>
      <c r="G1815">
        <v>442</v>
      </c>
      <c r="H1815">
        <v>1128</v>
      </c>
      <c r="I1815">
        <v>868</v>
      </c>
      <c r="J1815" s="11">
        <f t="shared" si="6"/>
        <v>1.7</v>
      </c>
      <c r="K1815">
        <v>435</v>
      </c>
      <c r="L1815">
        <v>108.2</v>
      </c>
      <c r="M1815">
        <v>307</v>
      </c>
      <c r="N1815">
        <v>65.099999999999994</v>
      </c>
      <c r="O1815">
        <v>2.7</v>
      </c>
      <c r="P1815">
        <v>7.42</v>
      </c>
    </row>
    <row r="1816" spans="1:16">
      <c r="A1816" s="1" t="s">
        <v>5522</v>
      </c>
      <c r="B1816" s="1" t="s">
        <v>1875</v>
      </c>
      <c r="C1816" s="1" t="s">
        <v>18</v>
      </c>
      <c r="D1816" s="1" t="s">
        <v>19</v>
      </c>
      <c r="E1816" s="1" t="s">
        <v>1804</v>
      </c>
      <c r="F1816">
        <v>5160</v>
      </c>
      <c r="G1816">
        <v>2240</v>
      </c>
      <c r="H1816">
        <v>54.7</v>
      </c>
      <c r="I1816">
        <v>835</v>
      </c>
      <c r="J1816" s="11">
        <f t="shared" si="6"/>
        <v>1.7</v>
      </c>
      <c r="K1816">
        <v>230</v>
      </c>
      <c r="L1816">
        <v>89.2</v>
      </c>
      <c r="M1816">
        <v>272</v>
      </c>
      <c r="N1816">
        <v>40.200000000000003</v>
      </c>
      <c r="O1816" s="11">
        <f t="shared" ref="O1816:O1818" si="7">0.94/2</f>
        <v>0.47</v>
      </c>
      <c r="P1816">
        <v>8</v>
      </c>
    </row>
    <row r="1817" spans="1:16">
      <c r="A1817" s="1" t="s">
        <v>5522</v>
      </c>
      <c r="B1817" s="1" t="s">
        <v>1876</v>
      </c>
      <c r="C1817" s="1" t="s">
        <v>18</v>
      </c>
      <c r="D1817" s="1" t="s">
        <v>19</v>
      </c>
      <c r="E1817" s="1" t="s">
        <v>1804</v>
      </c>
      <c r="F1817">
        <v>118</v>
      </c>
      <c r="G1817">
        <v>2280</v>
      </c>
      <c r="H1817">
        <v>71.2</v>
      </c>
      <c r="I1817">
        <v>796</v>
      </c>
      <c r="J1817" s="11">
        <f t="shared" si="6"/>
        <v>1.7</v>
      </c>
      <c r="K1817">
        <v>12.4</v>
      </c>
      <c r="L1817">
        <v>33.6</v>
      </c>
      <c r="M1817">
        <v>214</v>
      </c>
      <c r="N1817">
        <v>25.3</v>
      </c>
      <c r="O1817" s="11">
        <f t="shared" si="7"/>
        <v>0.47</v>
      </c>
      <c r="P1817">
        <v>6.04</v>
      </c>
    </row>
    <row r="1818" spans="1:16">
      <c r="A1818" s="1" t="s">
        <v>5522</v>
      </c>
      <c r="B1818" s="1" t="s">
        <v>1877</v>
      </c>
      <c r="C1818" s="1" t="s">
        <v>18</v>
      </c>
      <c r="D1818" s="1" t="s">
        <v>19</v>
      </c>
      <c r="E1818" s="1" t="s">
        <v>1804</v>
      </c>
      <c r="F1818">
        <f>43.53/2</f>
        <v>21.765000000000001</v>
      </c>
      <c r="G1818">
        <v>2158</v>
      </c>
      <c r="H1818">
        <v>67.599999999999994</v>
      </c>
      <c r="I1818">
        <v>684</v>
      </c>
      <c r="J1818" s="11">
        <f t="shared" si="6"/>
        <v>1.7</v>
      </c>
      <c r="K1818">
        <v>7.8</v>
      </c>
      <c r="L1818">
        <v>31.2</v>
      </c>
      <c r="M1818">
        <v>193</v>
      </c>
      <c r="N1818">
        <v>18.399999999999999</v>
      </c>
      <c r="O1818" s="11">
        <f t="shared" si="7"/>
        <v>0.47</v>
      </c>
      <c r="P1818">
        <v>5.88</v>
      </c>
    </row>
    <row r="1819" spans="1:16">
      <c r="A1819" s="1" t="s">
        <v>5522</v>
      </c>
      <c r="B1819" s="1" t="s">
        <v>1878</v>
      </c>
      <c r="C1819" s="1" t="s">
        <v>18</v>
      </c>
      <c r="D1819" s="1" t="s">
        <v>19</v>
      </c>
      <c r="E1819" s="1" t="s">
        <v>1804</v>
      </c>
      <c r="F1819">
        <v>163</v>
      </c>
      <c r="G1819">
        <v>2280</v>
      </c>
      <c r="H1819">
        <v>53.5</v>
      </c>
      <c r="I1819">
        <v>675</v>
      </c>
      <c r="J1819" s="11">
        <f t="shared" si="6"/>
        <v>1.7</v>
      </c>
      <c r="K1819">
        <v>64</v>
      </c>
      <c r="L1819">
        <v>67.3</v>
      </c>
      <c r="M1819">
        <v>247</v>
      </c>
      <c r="N1819">
        <v>34.700000000000003</v>
      </c>
      <c r="O1819">
        <v>1.01</v>
      </c>
      <c r="P1819">
        <v>5.47</v>
      </c>
    </row>
    <row r="1820" spans="1:16">
      <c r="A1820" s="1" t="s">
        <v>5522</v>
      </c>
      <c r="B1820" s="1" t="s">
        <v>1879</v>
      </c>
      <c r="C1820" s="1" t="s">
        <v>18</v>
      </c>
      <c r="D1820" s="1" t="s">
        <v>19</v>
      </c>
      <c r="E1820" s="1" t="s">
        <v>1804</v>
      </c>
      <c r="F1820">
        <v>141</v>
      </c>
      <c r="G1820">
        <v>448</v>
      </c>
      <c r="H1820">
        <v>61.3</v>
      </c>
      <c r="I1820">
        <v>722</v>
      </c>
      <c r="J1820" s="11">
        <f t="shared" si="6"/>
        <v>1.7</v>
      </c>
      <c r="K1820">
        <v>71.599999999999994</v>
      </c>
      <c r="L1820">
        <v>65.599999999999994</v>
      </c>
      <c r="M1820">
        <v>253</v>
      </c>
      <c r="N1820">
        <v>33.5</v>
      </c>
      <c r="O1820">
        <v>1.05</v>
      </c>
      <c r="P1820">
        <v>5.19</v>
      </c>
    </row>
    <row r="1821" spans="1:16">
      <c r="A1821" s="1" t="s">
        <v>5522</v>
      </c>
      <c r="B1821" s="1" t="s">
        <v>1880</v>
      </c>
      <c r="C1821" s="1" t="s">
        <v>18</v>
      </c>
      <c r="D1821" s="1" t="s">
        <v>19</v>
      </c>
      <c r="E1821" s="1" t="s">
        <v>1804</v>
      </c>
      <c r="F1821">
        <v>4400</v>
      </c>
      <c r="G1821">
        <v>586</v>
      </c>
      <c r="H1821">
        <v>53.4</v>
      </c>
      <c r="I1821">
        <v>656</v>
      </c>
      <c r="J1821" s="11">
        <f t="shared" si="6"/>
        <v>1.7</v>
      </c>
      <c r="K1821">
        <v>338</v>
      </c>
      <c r="L1821">
        <v>109.1</v>
      </c>
      <c r="M1821">
        <v>241.5</v>
      </c>
      <c r="N1821">
        <v>41.9</v>
      </c>
      <c r="O1821">
        <v>0.99</v>
      </c>
      <c r="P1821">
        <v>4.8099999999999996</v>
      </c>
    </row>
    <row r="1822" spans="1:16">
      <c r="A1822" s="1" t="s">
        <v>5522</v>
      </c>
      <c r="B1822" s="1" t="s">
        <v>1881</v>
      </c>
      <c r="C1822" s="1" t="s">
        <v>18</v>
      </c>
      <c r="D1822" s="1" t="s">
        <v>19</v>
      </c>
      <c r="E1822" s="1" t="s">
        <v>1804</v>
      </c>
      <c r="F1822" s="11">
        <f>43.53/2</f>
        <v>21.765000000000001</v>
      </c>
      <c r="G1822">
        <v>377</v>
      </c>
      <c r="H1822">
        <v>49.3</v>
      </c>
      <c r="I1822">
        <v>636</v>
      </c>
      <c r="J1822" s="11">
        <f t="shared" si="6"/>
        <v>1.7</v>
      </c>
      <c r="K1822">
        <v>41.7</v>
      </c>
      <c r="L1822">
        <v>78.5</v>
      </c>
      <c r="M1822">
        <v>237.7</v>
      </c>
      <c r="N1822">
        <v>36</v>
      </c>
      <c r="O1822" s="11">
        <f t="shared" ref="O1822:O1824" si="8">0.94/2</f>
        <v>0.47</v>
      </c>
      <c r="P1822">
        <v>6.99</v>
      </c>
    </row>
    <row r="1823" spans="1:16">
      <c r="A1823" s="1" t="s">
        <v>5522</v>
      </c>
      <c r="B1823" s="1" t="s">
        <v>1882</v>
      </c>
      <c r="C1823" s="1" t="s">
        <v>18</v>
      </c>
      <c r="D1823" s="1" t="s">
        <v>19</v>
      </c>
      <c r="E1823" s="1" t="s">
        <v>1804</v>
      </c>
      <c r="F1823" s="11">
        <f>43.53/2</f>
        <v>21.765000000000001</v>
      </c>
      <c r="G1823">
        <v>373</v>
      </c>
      <c r="H1823" s="11">
        <f>37.26/2</f>
        <v>18.63</v>
      </c>
      <c r="I1823">
        <v>576</v>
      </c>
      <c r="J1823" s="11">
        <f t="shared" si="6"/>
        <v>1.7</v>
      </c>
      <c r="K1823">
        <v>54.8</v>
      </c>
      <c r="L1823">
        <v>103.1</v>
      </c>
      <c r="M1823">
        <v>268</v>
      </c>
      <c r="N1823">
        <v>51.5</v>
      </c>
      <c r="O1823" s="11">
        <f t="shared" si="8"/>
        <v>0.47</v>
      </c>
      <c r="P1823">
        <v>1.1499999999999999</v>
      </c>
    </row>
    <row r="1824" spans="1:16">
      <c r="A1824" s="1" t="s">
        <v>5522</v>
      </c>
      <c r="B1824" s="1" t="s">
        <v>1883</v>
      </c>
      <c r="C1824" s="1" t="s">
        <v>18</v>
      </c>
      <c r="D1824" s="1" t="s">
        <v>19</v>
      </c>
      <c r="E1824" s="1" t="s">
        <v>1804</v>
      </c>
      <c r="F1824" s="11">
        <f>43.53/2</f>
        <v>21.765000000000001</v>
      </c>
      <c r="G1824">
        <v>423</v>
      </c>
      <c r="H1824">
        <v>92.8</v>
      </c>
      <c r="I1824">
        <v>832</v>
      </c>
      <c r="J1824" s="11">
        <f t="shared" si="6"/>
        <v>1.7</v>
      </c>
      <c r="K1824">
        <f>5.59/2</f>
        <v>2.7949999999999999</v>
      </c>
      <c r="L1824">
        <v>32.299999999999997</v>
      </c>
      <c r="M1824">
        <v>219</v>
      </c>
      <c r="N1824">
        <v>25</v>
      </c>
      <c r="O1824" s="11">
        <f t="shared" si="8"/>
        <v>0.47</v>
      </c>
      <c r="P1824">
        <v>5.92</v>
      </c>
    </row>
    <row r="1825" spans="1:16">
      <c r="A1825" s="1" t="s">
        <v>5522</v>
      </c>
      <c r="B1825" s="1" t="s">
        <v>1884</v>
      </c>
      <c r="C1825" s="1" t="s">
        <v>18</v>
      </c>
      <c r="D1825" s="1" t="s">
        <v>19</v>
      </c>
      <c r="E1825" s="1" t="s">
        <v>1804</v>
      </c>
      <c r="F1825" s="11">
        <f>43.53/2</f>
        <v>21.765000000000001</v>
      </c>
      <c r="G1825">
        <v>379</v>
      </c>
      <c r="H1825">
        <v>44.8</v>
      </c>
      <c r="I1825">
        <v>683</v>
      </c>
      <c r="J1825" s="11">
        <f t="shared" si="6"/>
        <v>1.7</v>
      </c>
      <c r="K1825">
        <v>51.8</v>
      </c>
      <c r="L1825">
        <v>76.5</v>
      </c>
      <c r="M1825">
        <v>211</v>
      </c>
      <c r="N1825">
        <v>36.4</v>
      </c>
      <c r="O1825">
        <v>1.07</v>
      </c>
      <c r="P1825">
        <v>6.74</v>
      </c>
    </row>
    <row r="1826" spans="1:16">
      <c r="A1826" s="1" t="s">
        <v>5522</v>
      </c>
      <c r="B1826" s="1" t="s">
        <v>1885</v>
      </c>
      <c r="C1826" s="1" t="s">
        <v>18</v>
      </c>
      <c r="D1826" s="1" t="s">
        <v>19</v>
      </c>
      <c r="E1826" s="1" t="s">
        <v>1804</v>
      </c>
      <c r="F1826" s="11">
        <f>43.53/2</f>
        <v>21.765000000000001</v>
      </c>
      <c r="G1826">
        <v>305</v>
      </c>
      <c r="H1826">
        <v>82</v>
      </c>
      <c r="I1826">
        <v>704</v>
      </c>
      <c r="J1826" s="11">
        <f t="shared" si="6"/>
        <v>1.7</v>
      </c>
      <c r="K1826">
        <v>22.2</v>
      </c>
      <c r="L1826">
        <v>67.8</v>
      </c>
      <c r="M1826">
        <v>253</v>
      </c>
      <c r="N1826">
        <v>40</v>
      </c>
      <c r="O1826">
        <v>1.21</v>
      </c>
      <c r="P1826">
        <v>5.54</v>
      </c>
    </row>
    <row r="1827" spans="1:16">
      <c r="A1827" s="1" t="s">
        <v>5522</v>
      </c>
      <c r="B1827" s="1" t="s">
        <v>1886</v>
      </c>
      <c r="C1827" s="1" t="s">
        <v>18</v>
      </c>
      <c r="D1827" s="1" t="s">
        <v>19</v>
      </c>
      <c r="E1827" s="1" t="s">
        <v>1804</v>
      </c>
      <c r="F1827">
        <v>6650</v>
      </c>
      <c r="G1827">
        <v>372</v>
      </c>
      <c r="H1827" s="11">
        <f t="shared" ref="H1827:H1828" si="9">37.26/2</f>
        <v>18.63</v>
      </c>
      <c r="I1827">
        <v>606</v>
      </c>
      <c r="J1827" s="11">
        <f t="shared" si="6"/>
        <v>1.7</v>
      </c>
      <c r="K1827">
        <v>371.1</v>
      </c>
      <c r="L1827">
        <v>107.1</v>
      </c>
      <c r="M1827">
        <v>224.5</v>
      </c>
      <c r="N1827">
        <v>53.1</v>
      </c>
      <c r="O1827" s="11">
        <f t="shared" ref="O1827:O1828" si="10">0.94/2</f>
        <v>0.47</v>
      </c>
      <c r="P1827">
        <v>5.78</v>
      </c>
    </row>
    <row r="1828" spans="1:16">
      <c r="A1828" s="1" t="s">
        <v>5522</v>
      </c>
      <c r="B1828" s="1" t="s">
        <v>1887</v>
      </c>
      <c r="C1828" s="1" t="s">
        <v>18</v>
      </c>
      <c r="D1828" s="1" t="s">
        <v>19</v>
      </c>
      <c r="E1828" s="1" t="s">
        <v>1804</v>
      </c>
      <c r="F1828">
        <v>6990</v>
      </c>
      <c r="G1828">
        <v>660</v>
      </c>
      <c r="H1828" s="11">
        <f t="shared" si="9"/>
        <v>18.63</v>
      </c>
      <c r="I1828">
        <v>636</v>
      </c>
      <c r="J1828" s="11">
        <f t="shared" si="6"/>
        <v>1.7</v>
      </c>
      <c r="K1828">
        <v>393</v>
      </c>
      <c r="L1828">
        <v>104.1</v>
      </c>
      <c r="M1828">
        <v>201.1</v>
      </c>
      <c r="N1828">
        <v>50.9</v>
      </c>
      <c r="O1828" s="11">
        <f t="shared" si="10"/>
        <v>0.47</v>
      </c>
      <c r="P1828">
        <v>5.38</v>
      </c>
    </row>
    <row r="1829" spans="1:16">
      <c r="A1829" s="1" t="s">
        <v>5522</v>
      </c>
      <c r="B1829" s="1" t="s">
        <v>1888</v>
      </c>
      <c r="C1829" s="1" t="s">
        <v>18</v>
      </c>
      <c r="D1829" s="1" t="s">
        <v>19</v>
      </c>
      <c r="E1829" s="1" t="s">
        <v>1804</v>
      </c>
      <c r="F1829">
        <v>10610</v>
      </c>
      <c r="G1829">
        <v>260</v>
      </c>
      <c r="H1829">
        <v>71.7</v>
      </c>
      <c r="I1829">
        <v>823</v>
      </c>
      <c r="J1829" s="11">
        <f t="shared" si="6"/>
        <v>1.7</v>
      </c>
      <c r="K1829">
        <v>87.6</v>
      </c>
      <c r="L1829">
        <v>111.2</v>
      </c>
      <c r="M1829">
        <v>279</v>
      </c>
      <c r="N1829">
        <v>9</v>
      </c>
      <c r="O1829">
        <v>1.05</v>
      </c>
      <c r="P1829">
        <v>6.28</v>
      </c>
    </row>
    <row r="1830" spans="1:16">
      <c r="A1830" s="1" t="s">
        <v>5522</v>
      </c>
      <c r="B1830" s="1" t="s">
        <v>1889</v>
      </c>
      <c r="C1830" s="1" t="s">
        <v>18</v>
      </c>
      <c r="D1830" s="1" t="s">
        <v>19</v>
      </c>
      <c r="E1830" s="1" t="s">
        <v>1804</v>
      </c>
      <c r="F1830">
        <v>10560</v>
      </c>
      <c r="G1830">
        <v>450</v>
      </c>
      <c r="H1830">
        <v>61.7</v>
      </c>
      <c r="I1830">
        <v>818</v>
      </c>
      <c r="J1830" s="11">
        <f t="shared" si="6"/>
        <v>1.7</v>
      </c>
      <c r="K1830">
        <v>85.7</v>
      </c>
      <c r="L1830">
        <v>107.5</v>
      </c>
      <c r="M1830">
        <v>287</v>
      </c>
      <c r="N1830">
        <v>9.1999999999999993</v>
      </c>
      <c r="O1830" s="11">
        <f>0.94/2</f>
        <v>0.47</v>
      </c>
      <c r="P1830">
        <v>6.11</v>
      </c>
    </row>
    <row r="1831" spans="1:16">
      <c r="A1831" s="1" t="s">
        <v>5522</v>
      </c>
      <c r="B1831" s="1" t="s">
        <v>1890</v>
      </c>
      <c r="C1831" s="1" t="s">
        <v>18</v>
      </c>
      <c r="D1831" s="1" t="s">
        <v>19</v>
      </c>
      <c r="E1831" s="1" t="s">
        <v>1804</v>
      </c>
      <c r="F1831">
        <v>11130</v>
      </c>
      <c r="G1831">
        <v>226</v>
      </c>
      <c r="H1831">
        <v>62</v>
      </c>
      <c r="I1831">
        <v>848</v>
      </c>
      <c r="J1831" s="11">
        <f t="shared" si="6"/>
        <v>1.7</v>
      </c>
      <c r="K1831">
        <v>76.900000000000006</v>
      </c>
      <c r="L1831">
        <v>102.5</v>
      </c>
      <c r="M1831">
        <v>282</v>
      </c>
      <c r="N1831">
        <v>12.1</v>
      </c>
      <c r="O1831">
        <v>1.28</v>
      </c>
      <c r="P1831">
        <v>7.42</v>
      </c>
    </row>
    <row r="1832" spans="1:16">
      <c r="A1832" s="1" t="s">
        <v>5522</v>
      </c>
      <c r="B1832" s="1" t="s">
        <v>1891</v>
      </c>
      <c r="C1832" s="1" t="s">
        <v>18</v>
      </c>
      <c r="D1832" s="1" t="s">
        <v>19</v>
      </c>
      <c r="E1832" s="1" t="s">
        <v>1804</v>
      </c>
      <c r="F1832">
        <v>8980</v>
      </c>
      <c r="G1832">
        <v>54.4</v>
      </c>
      <c r="H1832">
        <v>58.1</v>
      </c>
      <c r="I1832">
        <v>835</v>
      </c>
      <c r="J1832" s="11">
        <f t="shared" si="6"/>
        <v>1.7</v>
      </c>
      <c r="K1832">
        <v>100</v>
      </c>
      <c r="L1832">
        <v>118.1</v>
      </c>
      <c r="M1832">
        <v>276.7</v>
      </c>
      <c r="N1832">
        <v>13.8</v>
      </c>
      <c r="O1832">
        <v>1.3</v>
      </c>
      <c r="P1832">
        <v>6.11</v>
      </c>
    </row>
    <row r="1833" spans="1:16">
      <c r="A1833" s="1" t="s">
        <v>5522</v>
      </c>
      <c r="B1833" s="1" t="s">
        <v>1892</v>
      </c>
      <c r="C1833" s="1" t="s">
        <v>18</v>
      </c>
      <c r="D1833" s="1" t="s">
        <v>19</v>
      </c>
      <c r="E1833" s="1" t="s">
        <v>1804</v>
      </c>
      <c r="F1833">
        <v>7740</v>
      </c>
      <c r="G1833">
        <v>288</v>
      </c>
      <c r="H1833">
        <v>62.4</v>
      </c>
      <c r="I1833">
        <v>828</v>
      </c>
      <c r="J1833" s="11">
        <f t="shared" si="6"/>
        <v>1.7</v>
      </c>
      <c r="K1833">
        <v>54.7</v>
      </c>
      <c r="L1833">
        <v>108.9</v>
      </c>
      <c r="M1833">
        <v>271</v>
      </c>
      <c r="N1833">
        <v>8.3000000000000007</v>
      </c>
      <c r="O1833">
        <v>1.47</v>
      </c>
      <c r="P1833">
        <v>4.87</v>
      </c>
    </row>
    <row r="1834" spans="1:16">
      <c r="A1834" s="1" t="s">
        <v>5522</v>
      </c>
      <c r="B1834" s="1" t="s">
        <v>1893</v>
      </c>
      <c r="C1834" s="1" t="s">
        <v>18</v>
      </c>
      <c r="D1834" s="1" t="s">
        <v>19</v>
      </c>
      <c r="E1834" s="1" t="s">
        <v>1804</v>
      </c>
      <c r="F1834">
        <v>275</v>
      </c>
      <c r="G1834">
        <v>265</v>
      </c>
      <c r="H1834">
        <v>118</v>
      </c>
      <c r="I1834">
        <v>899</v>
      </c>
      <c r="J1834" s="11">
        <f t="shared" si="6"/>
        <v>1.7</v>
      </c>
      <c r="K1834">
        <v>11.2</v>
      </c>
      <c r="L1834">
        <v>97.4</v>
      </c>
      <c r="M1834">
        <v>286</v>
      </c>
      <c r="N1834" s="11">
        <f t="shared" ref="N1834:N1837" si="11">5.57/2</f>
        <v>2.7850000000000001</v>
      </c>
      <c r="O1834">
        <v>2.41</v>
      </c>
      <c r="P1834">
        <v>3.14</v>
      </c>
    </row>
    <row r="1835" spans="1:16">
      <c r="A1835" s="1" t="s">
        <v>5522</v>
      </c>
      <c r="B1835" s="1" t="s">
        <v>1894</v>
      </c>
      <c r="C1835" s="1" t="s">
        <v>18</v>
      </c>
      <c r="D1835" s="1" t="s">
        <v>19</v>
      </c>
      <c r="E1835" s="1" t="s">
        <v>1804</v>
      </c>
      <c r="F1835">
        <v>2960</v>
      </c>
      <c r="G1835">
        <v>245</v>
      </c>
      <c r="H1835">
        <v>402</v>
      </c>
      <c r="I1835">
        <v>879</v>
      </c>
      <c r="J1835" s="11">
        <f t="shared" si="6"/>
        <v>1.7</v>
      </c>
      <c r="K1835">
        <v>16.7</v>
      </c>
      <c r="L1835">
        <v>106</v>
      </c>
      <c r="M1835">
        <v>278</v>
      </c>
      <c r="N1835" s="11">
        <f t="shared" si="11"/>
        <v>2.7850000000000001</v>
      </c>
      <c r="O1835">
        <v>2.35</v>
      </c>
      <c r="P1835">
        <v>4.2699999999999996</v>
      </c>
    </row>
    <row r="1836" spans="1:16">
      <c r="A1836" s="1" t="s">
        <v>5522</v>
      </c>
      <c r="B1836" s="1" t="s">
        <v>1895</v>
      </c>
      <c r="C1836" s="1" t="s">
        <v>18</v>
      </c>
      <c r="D1836" s="1" t="s">
        <v>19</v>
      </c>
      <c r="E1836" s="1" t="s">
        <v>1804</v>
      </c>
      <c r="F1836">
        <v>2230</v>
      </c>
      <c r="G1836">
        <v>253.6</v>
      </c>
      <c r="H1836">
        <v>365</v>
      </c>
      <c r="I1836">
        <v>815</v>
      </c>
      <c r="J1836" s="11">
        <f t="shared" si="6"/>
        <v>1.7</v>
      </c>
      <c r="K1836">
        <v>11.7</v>
      </c>
      <c r="L1836">
        <v>106.5</v>
      </c>
      <c r="M1836">
        <v>302</v>
      </c>
      <c r="N1836" s="11">
        <f t="shared" si="11"/>
        <v>2.7850000000000001</v>
      </c>
      <c r="O1836">
        <v>1.6</v>
      </c>
      <c r="P1836">
        <v>4.5999999999999996</v>
      </c>
    </row>
    <row r="1837" spans="1:16">
      <c r="A1837" s="1" t="s">
        <v>5522</v>
      </c>
      <c r="B1837" s="1" t="s">
        <v>1896</v>
      </c>
      <c r="C1837" s="1" t="s">
        <v>18</v>
      </c>
      <c r="D1837" s="1" t="s">
        <v>19</v>
      </c>
      <c r="E1837" s="1" t="s">
        <v>1804</v>
      </c>
      <c r="F1837">
        <v>2460</v>
      </c>
      <c r="G1837">
        <v>247</v>
      </c>
      <c r="H1837">
        <v>368</v>
      </c>
      <c r="I1837">
        <v>858</v>
      </c>
      <c r="J1837" s="11">
        <f t="shared" si="6"/>
        <v>1.7</v>
      </c>
      <c r="K1837">
        <v>12.2</v>
      </c>
      <c r="L1837">
        <v>122.5</v>
      </c>
      <c r="M1837">
        <v>319</v>
      </c>
      <c r="N1837" s="11">
        <f t="shared" si="11"/>
        <v>2.7850000000000001</v>
      </c>
      <c r="O1837">
        <v>1.77</v>
      </c>
      <c r="P1837">
        <v>5.2</v>
      </c>
    </row>
    <row r="1838" spans="1:16">
      <c r="A1838" s="1" t="s">
        <v>5522</v>
      </c>
      <c r="B1838" s="1" t="s">
        <v>1897</v>
      </c>
      <c r="C1838" s="1" t="s">
        <v>18</v>
      </c>
      <c r="D1838" s="1" t="s">
        <v>19</v>
      </c>
      <c r="E1838" s="1" t="s">
        <v>1804</v>
      </c>
      <c r="F1838">
        <v>5980</v>
      </c>
      <c r="G1838">
        <v>398</v>
      </c>
      <c r="H1838">
        <v>163</v>
      </c>
      <c r="I1838">
        <v>954</v>
      </c>
      <c r="J1838" s="11">
        <f t="shared" si="6"/>
        <v>1.7</v>
      </c>
      <c r="K1838">
        <v>22.2</v>
      </c>
      <c r="L1838">
        <v>99.8</v>
      </c>
      <c r="M1838">
        <v>273</v>
      </c>
      <c r="N1838">
        <v>42</v>
      </c>
      <c r="O1838">
        <v>2.17</v>
      </c>
      <c r="P1838">
        <v>6.1</v>
      </c>
    </row>
    <row r="1839" spans="1:16">
      <c r="A1839" s="1" t="s">
        <v>5522</v>
      </c>
      <c r="B1839" s="1" t="s">
        <v>1898</v>
      </c>
      <c r="C1839" s="1" t="s">
        <v>18</v>
      </c>
      <c r="D1839" s="1" t="s">
        <v>19</v>
      </c>
      <c r="E1839" s="1" t="s">
        <v>1804</v>
      </c>
      <c r="F1839">
        <v>9770</v>
      </c>
      <c r="G1839">
        <v>356</v>
      </c>
      <c r="H1839">
        <v>143</v>
      </c>
      <c r="I1839">
        <v>1086</v>
      </c>
      <c r="J1839" s="11">
        <f t="shared" si="6"/>
        <v>1.7</v>
      </c>
      <c r="K1839">
        <v>379</v>
      </c>
      <c r="L1839">
        <v>104.3</v>
      </c>
      <c r="M1839">
        <v>286</v>
      </c>
      <c r="N1839">
        <v>48.6</v>
      </c>
      <c r="O1839">
        <v>1.98</v>
      </c>
      <c r="P1839">
        <v>10</v>
      </c>
    </row>
    <row r="1840" spans="1:16">
      <c r="A1840" s="1" t="s">
        <v>5522</v>
      </c>
      <c r="B1840" s="1" t="s">
        <v>1899</v>
      </c>
      <c r="C1840" s="1" t="s">
        <v>18</v>
      </c>
      <c r="D1840" s="1" t="s">
        <v>19</v>
      </c>
      <c r="E1840" s="1" t="s">
        <v>1804</v>
      </c>
      <c r="F1840">
        <v>9170</v>
      </c>
      <c r="G1840">
        <v>310</v>
      </c>
      <c r="H1840">
        <v>118</v>
      </c>
      <c r="I1840">
        <v>1106</v>
      </c>
      <c r="J1840" s="11">
        <f t="shared" si="6"/>
        <v>1.7</v>
      </c>
      <c r="K1840">
        <v>357</v>
      </c>
      <c r="L1840">
        <v>105.9</v>
      </c>
      <c r="M1840">
        <v>275</v>
      </c>
      <c r="N1840">
        <v>51.8</v>
      </c>
      <c r="O1840">
        <v>2.44</v>
      </c>
      <c r="P1840">
        <v>8</v>
      </c>
    </row>
    <row r="1841" spans="1:16">
      <c r="A1841" s="1" t="s">
        <v>5522</v>
      </c>
      <c r="B1841" s="1" t="s">
        <v>1900</v>
      </c>
      <c r="C1841" s="1" t="s">
        <v>18</v>
      </c>
      <c r="D1841" s="1" t="s">
        <v>19</v>
      </c>
      <c r="E1841" s="1" t="s">
        <v>1804</v>
      </c>
      <c r="F1841">
        <v>7890</v>
      </c>
      <c r="G1841">
        <v>316</v>
      </c>
      <c r="H1841">
        <v>109</v>
      </c>
      <c r="I1841">
        <v>1062</v>
      </c>
      <c r="J1841" s="11">
        <f t="shared" si="6"/>
        <v>1.7</v>
      </c>
      <c r="K1841">
        <v>353</v>
      </c>
      <c r="L1841">
        <v>105</v>
      </c>
      <c r="M1841">
        <v>268</v>
      </c>
      <c r="N1841">
        <v>49</v>
      </c>
      <c r="O1841">
        <v>2.34</v>
      </c>
      <c r="P1841">
        <v>8.8000000000000007</v>
      </c>
    </row>
    <row r="1842" spans="1:16">
      <c r="A1842" s="1" t="s">
        <v>5522</v>
      </c>
      <c r="B1842" s="1" t="s">
        <v>1901</v>
      </c>
      <c r="C1842" s="1" t="s">
        <v>18</v>
      </c>
      <c r="D1842" s="1" t="s">
        <v>19</v>
      </c>
      <c r="E1842" s="1" t="s">
        <v>1804</v>
      </c>
      <c r="F1842">
        <v>9260</v>
      </c>
      <c r="G1842">
        <v>821</v>
      </c>
      <c r="H1842">
        <v>134</v>
      </c>
      <c r="I1842">
        <v>1165</v>
      </c>
      <c r="J1842" s="11">
        <f t="shared" si="6"/>
        <v>1.7</v>
      </c>
      <c r="K1842">
        <v>385</v>
      </c>
      <c r="L1842">
        <v>106.6</v>
      </c>
      <c r="M1842">
        <v>306</v>
      </c>
      <c r="N1842">
        <v>55</v>
      </c>
      <c r="O1842">
        <v>2.72</v>
      </c>
      <c r="P1842">
        <v>10.99</v>
      </c>
    </row>
    <row r="1843" spans="1:16">
      <c r="A1843" s="1" t="s">
        <v>5522</v>
      </c>
      <c r="B1843" s="1" t="s">
        <v>1902</v>
      </c>
      <c r="C1843" s="1" t="s">
        <v>18</v>
      </c>
      <c r="D1843" s="1" t="s">
        <v>19</v>
      </c>
      <c r="E1843" s="1" t="s">
        <v>1804</v>
      </c>
      <c r="F1843">
        <v>8780</v>
      </c>
      <c r="G1843">
        <v>989</v>
      </c>
      <c r="H1843">
        <v>115</v>
      </c>
      <c r="I1843">
        <v>1130</v>
      </c>
      <c r="J1843" s="11">
        <f t="shared" si="6"/>
        <v>1.7</v>
      </c>
      <c r="K1843">
        <v>370</v>
      </c>
      <c r="L1843">
        <v>98.4</v>
      </c>
      <c r="M1843">
        <v>274</v>
      </c>
      <c r="N1843">
        <v>55.5</v>
      </c>
      <c r="O1843">
        <v>3.24</v>
      </c>
      <c r="P1843">
        <v>8.6999999999999993</v>
      </c>
    </row>
    <row r="1844" spans="1:16">
      <c r="A1844" s="1" t="s">
        <v>5522</v>
      </c>
      <c r="B1844" s="1" t="s">
        <v>1903</v>
      </c>
      <c r="C1844" s="1" t="s">
        <v>18</v>
      </c>
      <c r="D1844" s="1" t="s">
        <v>19</v>
      </c>
      <c r="E1844" s="1" t="s">
        <v>1804</v>
      </c>
      <c r="F1844">
        <v>7770</v>
      </c>
      <c r="G1844">
        <v>734</v>
      </c>
      <c r="H1844">
        <v>97</v>
      </c>
      <c r="I1844">
        <v>1124</v>
      </c>
      <c r="J1844" s="11">
        <f t="shared" si="6"/>
        <v>1.7</v>
      </c>
      <c r="K1844">
        <v>366</v>
      </c>
      <c r="L1844">
        <v>115</v>
      </c>
      <c r="M1844">
        <v>275</v>
      </c>
      <c r="N1844">
        <v>57</v>
      </c>
      <c r="O1844">
        <v>2.21</v>
      </c>
      <c r="P1844">
        <v>10.4</v>
      </c>
    </row>
    <row r="1845" spans="1:16">
      <c r="A1845" s="1" t="s">
        <v>5522</v>
      </c>
      <c r="B1845" s="1" t="s">
        <v>1904</v>
      </c>
      <c r="C1845" s="1" t="s">
        <v>18</v>
      </c>
      <c r="D1845" s="1" t="s">
        <v>19</v>
      </c>
      <c r="E1845" s="1" t="s">
        <v>1804</v>
      </c>
      <c r="F1845">
        <v>7980</v>
      </c>
      <c r="G1845">
        <v>701</v>
      </c>
      <c r="H1845">
        <v>96</v>
      </c>
      <c r="I1845">
        <v>1125</v>
      </c>
      <c r="J1845" s="11">
        <f t="shared" si="6"/>
        <v>1.7</v>
      </c>
      <c r="K1845">
        <v>349</v>
      </c>
      <c r="L1845">
        <v>113</v>
      </c>
      <c r="M1845">
        <v>286</v>
      </c>
      <c r="N1845">
        <v>47.4</v>
      </c>
      <c r="O1845">
        <v>2.42</v>
      </c>
      <c r="P1845">
        <v>8.1</v>
      </c>
    </row>
    <row r="1846" spans="1:16">
      <c r="A1846" s="1" t="s">
        <v>5522</v>
      </c>
      <c r="B1846" s="1" t="s">
        <v>1905</v>
      </c>
      <c r="C1846" s="1" t="s">
        <v>18</v>
      </c>
      <c r="D1846" s="1" t="s">
        <v>19</v>
      </c>
      <c r="E1846" s="1" t="s">
        <v>1804</v>
      </c>
      <c r="F1846">
        <v>8850</v>
      </c>
      <c r="G1846">
        <v>857</v>
      </c>
      <c r="H1846">
        <v>102</v>
      </c>
      <c r="I1846">
        <v>1030</v>
      </c>
      <c r="J1846" s="11">
        <f t="shared" si="6"/>
        <v>1.7</v>
      </c>
      <c r="K1846">
        <v>336</v>
      </c>
      <c r="L1846">
        <v>103.8</v>
      </c>
      <c r="M1846">
        <v>283</v>
      </c>
      <c r="N1846">
        <v>48</v>
      </c>
      <c r="O1846">
        <v>2.6</v>
      </c>
      <c r="P1846">
        <v>9.3000000000000007</v>
      </c>
    </row>
    <row r="1847" spans="1:16">
      <c r="A1847" s="1" t="s">
        <v>5522</v>
      </c>
      <c r="B1847" s="1" t="s">
        <v>1906</v>
      </c>
      <c r="C1847" s="1" t="s">
        <v>18</v>
      </c>
      <c r="D1847" s="1" t="s">
        <v>19</v>
      </c>
      <c r="E1847" s="1" t="s">
        <v>1804</v>
      </c>
      <c r="F1847">
        <v>8440</v>
      </c>
      <c r="G1847">
        <v>702</v>
      </c>
      <c r="H1847" s="11">
        <f t="shared" ref="H1847:H1850" si="12">37.26/2</f>
        <v>18.63</v>
      </c>
      <c r="I1847">
        <v>598</v>
      </c>
      <c r="J1847" s="11">
        <f t="shared" si="6"/>
        <v>1.7</v>
      </c>
      <c r="K1847">
        <v>369</v>
      </c>
      <c r="L1847">
        <v>128.19999999999999</v>
      </c>
      <c r="M1847">
        <v>245</v>
      </c>
      <c r="N1847">
        <v>78.8</v>
      </c>
      <c r="O1847" s="11">
        <f t="shared" ref="O1847:O1859" si="13">0.94/2</f>
        <v>0.47</v>
      </c>
      <c r="P1847">
        <v>9.3000000000000007</v>
      </c>
    </row>
    <row r="1848" spans="1:16">
      <c r="A1848" s="1" t="s">
        <v>5522</v>
      </c>
      <c r="B1848" s="1" t="s">
        <v>1907</v>
      </c>
      <c r="C1848" s="1" t="s">
        <v>18</v>
      </c>
      <c r="D1848" s="1" t="s">
        <v>19</v>
      </c>
      <c r="E1848" s="1" t="s">
        <v>1804</v>
      </c>
      <c r="F1848">
        <v>7220</v>
      </c>
      <c r="G1848">
        <v>655</v>
      </c>
      <c r="H1848" s="11">
        <f t="shared" si="12"/>
        <v>18.63</v>
      </c>
      <c r="I1848">
        <v>616</v>
      </c>
      <c r="J1848" s="11">
        <f t="shared" si="6"/>
        <v>1.7</v>
      </c>
      <c r="K1848">
        <v>268</v>
      </c>
      <c r="L1848">
        <v>144</v>
      </c>
      <c r="M1848">
        <v>248</v>
      </c>
      <c r="N1848">
        <v>57.6</v>
      </c>
      <c r="O1848" s="11">
        <f t="shared" si="13"/>
        <v>0.47</v>
      </c>
      <c r="P1848">
        <v>9.6</v>
      </c>
    </row>
    <row r="1849" spans="1:16">
      <c r="A1849" s="1" t="s">
        <v>5522</v>
      </c>
      <c r="B1849" s="1" t="s">
        <v>1908</v>
      </c>
      <c r="C1849" s="1" t="s">
        <v>18</v>
      </c>
      <c r="D1849" s="1" t="s">
        <v>19</v>
      </c>
      <c r="E1849" s="1" t="s">
        <v>1804</v>
      </c>
      <c r="F1849">
        <v>8390</v>
      </c>
      <c r="G1849">
        <v>605</v>
      </c>
      <c r="H1849" s="11">
        <f t="shared" si="12"/>
        <v>18.63</v>
      </c>
      <c r="I1849">
        <v>610</v>
      </c>
      <c r="J1849" s="11">
        <v>3.9</v>
      </c>
      <c r="K1849">
        <v>340</v>
      </c>
      <c r="L1849">
        <v>131.4</v>
      </c>
      <c r="M1849">
        <v>277</v>
      </c>
      <c r="N1849">
        <v>98</v>
      </c>
      <c r="O1849" s="11">
        <f t="shared" si="13"/>
        <v>0.47</v>
      </c>
      <c r="P1849">
        <v>7.52</v>
      </c>
    </row>
    <row r="1850" spans="1:16">
      <c r="A1850" s="1" t="s">
        <v>5522</v>
      </c>
      <c r="B1850" s="1" t="s">
        <v>1909</v>
      </c>
      <c r="C1850" s="1" t="s">
        <v>18</v>
      </c>
      <c r="D1850" s="1" t="s">
        <v>19</v>
      </c>
      <c r="E1850" s="1" t="s">
        <v>1804</v>
      </c>
      <c r="F1850">
        <v>8610</v>
      </c>
      <c r="G1850">
        <v>652</v>
      </c>
      <c r="H1850" s="11">
        <f t="shared" si="12"/>
        <v>18.63</v>
      </c>
      <c r="I1850">
        <v>665</v>
      </c>
      <c r="J1850" s="11">
        <f t="shared" ref="J1850:J1874" si="14">3.4/2</f>
        <v>1.7</v>
      </c>
      <c r="K1850">
        <v>434</v>
      </c>
      <c r="L1850">
        <v>139.1</v>
      </c>
      <c r="M1850">
        <v>260</v>
      </c>
      <c r="N1850">
        <v>74</v>
      </c>
      <c r="O1850" s="11">
        <f t="shared" si="13"/>
        <v>0.47</v>
      </c>
      <c r="P1850">
        <v>8.6</v>
      </c>
    </row>
    <row r="1851" spans="1:16">
      <c r="A1851" s="1" t="s">
        <v>5522</v>
      </c>
      <c r="B1851" s="1" t="s">
        <v>1910</v>
      </c>
      <c r="C1851" s="1" t="s">
        <v>18</v>
      </c>
      <c r="D1851" s="1" t="s">
        <v>19</v>
      </c>
      <c r="E1851" s="1" t="s">
        <v>1804</v>
      </c>
      <c r="F1851">
        <v>2200</v>
      </c>
      <c r="G1851" s="11">
        <f>36.52/2</f>
        <v>18.260000000000002</v>
      </c>
      <c r="H1851">
        <v>87</v>
      </c>
      <c r="I1851">
        <v>682</v>
      </c>
      <c r="J1851" s="11">
        <f t="shared" si="14"/>
        <v>1.7</v>
      </c>
      <c r="K1851">
        <v>40.5</v>
      </c>
      <c r="L1851">
        <v>85.8</v>
      </c>
      <c r="M1851">
        <v>245</v>
      </c>
      <c r="N1851">
        <v>18.399999999999999</v>
      </c>
      <c r="O1851" s="11">
        <f t="shared" si="13"/>
        <v>0.47</v>
      </c>
      <c r="P1851">
        <v>7.9</v>
      </c>
    </row>
    <row r="1852" spans="1:16">
      <c r="A1852" s="1" t="s">
        <v>5522</v>
      </c>
      <c r="B1852" s="1" t="s">
        <v>1911</v>
      </c>
      <c r="C1852" s="1" t="s">
        <v>18</v>
      </c>
      <c r="D1852" s="1" t="s">
        <v>19</v>
      </c>
      <c r="E1852" s="1" t="s">
        <v>1804</v>
      </c>
      <c r="F1852" s="11">
        <f>43.53/2</f>
        <v>21.765000000000001</v>
      </c>
      <c r="G1852" s="11">
        <f>36.52/2</f>
        <v>18.260000000000002</v>
      </c>
      <c r="H1852" s="11">
        <f t="shared" ref="H1852:H1866" si="15">37.26/2</f>
        <v>18.63</v>
      </c>
      <c r="I1852">
        <v>253</v>
      </c>
      <c r="J1852" s="11">
        <f t="shared" si="14"/>
        <v>1.7</v>
      </c>
      <c r="K1852">
        <v>7.19</v>
      </c>
      <c r="L1852">
        <v>25</v>
      </c>
      <c r="M1852">
        <v>168.6</v>
      </c>
      <c r="N1852" s="11">
        <f t="shared" ref="N1852:N1855" si="16">5.57/2</f>
        <v>2.7850000000000001</v>
      </c>
      <c r="O1852" s="11">
        <f t="shared" si="13"/>
        <v>0.47</v>
      </c>
      <c r="P1852">
        <v>6.8</v>
      </c>
    </row>
    <row r="1853" spans="1:16">
      <c r="A1853" s="1" t="s">
        <v>5522</v>
      </c>
      <c r="B1853" s="1" t="s">
        <v>1912</v>
      </c>
      <c r="C1853" s="1" t="s">
        <v>18</v>
      </c>
      <c r="D1853" s="1" t="s">
        <v>19</v>
      </c>
      <c r="E1853" s="1" t="s">
        <v>1804</v>
      </c>
      <c r="F1853" s="11">
        <f>43.53/2</f>
        <v>21.765000000000001</v>
      </c>
      <c r="G1853" s="11">
        <f>36.52/2</f>
        <v>18.260000000000002</v>
      </c>
      <c r="H1853" s="11">
        <f t="shared" si="15"/>
        <v>18.63</v>
      </c>
      <c r="I1853">
        <v>179</v>
      </c>
      <c r="J1853" s="11">
        <f t="shared" si="14"/>
        <v>1.7</v>
      </c>
      <c r="K1853" s="11">
        <f t="shared" ref="K1853:K1855" si="17">5.59/2</f>
        <v>2.7949999999999999</v>
      </c>
      <c r="L1853">
        <v>24.7</v>
      </c>
      <c r="M1853">
        <v>152.5</v>
      </c>
      <c r="N1853" s="11">
        <f t="shared" si="16"/>
        <v>2.7850000000000001</v>
      </c>
      <c r="O1853" s="11">
        <f t="shared" si="13"/>
        <v>0.47</v>
      </c>
      <c r="P1853">
        <v>6.86</v>
      </c>
    </row>
    <row r="1854" spans="1:16">
      <c r="A1854" s="1" t="s">
        <v>5522</v>
      </c>
      <c r="B1854" s="1" t="s">
        <v>1913</v>
      </c>
      <c r="C1854" s="1" t="s">
        <v>18</v>
      </c>
      <c r="D1854" s="1" t="s">
        <v>19</v>
      </c>
      <c r="E1854" s="1" t="s">
        <v>1804</v>
      </c>
      <c r="F1854" s="11">
        <f>43.53/2</f>
        <v>21.765000000000001</v>
      </c>
      <c r="G1854" s="11">
        <f>36.52/2</f>
        <v>18.260000000000002</v>
      </c>
      <c r="H1854" s="11">
        <f t="shared" si="15"/>
        <v>18.63</v>
      </c>
      <c r="I1854">
        <v>194</v>
      </c>
      <c r="J1854" s="11">
        <f t="shared" si="14"/>
        <v>1.7</v>
      </c>
      <c r="K1854" s="11">
        <f t="shared" si="17"/>
        <v>2.7949999999999999</v>
      </c>
      <c r="L1854">
        <v>29.5</v>
      </c>
      <c r="M1854">
        <v>150</v>
      </c>
      <c r="N1854" s="11">
        <f t="shared" si="16"/>
        <v>2.7850000000000001</v>
      </c>
      <c r="O1854" s="11">
        <f t="shared" si="13"/>
        <v>0.47</v>
      </c>
      <c r="P1854">
        <v>6.85</v>
      </c>
    </row>
    <row r="1855" spans="1:16">
      <c r="A1855" s="1" t="s">
        <v>5522</v>
      </c>
      <c r="B1855" s="1" t="s">
        <v>1914</v>
      </c>
      <c r="C1855" s="1" t="s">
        <v>18</v>
      </c>
      <c r="D1855" s="1" t="s">
        <v>19</v>
      </c>
      <c r="E1855" s="1" t="s">
        <v>1804</v>
      </c>
      <c r="F1855" s="11">
        <f>43.53/2</f>
        <v>21.765000000000001</v>
      </c>
      <c r="G1855">
        <v>513</v>
      </c>
      <c r="H1855" s="11">
        <f t="shared" si="15"/>
        <v>18.63</v>
      </c>
      <c r="I1855">
        <v>190</v>
      </c>
      <c r="J1855" s="11">
        <f t="shared" si="14"/>
        <v>1.7</v>
      </c>
      <c r="K1855" s="11">
        <f t="shared" si="17"/>
        <v>2.7949999999999999</v>
      </c>
      <c r="L1855">
        <v>26.1</v>
      </c>
      <c r="M1855">
        <v>140.1</v>
      </c>
      <c r="N1855" s="11">
        <f t="shared" si="16"/>
        <v>2.7850000000000001</v>
      </c>
      <c r="O1855" s="11">
        <f t="shared" si="13"/>
        <v>0.47</v>
      </c>
      <c r="P1855">
        <v>5.75</v>
      </c>
    </row>
    <row r="1856" spans="1:16">
      <c r="A1856" s="1" t="s">
        <v>5522</v>
      </c>
      <c r="B1856" s="1" t="s">
        <v>1915</v>
      </c>
      <c r="C1856" s="1" t="s">
        <v>18</v>
      </c>
      <c r="D1856" s="1" t="s">
        <v>19</v>
      </c>
      <c r="E1856" s="1" t="s">
        <v>1804</v>
      </c>
      <c r="F1856">
        <v>7590</v>
      </c>
      <c r="G1856" s="11">
        <f>36.52/2</f>
        <v>18.260000000000002</v>
      </c>
      <c r="H1856" s="11">
        <f t="shared" si="15"/>
        <v>18.63</v>
      </c>
      <c r="I1856">
        <v>616</v>
      </c>
      <c r="J1856" s="11">
        <f t="shared" si="14"/>
        <v>1.7</v>
      </c>
      <c r="K1856">
        <v>402</v>
      </c>
      <c r="L1856">
        <v>103.2</v>
      </c>
      <c r="M1856">
        <v>204.9</v>
      </c>
      <c r="N1856">
        <v>44.4</v>
      </c>
      <c r="O1856" s="11">
        <f t="shared" si="13"/>
        <v>0.47</v>
      </c>
      <c r="P1856">
        <v>13.63</v>
      </c>
    </row>
    <row r="1857" spans="1:16">
      <c r="A1857" s="1" t="s">
        <v>5522</v>
      </c>
      <c r="B1857" s="1" t="s">
        <v>1916</v>
      </c>
      <c r="C1857" s="1" t="s">
        <v>18</v>
      </c>
      <c r="D1857" s="1" t="s">
        <v>19</v>
      </c>
      <c r="E1857" s="1" t="s">
        <v>1804</v>
      </c>
      <c r="F1857">
        <v>8770</v>
      </c>
      <c r="G1857" s="11">
        <f>36.52/2</f>
        <v>18.260000000000002</v>
      </c>
      <c r="H1857" s="11">
        <f t="shared" si="15"/>
        <v>18.63</v>
      </c>
      <c r="I1857">
        <v>677</v>
      </c>
      <c r="J1857" s="11">
        <f t="shared" si="14"/>
        <v>1.7</v>
      </c>
      <c r="K1857">
        <v>446</v>
      </c>
      <c r="L1857">
        <v>120.1</v>
      </c>
      <c r="M1857">
        <v>224</v>
      </c>
      <c r="N1857">
        <v>46.6</v>
      </c>
      <c r="O1857" s="11">
        <f t="shared" si="13"/>
        <v>0.47</v>
      </c>
      <c r="P1857">
        <v>16.05</v>
      </c>
    </row>
    <row r="1858" spans="1:16">
      <c r="A1858" s="1" t="s">
        <v>5522</v>
      </c>
      <c r="B1858" s="1" t="s">
        <v>1917</v>
      </c>
      <c r="C1858" s="1" t="s">
        <v>18</v>
      </c>
      <c r="D1858" s="1" t="s">
        <v>19</v>
      </c>
      <c r="E1858" s="1" t="s">
        <v>1804</v>
      </c>
      <c r="F1858">
        <v>7670</v>
      </c>
      <c r="G1858" s="11">
        <f>36.52/2</f>
        <v>18.260000000000002</v>
      </c>
      <c r="H1858" s="11">
        <f t="shared" si="15"/>
        <v>18.63</v>
      </c>
      <c r="I1858">
        <v>655</v>
      </c>
      <c r="J1858" s="11">
        <f t="shared" si="14"/>
        <v>1.7</v>
      </c>
      <c r="K1858">
        <v>419</v>
      </c>
      <c r="L1858">
        <v>103.9</v>
      </c>
      <c r="M1858">
        <v>216.2</v>
      </c>
      <c r="N1858">
        <v>44.7</v>
      </c>
      <c r="O1858" s="11">
        <f t="shared" si="13"/>
        <v>0.47</v>
      </c>
      <c r="P1858">
        <v>13.55</v>
      </c>
    </row>
    <row r="1859" spans="1:16">
      <c r="A1859" s="1" t="s">
        <v>5522</v>
      </c>
      <c r="B1859" s="1" t="s">
        <v>1918</v>
      </c>
      <c r="C1859" s="1" t="s">
        <v>18</v>
      </c>
      <c r="D1859" s="1" t="s">
        <v>19</v>
      </c>
      <c r="E1859" s="1" t="s">
        <v>1804</v>
      </c>
      <c r="F1859">
        <v>7590</v>
      </c>
      <c r="G1859" s="11">
        <f>36.52/2</f>
        <v>18.260000000000002</v>
      </c>
      <c r="H1859" s="11">
        <f t="shared" si="15"/>
        <v>18.63</v>
      </c>
      <c r="I1859">
        <v>654</v>
      </c>
      <c r="J1859" s="11">
        <f t="shared" si="14"/>
        <v>1.7</v>
      </c>
      <c r="K1859">
        <v>399</v>
      </c>
      <c r="L1859">
        <v>105</v>
      </c>
      <c r="M1859">
        <v>216.8</v>
      </c>
      <c r="N1859">
        <v>40.5</v>
      </c>
      <c r="O1859" s="11">
        <f t="shared" si="13"/>
        <v>0.47</v>
      </c>
      <c r="P1859">
        <v>13.2</v>
      </c>
    </row>
    <row r="1860" spans="1:16">
      <c r="A1860" s="1" t="s">
        <v>5522</v>
      </c>
      <c r="B1860" s="1" t="s">
        <v>1919</v>
      </c>
      <c r="C1860" s="1" t="s">
        <v>18</v>
      </c>
      <c r="D1860" s="1" t="s">
        <v>19</v>
      </c>
      <c r="E1860" s="1" t="s">
        <v>1804</v>
      </c>
      <c r="F1860">
        <v>7700</v>
      </c>
      <c r="G1860">
        <v>60.7</v>
      </c>
      <c r="H1860" s="11">
        <f t="shared" si="15"/>
        <v>18.63</v>
      </c>
      <c r="I1860">
        <v>540</v>
      </c>
      <c r="J1860" s="11">
        <f t="shared" si="14"/>
        <v>1.7</v>
      </c>
      <c r="K1860">
        <v>467</v>
      </c>
      <c r="L1860">
        <v>109.1</v>
      </c>
      <c r="M1860">
        <v>210</v>
      </c>
      <c r="N1860">
        <v>65</v>
      </c>
      <c r="O1860">
        <v>0.99</v>
      </c>
      <c r="P1860">
        <v>18.600000000000001</v>
      </c>
    </row>
    <row r="1861" spans="1:16">
      <c r="A1861" s="1" t="s">
        <v>5522</v>
      </c>
      <c r="B1861" s="1" t="s">
        <v>1920</v>
      </c>
      <c r="C1861" s="1" t="s">
        <v>18</v>
      </c>
      <c r="D1861" s="1" t="s">
        <v>19</v>
      </c>
      <c r="E1861" s="1" t="s">
        <v>1804</v>
      </c>
      <c r="F1861">
        <v>7720</v>
      </c>
      <c r="G1861">
        <v>67</v>
      </c>
      <c r="H1861" s="11">
        <f t="shared" si="15"/>
        <v>18.63</v>
      </c>
      <c r="I1861">
        <v>570</v>
      </c>
      <c r="J1861" s="11">
        <f t="shared" si="14"/>
        <v>1.7</v>
      </c>
      <c r="K1861">
        <v>394</v>
      </c>
      <c r="L1861">
        <v>105</v>
      </c>
      <c r="M1861">
        <v>206</v>
      </c>
      <c r="N1861">
        <v>51.6</v>
      </c>
      <c r="O1861" s="11">
        <f t="shared" ref="O1861:O1863" si="18">0.94/2</f>
        <v>0.47</v>
      </c>
      <c r="P1861">
        <v>18.100000000000001</v>
      </c>
    </row>
    <row r="1862" spans="1:16">
      <c r="A1862" s="1" t="s">
        <v>5522</v>
      </c>
      <c r="B1862" s="1" t="s">
        <v>1921</v>
      </c>
      <c r="C1862" s="1" t="s">
        <v>18</v>
      </c>
      <c r="D1862" s="1" t="s">
        <v>19</v>
      </c>
      <c r="E1862" s="1" t="s">
        <v>1804</v>
      </c>
      <c r="F1862">
        <v>7710</v>
      </c>
      <c r="G1862">
        <v>58.5</v>
      </c>
      <c r="H1862" s="11">
        <f t="shared" si="15"/>
        <v>18.63</v>
      </c>
      <c r="I1862">
        <v>680</v>
      </c>
      <c r="J1862" s="11">
        <f t="shared" si="14"/>
        <v>1.7</v>
      </c>
      <c r="K1862">
        <v>439</v>
      </c>
      <c r="L1862">
        <v>103.9</v>
      </c>
      <c r="M1862">
        <v>206</v>
      </c>
      <c r="N1862">
        <v>61</v>
      </c>
      <c r="O1862" s="11">
        <f t="shared" si="18"/>
        <v>0.47</v>
      </c>
      <c r="P1862">
        <v>16.600000000000001</v>
      </c>
    </row>
    <row r="1863" spans="1:16">
      <c r="A1863" s="1" t="s">
        <v>5522</v>
      </c>
      <c r="B1863" s="1" t="s">
        <v>1922</v>
      </c>
      <c r="C1863" s="1" t="s">
        <v>18</v>
      </c>
      <c r="D1863" s="1" t="s">
        <v>19</v>
      </c>
      <c r="E1863" s="1" t="s">
        <v>1804</v>
      </c>
      <c r="F1863">
        <v>7190</v>
      </c>
      <c r="G1863">
        <v>65.7</v>
      </c>
      <c r="H1863" s="11">
        <f t="shared" si="15"/>
        <v>18.63</v>
      </c>
      <c r="I1863">
        <v>639</v>
      </c>
      <c r="J1863" s="11">
        <f t="shared" si="14"/>
        <v>1.7</v>
      </c>
      <c r="K1863">
        <v>425</v>
      </c>
      <c r="L1863">
        <v>106.7</v>
      </c>
      <c r="M1863">
        <v>198</v>
      </c>
      <c r="N1863">
        <v>51</v>
      </c>
      <c r="O1863" s="11">
        <f t="shared" si="18"/>
        <v>0.47</v>
      </c>
      <c r="P1863">
        <v>14.5</v>
      </c>
    </row>
    <row r="1864" spans="1:16">
      <c r="A1864" s="1" t="s">
        <v>5522</v>
      </c>
      <c r="B1864" s="1" t="s">
        <v>1923</v>
      </c>
      <c r="C1864" s="1" t="s">
        <v>18</v>
      </c>
      <c r="D1864" s="1" t="s">
        <v>19</v>
      </c>
      <c r="E1864" s="1" t="s">
        <v>1804</v>
      </c>
      <c r="F1864">
        <v>7230</v>
      </c>
      <c r="G1864">
        <v>57.4</v>
      </c>
      <c r="H1864" s="11">
        <f t="shared" si="15"/>
        <v>18.63</v>
      </c>
      <c r="I1864">
        <v>485</v>
      </c>
      <c r="J1864" s="11">
        <f t="shared" si="14"/>
        <v>1.7</v>
      </c>
      <c r="K1864">
        <v>413</v>
      </c>
      <c r="L1864">
        <v>104.6</v>
      </c>
      <c r="M1864">
        <v>177</v>
      </c>
      <c r="N1864">
        <v>57</v>
      </c>
      <c r="O1864">
        <v>1.06</v>
      </c>
      <c r="P1864">
        <v>13.9</v>
      </c>
    </row>
    <row r="1865" spans="1:16">
      <c r="A1865" s="1" t="s">
        <v>5522</v>
      </c>
      <c r="B1865" s="1" t="s">
        <v>1924</v>
      </c>
      <c r="C1865" s="1" t="s">
        <v>18</v>
      </c>
      <c r="D1865" s="1" t="s">
        <v>19</v>
      </c>
      <c r="E1865" s="1" t="s">
        <v>1804</v>
      </c>
      <c r="F1865">
        <v>7530</v>
      </c>
      <c r="G1865">
        <v>55.9</v>
      </c>
      <c r="H1865" s="11">
        <f t="shared" si="15"/>
        <v>18.63</v>
      </c>
      <c r="I1865">
        <v>417</v>
      </c>
      <c r="J1865" s="11">
        <f t="shared" si="14"/>
        <v>1.7</v>
      </c>
      <c r="K1865">
        <v>431</v>
      </c>
      <c r="L1865">
        <v>112.1</v>
      </c>
      <c r="M1865">
        <v>199</v>
      </c>
      <c r="N1865">
        <v>54</v>
      </c>
      <c r="O1865" s="11">
        <f t="shared" ref="O1865:O1866" si="19">0.94/2</f>
        <v>0.47</v>
      </c>
      <c r="P1865">
        <v>17.5</v>
      </c>
    </row>
    <row r="1866" spans="1:16">
      <c r="A1866" s="1" t="s">
        <v>5522</v>
      </c>
      <c r="B1866" s="1" t="s">
        <v>1925</v>
      </c>
      <c r="C1866" s="1" t="s">
        <v>18</v>
      </c>
      <c r="D1866" s="1" t="s">
        <v>19</v>
      </c>
      <c r="E1866" s="1" t="s">
        <v>1804</v>
      </c>
      <c r="F1866">
        <v>7300</v>
      </c>
      <c r="G1866">
        <v>76.599999999999994</v>
      </c>
      <c r="H1866" s="11">
        <f t="shared" si="15"/>
        <v>18.63</v>
      </c>
      <c r="I1866">
        <v>398</v>
      </c>
      <c r="J1866" s="11">
        <f t="shared" si="14"/>
        <v>1.7</v>
      </c>
      <c r="K1866">
        <v>405</v>
      </c>
      <c r="L1866">
        <v>101.1</v>
      </c>
      <c r="M1866">
        <v>174</v>
      </c>
      <c r="N1866">
        <v>55</v>
      </c>
      <c r="O1866" s="11">
        <f t="shared" si="19"/>
        <v>0.47</v>
      </c>
      <c r="P1866">
        <v>14.4</v>
      </c>
    </row>
    <row r="1867" spans="1:16">
      <c r="A1867" s="1" t="s">
        <v>5522</v>
      </c>
      <c r="B1867" s="1" t="s">
        <v>1926</v>
      </c>
      <c r="C1867" s="1" t="s">
        <v>18</v>
      </c>
      <c r="D1867" s="1" t="s">
        <v>19</v>
      </c>
      <c r="E1867" s="1" t="s">
        <v>1804</v>
      </c>
      <c r="F1867">
        <v>6640</v>
      </c>
      <c r="G1867">
        <v>66.5</v>
      </c>
      <c r="H1867">
        <v>141</v>
      </c>
      <c r="I1867">
        <v>1190</v>
      </c>
      <c r="J1867" s="11">
        <f t="shared" si="14"/>
        <v>1.7</v>
      </c>
      <c r="K1867">
        <v>133.9</v>
      </c>
      <c r="L1867">
        <v>106.3</v>
      </c>
      <c r="M1867">
        <v>268</v>
      </c>
      <c r="N1867">
        <v>30.9</v>
      </c>
      <c r="O1867">
        <v>2.35</v>
      </c>
      <c r="P1867">
        <v>6.16</v>
      </c>
    </row>
    <row r="1868" spans="1:16">
      <c r="A1868" s="1" t="s">
        <v>5522</v>
      </c>
      <c r="B1868" s="1" t="s">
        <v>1927</v>
      </c>
      <c r="C1868" s="1" t="s">
        <v>18</v>
      </c>
      <c r="D1868" s="1" t="s">
        <v>19</v>
      </c>
      <c r="E1868" s="1" t="s">
        <v>1804</v>
      </c>
      <c r="F1868">
        <v>5880</v>
      </c>
      <c r="G1868">
        <v>53.5</v>
      </c>
      <c r="H1868">
        <v>140</v>
      </c>
      <c r="I1868">
        <v>1190</v>
      </c>
      <c r="J1868" s="11">
        <f t="shared" si="14"/>
        <v>1.7</v>
      </c>
      <c r="K1868">
        <v>163.1</v>
      </c>
      <c r="L1868">
        <v>105.5</v>
      </c>
      <c r="M1868">
        <v>259</v>
      </c>
      <c r="N1868">
        <v>19.7</v>
      </c>
      <c r="O1868">
        <v>1.92</v>
      </c>
      <c r="P1868">
        <v>5.35</v>
      </c>
    </row>
    <row r="1869" spans="1:16">
      <c r="A1869" s="1" t="s">
        <v>5522</v>
      </c>
      <c r="B1869" s="1" t="s">
        <v>1928</v>
      </c>
      <c r="C1869" s="1" t="s">
        <v>18</v>
      </c>
      <c r="D1869" s="1" t="s">
        <v>19</v>
      </c>
      <c r="E1869" s="1" t="s">
        <v>1804</v>
      </c>
      <c r="F1869">
        <v>7210</v>
      </c>
      <c r="G1869">
        <v>71.2</v>
      </c>
      <c r="H1869">
        <v>133</v>
      </c>
      <c r="I1869">
        <v>1300</v>
      </c>
      <c r="J1869" s="11">
        <f t="shared" si="14"/>
        <v>1.7</v>
      </c>
      <c r="K1869">
        <v>224</v>
      </c>
      <c r="L1869">
        <v>97.7</v>
      </c>
      <c r="M1869">
        <v>267</v>
      </c>
      <c r="N1869">
        <v>11.5</v>
      </c>
      <c r="O1869">
        <v>2.2599999999999998</v>
      </c>
      <c r="P1869">
        <v>6.4</v>
      </c>
    </row>
    <row r="1870" spans="1:16">
      <c r="A1870" s="1" t="s">
        <v>5522</v>
      </c>
      <c r="B1870" s="1" t="s">
        <v>1929</v>
      </c>
      <c r="C1870" s="1" t="s">
        <v>18</v>
      </c>
      <c r="D1870" s="1" t="s">
        <v>19</v>
      </c>
      <c r="E1870" s="1" t="s">
        <v>1804</v>
      </c>
      <c r="F1870">
        <v>7230</v>
      </c>
      <c r="G1870">
        <v>58.4</v>
      </c>
      <c r="H1870">
        <v>155</v>
      </c>
      <c r="I1870">
        <v>1266</v>
      </c>
      <c r="J1870" s="11">
        <f t="shared" si="14"/>
        <v>1.7</v>
      </c>
      <c r="K1870">
        <v>221.2</v>
      </c>
      <c r="L1870">
        <v>105.9</v>
      </c>
      <c r="M1870">
        <v>268.60000000000002</v>
      </c>
      <c r="N1870">
        <v>16.899999999999999</v>
      </c>
      <c r="O1870">
        <v>2.2000000000000002</v>
      </c>
      <c r="P1870">
        <v>5.7</v>
      </c>
    </row>
    <row r="1871" spans="1:16">
      <c r="A1871" s="1" t="s">
        <v>5522</v>
      </c>
      <c r="B1871" s="1" t="s">
        <v>1930</v>
      </c>
      <c r="C1871" s="1" t="s">
        <v>18</v>
      </c>
      <c r="D1871" s="1" t="s">
        <v>19</v>
      </c>
      <c r="E1871" s="1" t="s">
        <v>1804</v>
      </c>
      <c r="F1871">
        <v>6470</v>
      </c>
      <c r="G1871">
        <v>755</v>
      </c>
      <c r="H1871">
        <v>110</v>
      </c>
      <c r="I1871">
        <v>1140</v>
      </c>
      <c r="J1871" s="11">
        <f t="shared" si="14"/>
        <v>1.7</v>
      </c>
      <c r="K1871">
        <v>221</v>
      </c>
      <c r="L1871">
        <v>96.1</v>
      </c>
      <c r="M1871">
        <v>255</v>
      </c>
      <c r="N1871">
        <v>16.5</v>
      </c>
      <c r="O1871">
        <v>1.73</v>
      </c>
      <c r="P1871">
        <v>4.5599999999999996</v>
      </c>
    </row>
    <row r="1872" spans="1:16">
      <c r="A1872" s="1" t="s">
        <v>5522</v>
      </c>
      <c r="B1872" s="1" t="s">
        <v>1931</v>
      </c>
      <c r="C1872" s="1" t="s">
        <v>18</v>
      </c>
      <c r="D1872" s="1" t="s">
        <v>19</v>
      </c>
      <c r="E1872" s="1" t="s">
        <v>1804</v>
      </c>
      <c r="F1872">
        <v>6230</v>
      </c>
      <c r="G1872">
        <v>639</v>
      </c>
      <c r="H1872">
        <v>136</v>
      </c>
      <c r="I1872">
        <v>1190</v>
      </c>
      <c r="J1872" s="11">
        <f t="shared" si="14"/>
        <v>1.7</v>
      </c>
      <c r="K1872">
        <v>187</v>
      </c>
      <c r="L1872">
        <v>111</v>
      </c>
      <c r="M1872">
        <v>264</v>
      </c>
      <c r="N1872">
        <v>19.3</v>
      </c>
      <c r="O1872">
        <v>2.41</v>
      </c>
      <c r="P1872">
        <v>5.6</v>
      </c>
    </row>
    <row r="1873" spans="1:16" s="11" customFormat="1">
      <c r="A1873" s="1" t="s">
        <v>5522</v>
      </c>
      <c r="B1873" s="1" t="s">
        <v>2406</v>
      </c>
      <c r="C1873" s="1" t="s">
        <v>18</v>
      </c>
      <c r="D1873" s="1" t="s">
        <v>19</v>
      </c>
      <c r="E1873" s="1" t="s">
        <v>1804</v>
      </c>
      <c r="F1873" s="11">
        <v>8530</v>
      </c>
      <c r="G1873" s="11">
        <v>4150</v>
      </c>
      <c r="H1873" s="11">
        <v>6900</v>
      </c>
      <c r="I1873" s="11">
        <v>1830</v>
      </c>
      <c r="J1873" s="11">
        <f t="shared" si="14"/>
        <v>1.7</v>
      </c>
      <c r="K1873" s="11">
        <v>707</v>
      </c>
      <c r="L1873" s="11">
        <v>116.5</v>
      </c>
      <c r="M1873" s="11">
        <v>341</v>
      </c>
      <c r="N1873" s="11">
        <v>86.1</v>
      </c>
      <c r="O1873" s="11">
        <v>16.399999999999999</v>
      </c>
      <c r="P1873" s="11">
        <v>8.39</v>
      </c>
    </row>
    <row r="1874" spans="1:16" s="11" customFormat="1">
      <c r="A1874" s="1" t="s">
        <v>5522</v>
      </c>
      <c r="B1874" s="1" t="s">
        <v>2407</v>
      </c>
      <c r="C1874" s="1" t="s">
        <v>18</v>
      </c>
      <c r="D1874" s="1" t="s">
        <v>19</v>
      </c>
      <c r="E1874" s="1" t="s">
        <v>1804</v>
      </c>
      <c r="F1874" s="11">
        <v>5280</v>
      </c>
      <c r="G1874" s="11">
        <v>2431</v>
      </c>
      <c r="H1874" s="11">
        <v>5780</v>
      </c>
      <c r="I1874" s="11">
        <v>1860</v>
      </c>
      <c r="J1874" s="11">
        <f t="shared" si="14"/>
        <v>1.7</v>
      </c>
      <c r="K1874" s="11">
        <v>638</v>
      </c>
      <c r="L1874" s="11">
        <v>120.4</v>
      </c>
      <c r="M1874" s="11">
        <v>354</v>
      </c>
      <c r="N1874" s="11">
        <v>92.8</v>
      </c>
      <c r="O1874" s="11">
        <v>14.9</v>
      </c>
      <c r="P1874" s="11">
        <v>7.07</v>
      </c>
    </row>
    <row r="1875" spans="1:16" s="11" customFormat="1">
      <c r="A1875" s="1" t="s">
        <v>5522</v>
      </c>
      <c r="B1875" s="1" t="s">
        <v>2408</v>
      </c>
      <c r="C1875" s="1" t="s">
        <v>18</v>
      </c>
      <c r="D1875" s="1" t="s">
        <v>19</v>
      </c>
      <c r="E1875" s="1" t="s">
        <v>1804</v>
      </c>
      <c r="F1875" s="11">
        <v>5840</v>
      </c>
      <c r="G1875" s="11">
        <v>2130</v>
      </c>
      <c r="H1875" s="11">
        <v>8220</v>
      </c>
      <c r="I1875" s="11">
        <v>1870</v>
      </c>
      <c r="J1875" s="11">
        <v>3.9</v>
      </c>
      <c r="K1875" s="11">
        <v>859</v>
      </c>
      <c r="L1875" s="11">
        <v>130</v>
      </c>
      <c r="M1875" s="11">
        <v>337</v>
      </c>
      <c r="N1875" s="11">
        <v>91.3</v>
      </c>
      <c r="O1875" s="11">
        <v>15.2</v>
      </c>
      <c r="P1875" s="11">
        <v>9.6</v>
      </c>
    </row>
    <row r="1876" spans="1:16" s="11" customFormat="1">
      <c r="A1876" s="1" t="s">
        <v>5522</v>
      </c>
      <c r="B1876" s="1" t="s">
        <v>2409</v>
      </c>
      <c r="C1876" s="1" t="s">
        <v>18</v>
      </c>
      <c r="D1876" s="1" t="s">
        <v>19</v>
      </c>
      <c r="E1876" s="1" t="s">
        <v>1804</v>
      </c>
      <c r="F1876" s="11">
        <v>9940</v>
      </c>
      <c r="G1876" s="11">
        <v>3530</v>
      </c>
      <c r="H1876" s="11">
        <v>11690</v>
      </c>
      <c r="I1876" s="11">
        <v>1813</v>
      </c>
      <c r="J1876" s="11">
        <v>5</v>
      </c>
      <c r="K1876" s="11">
        <v>927</v>
      </c>
      <c r="L1876" s="11">
        <v>124.8</v>
      </c>
      <c r="M1876" s="11">
        <v>316</v>
      </c>
      <c r="N1876" s="11">
        <v>88.6</v>
      </c>
      <c r="O1876" s="11">
        <v>15.6</v>
      </c>
      <c r="P1876" s="11">
        <v>12.3</v>
      </c>
    </row>
    <row r="1877" spans="1:16" s="11" customFormat="1">
      <c r="A1877" s="1" t="s">
        <v>5522</v>
      </c>
      <c r="B1877" s="1" t="s">
        <v>5521</v>
      </c>
      <c r="C1877" s="1" t="s">
        <v>18</v>
      </c>
      <c r="D1877" s="1" t="s">
        <v>19</v>
      </c>
      <c r="E1877" s="1" t="s">
        <v>1804</v>
      </c>
      <c r="F1877" s="11">
        <v>8360</v>
      </c>
      <c r="G1877" s="11">
        <v>2160</v>
      </c>
      <c r="H1877" s="11">
        <v>112000</v>
      </c>
      <c r="I1877" s="11">
        <v>2410</v>
      </c>
      <c r="J1877" s="11">
        <v>495</v>
      </c>
      <c r="K1877" s="11">
        <v>1500</v>
      </c>
      <c r="L1877" s="11">
        <v>121.4</v>
      </c>
      <c r="M1877" s="11">
        <v>335</v>
      </c>
      <c r="N1877" s="11">
        <v>158</v>
      </c>
      <c r="O1877" s="11">
        <v>12.8</v>
      </c>
      <c r="P1877" s="11">
        <v>72.599999999999994</v>
      </c>
    </row>
    <row r="1878" spans="1:16" s="11" customFormat="1">
      <c r="A1878" s="1" t="s">
        <v>5522</v>
      </c>
      <c r="B1878" s="1" t="s">
        <v>2410</v>
      </c>
      <c r="C1878" s="1" t="s">
        <v>18</v>
      </c>
      <c r="D1878" s="1" t="s">
        <v>19</v>
      </c>
      <c r="E1878" s="1" t="s">
        <v>1804</v>
      </c>
      <c r="F1878" s="11">
        <v>9640</v>
      </c>
      <c r="G1878" s="11">
        <v>2320</v>
      </c>
      <c r="H1878" s="11">
        <v>80500</v>
      </c>
      <c r="I1878" s="11">
        <v>1915</v>
      </c>
      <c r="J1878" s="11">
        <v>340</v>
      </c>
      <c r="K1878" s="11">
        <v>2290</v>
      </c>
      <c r="L1878" s="11">
        <v>123</v>
      </c>
      <c r="M1878" s="11">
        <v>317</v>
      </c>
      <c r="N1878" s="11">
        <v>83.9</v>
      </c>
      <c r="O1878" s="11">
        <v>13.7</v>
      </c>
      <c r="P1878" s="11">
        <v>21.9</v>
      </c>
    </row>
    <row r="1879" spans="1:16" s="11" customFormat="1">
      <c r="A1879" s="1" t="s">
        <v>5522</v>
      </c>
      <c r="B1879" s="1" t="s">
        <v>2411</v>
      </c>
      <c r="C1879" s="1" t="s">
        <v>18</v>
      </c>
      <c r="D1879" s="1" t="s">
        <v>19</v>
      </c>
      <c r="E1879" s="1" t="s">
        <v>1804</v>
      </c>
      <c r="F1879" s="11">
        <v>10630</v>
      </c>
      <c r="G1879" s="11">
        <v>3130</v>
      </c>
      <c r="H1879" s="11">
        <v>16080</v>
      </c>
      <c r="I1879" s="11">
        <v>1970</v>
      </c>
      <c r="J1879" s="11">
        <v>7.7</v>
      </c>
      <c r="K1879" s="11">
        <v>1067</v>
      </c>
      <c r="L1879" s="11">
        <v>121.5</v>
      </c>
      <c r="M1879" s="11">
        <v>334</v>
      </c>
      <c r="N1879" s="11">
        <v>95</v>
      </c>
      <c r="O1879" s="11">
        <v>18.100000000000001</v>
      </c>
      <c r="P1879" s="11">
        <v>9.39</v>
      </c>
    </row>
    <row r="1880" spans="1:16" s="11" customFormat="1">
      <c r="A1880" s="1" t="s">
        <v>5522</v>
      </c>
      <c r="B1880" s="1" t="s">
        <v>2412</v>
      </c>
      <c r="C1880" s="1" t="s">
        <v>18</v>
      </c>
      <c r="D1880" s="1" t="s">
        <v>19</v>
      </c>
      <c r="E1880" s="1" t="s">
        <v>1804</v>
      </c>
      <c r="F1880" s="11">
        <v>5240</v>
      </c>
      <c r="G1880" s="11">
        <v>2444</v>
      </c>
      <c r="H1880" s="11">
        <v>17000</v>
      </c>
      <c r="I1880" s="11">
        <v>1905</v>
      </c>
      <c r="J1880" s="11">
        <v>3.8</v>
      </c>
      <c r="K1880" s="11">
        <v>910</v>
      </c>
      <c r="L1880" s="11">
        <v>131.5</v>
      </c>
      <c r="M1880" s="11">
        <v>329</v>
      </c>
      <c r="N1880" s="11">
        <v>66.400000000000006</v>
      </c>
      <c r="O1880" s="11">
        <v>14.24</v>
      </c>
      <c r="P1880" s="11">
        <v>10.58</v>
      </c>
    </row>
    <row r="1881" spans="1:16" s="11" customFormat="1">
      <c r="A1881" s="1" t="s">
        <v>5522</v>
      </c>
      <c r="B1881" s="1" t="s">
        <v>2413</v>
      </c>
      <c r="C1881" s="1" t="s">
        <v>18</v>
      </c>
      <c r="D1881" s="1" t="s">
        <v>19</v>
      </c>
      <c r="E1881" s="1" t="s">
        <v>1804</v>
      </c>
      <c r="F1881" s="11">
        <v>3850</v>
      </c>
      <c r="G1881" s="11">
        <v>2400</v>
      </c>
      <c r="H1881" s="11">
        <v>7100</v>
      </c>
      <c r="I1881" s="11">
        <v>1750</v>
      </c>
      <c r="J1881" s="11">
        <v>323</v>
      </c>
      <c r="K1881" s="11">
        <v>380</v>
      </c>
      <c r="L1881" s="11">
        <v>114.4</v>
      </c>
      <c r="M1881" s="11">
        <v>306</v>
      </c>
      <c r="N1881" s="11">
        <v>83.5</v>
      </c>
      <c r="O1881" s="11">
        <v>13.3</v>
      </c>
      <c r="P1881" s="11">
        <v>9.3000000000000007</v>
      </c>
    </row>
    <row r="1882" spans="1:16" s="11" customFormat="1">
      <c r="A1882" s="1" t="s">
        <v>5522</v>
      </c>
      <c r="B1882" s="1" t="s">
        <v>2414</v>
      </c>
      <c r="C1882" s="1" t="s">
        <v>18</v>
      </c>
      <c r="D1882" s="1" t="s">
        <v>19</v>
      </c>
      <c r="E1882" s="1" t="s">
        <v>1804</v>
      </c>
      <c r="F1882" s="11">
        <v>10680</v>
      </c>
      <c r="G1882" s="11">
        <v>4110</v>
      </c>
      <c r="H1882" s="11">
        <v>12000</v>
      </c>
      <c r="I1882" s="11">
        <v>1856</v>
      </c>
      <c r="J1882" s="11">
        <v>45.4</v>
      </c>
      <c r="K1882" s="11">
        <v>784</v>
      </c>
      <c r="L1882" s="11">
        <v>119</v>
      </c>
      <c r="M1882" s="11">
        <v>327</v>
      </c>
      <c r="N1882" s="11">
        <v>126</v>
      </c>
      <c r="O1882" s="11">
        <v>17</v>
      </c>
      <c r="P1882" s="11">
        <v>9.3000000000000007</v>
      </c>
    </row>
    <row r="1883" spans="1:16" s="11" customFormat="1">
      <c r="A1883" s="1" t="s">
        <v>5522</v>
      </c>
      <c r="B1883" s="1" t="s">
        <v>2415</v>
      </c>
      <c r="C1883" s="1" t="s">
        <v>18</v>
      </c>
      <c r="D1883" s="1" t="s">
        <v>19</v>
      </c>
      <c r="E1883" s="1" t="s">
        <v>1804</v>
      </c>
      <c r="F1883" s="11">
        <v>5900</v>
      </c>
      <c r="G1883" s="11">
        <v>2390</v>
      </c>
      <c r="H1883" s="11">
        <v>9150</v>
      </c>
      <c r="I1883" s="11">
        <v>1934</v>
      </c>
      <c r="J1883" s="11">
        <v>6.7</v>
      </c>
      <c r="K1883" s="11">
        <v>751</v>
      </c>
      <c r="L1883" s="11">
        <v>118</v>
      </c>
      <c r="M1883" s="11">
        <v>334</v>
      </c>
      <c r="N1883" s="11">
        <v>84.1</v>
      </c>
      <c r="O1883" s="11">
        <v>13.9</v>
      </c>
      <c r="P1883" s="11">
        <v>5.73</v>
      </c>
    </row>
    <row r="1884" spans="1:16" s="11" customFormat="1">
      <c r="A1884" s="1" t="s">
        <v>5522</v>
      </c>
      <c r="B1884" s="1" t="s">
        <v>2416</v>
      </c>
      <c r="C1884" s="1" t="s">
        <v>18</v>
      </c>
      <c r="D1884" s="1" t="s">
        <v>19</v>
      </c>
      <c r="E1884" s="1" t="s">
        <v>1804</v>
      </c>
      <c r="F1884" s="11">
        <v>6130</v>
      </c>
      <c r="G1884" s="11">
        <v>2864</v>
      </c>
      <c r="H1884" s="11">
        <v>11010</v>
      </c>
      <c r="I1884" s="11">
        <v>1788</v>
      </c>
      <c r="J1884" s="11">
        <v>95.3</v>
      </c>
      <c r="K1884" s="11">
        <v>896</v>
      </c>
      <c r="L1884" s="11">
        <v>116.1</v>
      </c>
      <c r="M1884" s="11">
        <v>307</v>
      </c>
      <c r="N1884" s="11">
        <v>59.9</v>
      </c>
      <c r="O1884" s="11">
        <v>12.88</v>
      </c>
      <c r="P1884" s="11">
        <v>4.78</v>
      </c>
    </row>
    <row r="1885" spans="1:16" s="11" customFormat="1">
      <c r="A1885" s="1" t="s">
        <v>5522</v>
      </c>
      <c r="B1885" s="1" t="s">
        <v>2417</v>
      </c>
      <c r="C1885" s="1" t="s">
        <v>18</v>
      </c>
      <c r="D1885" s="1" t="s">
        <v>19</v>
      </c>
      <c r="E1885" s="1" t="s">
        <v>1804</v>
      </c>
      <c r="F1885" s="11">
        <v>8470</v>
      </c>
      <c r="G1885" s="11">
        <v>4180</v>
      </c>
      <c r="H1885" s="11">
        <v>12500</v>
      </c>
      <c r="I1885" s="11">
        <v>1703</v>
      </c>
      <c r="J1885" s="11">
        <v>90</v>
      </c>
      <c r="K1885" s="11">
        <v>873</v>
      </c>
      <c r="L1885" s="11">
        <v>105</v>
      </c>
      <c r="M1885" s="11">
        <v>305</v>
      </c>
      <c r="N1885" s="11">
        <v>92.1</v>
      </c>
      <c r="O1885" s="11">
        <v>15.38</v>
      </c>
      <c r="P1885" s="11">
        <v>6.34</v>
      </c>
    </row>
    <row r="1886" spans="1:16" s="11" customFormat="1">
      <c r="A1886" s="1" t="s">
        <v>5522</v>
      </c>
      <c r="B1886" s="1" t="s">
        <v>2454</v>
      </c>
      <c r="C1886" s="1" t="s">
        <v>18</v>
      </c>
      <c r="D1886" s="1" t="s">
        <v>19</v>
      </c>
      <c r="E1886" s="1" t="s">
        <v>1804</v>
      </c>
      <c r="F1886" s="11">
        <v>2570</v>
      </c>
      <c r="G1886" s="11">
        <v>2050</v>
      </c>
      <c r="H1886" s="11">
        <v>8990</v>
      </c>
      <c r="I1886" s="11">
        <v>2190</v>
      </c>
      <c r="J1886" s="11">
        <v>3.5</v>
      </c>
      <c r="K1886" s="11">
        <v>621</v>
      </c>
      <c r="L1886" s="11">
        <v>89.5</v>
      </c>
      <c r="M1886" s="11">
        <v>174</v>
      </c>
      <c r="N1886" s="11">
        <v>93</v>
      </c>
      <c r="O1886" s="11">
        <v>35.5</v>
      </c>
      <c r="P1886" s="11">
        <v>3.74</v>
      </c>
    </row>
    <row r="1887" spans="1:16" s="11" customFormat="1">
      <c r="A1887" s="1" t="s">
        <v>5522</v>
      </c>
      <c r="B1887" s="1" t="s">
        <v>2455</v>
      </c>
      <c r="C1887" s="1" t="s">
        <v>18</v>
      </c>
      <c r="D1887" s="1" t="s">
        <v>19</v>
      </c>
      <c r="E1887" s="1" t="s">
        <v>1804</v>
      </c>
      <c r="F1887" s="11">
        <v>2640</v>
      </c>
      <c r="G1887" s="11">
        <v>2320</v>
      </c>
      <c r="H1887" s="11">
        <v>2370</v>
      </c>
      <c r="I1887" s="11">
        <v>2210</v>
      </c>
      <c r="J1887" s="11">
        <f t="shared" ref="J1887:J1891" si="20">3.4/2</f>
        <v>1.7</v>
      </c>
      <c r="K1887" s="11">
        <v>495</v>
      </c>
      <c r="L1887" s="11">
        <v>92.1</v>
      </c>
      <c r="M1887" s="11">
        <v>219</v>
      </c>
      <c r="N1887" s="11">
        <v>118</v>
      </c>
      <c r="O1887" s="11">
        <v>37.9</v>
      </c>
      <c r="P1887" s="11">
        <v>5.12</v>
      </c>
    </row>
    <row r="1888" spans="1:16" s="11" customFormat="1">
      <c r="A1888" s="1" t="s">
        <v>5522</v>
      </c>
      <c r="B1888" s="1" t="s">
        <v>2456</v>
      </c>
      <c r="C1888" s="1" t="s">
        <v>18</v>
      </c>
      <c r="D1888" s="1" t="s">
        <v>19</v>
      </c>
      <c r="E1888" s="1" t="s">
        <v>1804</v>
      </c>
      <c r="F1888" s="11">
        <v>6110</v>
      </c>
      <c r="G1888" s="11">
        <v>2070</v>
      </c>
      <c r="H1888" s="11">
        <v>48600</v>
      </c>
      <c r="I1888" s="11">
        <v>1950</v>
      </c>
      <c r="J1888" s="11">
        <f t="shared" si="20"/>
        <v>1.7</v>
      </c>
      <c r="K1888" s="11">
        <v>1860</v>
      </c>
      <c r="L1888" s="11">
        <v>97</v>
      </c>
      <c r="M1888" s="11">
        <v>196</v>
      </c>
      <c r="N1888" s="11">
        <v>128</v>
      </c>
      <c r="O1888" s="11">
        <v>33.799999999999997</v>
      </c>
      <c r="P1888" s="11">
        <v>6.83</v>
      </c>
    </row>
    <row r="1889" spans="1:16" s="11" customFormat="1">
      <c r="A1889" s="1" t="s">
        <v>5522</v>
      </c>
      <c r="B1889" s="1" t="s">
        <v>2457</v>
      </c>
      <c r="C1889" s="1" t="s">
        <v>18</v>
      </c>
      <c r="D1889" s="1" t="s">
        <v>19</v>
      </c>
      <c r="E1889" s="1" t="s">
        <v>1804</v>
      </c>
      <c r="F1889" s="11">
        <v>2890</v>
      </c>
      <c r="G1889" s="11">
        <v>3150</v>
      </c>
      <c r="H1889" s="11">
        <v>2130</v>
      </c>
      <c r="I1889" s="11">
        <v>2170</v>
      </c>
      <c r="J1889" s="11">
        <f t="shared" si="20"/>
        <v>1.7</v>
      </c>
      <c r="K1889" s="11">
        <v>475</v>
      </c>
      <c r="L1889" s="11">
        <v>95.1</v>
      </c>
      <c r="M1889" s="11">
        <v>242</v>
      </c>
      <c r="N1889" s="11">
        <v>123</v>
      </c>
      <c r="O1889" s="11">
        <v>34.799999999999997</v>
      </c>
      <c r="P1889" s="11">
        <v>4.17</v>
      </c>
    </row>
    <row r="1890" spans="1:16" s="11" customFormat="1">
      <c r="A1890" s="1" t="s">
        <v>5522</v>
      </c>
      <c r="B1890" s="1" t="s">
        <v>2458</v>
      </c>
      <c r="C1890" s="1" t="s">
        <v>18</v>
      </c>
      <c r="D1890" s="1" t="s">
        <v>19</v>
      </c>
      <c r="E1890" s="1" t="s">
        <v>1804</v>
      </c>
      <c r="F1890" s="11">
        <v>3540</v>
      </c>
      <c r="G1890" s="11">
        <v>2840</v>
      </c>
      <c r="H1890" s="11">
        <v>7890</v>
      </c>
      <c r="I1890" s="11">
        <v>2130</v>
      </c>
      <c r="J1890" s="11">
        <f t="shared" si="20"/>
        <v>1.7</v>
      </c>
      <c r="K1890" s="11">
        <v>669</v>
      </c>
      <c r="L1890" s="11">
        <v>91.5</v>
      </c>
      <c r="M1890" s="11">
        <v>206</v>
      </c>
      <c r="N1890" s="11">
        <v>105</v>
      </c>
      <c r="O1890" s="11">
        <v>36.1</v>
      </c>
      <c r="P1890" s="11">
        <v>3.94</v>
      </c>
    </row>
    <row r="1891" spans="1:16" s="11" customFormat="1">
      <c r="A1891" s="1" t="s">
        <v>5522</v>
      </c>
      <c r="B1891" s="1" t="s">
        <v>2459</v>
      </c>
      <c r="C1891" s="1" t="s">
        <v>18</v>
      </c>
      <c r="D1891" s="1" t="s">
        <v>19</v>
      </c>
      <c r="E1891" s="1" t="s">
        <v>1804</v>
      </c>
      <c r="F1891" s="11">
        <v>2740</v>
      </c>
      <c r="G1891" s="11">
        <v>2140</v>
      </c>
      <c r="H1891" s="11">
        <v>1790</v>
      </c>
      <c r="I1891" s="11">
        <v>1480</v>
      </c>
      <c r="J1891" s="11">
        <f t="shared" si="20"/>
        <v>1.7</v>
      </c>
      <c r="K1891" s="11">
        <v>403</v>
      </c>
      <c r="L1891" s="11">
        <v>80.400000000000006</v>
      </c>
      <c r="M1891" s="11">
        <v>157</v>
      </c>
      <c r="N1891" s="11">
        <v>101.1</v>
      </c>
      <c r="O1891" s="11">
        <v>32.4</v>
      </c>
      <c r="P1891" s="11">
        <v>1.88</v>
      </c>
    </row>
    <row r="1892" spans="1:16" s="11" customFormat="1">
      <c r="A1892" s="1" t="s">
        <v>5522</v>
      </c>
      <c r="B1892" s="1" t="s">
        <v>2460</v>
      </c>
      <c r="C1892" s="1" t="s">
        <v>18</v>
      </c>
      <c r="D1892" s="1" t="s">
        <v>19</v>
      </c>
      <c r="E1892" s="1" t="s">
        <v>1804</v>
      </c>
      <c r="F1892" s="11">
        <v>5190</v>
      </c>
      <c r="G1892" s="11">
        <v>4270</v>
      </c>
      <c r="H1892" s="11">
        <v>13930</v>
      </c>
      <c r="I1892" s="11">
        <v>2074</v>
      </c>
      <c r="J1892" s="11">
        <v>6.3</v>
      </c>
      <c r="K1892" s="11">
        <v>788</v>
      </c>
      <c r="L1892" s="11">
        <v>102.2</v>
      </c>
      <c r="M1892" s="11">
        <v>273</v>
      </c>
      <c r="N1892" s="11">
        <v>183</v>
      </c>
      <c r="O1892" s="11">
        <v>31.4</v>
      </c>
      <c r="P1892" s="11">
        <v>4.74</v>
      </c>
    </row>
    <row r="1893" spans="1:16" s="11" customFormat="1">
      <c r="A1893" s="1" t="s">
        <v>5522</v>
      </c>
      <c r="B1893" s="1" t="s">
        <v>2461</v>
      </c>
      <c r="C1893" s="1" t="s">
        <v>18</v>
      </c>
      <c r="D1893" s="1" t="s">
        <v>19</v>
      </c>
      <c r="E1893" s="1" t="s">
        <v>1804</v>
      </c>
      <c r="F1893" s="11">
        <v>4820</v>
      </c>
      <c r="G1893" s="11">
        <v>4290</v>
      </c>
      <c r="H1893" s="11">
        <v>13390</v>
      </c>
      <c r="I1893" s="11">
        <v>2184</v>
      </c>
      <c r="J1893" s="11">
        <f t="shared" ref="J1893:J1894" si="21">3.4/2</f>
        <v>1.7</v>
      </c>
      <c r="K1893" s="11">
        <v>921</v>
      </c>
      <c r="L1893" s="11">
        <v>113.8</v>
      </c>
      <c r="M1893" s="11">
        <v>309</v>
      </c>
      <c r="N1893" s="11">
        <v>158</v>
      </c>
      <c r="O1893" s="11">
        <v>35.9</v>
      </c>
      <c r="P1893" s="11">
        <v>5.79</v>
      </c>
    </row>
    <row r="1894" spans="1:16" s="11" customFormat="1">
      <c r="A1894" s="1" t="s">
        <v>5522</v>
      </c>
      <c r="B1894" s="1" t="s">
        <v>2462</v>
      </c>
      <c r="C1894" s="1" t="s">
        <v>18</v>
      </c>
      <c r="D1894" s="1" t="s">
        <v>19</v>
      </c>
      <c r="E1894" s="1" t="s">
        <v>1804</v>
      </c>
      <c r="F1894" s="11">
        <v>4030</v>
      </c>
      <c r="G1894" s="11">
        <v>3950</v>
      </c>
      <c r="H1894" s="11">
        <v>8700</v>
      </c>
      <c r="I1894" s="11">
        <v>1962</v>
      </c>
      <c r="J1894" s="11">
        <f t="shared" si="21"/>
        <v>1.7</v>
      </c>
      <c r="K1894" s="11">
        <v>662</v>
      </c>
      <c r="L1894" s="11">
        <v>102.9</v>
      </c>
      <c r="M1894" s="11">
        <v>272</v>
      </c>
      <c r="N1894" s="11">
        <v>144</v>
      </c>
      <c r="O1894" s="11">
        <v>33</v>
      </c>
      <c r="P1894" s="11">
        <v>4.62</v>
      </c>
    </row>
    <row r="1895" spans="1:16" s="11" customFormat="1">
      <c r="A1895" s="1" t="s">
        <v>5522</v>
      </c>
      <c r="B1895" s="1" t="s">
        <v>2463</v>
      </c>
      <c r="C1895" s="1" t="s">
        <v>18</v>
      </c>
      <c r="D1895" s="1" t="s">
        <v>19</v>
      </c>
      <c r="E1895" s="1" t="s">
        <v>1804</v>
      </c>
      <c r="F1895" s="11">
        <v>3170</v>
      </c>
      <c r="G1895" s="11">
        <v>3920</v>
      </c>
      <c r="H1895" s="11">
        <v>2330</v>
      </c>
      <c r="I1895" s="11">
        <v>2058</v>
      </c>
      <c r="J1895" s="11">
        <v>22.2</v>
      </c>
      <c r="K1895" s="11">
        <v>389</v>
      </c>
      <c r="L1895" s="11">
        <v>116.7</v>
      </c>
      <c r="M1895" s="11">
        <v>305</v>
      </c>
      <c r="N1895" s="11">
        <v>154</v>
      </c>
      <c r="O1895" s="11">
        <v>35.9</v>
      </c>
      <c r="P1895" s="11">
        <v>4.84</v>
      </c>
    </row>
    <row r="1896" spans="1:16" s="11" customFormat="1">
      <c r="A1896" s="1" t="s">
        <v>5522</v>
      </c>
      <c r="B1896" s="1" t="s">
        <v>2464</v>
      </c>
      <c r="C1896" s="1" t="s">
        <v>18</v>
      </c>
      <c r="D1896" s="1" t="s">
        <v>19</v>
      </c>
      <c r="E1896" s="1" t="s">
        <v>1804</v>
      </c>
      <c r="F1896" s="11">
        <v>3480</v>
      </c>
      <c r="G1896" s="11">
        <v>4020</v>
      </c>
      <c r="H1896" s="11">
        <v>6340</v>
      </c>
      <c r="I1896" s="11">
        <v>2024</v>
      </c>
      <c r="J1896" s="11">
        <v>17</v>
      </c>
      <c r="K1896" s="11">
        <v>487</v>
      </c>
      <c r="L1896" s="11">
        <v>125</v>
      </c>
      <c r="M1896" s="11">
        <v>312</v>
      </c>
      <c r="N1896" s="11">
        <v>152</v>
      </c>
      <c r="O1896" s="11">
        <v>32.799999999999997</v>
      </c>
      <c r="P1896" s="11">
        <v>6.1</v>
      </c>
    </row>
    <row r="1897" spans="1:16" s="11" customFormat="1">
      <c r="A1897" s="1" t="s">
        <v>5522</v>
      </c>
      <c r="B1897" s="1" t="s">
        <v>2465</v>
      </c>
      <c r="C1897" s="1" t="s">
        <v>18</v>
      </c>
      <c r="D1897" s="1" t="s">
        <v>19</v>
      </c>
      <c r="E1897" s="1" t="s">
        <v>1804</v>
      </c>
      <c r="F1897" s="11">
        <v>3170</v>
      </c>
      <c r="G1897" s="11">
        <v>3480</v>
      </c>
      <c r="H1897" s="11">
        <v>2240</v>
      </c>
      <c r="I1897" s="11">
        <v>2080</v>
      </c>
      <c r="J1897" s="11">
        <v>16.8</v>
      </c>
      <c r="K1897" s="11">
        <v>299</v>
      </c>
      <c r="L1897" s="11">
        <v>121</v>
      </c>
      <c r="M1897" s="11">
        <v>334</v>
      </c>
      <c r="N1897" s="11">
        <v>110</v>
      </c>
      <c r="O1897" s="11">
        <v>35.200000000000003</v>
      </c>
      <c r="P1897" s="11">
        <v>3.34</v>
      </c>
    </row>
    <row r="1898" spans="1:16" s="11" customFormat="1">
      <c r="A1898" s="1" t="s">
        <v>5522</v>
      </c>
      <c r="B1898" s="1" t="s">
        <v>2466</v>
      </c>
      <c r="C1898" s="1" t="s">
        <v>18</v>
      </c>
      <c r="D1898" s="1" t="s">
        <v>19</v>
      </c>
      <c r="E1898" s="1" t="s">
        <v>1804</v>
      </c>
      <c r="F1898" s="11">
        <v>4200</v>
      </c>
      <c r="G1898" s="11">
        <v>5100</v>
      </c>
      <c r="H1898" s="11">
        <v>9810</v>
      </c>
      <c r="I1898" s="11">
        <v>2400</v>
      </c>
      <c r="J1898" s="11">
        <v>45.3</v>
      </c>
      <c r="K1898" s="11">
        <v>578</v>
      </c>
      <c r="L1898" s="11">
        <v>120.8</v>
      </c>
      <c r="M1898" s="11">
        <v>314</v>
      </c>
      <c r="N1898" s="11">
        <v>125</v>
      </c>
      <c r="O1898" s="11">
        <v>33.5</v>
      </c>
      <c r="P1898" s="11">
        <v>4.3899999999999997</v>
      </c>
    </row>
    <row r="1899" spans="1:16" s="11" customFormat="1">
      <c r="A1899" s="1" t="s">
        <v>5522</v>
      </c>
      <c r="B1899" s="1" t="s">
        <v>2467</v>
      </c>
      <c r="C1899" s="1" t="s">
        <v>18</v>
      </c>
      <c r="D1899" s="1" t="s">
        <v>19</v>
      </c>
      <c r="E1899" s="1" t="s">
        <v>1804</v>
      </c>
      <c r="F1899" s="11">
        <v>3510</v>
      </c>
      <c r="G1899" s="11">
        <v>4930</v>
      </c>
      <c r="H1899" s="11">
        <v>2207</v>
      </c>
      <c r="I1899" s="11">
        <v>2515</v>
      </c>
      <c r="J1899" s="11">
        <v>23.8</v>
      </c>
      <c r="K1899" s="11">
        <v>377.6</v>
      </c>
      <c r="L1899" s="11">
        <v>123.7</v>
      </c>
      <c r="M1899" s="11">
        <v>321</v>
      </c>
      <c r="N1899" s="11">
        <v>131</v>
      </c>
      <c r="O1899" s="11">
        <v>35.299999999999997</v>
      </c>
      <c r="P1899" s="11">
        <v>3.8</v>
      </c>
    </row>
    <row r="1900" spans="1:16" s="11" customFormat="1">
      <c r="A1900" s="1" t="s">
        <v>5522</v>
      </c>
      <c r="B1900" s="1" t="s">
        <v>2468</v>
      </c>
      <c r="C1900" s="1" t="s">
        <v>18</v>
      </c>
      <c r="D1900" s="1" t="s">
        <v>19</v>
      </c>
      <c r="E1900" s="1" t="s">
        <v>1804</v>
      </c>
      <c r="F1900" s="11">
        <v>4940</v>
      </c>
      <c r="G1900" s="11">
        <v>4400</v>
      </c>
      <c r="H1900" s="11">
        <v>14600</v>
      </c>
      <c r="I1900" s="11">
        <v>2502</v>
      </c>
      <c r="J1900" s="11">
        <v>15.5</v>
      </c>
      <c r="K1900" s="11">
        <v>628</v>
      </c>
      <c r="L1900" s="11">
        <v>123.5</v>
      </c>
      <c r="M1900" s="11">
        <v>340</v>
      </c>
      <c r="N1900" s="11">
        <v>147</v>
      </c>
      <c r="O1900" s="11">
        <v>32.299999999999997</v>
      </c>
      <c r="P1900" s="11">
        <v>4.0999999999999996</v>
      </c>
    </row>
    <row r="1901" spans="1:16" s="11" customFormat="1">
      <c r="A1901" s="1" t="s">
        <v>5522</v>
      </c>
      <c r="B1901" s="1" t="s">
        <v>2469</v>
      </c>
      <c r="C1901" s="1" t="s">
        <v>18</v>
      </c>
      <c r="D1901" s="1" t="s">
        <v>19</v>
      </c>
      <c r="E1901" s="1" t="s">
        <v>1804</v>
      </c>
      <c r="F1901" s="11">
        <v>4850</v>
      </c>
      <c r="G1901" s="11">
        <v>3180</v>
      </c>
      <c r="H1901" s="11">
        <v>18100</v>
      </c>
      <c r="I1901" s="11">
        <v>2540</v>
      </c>
      <c r="J1901" s="11">
        <v>4.9000000000000004</v>
      </c>
      <c r="K1901" s="11">
        <v>707</v>
      </c>
      <c r="L1901" s="11">
        <v>134.1</v>
      </c>
      <c r="M1901" s="11">
        <v>351</v>
      </c>
      <c r="N1901" s="11">
        <v>115</v>
      </c>
      <c r="O1901" s="11">
        <v>35.200000000000003</v>
      </c>
      <c r="P1901" s="11">
        <v>5.0599999999999996</v>
      </c>
    </row>
    <row r="1902" spans="1:16" s="11" customFormat="1">
      <c r="A1902" s="1" t="s">
        <v>5522</v>
      </c>
      <c r="B1902" s="1" t="s">
        <v>2470</v>
      </c>
      <c r="C1902" s="1" t="s">
        <v>18</v>
      </c>
      <c r="D1902" s="1" t="s">
        <v>19</v>
      </c>
      <c r="E1902" s="1" t="s">
        <v>1804</v>
      </c>
      <c r="F1902" s="11">
        <v>5340</v>
      </c>
      <c r="G1902" s="11">
        <v>3051</v>
      </c>
      <c r="H1902" s="11">
        <v>16790</v>
      </c>
      <c r="I1902" s="11">
        <v>2486</v>
      </c>
      <c r="J1902" s="11">
        <v>42.9</v>
      </c>
      <c r="K1902" s="11">
        <v>682</v>
      </c>
      <c r="L1902" s="11">
        <v>127.6</v>
      </c>
      <c r="M1902" s="11">
        <v>330.6</v>
      </c>
      <c r="N1902" s="11">
        <v>122.9</v>
      </c>
      <c r="O1902" s="11">
        <v>30.8</v>
      </c>
      <c r="P1902" s="11">
        <v>4.33</v>
      </c>
    </row>
    <row r="1903" spans="1:16" s="11" customFormat="1">
      <c r="A1903" s="1" t="s">
        <v>5522</v>
      </c>
      <c r="B1903" s="1" t="s">
        <v>2471</v>
      </c>
      <c r="C1903" s="1" t="s">
        <v>18</v>
      </c>
      <c r="D1903" s="1" t="s">
        <v>19</v>
      </c>
      <c r="E1903" s="1" t="s">
        <v>1804</v>
      </c>
      <c r="F1903" s="11">
        <v>4540</v>
      </c>
      <c r="G1903" s="11">
        <v>5280</v>
      </c>
      <c r="H1903" s="11">
        <v>7170</v>
      </c>
      <c r="I1903" s="11">
        <v>2930</v>
      </c>
      <c r="J1903" s="11">
        <v>22.7</v>
      </c>
      <c r="K1903" s="11">
        <v>504</v>
      </c>
      <c r="L1903" s="11">
        <v>130.80000000000001</v>
      </c>
      <c r="M1903" s="11">
        <v>335</v>
      </c>
      <c r="N1903" s="11">
        <v>142</v>
      </c>
      <c r="O1903" s="11">
        <v>34.700000000000003</v>
      </c>
      <c r="P1903" s="11">
        <v>4.91</v>
      </c>
    </row>
    <row r="1904" spans="1:16" s="11" customFormat="1">
      <c r="A1904" s="1" t="s">
        <v>5522</v>
      </c>
      <c r="B1904" s="1" t="s">
        <v>2472</v>
      </c>
      <c r="C1904" s="1" t="s">
        <v>18</v>
      </c>
      <c r="D1904" s="1" t="s">
        <v>19</v>
      </c>
      <c r="E1904" s="1" t="s">
        <v>1804</v>
      </c>
      <c r="F1904" s="11">
        <v>4450</v>
      </c>
      <c r="G1904" s="11">
        <v>4780</v>
      </c>
      <c r="H1904" s="11">
        <v>7050</v>
      </c>
      <c r="I1904" s="11">
        <v>2790</v>
      </c>
      <c r="J1904" s="11">
        <v>18.899999999999999</v>
      </c>
      <c r="K1904" s="11">
        <v>475</v>
      </c>
      <c r="L1904" s="11">
        <v>129.30000000000001</v>
      </c>
      <c r="M1904" s="11">
        <v>344</v>
      </c>
      <c r="N1904" s="11">
        <v>134</v>
      </c>
      <c r="O1904" s="11">
        <v>37.799999999999997</v>
      </c>
      <c r="P1904" s="11">
        <v>4.67</v>
      </c>
    </row>
    <row r="1905" spans="1:16" s="11" customFormat="1">
      <c r="A1905" s="1" t="s">
        <v>5522</v>
      </c>
      <c r="B1905" s="1" t="s">
        <v>2473</v>
      </c>
      <c r="C1905" s="1" t="s">
        <v>18</v>
      </c>
      <c r="D1905" s="1" t="s">
        <v>19</v>
      </c>
      <c r="E1905" s="1" t="s">
        <v>1804</v>
      </c>
      <c r="F1905" s="11">
        <v>4300</v>
      </c>
      <c r="G1905" s="11">
        <v>3700</v>
      </c>
      <c r="H1905" s="11">
        <v>6840</v>
      </c>
      <c r="I1905" s="11">
        <v>2580</v>
      </c>
      <c r="J1905" s="11">
        <v>30.3</v>
      </c>
      <c r="K1905" s="11">
        <v>504</v>
      </c>
      <c r="L1905" s="11">
        <v>137.4</v>
      </c>
      <c r="M1905" s="11">
        <v>311</v>
      </c>
      <c r="N1905" s="11">
        <v>113</v>
      </c>
      <c r="O1905" s="11">
        <v>36.200000000000003</v>
      </c>
      <c r="P1905" s="11">
        <v>3.58</v>
      </c>
    </row>
    <row r="1906" spans="1:16" s="11" customFormat="1">
      <c r="A1906" s="1" t="s">
        <v>5522</v>
      </c>
      <c r="B1906" s="1" t="s">
        <v>2474</v>
      </c>
      <c r="C1906" s="1" t="s">
        <v>18</v>
      </c>
      <c r="D1906" s="1" t="s">
        <v>19</v>
      </c>
      <c r="E1906" s="1" t="s">
        <v>1804</v>
      </c>
      <c r="F1906" s="11">
        <v>4480</v>
      </c>
      <c r="G1906" s="11">
        <v>3970</v>
      </c>
      <c r="H1906" s="11">
        <v>9760</v>
      </c>
      <c r="I1906" s="11">
        <v>2540</v>
      </c>
      <c r="J1906" s="11">
        <v>23.8</v>
      </c>
      <c r="K1906" s="11">
        <v>488</v>
      </c>
      <c r="L1906" s="11">
        <v>127.2</v>
      </c>
      <c r="M1906" s="11">
        <v>302</v>
      </c>
      <c r="N1906" s="11">
        <v>111.7</v>
      </c>
      <c r="O1906" s="11">
        <v>34.9</v>
      </c>
      <c r="P1906" s="11">
        <v>4.97</v>
      </c>
    </row>
    <row r="1907" spans="1:16" s="11" customFormat="1">
      <c r="A1907" s="1" t="s">
        <v>5522</v>
      </c>
      <c r="B1907" s="1" t="s">
        <v>5523</v>
      </c>
      <c r="C1907" s="1" t="s">
        <v>1764</v>
      </c>
      <c r="D1907" s="1" t="s">
        <v>5516</v>
      </c>
      <c r="E1907" s="1" t="s">
        <v>1804</v>
      </c>
      <c r="F1907" s="11">
        <v>1337</v>
      </c>
      <c r="G1907" s="11">
        <v>3920</v>
      </c>
      <c r="H1907" s="11">
        <v>4520</v>
      </c>
      <c r="I1907" s="11">
        <v>2850</v>
      </c>
      <c r="J1907" s="11">
        <v>5.4</v>
      </c>
      <c r="K1907" s="11">
        <v>295</v>
      </c>
      <c r="L1907" s="11">
        <v>94.2</v>
      </c>
      <c r="M1907" s="11">
        <v>307</v>
      </c>
      <c r="N1907" s="11">
        <v>38.700000000000003</v>
      </c>
      <c r="O1907" s="11">
        <v>26.2</v>
      </c>
      <c r="P1907" s="11">
        <v>5.3</v>
      </c>
    </row>
    <row r="1908" spans="1:16" s="11" customFormat="1">
      <c r="A1908" s="1" t="s">
        <v>5522</v>
      </c>
      <c r="B1908" s="1" t="s">
        <v>5524</v>
      </c>
      <c r="C1908" s="1" t="s">
        <v>1764</v>
      </c>
      <c r="D1908" s="1" t="s">
        <v>5516</v>
      </c>
      <c r="E1908" s="1" t="s">
        <v>1804</v>
      </c>
      <c r="F1908" s="11">
        <v>1530</v>
      </c>
      <c r="G1908" s="11">
        <v>9530</v>
      </c>
      <c r="H1908" s="11">
        <v>3260</v>
      </c>
      <c r="I1908" s="11">
        <v>3030</v>
      </c>
      <c r="J1908" s="11">
        <f>3.4/2</f>
        <v>1.7</v>
      </c>
      <c r="K1908" s="11">
        <v>155.69999999999999</v>
      </c>
      <c r="L1908" s="11">
        <v>41.3</v>
      </c>
      <c r="M1908" s="11">
        <v>335</v>
      </c>
      <c r="N1908" s="11">
        <v>33.299999999999997</v>
      </c>
      <c r="O1908" s="11">
        <v>32.4</v>
      </c>
      <c r="P1908" s="11">
        <v>4.3</v>
      </c>
    </row>
    <row r="1909" spans="1:16" s="11" customFormat="1">
      <c r="A1909" s="1" t="s">
        <v>5522</v>
      </c>
      <c r="B1909" s="1" t="s">
        <v>5525</v>
      </c>
      <c r="C1909" s="1" t="s">
        <v>1764</v>
      </c>
      <c r="D1909" s="1" t="s">
        <v>5516</v>
      </c>
      <c r="E1909" s="1" t="s">
        <v>1804</v>
      </c>
      <c r="F1909" s="11">
        <v>1620</v>
      </c>
      <c r="G1909" s="11">
        <v>4660</v>
      </c>
      <c r="H1909" s="11">
        <v>5410</v>
      </c>
      <c r="I1909" s="11">
        <v>3240</v>
      </c>
      <c r="J1909" s="11">
        <v>6.7</v>
      </c>
      <c r="K1909" s="11">
        <v>332</v>
      </c>
      <c r="L1909" s="11">
        <v>75.599999999999994</v>
      </c>
      <c r="M1909" s="11">
        <v>338</v>
      </c>
      <c r="N1909" s="11">
        <v>52.7</v>
      </c>
      <c r="O1909" s="11">
        <v>31.6</v>
      </c>
      <c r="P1909" s="11">
        <v>6.1</v>
      </c>
    </row>
    <row r="1910" spans="1:16" s="11" customFormat="1">
      <c r="A1910" s="1" t="s">
        <v>5522</v>
      </c>
      <c r="B1910" s="1" t="s">
        <v>5526</v>
      </c>
      <c r="C1910" s="1" t="s">
        <v>1764</v>
      </c>
      <c r="D1910" s="1" t="s">
        <v>5516</v>
      </c>
      <c r="E1910" s="1" t="s">
        <v>1804</v>
      </c>
      <c r="F1910" s="11">
        <v>1333</v>
      </c>
      <c r="G1910" s="11">
        <v>3380</v>
      </c>
      <c r="H1910" s="11">
        <v>4050</v>
      </c>
      <c r="I1910" s="11">
        <v>2820</v>
      </c>
      <c r="J1910" s="11">
        <v>3.7</v>
      </c>
      <c r="K1910" s="11">
        <v>247</v>
      </c>
      <c r="L1910" s="11">
        <v>70.7</v>
      </c>
      <c r="M1910" s="11">
        <v>306</v>
      </c>
      <c r="N1910" s="11">
        <v>41.6</v>
      </c>
      <c r="O1910" s="11">
        <v>27.3</v>
      </c>
      <c r="P1910" s="11">
        <v>4.7</v>
      </c>
    </row>
    <row r="1911" spans="1:16" s="11" customFormat="1">
      <c r="A1911" s="1" t="s">
        <v>5522</v>
      </c>
      <c r="B1911" s="1" t="s">
        <v>5527</v>
      </c>
      <c r="C1911" s="1" t="s">
        <v>1764</v>
      </c>
      <c r="D1911" s="1" t="s">
        <v>5516</v>
      </c>
      <c r="E1911" s="1" t="s">
        <v>1804</v>
      </c>
      <c r="F1911" s="11">
        <v>2210</v>
      </c>
      <c r="G1911" s="11">
        <v>4370</v>
      </c>
      <c r="H1911" s="11">
        <v>4520</v>
      </c>
      <c r="I1911" s="11">
        <v>2760</v>
      </c>
      <c r="J1911" s="11">
        <v>5.7</v>
      </c>
      <c r="K1911" s="11">
        <v>336</v>
      </c>
      <c r="L1911" s="11">
        <v>75.599999999999994</v>
      </c>
      <c r="M1911" s="11">
        <v>338</v>
      </c>
      <c r="N1911" s="11">
        <v>64.8</v>
      </c>
      <c r="O1911" s="11">
        <v>31.2</v>
      </c>
      <c r="P1911" s="11">
        <v>5.4</v>
      </c>
    </row>
    <row r="1912" spans="1:16" s="11" customFormat="1">
      <c r="A1912" s="1" t="s">
        <v>5522</v>
      </c>
      <c r="B1912" s="1" t="s">
        <v>5528</v>
      </c>
      <c r="C1912" s="1" t="s">
        <v>1764</v>
      </c>
      <c r="D1912" s="1" t="s">
        <v>5516</v>
      </c>
      <c r="E1912" s="1" t="s">
        <v>1804</v>
      </c>
      <c r="F1912" s="11">
        <v>2470</v>
      </c>
      <c r="G1912" s="11">
        <v>21060</v>
      </c>
      <c r="H1912" s="11">
        <v>4750</v>
      </c>
      <c r="I1912" s="11">
        <v>2630</v>
      </c>
      <c r="J1912" s="11">
        <f t="shared" ref="J1912:J1918" si="22">3.4/2</f>
        <v>1.7</v>
      </c>
      <c r="K1912" s="11">
        <v>145.1</v>
      </c>
      <c r="L1912" s="11">
        <v>46.1</v>
      </c>
      <c r="M1912" s="11">
        <v>334</v>
      </c>
      <c r="N1912" s="11">
        <v>37.1</v>
      </c>
      <c r="O1912" s="11">
        <v>37.200000000000003</v>
      </c>
      <c r="P1912" s="11">
        <v>5.0999999999999996</v>
      </c>
    </row>
    <row r="1913" spans="1:16" s="11" customFormat="1">
      <c r="A1913" s="1" t="s">
        <v>5522</v>
      </c>
      <c r="B1913" s="1" t="s">
        <v>5529</v>
      </c>
      <c r="C1913" s="1" t="s">
        <v>1764</v>
      </c>
      <c r="D1913" s="1" t="s">
        <v>5516</v>
      </c>
      <c r="E1913" s="1" t="s">
        <v>1804</v>
      </c>
      <c r="F1913" s="11">
        <v>8370</v>
      </c>
      <c r="G1913" s="11">
        <v>1929</v>
      </c>
      <c r="H1913" s="11">
        <v>3160</v>
      </c>
      <c r="I1913" s="11">
        <v>5810</v>
      </c>
      <c r="J1913" s="11">
        <f t="shared" si="22"/>
        <v>1.7</v>
      </c>
      <c r="K1913" s="11">
        <v>591</v>
      </c>
      <c r="L1913" s="11">
        <v>123.5</v>
      </c>
      <c r="M1913" s="11">
        <v>242</v>
      </c>
      <c r="N1913" s="11">
        <v>69</v>
      </c>
      <c r="O1913" s="11">
        <v>20.8</v>
      </c>
      <c r="P1913" s="11">
        <v>397</v>
      </c>
    </row>
    <row r="1914" spans="1:16" s="11" customFormat="1">
      <c r="A1914" s="1" t="s">
        <v>5522</v>
      </c>
      <c r="B1914" s="1" t="s">
        <v>5530</v>
      </c>
      <c r="C1914" s="1" t="s">
        <v>1764</v>
      </c>
      <c r="D1914" s="1" t="s">
        <v>5516</v>
      </c>
      <c r="E1914" s="1" t="s">
        <v>1804</v>
      </c>
      <c r="F1914" s="11">
        <v>7500</v>
      </c>
      <c r="G1914" s="11">
        <v>2039</v>
      </c>
      <c r="H1914" s="11">
        <v>3380</v>
      </c>
      <c r="I1914" s="11">
        <v>4160</v>
      </c>
      <c r="J1914" s="11">
        <f t="shared" si="22"/>
        <v>1.7</v>
      </c>
      <c r="K1914" s="11">
        <v>624</v>
      </c>
      <c r="L1914" s="11">
        <v>124.2</v>
      </c>
      <c r="M1914" s="11">
        <v>276</v>
      </c>
      <c r="N1914" s="11">
        <v>72.099999999999994</v>
      </c>
      <c r="O1914" s="11">
        <v>21.4</v>
      </c>
      <c r="P1914" s="11">
        <v>162.6</v>
      </c>
    </row>
    <row r="1915" spans="1:16" s="11" customFormat="1">
      <c r="A1915" s="1" t="s">
        <v>5522</v>
      </c>
      <c r="B1915" s="1" t="s">
        <v>5531</v>
      </c>
      <c r="C1915" s="1" t="s">
        <v>1764</v>
      </c>
      <c r="D1915" s="1" t="s">
        <v>5516</v>
      </c>
      <c r="E1915" s="1" t="s">
        <v>1804</v>
      </c>
      <c r="F1915" s="11">
        <v>3910</v>
      </c>
      <c r="G1915" s="11">
        <v>2398</v>
      </c>
      <c r="H1915" s="11">
        <v>3400</v>
      </c>
      <c r="I1915" s="11">
        <v>2400</v>
      </c>
      <c r="J1915" s="11">
        <f t="shared" si="22"/>
        <v>1.7</v>
      </c>
      <c r="K1915" s="11">
        <v>499</v>
      </c>
      <c r="L1915" s="11">
        <v>124.5</v>
      </c>
      <c r="M1915" s="11">
        <v>315</v>
      </c>
      <c r="N1915" s="11">
        <v>65.7</v>
      </c>
      <c r="O1915" s="11">
        <v>23.7</v>
      </c>
      <c r="P1915" s="11">
        <v>10.3</v>
      </c>
    </row>
    <row r="1916" spans="1:16" s="11" customFormat="1">
      <c r="A1916" s="1" t="s">
        <v>5522</v>
      </c>
      <c r="B1916" s="1" t="s">
        <v>5532</v>
      </c>
      <c r="C1916" s="1" t="s">
        <v>1764</v>
      </c>
      <c r="D1916" s="1" t="s">
        <v>5516</v>
      </c>
      <c r="E1916" s="1" t="s">
        <v>1804</v>
      </c>
      <c r="F1916" s="11">
        <v>5230</v>
      </c>
      <c r="G1916" s="11">
        <v>2962</v>
      </c>
      <c r="H1916" s="11">
        <v>4150</v>
      </c>
      <c r="I1916" s="11">
        <v>3300</v>
      </c>
      <c r="J1916" s="11">
        <f t="shared" si="22"/>
        <v>1.7</v>
      </c>
      <c r="K1916" s="11">
        <v>624</v>
      </c>
      <c r="L1916" s="11">
        <v>124.7</v>
      </c>
      <c r="M1916" s="11">
        <v>346</v>
      </c>
      <c r="N1916" s="11">
        <v>77.900000000000006</v>
      </c>
      <c r="O1916" s="11">
        <v>23.7</v>
      </c>
      <c r="P1916" s="11">
        <v>5.7</v>
      </c>
    </row>
    <row r="1917" spans="1:16" s="11" customFormat="1">
      <c r="A1917" s="1" t="s">
        <v>5522</v>
      </c>
      <c r="B1917" s="1" t="s">
        <v>5533</v>
      </c>
      <c r="C1917" s="1" t="s">
        <v>1764</v>
      </c>
      <c r="D1917" s="1" t="s">
        <v>5516</v>
      </c>
      <c r="E1917" s="1" t="s">
        <v>1804</v>
      </c>
      <c r="F1917" s="11">
        <v>8770</v>
      </c>
      <c r="G1917" s="11">
        <v>3090</v>
      </c>
      <c r="H1917" s="11">
        <v>4490</v>
      </c>
      <c r="I1917" s="11">
        <v>3080</v>
      </c>
      <c r="J1917" s="11">
        <f t="shared" si="22"/>
        <v>1.7</v>
      </c>
      <c r="K1917" s="11">
        <v>687</v>
      </c>
      <c r="L1917" s="11">
        <v>123.4</v>
      </c>
      <c r="M1917" s="11">
        <v>332</v>
      </c>
      <c r="N1917" s="11">
        <v>79</v>
      </c>
      <c r="O1917" s="11">
        <v>20.9</v>
      </c>
      <c r="P1917" s="11">
        <v>7.5</v>
      </c>
    </row>
    <row r="1918" spans="1:16" s="11" customFormat="1">
      <c r="A1918" s="1" t="s">
        <v>5522</v>
      </c>
      <c r="B1918" s="1" t="s">
        <v>5534</v>
      </c>
      <c r="C1918" s="1" t="s">
        <v>1764</v>
      </c>
      <c r="D1918" s="1" t="s">
        <v>5516</v>
      </c>
      <c r="E1918" s="1" t="s">
        <v>1804</v>
      </c>
      <c r="F1918" s="11">
        <v>3670</v>
      </c>
      <c r="G1918" s="11">
        <v>2798</v>
      </c>
      <c r="H1918" s="11">
        <v>4120</v>
      </c>
      <c r="I1918" s="11">
        <v>2590</v>
      </c>
      <c r="J1918" s="11">
        <f t="shared" si="22"/>
        <v>1.7</v>
      </c>
      <c r="K1918" s="11">
        <v>518</v>
      </c>
      <c r="L1918" s="11">
        <v>127.5</v>
      </c>
      <c r="M1918" s="11">
        <v>312</v>
      </c>
      <c r="N1918" s="11">
        <v>62.9</v>
      </c>
      <c r="O1918" s="11">
        <v>23.6</v>
      </c>
      <c r="P1918" s="11">
        <v>6.5</v>
      </c>
    </row>
    <row r="1919" spans="1:16" s="11" customFormat="1">
      <c r="A1919" s="1" t="s">
        <v>5522</v>
      </c>
      <c r="B1919" s="1" t="s">
        <v>5535</v>
      </c>
      <c r="C1919" s="1" t="s">
        <v>1764</v>
      </c>
      <c r="D1919" s="1" t="s">
        <v>5516</v>
      </c>
      <c r="E1919" s="1" t="s">
        <v>1804</v>
      </c>
      <c r="F1919" s="11">
        <v>7740</v>
      </c>
      <c r="G1919" s="11">
        <v>5040</v>
      </c>
      <c r="H1919" s="11">
        <v>9170</v>
      </c>
      <c r="I1919" s="11">
        <v>3410</v>
      </c>
      <c r="J1919" s="11">
        <v>6.4</v>
      </c>
      <c r="K1919" s="11">
        <v>781</v>
      </c>
      <c r="L1919" s="11">
        <v>139.6</v>
      </c>
      <c r="M1919" s="11">
        <v>439</v>
      </c>
      <c r="N1919" s="11">
        <v>88.3</v>
      </c>
      <c r="O1919" s="11">
        <v>21.2</v>
      </c>
      <c r="P1919" s="11">
        <v>4.9800000000000004</v>
      </c>
    </row>
    <row r="1920" spans="1:16" s="11" customFormat="1">
      <c r="A1920" s="1" t="s">
        <v>5522</v>
      </c>
      <c r="B1920" s="1" t="s">
        <v>5536</v>
      </c>
      <c r="C1920" s="1" t="s">
        <v>1764</v>
      </c>
      <c r="D1920" s="1" t="s">
        <v>5516</v>
      </c>
      <c r="E1920" s="1" t="s">
        <v>1804</v>
      </c>
      <c r="F1920" s="11">
        <v>8190</v>
      </c>
      <c r="G1920" s="11">
        <v>6160</v>
      </c>
      <c r="H1920" s="11">
        <v>9850</v>
      </c>
      <c r="I1920" s="11">
        <v>3370</v>
      </c>
      <c r="J1920" s="11">
        <v>102.7</v>
      </c>
      <c r="K1920" s="11">
        <v>578</v>
      </c>
      <c r="L1920" s="11">
        <v>125.5</v>
      </c>
      <c r="M1920" s="11">
        <v>389</v>
      </c>
      <c r="N1920" s="11">
        <v>145</v>
      </c>
      <c r="O1920" s="11">
        <v>25.9</v>
      </c>
      <c r="P1920" s="11">
        <v>7.26</v>
      </c>
    </row>
    <row r="1921" spans="1:16" s="11" customFormat="1">
      <c r="A1921" s="1" t="s">
        <v>5522</v>
      </c>
      <c r="B1921" s="1" t="s">
        <v>5537</v>
      </c>
      <c r="C1921" s="1" t="s">
        <v>1764</v>
      </c>
      <c r="D1921" s="1" t="s">
        <v>5516</v>
      </c>
      <c r="E1921" s="1" t="s">
        <v>1804</v>
      </c>
      <c r="F1921" s="11">
        <v>7560</v>
      </c>
      <c r="G1921" s="11">
        <v>6060</v>
      </c>
      <c r="H1921" s="11">
        <v>5680</v>
      </c>
      <c r="I1921" s="11">
        <v>3251</v>
      </c>
      <c r="J1921" s="11">
        <v>5.2</v>
      </c>
      <c r="K1921" s="11">
        <v>610</v>
      </c>
      <c r="L1921" s="11">
        <v>118.8</v>
      </c>
      <c r="M1921" s="11">
        <v>359</v>
      </c>
      <c r="N1921" s="11">
        <v>94</v>
      </c>
      <c r="O1921" s="11">
        <v>25.7</v>
      </c>
      <c r="P1921" s="11">
        <v>6.7</v>
      </c>
    </row>
    <row r="1922" spans="1:16" s="11" customFormat="1">
      <c r="A1922" s="1" t="s">
        <v>5522</v>
      </c>
      <c r="B1922" s="1" t="s">
        <v>5538</v>
      </c>
      <c r="C1922" s="1" t="s">
        <v>1764</v>
      </c>
      <c r="D1922" s="1" t="s">
        <v>5516</v>
      </c>
      <c r="E1922" s="1" t="s">
        <v>1804</v>
      </c>
      <c r="F1922" s="11">
        <v>13270</v>
      </c>
      <c r="G1922" s="11">
        <v>9090</v>
      </c>
      <c r="H1922" s="11">
        <v>7490</v>
      </c>
      <c r="I1922" s="11">
        <v>3206</v>
      </c>
      <c r="J1922" s="11">
        <f t="shared" ref="J1922:J1923" si="23">3.4/2</f>
        <v>1.7</v>
      </c>
      <c r="K1922" s="11">
        <v>548</v>
      </c>
      <c r="L1922" s="11">
        <v>109.1</v>
      </c>
      <c r="M1922" s="11">
        <v>262.3</v>
      </c>
      <c r="N1922" s="11">
        <v>107</v>
      </c>
      <c r="O1922" s="11">
        <v>27.9</v>
      </c>
      <c r="P1922" s="11">
        <v>8.43</v>
      </c>
    </row>
    <row r="1923" spans="1:16" s="11" customFormat="1">
      <c r="A1923" s="1" t="s">
        <v>5522</v>
      </c>
      <c r="B1923" s="1" t="s">
        <v>5539</v>
      </c>
      <c r="C1923" s="1" t="s">
        <v>1764</v>
      </c>
      <c r="D1923" s="1" t="s">
        <v>5516</v>
      </c>
      <c r="E1923" s="1" t="s">
        <v>1804</v>
      </c>
      <c r="F1923" s="11">
        <v>7650</v>
      </c>
      <c r="G1923" s="11">
        <v>8150</v>
      </c>
      <c r="H1923" s="11">
        <v>8340</v>
      </c>
      <c r="I1923" s="11">
        <v>2893</v>
      </c>
      <c r="J1923" s="11">
        <f t="shared" si="23"/>
        <v>1.7</v>
      </c>
      <c r="K1923" s="11">
        <v>158.19999999999999</v>
      </c>
      <c r="L1923" s="11">
        <v>98.4</v>
      </c>
      <c r="M1923" s="11">
        <v>364.9</v>
      </c>
      <c r="N1923" s="11">
        <v>103.4</v>
      </c>
      <c r="O1923" s="11">
        <v>32.700000000000003</v>
      </c>
      <c r="P1923" s="11">
        <v>5.63</v>
      </c>
    </row>
    <row r="1924" spans="1:16" s="11" customFormat="1">
      <c r="A1924" s="1" t="s">
        <v>5522</v>
      </c>
      <c r="B1924" s="1" t="s">
        <v>5540</v>
      </c>
      <c r="C1924" s="1" t="s">
        <v>1764</v>
      </c>
      <c r="D1924" s="1" t="s">
        <v>5516</v>
      </c>
      <c r="E1924" s="1" t="s">
        <v>1804</v>
      </c>
      <c r="F1924" s="11">
        <v>5580</v>
      </c>
      <c r="G1924" s="11">
        <v>5230</v>
      </c>
      <c r="H1924" s="11">
        <v>9950</v>
      </c>
      <c r="I1924" s="11">
        <v>3240</v>
      </c>
      <c r="J1924" s="11">
        <v>45.5</v>
      </c>
      <c r="K1924" s="11">
        <v>93.2</v>
      </c>
      <c r="L1924" s="11">
        <v>120.4</v>
      </c>
      <c r="M1924" s="11">
        <v>425</v>
      </c>
      <c r="N1924" s="11">
        <v>58.9</v>
      </c>
      <c r="O1924" s="11">
        <v>24.21</v>
      </c>
      <c r="P1924" s="11">
        <v>4.3899999999999997</v>
      </c>
    </row>
    <row r="1925" spans="1:16" s="11" customFormat="1">
      <c r="A1925" s="1" t="s">
        <v>5522</v>
      </c>
      <c r="B1925" s="1" t="s">
        <v>5541</v>
      </c>
      <c r="C1925" s="1" t="s">
        <v>1764</v>
      </c>
      <c r="D1925" s="1" t="s">
        <v>5516</v>
      </c>
      <c r="E1925" s="1" t="s">
        <v>1804</v>
      </c>
      <c r="F1925" s="11">
        <v>9150</v>
      </c>
      <c r="G1925" s="11">
        <v>7050</v>
      </c>
      <c r="H1925" s="11">
        <v>8940</v>
      </c>
      <c r="I1925" s="11">
        <v>4180</v>
      </c>
      <c r="J1925" s="11">
        <v>45.8</v>
      </c>
      <c r="K1925" s="11">
        <v>254</v>
      </c>
      <c r="L1925" s="11">
        <v>130.6</v>
      </c>
      <c r="M1925" s="11">
        <v>494</v>
      </c>
      <c r="N1925" s="11">
        <v>105.7</v>
      </c>
      <c r="O1925" s="11">
        <v>28.9</v>
      </c>
      <c r="P1925" s="11">
        <v>5</v>
      </c>
    </row>
    <row r="1926" spans="1:16" s="11" customFormat="1">
      <c r="A1926" s="1" t="s">
        <v>5522</v>
      </c>
      <c r="B1926" s="1" t="s">
        <v>5542</v>
      </c>
      <c r="C1926" s="1" t="s">
        <v>1764</v>
      </c>
      <c r="D1926" s="1" t="s">
        <v>5516</v>
      </c>
      <c r="E1926" s="1" t="s">
        <v>1804</v>
      </c>
      <c r="F1926" s="11">
        <v>8450</v>
      </c>
      <c r="G1926" s="11">
        <v>6880</v>
      </c>
      <c r="H1926" s="11">
        <v>10100</v>
      </c>
      <c r="I1926" s="11">
        <v>3520</v>
      </c>
      <c r="J1926" s="11">
        <v>45.8</v>
      </c>
      <c r="K1926" s="11">
        <v>241</v>
      </c>
      <c r="L1926" s="11">
        <v>138</v>
      </c>
      <c r="M1926" s="11">
        <v>431</v>
      </c>
      <c r="N1926" s="11">
        <v>85</v>
      </c>
      <c r="O1926" s="11">
        <v>29.2</v>
      </c>
      <c r="P1926" s="11">
        <v>5.38</v>
      </c>
    </row>
    <row r="1927" spans="1:16" s="11" customFormat="1">
      <c r="A1927" s="1" t="s">
        <v>5522</v>
      </c>
      <c r="B1927" s="1" t="s">
        <v>5543</v>
      </c>
      <c r="C1927" s="1" t="s">
        <v>1764</v>
      </c>
      <c r="D1927" s="1" t="s">
        <v>5516</v>
      </c>
      <c r="E1927" s="1" t="s">
        <v>1804</v>
      </c>
      <c r="F1927" s="11">
        <v>7370</v>
      </c>
      <c r="G1927" s="11">
        <v>6060</v>
      </c>
      <c r="H1927" s="11">
        <v>9350</v>
      </c>
      <c r="I1927" s="11">
        <v>3160</v>
      </c>
      <c r="J1927" s="11">
        <v>151.30000000000001</v>
      </c>
      <c r="K1927" s="11">
        <v>149.9</v>
      </c>
      <c r="L1927" s="11">
        <v>113.9</v>
      </c>
      <c r="M1927" s="11">
        <v>416</v>
      </c>
      <c r="N1927" s="11">
        <v>69.599999999999994</v>
      </c>
      <c r="O1927" s="11">
        <v>24.9</v>
      </c>
      <c r="P1927" s="11">
        <v>5.13</v>
      </c>
    </row>
    <row r="1928" spans="1:16" s="11" customFormat="1">
      <c r="A1928" s="1" t="s">
        <v>5522</v>
      </c>
      <c r="B1928" s="1" t="s">
        <v>5544</v>
      </c>
      <c r="C1928" s="1" t="s">
        <v>1764</v>
      </c>
      <c r="D1928" s="1" t="s">
        <v>5516</v>
      </c>
      <c r="E1928" s="1" t="s">
        <v>1804</v>
      </c>
      <c r="F1928" s="11">
        <v>7180</v>
      </c>
      <c r="G1928" s="11">
        <v>1267</v>
      </c>
      <c r="H1928" s="11">
        <v>604</v>
      </c>
      <c r="I1928" s="11">
        <v>2400</v>
      </c>
      <c r="J1928" s="11">
        <f t="shared" ref="J1928:J1962" si="24">3.4/2</f>
        <v>1.7</v>
      </c>
      <c r="K1928" s="11">
        <v>265.2</v>
      </c>
      <c r="L1928" s="11">
        <v>115</v>
      </c>
      <c r="M1928" s="11">
        <v>371</v>
      </c>
      <c r="N1928" s="11">
        <v>44</v>
      </c>
      <c r="O1928" s="11">
        <v>8.4700000000000006</v>
      </c>
      <c r="P1928" s="11">
        <v>5.6</v>
      </c>
    </row>
    <row r="1929" spans="1:16" s="11" customFormat="1">
      <c r="A1929" s="1" t="s">
        <v>5522</v>
      </c>
      <c r="B1929" s="1" t="s">
        <v>5545</v>
      </c>
      <c r="C1929" s="1" t="s">
        <v>1764</v>
      </c>
      <c r="D1929" s="1" t="s">
        <v>5516</v>
      </c>
      <c r="E1929" s="1" t="s">
        <v>1804</v>
      </c>
      <c r="F1929" s="11">
        <v>7700</v>
      </c>
      <c r="G1929" s="11">
        <v>1330</v>
      </c>
      <c r="H1929" s="11">
        <v>632</v>
      </c>
      <c r="I1929" s="11">
        <v>2500</v>
      </c>
      <c r="J1929" s="11">
        <f t="shared" si="24"/>
        <v>1.7</v>
      </c>
      <c r="K1929" s="11">
        <v>323</v>
      </c>
      <c r="L1929" s="11">
        <v>115.8</v>
      </c>
      <c r="M1929" s="11">
        <v>357</v>
      </c>
      <c r="N1929" s="11">
        <v>48.7</v>
      </c>
      <c r="O1929" s="11">
        <v>8.8000000000000007</v>
      </c>
      <c r="P1929" s="11">
        <v>5.81</v>
      </c>
    </row>
    <row r="1930" spans="1:16" s="11" customFormat="1">
      <c r="A1930" s="1" t="s">
        <v>5522</v>
      </c>
      <c r="B1930" s="1" t="s">
        <v>5546</v>
      </c>
      <c r="C1930" s="1" t="s">
        <v>1764</v>
      </c>
      <c r="D1930" s="1" t="s">
        <v>5516</v>
      </c>
      <c r="E1930" s="1" t="s">
        <v>1804</v>
      </c>
      <c r="F1930" s="11">
        <v>7380</v>
      </c>
      <c r="G1930" s="11">
        <v>1146</v>
      </c>
      <c r="H1930" s="11">
        <v>575</v>
      </c>
      <c r="I1930" s="11">
        <v>2530</v>
      </c>
      <c r="J1930" s="11">
        <f t="shared" si="24"/>
        <v>1.7</v>
      </c>
      <c r="K1930" s="11">
        <v>95.8</v>
      </c>
      <c r="L1930" s="11">
        <v>117.6</v>
      </c>
      <c r="M1930" s="11">
        <v>358</v>
      </c>
      <c r="N1930" s="11">
        <v>43.9</v>
      </c>
      <c r="O1930" s="11">
        <v>9.02</v>
      </c>
      <c r="P1930" s="11">
        <v>6.06</v>
      </c>
    </row>
    <row r="1931" spans="1:16" s="11" customFormat="1">
      <c r="A1931" s="1" t="s">
        <v>5522</v>
      </c>
      <c r="B1931" s="1" t="s">
        <v>5547</v>
      </c>
      <c r="C1931" s="1" t="s">
        <v>1764</v>
      </c>
      <c r="D1931" s="1" t="s">
        <v>5516</v>
      </c>
      <c r="E1931" s="1" t="s">
        <v>1804</v>
      </c>
      <c r="F1931" s="11">
        <v>6540</v>
      </c>
      <c r="G1931" s="11">
        <v>1088</v>
      </c>
      <c r="H1931" s="11">
        <v>473</v>
      </c>
      <c r="I1931" s="11">
        <v>2520</v>
      </c>
      <c r="J1931" s="11">
        <f t="shared" si="24"/>
        <v>1.7</v>
      </c>
      <c r="K1931" s="11">
        <v>54.7</v>
      </c>
      <c r="L1931" s="11">
        <v>108.3</v>
      </c>
      <c r="M1931" s="11">
        <v>345</v>
      </c>
      <c r="N1931" s="11">
        <v>88.7</v>
      </c>
      <c r="O1931" s="11">
        <v>9.93</v>
      </c>
      <c r="P1931" s="11">
        <v>5.61</v>
      </c>
    </row>
    <row r="1932" spans="1:16" s="11" customFormat="1">
      <c r="A1932" s="1" t="s">
        <v>5522</v>
      </c>
      <c r="B1932" s="1" t="s">
        <v>5548</v>
      </c>
      <c r="C1932" s="1" t="s">
        <v>1764</v>
      </c>
      <c r="D1932" s="1" t="s">
        <v>5516</v>
      </c>
      <c r="E1932" s="1" t="s">
        <v>1804</v>
      </c>
      <c r="F1932" s="11">
        <v>7690</v>
      </c>
      <c r="G1932" s="11">
        <v>1334</v>
      </c>
      <c r="H1932" s="11">
        <v>653</v>
      </c>
      <c r="I1932" s="11">
        <v>2280</v>
      </c>
      <c r="J1932" s="11">
        <f t="shared" si="24"/>
        <v>1.7</v>
      </c>
      <c r="K1932" s="11">
        <v>432</v>
      </c>
      <c r="L1932" s="11">
        <v>108.9</v>
      </c>
      <c r="M1932" s="11">
        <v>346</v>
      </c>
      <c r="N1932" s="11">
        <v>55.8</v>
      </c>
      <c r="O1932" s="11">
        <v>8.58</v>
      </c>
      <c r="P1932" s="11">
        <v>5.45</v>
      </c>
    </row>
    <row r="1933" spans="1:16" s="11" customFormat="1">
      <c r="A1933" s="1" t="s">
        <v>5522</v>
      </c>
      <c r="B1933" s="1" t="s">
        <v>5549</v>
      </c>
      <c r="C1933" s="1" t="s">
        <v>1764</v>
      </c>
      <c r="D1933" s="1" t="s">
        <v>5516</v>
      </c>
      <c r="E1933" s="1" t="s">
        <v>1804</v>
      </c>
      <c r="F1933" s="11">
        <v>7870</v>
      </c>
      <c r="G1933" s="11">
        <v>1348</v>
      </c>
      <c r="H1933" s="11">
        <v>623</v>
      </c>
      <c r="I1933" s="11">
        <v>2580</v>
      </c>
      <c r="J1933" s="11">
        <f t="shared" si="24"/>
        <v>1.7</v>
      </c>
      <c r="K1933" s="11">
        <v>135.69999999999999</v>
      </c>
      <c r="L1933" s="11">
        <v>114.2</v>
      </c>
      <c r="M1933" s="11">
        <v>362</v>
      </c>
      <c r="N1933" s="11">
        <v>37.299999999999997</v>
      </c>
      <c r="O1933" s="11">
        <v>8.9499999999999993</v>
      </c>
      <c r="P1933" s="11">
        <v>5.61</v>
      </c>
    </row>
    <row r="1934" spans="1:16" s="11" customFormat="1">
      <c r="A1934" s="1" t="s">
        <v>5522</v>
      </c>
      <c r="B1934" s="1" t="s">
        <v>5550</v>
      </c>
      <c r="C1934" s="1" t="s">
        <v>1764</v>
      </c>
      <c r="D1934" s="1" t="s">
        <v>5516</v>
      </c>
      <c r="E1934" s="1" t="s">
        <v>1804</v>
      </c>
      <c r="F1934" s="11">
        <v>9060</v>
      </c>
      <c r="G1934" s="11">
        <v>766</v>
      </c>
      <c r="H1934" s="11">
        <v>277</v>
      </c>
      <c r="I1934" s="11">
        <v>2240</v>
      </c>
      <c r="J1934" s="11">
        <f t="shared" si="24"/>
        <v>1.7</v>
      </c>
      <c r="K1934" s="11">
        <v>73.900000000000006</v>
      </c>
      <c r="L1934" s="11">
        <v>109.6</v>
      </c>
      <c r="M1934" s="11">
        <v>344</v>
      </c>
      <c r="N1934" s="11">
        <v>54.3</v>
      </c>
      <c r="O1934" s="11">
        <v>6.77</v>
      </c>
      <c r="P1934" s="11">
        <v>6.48</v>
      </c>
    </row>
    <row r="1935" spans="1:16" s="11" customFormat="1">
      <c r="A1935" s="1" t="s">
        <v>5522</v>
      </c>
      <c r="B1935" s="1" t="s">
        <v>5551</v>
      </c>
      <c r="C1935" s="1" t="s">
        <v>1764</v>
      </c>
      <c r="D1935" s="1" t="s">
        <v>5516</v>
      </c>
      <c r="E1935" s="1" t="s">
        <v>1804</v>
      </c>
      <c r="F1935" s="11">
        <v>7650</v>
      </c>
      <c r="G1935" s="11">
        <v>734</v>
      </c>
      <c r="H1935" s="11">
        <v>292</v>
      </c>
      <c r="I1935" s="11">
        <v>2247</v>
      </c>
      <c r="J1935" s="11">
        <f t="shared" si="24"/>
        <v>1.7</v>
      </c>
      <c r="K1935" s="11">
        <v>64.400000000000006</v>
      </c>
      <c r="L1935" s="11">
        <v>112.3</v>
      </c>
      <c r="M1935" s="11">
        <v>354</v>
      </c>
      <c r="N1935" s="11">
        <v>43</v>
      </c>
      <c r="O1935" s="11">
        <v>7.01</v>
      </c>
      <c r="P1935" s="11">
        <v>5.44</v>
      </c>
    </row>
    <row r="1936" spans="1:16" s="11" customFormat="1">
      <c r="A1936" s="1" t="s">
        <v>5522</v>
      </c>
      <c r="B1936" s="1" t="s">
        <v>5552</v>
      </c>
      <c r="C1936" s="1" t="s">
        <v>1764</v>
      </c>
      <c r="D1936" s="1" t="s">
        <v>5516</v>
      </c>
      <c r="E1936" s="1" t="s">
        <v>1804</v>
      </c>
      <c r="F1936" s="11">
        <v>7560</v>
      </c>
      <c r="G1936" s="11">
        <v>707</v>
      </c>
      <c r="H1936" s="11">
        <v>287</v>
      </c>
      <c r="I1936" s="11">
        <v>2280</v>
      </c>
      <c r="J1936" s="11">
        <f t="shared" si="24"/>
        <v>1.7</v>
      </c>
      <c r="K1936" s="11">
        <v>146.4</v>
      </c>
      <c r="L1936" s="11">
        <v>112.7</v>
      </c>
      <c r="M1936" s="11">
        <v>344</v>
      </c>
      <c r="N1936" s="11">
        <v>30.3</v>
      </c>
      <c r="O1936" s="11">
        <v>6.98</v>
      </c>
      <c r="P1936" s="11">
        <v>5.99</v>
      </c>
    </row>
    <row r="1937" spans="1:16" s="11" customFormat="1">
      <c r="A1937" s="1" t="s">
        <v>5522</v>
      </c>
      <c r="B1937" s="1" t="s">
        <v>5553</v>
      </c>
      <c r="C1937" s="1" t="s">
        <v>1764</v>
      </c>
      <c r="D1937" s="1" t="s">
        <v>5516</v>
      </c>
      <c r="E1937" s="1" t="s">
        <v>1804</v>
      </c>
      <c r="F1937" s="11">
        <v>7200</v>
      </c>
      <c r="G1937" s="11">
        <v>617</v>
      </c>
      <c r="H1937" s="11">
        <v>268</v>
      </c>
      <c r="I1937" s="11">
        <v>2268</v>
      </c>
      <c r="J1937" s="11">
        <f t="shared" si="24"/>
        <v>1.7</v>
      </c>
      <c r="K1937" s="11">
        <v>85.6</v>
      </c>
      <c r="L1937" s="11">
        <v>114.8</v>
      </c>
      <c r="M1937" s="11">
        <v>345</v>
      </c>
      <c r="N1937" s="11">
        <v>51</v>
      </c>
      <c r="O1937" s="11">
        <v>6.87</v>
      </c>
      <c r="P1937" s="11">
        <v>5.26</v>
      </c>
    </row>
    <row r="1938" spans="1:16" s="11" customFormat="1">
      <c r="A1938" s="1" t="s">
        <v>5522</v>
      </c>
      <c r="B1938" s="1" t="s">
        <v>5554</v>
      </c>
      <c r="C1938" s="1" t="s">
        <v>1764</v>
      </c>
      <c r="D1938" s="1" t="s">
        <v>5516</v>
      </c>
      <c r="E1938" s="1" t="s">
        <v>1804</v>
      </c>
      <c r="F1938" s="11">
        <v>7430</v>
      </c>
      <c r="G1938" s="11">
        <v>610</v>
      </c>
      <c r="H1938" s="11">
        <v>266</v>
      </c>
      <c r="I1938" s="11">
        <v>2271</v>
      </c>
      <c r="J1938" s="11">
        <f t="shared" si="24"/>
        <v>1.7</v>
      </c>
      <c r="K1938" s="11">
        <v>199.3</v>
      </c>
      <c r="L1938" s="11">
        <v>111.9</v>
      </c>
      <c r="M1938" s="11">
        <v>340</v>
      </c>
      <c r="N1938" s="11">
        <v>30.7</v>
      </c>
      <c r="O1938" s="11">
        <v>7.01</v>
      </c>
      <c r="P1938" s="11">
        <v>4.58</v>
      </c>
    </row>
    <row r="1939" spans="1:16" s="11" customFormat="1">
      <c r="A1939" s="1" t="s">
        <v>5522</v>
      </c>
      <c r="B1939" s="1" t="s">
        <v>5555</v>
      </c>
      <c r="C1939" s="1" t="s">
        <v>1764</v>
      </c>
      <c r="D1939" s="1" t="s">
        <v>5516</v>
      </c>
      <c r="E1939" s="1" t="s">
        <v>1804</v>
      </c>
      <c r="F1939" s="11">
        <v>6270</v>
      </c>
      <c r="G1939" s="11">
        <v>565</v>
      </c>
      <c r="H1939" s="11">
        <v>226</v>
      </c>
      <c r="I1939" s="11">
        <v>2182</v>
      </c>
      <c r="J1939" s="11">
        <f t="shared" si="24"/>
        <v>1.7</v>
      </c>
      <c r="K1939" s="11">
        <v>34.9</v>
      </c>
      <c r="L1939" s="11">
        <v>107.8</v>
      </c>
      <c r="M1939" s="11">
        <v>338</v>
      </c>
      <c r="N1939" s="11">
        <v>69</v>
      </c>
      <c r="O1939" s="11">
        <v>6.39</v>
      </c>
      <c r="P1939" s="11">
        <v>4.79</v>
      </c>
    </row>
    <row r="1940" spans="1:16" s="11" customFormat="1">
      <c r="A1940" s="1" t="s">
        <v>5522</v>
      </c>
      <c r="B1940" s="1" t="s">
        <v>5556</v>
      </c>
      <c r="C1940" s="1" t="s">
        <v>1764</v>
      </c>
      <c r="D1940" s="1" t="s">
        <v>5516</v>
      </c>
      <c r="E1940" s="1" t="s">
        <v>1804</v>
      </c>
      <c r="F1940" s="11">
        <v>6540</v>
      </c>
      <c r="G1940" s="11">
        <v>567</v>
      </c>
      <c r="H1940" s="11">
        <v>271</v>
      </c>
      <c r="I1940" s="11">
        <v>2330</v>
      </c>
      <c r="J1940" s="11">
        <f t="shared" si="24"/>
        <v>1.7</v>
      </c>
      <c r="K1940" s="11">
        <v>37.5</v>
      </c>
      <c r="L1940" s="11">
        <v>114.5</v>
      </c>
      <c r="M1940" s="11">
        <v>354</v>
      </c>
      <c r="N1940" s="11">
        <v>72.5</v>
      </c>
      <c r="O1940" s="11">
        <v>6.81</v>
      </c>
      <c r="P1940" s="11">
        <v>4.99</v>
      </c>
    </row>
    <row r="1941" spans="1:16" s="11" customFormat="1">
      <c r="A1941" s="1" t="s">
        <v>5522</v>
      </c>
      <c r="B1941" s="1" t="s">
        <v>5557</v>
      </c>
      <c r="C1941" s="1" t="s">
        <v>1764</v>
      </c>
      <c r="D1941" s="1" t="s">
        <v>5516</v>
      </c>
      <c r="E1941" s="1" t="s">
        <v>1804</v>
      </c>
      <c r="F1941" s="11">
        <v>6960</v>
      </c>
      <c r="G1941" s="11">
        <v>603</v>
      </c>
      <c r="H1941" s="11">
        <v>294</v>
      </c>
      <c r="I1941" s="11">
        <v>2320</v>
      </c>
      <c r="J1941" s="11">
        <f t="shared" si="24"/>
        <v>1.7</v>
      </c>
      <c r="K1941" s="11">
        <v>81.099999999999994</v>
      </c>
      <c r="L1941" s="11">
        <v>109.2</v>
      </c>
      <c r="M1941" s="11">
        <v>349</v>
      </c>
      <c r="N1941" s="11">
        <v>39.1</v>
      </c>
      <c r="O1941" s="11">
        <v>6.57</v>
      </c>
      <c r="P1941" s="11">
        <v>5.79</v>
      </c>
    </row>
    <row r="1942" spans="1:16" s="11" customFormat="1">
      <c r="A1942" s="1" t="s">
        <v>5522</v>
      </c>
      <c r="B1942" s="1" t="s">
        <v>5558</v>
      </c>
      <c r="C1942" s="1" t="s">
        <v>1764</v>
      </c>
      <c r="D1942" s="1" t="s">
        <v>5516</v>
      </c>
      <c r="E1942" s="1" t="s">
        <v>1804</v>
      </c>
      <c r="F1942" s="11">
        <v>8360</v>
      </c>
      <c r="G1942" s="11">
        <v>645</v>
      </c>
      <c r="H1942" s="11">
        <v>423</v>
      </c>
      <c r="I1942" s="11">
        <v>2270</v>
      </c>
      <c r="J1942" s="11">
        <f t="shared" si="24"/>
        <v>1.7</v>
      </c>
      <c r="K1942" s="11">
        <v>235</v>
      </c>
      <c r="L1942" s="11">
        <v>113.6</v>
      </c>
      <c r="M1942" s="11">
        <v>359</v>
      </c>
      <c r="N1942" s="11">
        <v>39.6</v>
      </c>
      <c r="O1942" s="11">
        <v>7.23</v>
      </c>
      <c r="P1942" s="11">
        <v>5.13</v>
      </c>
    </row>
    <row r="1943" spans="1:16" s="11" customFormat="1">
      <c r="A1943" s="1" t="s">
        <v>5522</v>
      </c>
      <c r="B1943" s="1" t="s">
        <v>5559</v>
      </c>
      <c r="C1943" s="1" t="s">
        <v>1764</v>
      </c>
      <c r="D1943" s="1" t="s">
        <v>5516</v>
      </c>
      <c r="E1943" s="1" t="s">
        <v>1804</v>
      </c>
      <c r="F1943" s="11">
        <v>7960</v>
      </c>
      <c r="G1943" s="11">
        <v>567</v>
      </c>
      <c r="H1943" s="11">
        <v>373</v>
      </c>
      <c r="I1943" s="11">
        <v>2280</v>
      </c>
      <c r="J1943" s="11">
        <f t="shared" si="24"/>
        <v>1.7</v>
      </c>
      <c r="K1943" s="11">
        <v>279.3</v>
      </c>
      <c r="L1943" s="11">
        <v>113.2</v>
      </c>
      <c r="M1943" s="11">
        <v>340</v>
      </c>
      <c r="N1943" s="11">
        <v>40.799999999999997</v>
      </c>
      <c r="O1943" s="11">
        <v>6.55</v>
      </c>
      <c r="P1943" s="11">
        <v>5.46</v>
      </c>
    </row>
    <row r="1944" spans="1:16" s="11" customFormat="1">
      <c r="A1944" s="1" t="s">
        <v>5522</v>
      </c>
      <c r="B1944" s="1" t="s">
        <v>5560</v>
      </c>
      <c r="C1944" s="1" t="s">
        <v>1764</v>
      </c>
      <c r="D1944" s="1" t="s">
        <v>5516</v>
      </c>
      <c r="E1944" s="1" t="s">
        <v>1804</v>
      </c>
      <c r="F1944" s="11">
        <v>7540</v>
      </c>
      <c r="G1944" s="11">
        <v>546</v>
      </c>
      <c r="H1944" s="11">
        <v>365</v>
      </c>
      <c r="I1944" s="11">
        <v>2190</v>
      </c>
      <c r="J1944" s="11">
        <f t="shared" si="24"/>
        <v>1.7</v>
      </c>
      <c r="K1944" s="11">
        <v>231.2</v>
      </c>
      <c r="L1944" s="11">
        <v>111.6</v>
      </c>
      <c r="M1944" s="11">
        <v>327</v>
      </c>
      <c r="N1944" s="11">
        <v>36.1</v>
      </c>
      <c r="O1944" s="11">
        <v>6.68</v>
      </c>
      <c r="P1944" s="11">
        <v>5.94</v>
      </c>
    </row>
    <row r="1945" spans="1:16">
      <c r="A1945" s="1" t="s">
        <v>5515</v>
      </c>
      <c r="B1945" s="5" t="s">
        <v>5514</v>
      </c>
      <c r="C1945" s="1" t="s">
        <v>18</v>
      </c>
      <c r="D1945" s="1" t="s">
        <v>19</v>
      </c>
      <c r="E1945" s="1" t="s">
        <v>1804</v>
      </c>
      <c r="F1945">
        <v>503</v>
      </c>
      <c r="G1945" s="11">
        <f t="shared" ref="G1945:G1954" si="25">36.52/2</f>
        <v>18.260000000000002</v>
      </c>
      <c r="H1945" s="11">
        <f t="shared" ref="H1945:H1959" si="26">37.26/2</f>
        <v>18.63</v>
      </c>
      <c r="I1945">
        <v>842</v>
      </c>
      <c r="J1945" s="11">
        <f t="shared" si="24"/>
        <v>1.7</v>
      </c>
      <c r="K1945">
        <v>68.3</v>
      </c>
      <c r="L1945">
        <v>60.5</v>
      </c>
      <c r="M1945">
        <v>175</v>
      </c>
      <c r="N1945">
        <v>24.4</v>
      </c>
      <c r="O1945" s="11">
        <f t="shared" ref="O1945:O1946" si="27">0.94/2</f>
        <v>0.47</v>
      </c>
      <c r="P1945">
        <v>13.49</v>
      </c>
    </row>
    <row r="1946" spans="1:16">
      <c r="A1946" s="1" t="s">
        <v>5515</v>
      </c>
      <c r="B1946" s="1" t="s">
        <v>1932</v>
      </c>
      <c r="C1946" s="1" t="s">
        <v>18</v>
      </c>
      <c r="D1946" s="1" t="s">
        <v>19</v>
      </c>
      <c r="E1946" s="1" t="s">
        <v>1804</v>
      </c>
      <c r="F1946">
        <v>9690</v>
      </c>
      <c r="G1946" s="11">
        <f t="shared" si="25"/>
        <v>18.260000000000002</v>
      </c>
      <c r="H1946" s="11">
        <f t="shared" si="26"/>
        <v>18.63</v>
      </c>
      <c r="I1946">
        <v>755</v>
      </c>
      <c r="J1946" s="11">
        <f t="shared" si="24"/>
        <v>1.7</v>
      </c>
      <c r="K1946">
        <v>374</v>
      </c>
      <c r="L1946">
        <v>102.3</v>
      </c>
      <c r="M1946">
        <v>235</v>
      </c>
      <c r="N1946">
        <v>46.9</v>
      </c>
      <c r="O1946" s="11">
        <f t="shared" si="27"/>
        <v>0.47</v>
      </c>
      <c r="P1946">
        <v>13.06</v>
      </c>
    </row>
    <row r="1947" spans="1:16">
      <c r="A1947" s="1" t="s">
        <v>5515</v>
      </c>
      <c r="B1947" s="1" t="s">
        <v>1933</v>
      </c>
      <c r="C1947" s="1" t="s">
        <v>18</v>
      </c>
      <c r="D1947" s="1" t="s">
        <v>19</v>
      </c>
      <c r="E1947" s="1" t="s">
        <v>1804</v>
      </c>
      <c r="F1947">
        <v>8680</v>
      </c>
      <c r="G1947" s="11">
        <f t="shared" si="25"/>
        <v>18.260000000000002</v>
      </c>
      <c r="H1947" s="11">
        <f t="shared" si="26"/>
        <v>18.63</v>
      </c>
      <c r="I1947">
        <v>751</v>
      </c>
      <c r="J1947" s="11">
        <f t="shared" si="24"/>
        <v>1.7</v>
      </c>
      <c r="K1947">
        <v>327</v>
      </c>
      <c r="L1947">
        <v>107.1</v>
      </c>
      <c r="M1947">
        <v>243</v>
      </c>
      <c r="N1947">
        <v>52</v>
      </c>
      <c r="O1947">
        <v>1.04</v>
      </c>
      <c r="P1947">
        <v>14.97</v>
      </c>
    </row>
    <row r="1948" spans="1:16">
      <c r="A1948" s="1" t="s">
        <v>5515</v>
      </c>
      <c r="B1948" s="1" t="s">
        <v>1934</v>
      </c>
      <c r="C1948" s="1" t="s">
        <v>18</v>
      </c>
      <c r="D1948" s="1" t="s">
        <v>19</v>
      </c>
      <c r="E1948" s="1" t="s">
        <v>1804</v>
      </c>
      <c r="F1948">
        <v>8190</v>
      </c>
      <c r="G1948" s="11">
        <f t="shared" si="25"/>
        <v>18.260000000000002</v>
      </c>
      <c r="H1948" s="11">
        <f t="shared" si="26"/>
        <v>18.63</v>
      </c>
      <c r="I1948">
        <v>794</v>
      </c>
      <c r="J1948" s="11">
        <f t="shared" si="24"/>
        <v>1.7</v>
      </c>
      <c r="K1948">
        <v>300.60000000000002</v>
      </c>
      <c r="L1948">
        <v>113.4</v>
      </c>
      <c r="M1948">
        <v>234.6</v>
      </c>
      <c r="N1948">
        <v>48.4</v>
      </c>
      <c r="O1948">
        <v>1.17</v>
      </c>
      <c r="P1948">
        <v>15.92</v>
      </c>
    </row>
    <row r="1949" spans="1:16">
      <c r="A1949" s="1" t="s">
        <v>5515</v>
      </c>
      <c r="B1949" s="1" t="s">
        <v>1935</v>
      </c>
      <c r="C1949" s="1" t="s">
        <v>18</v>
      </c>
      <c r="D1949" s="1" t="s">
        <v>19</v>
      </c>
      <c r="E1949" s="1" t="s">
        <v>1804</v>
      </c>
      <c r="F1949">
        <v>8280</v>
      </c>
      <c r="G1949" s="11">
        <f t="shared" si="25"/>
        <v>18.260000000000002</v>
      </c>
      <c r="H1949" s="11">
        <f t="shared" si="26"/>
        <v>18.63</v>
      </c>
      <c r="I1949">
        <v>730</v>
      </c>
      <c r="J1949" s="11">
        <f t="shared" si="24"/>
        <v>1.7</v>
      </c>
      <c r="K1949">
        <v>330</v>
      </c>
      <c r="L1949">
        <v>111.3</v>
      </c>
      <c r="M1949">
        <v>249</v>
      </c>
      <c r="N1949">
        <v>50.8</v>
      </c>
      <c r="O1949" s="11">
        <f t="shared" ref="O1949:O1952" si="28">0.94/2</f>
        <v>0.47</v>
      </c>
      <c r="P1949">
        <v>14.4</v>
      </c>
    </row>
    <row r="1950" spans="1:16">
      <c r="A1950" s="1" t="s">
        <v>5515</v>
      </c>
      <c r="B1950" s="1" t="s">
        <v>1936</v>
      </c>
      <c r="C1950" s="1" t="s">
        <v>18</v>
      </c>
      <c r="D1950" s="1" t="s">
        <v>19</v>
      </c>
      <c r="E1950" s="1" t="s">
        <v>1804</v>
      </c>
      <c r="F1950">
        <v>8090</v>
      </c>
      <c r="G1950" s="11">
        <f t="shared" si="25"/>
        <v>18.260000000000002</v>
      </c>
      <c r="H1950" s="11">
        <f t="shared" si="26"/>
        <v>18.63</v>
      </c>
      <c r="I1950">
        <v>717</v>
      </c>
      <c r="J1950" s="11">
        <f t="shared" si="24"/>
        <v>1.7</v>
      </c>
      <c r="K1950">
        <v>322</v>
      </c>
      <c r="L1950">
        <v>106.3</v>
      </c>
      <c r="M1950">
        <v>229</v>
      </c>
      <c r="N1950">
        <v>43</v>
      </c>
      <c r="O1950" s="11">
        <f t="shared" si="28"/>
        <v>0.47</v>
      </c>
      <c r="P1950">
        <v>14.7</v>
      </c>
    </row>
    <row r="1951" spans="1:16">
      <c r="A1951" s="1" t="s">
        <v>5515</v>
      </c>
      <c r="B1951" s="1" t="s">
        <v>1937</v>
      </c>
      <c r="C1951" s="1" t="s">
        <v>18</v>
      </c>
      <c r="D1951" s="1" t="s">
        <v>19</v>
      </c>
      <c r="E1951" s="1" t="s">
        <v>1804</v>
      </c>
      <c r="F1951">
        <v>9130</v>
      </c>
      <c r="G1951" s="11">
        <f t="shared" si="25"/>
        <v>18.260000000000002</v>
      </c>
      <c r="H1951" s="11">
        <f t="shared" si="26"/>
        <v>18.63</v>
      </c>
      <c r="I1951">
        <v>766</v>
      </c>
      <c r="J1951" s="11">
        <f t="shared" si="24"/>
        <v>1.7</v>
      </c>
      <c r="K1951">
        <v>350</v>
      </c>
      <c r="L1951">
        <v>101.5</v>
      </c>
      <c r="M1951">
        <v>243</v>
      </c>
      <c r="N1951">
        <v>56.9</v>
      </c>
      <c r="O1951" s="11">
        <f t="shared" si="28"/>
        <v>0.47</v>
      </c>
      <c r="P1951">
        <v>15.4</v>
      </c>
    </row>
    <row r="1952" spans="1:16">
      <c r="A1952" s="1" t="s">
        <v>5515</v>
      </c>
      <c r="B1952" s="1" t="s">
        <v>1938</v>
      </c>
      <c r="C1952" s="1" t="s">
        <v>18</v>
      </c>
      <c r="D1952" s="1" t="s">
        <v>19</v>
      </c>
      <c r="E1952" s="1" t="s">
        <v>1804</v>
      </c>
      <c r="F1952">
        <v>11040</v>
      </c>
      <c r="G1952" s="11">
        <f t="shared" si="25"/>
        <v>18.260000000000002</v>
      </c>
      <c r="H1952" s="11">
        <f t="shared" si="26"/>
        <v>18.63</v>
      </c>
      <c r="I1952">
        <v>393</v>
      </c>
      <c r="J1952" s="11">
        <f t="shared" si="24"/>
        <v>1.7</v>
      </c>
      <c r="K1952">
        <v>369</v>
      </c>
      <c r="L1952">
        <v>125.7</v>
      </c>
      <c r="M1952">
        <v>209</v>
      </c>
      <c r="N1952">
        <v>53</v>
      </c>
      <c r="O1952" s="11">
        <f t="shared" si="28"/>
        <v>0.47</v>
      </c>
      <c r="P1952">
        <v>10.4</v>
      </c>
    </row>
    <row r="1953" spans="1:16">
      <c r="A1953" s="1" t="s">
        <v>5515</v>
      </c>
      <c r="B1953" s="1" t="s">
        <v>1939</v>
      </c>
      <c r="C1953" s="1" t="s">
        <v>18</v>
      </c>
      <c r="D1953" s="1" t="s">
        <v>19</v>
      </c>
      <c r="E1953" s="1" t="s">
        <v>1804</v>
      </c>
      <c r="F1953">
        <v>10550</v>
      </c>
      <c r="G1953" s="11">
        <f t="shared" si="25"/>
        <v>18.260000000000002</v>
      </c>
      <c r="H1953" s="11">
        <f t="shared" si="26"/>
        <v>18.63</v>
      </c>
      <c r="I1953">
        <v>370</v>
      </c>
      <c r="J1953" s="11">
        <f t="shared" si="24"/>
        <v>1.7</v>
      </c>
      <c r="K1953">
        <v>361</v>
      </c>
      <c r="L1953">
        <v>117</v>
      </c>
      <c r="M1953">
        <v>201</v>
      </c>
      <c r="N1953">
        <v>52.7</v>
      </c>
      <c r="O1953">
        <v>0.96</v>
      </c>
      <c r="P1953">
        <v>12.7</v>
      </c>
    </row>
    <row r="1954" spans="1:16">
      <c r="A1954" s="1" t="s">
        <v>5515</v>
      </c>
      <c r="B1954" s="1" t="s">
        <v>1940</v>
      </c>
      <c r="C1954" s="1" t="s">
        <v>18</v>
      </c>
      <c r="D1954" s="1" t="s">
        <v>19</v>
      </c>
      <c r="E1954" s="1" t="s">
        <v>1804</v>
      </c>
      <c r="F1954">
        <v>10430</v>
      </c>
      <c r="G1954" s="11">
        <f t="shared" si="25"/>
        <v>18.260000000000002</v>
      </c>
      <c r="H1954" s="11">
        <f t="shared" si="26"/>
        <v>18.63</v>
      </c>
      <c r="I1954">
        <v>392</v>
      </c>
      <c r="J1954" s="11">
        <f t="shared" si="24"/>
        <v>1.7</v>
      </c>
      <c r="K1954">
        <v>352</v>
      </c>
      <c r="L1954">
        <v>118.7</v>
      </c>
      <c r="M1954">
        <v>210</v>
      </c>
      <c r="N1954">
        <v>37.799999999999997</v>
      </c>
      <c r="O1954" s="11">
        <f t="shared" ref="O1954:O1956" si="29">0.94/2</f>
        <v>0.47</v>
      </c>
      <c r="P1954">
        <v>9.9</v>
      </c>
    </row>
    <row r="1955" spans="1:16">
      <c r="A1955" s="1" t="s">
        <v>5515</v>
      </c>
      <c r="B1955" s="1" t="s">
        <v>1941</v>
      </c>
      <c r="C1955" s="1" t="s">
        <v>18</v>
      </c>
      <c r="D1955" s="1" t="s">
        <v>19</v>
      </c>
      <c r="E1955" s="1" t="s">
        <v>1804</v>
      </c>
      <c r="F1955">
        <v>6640</v>
      </c>
      <c r="G1955">
        <v>110</v>
      </c>
      <c r="H1955" s="11">
        <f t="shared" si="26"/>
        <v>18.63</v>
      </c>
      <c r="I1955">
        <v>633</v>
      </c>
      <c r="J1955" s="11">
        <f t="shared" si="24"/>
        <v>1.7</v>
      </c>
      <c r="K1955">
        <v>63.1</v>
      </c>
      <c r="L1955">
        <v>140</v>
      </c>
      <c r="M1955">
        <v>242</v>
      </c>
      <c r="N1955">
        <v>22</v>
      </c>
      <c r="O1955" s="11">
        <f t="shared" si="29"/>
        <v>0.47</v>
      </c>
      <c r="P1955">
        <v>7.3</v>
      </c>
    </row>
    <row r="1956" spans="1:16">
      <c r="A1956" s="1" t="s">
        <v>5515</v>
      </c>
      <c r="B1956" s="1" t="s">
        <v>1942</v>
      </c>
      <c r="C1956" s="1" t="s">
        <v>18</v>
      </c>
      <c r="D1956" s="1" t="s">
        <v>19</v>
      </c>
      <c r="E1956" s="1" t="s">
        <v>1804</v>
      </c>
      <c r="F1956">
        <v>11320</v>
      </c>
      <c r="G1956">
        <v>56.3</v>
      </c>
      <c r="H1956" s="11">
        <f t="shared" si="26"/>
        <v>18.63</v>
      </c>
      <c r="I1956">
        <v>586</v>
      </c>
      <c r="J1956" s="11">
        <f t="shared" si="24"/>
        <v>1.7</v>
      </c>
      <c r="K1956">
        <v>115.5</v>
      </c>
      <c r="L1956">
        <v>112.4</v>
      </c>
      <c r="M1956">
        <v>209.8</v>
      </c>
      <c r="N1956">
        <v>15.6</v>
      </c>
      <c r="O1956" s="11">
        <f t="shared" si="29"/>
        <v>0.47</v>
      </c>
      <c r="P1956">
        <v>6.67</v>
      </c>
    </row>
    <row r="1957" spans="1:16">
      <c r="A1957" s="1" t="s">
        <v>5515</v>
      </c>
      <c r="B1957" s="1" t="s">
        <v>1943</v>
      </c>
      <c r="C1957" s="1" t="s">
        <v>18</v>
      </c>
      <c r="D1957" s="1" t="s">
        <v>19</v>
      </c>
      <c r="E1957" s="1" t="s">
        <v>1804</v>
      </c>
      <c r="F1957">
        <v>6060</v>
      </c>
      <c r="G1957">
        <v>109</v>
      </c>
      <c r="H1957" s="11">
        <f t="shared" si="26"/>
        <v>18.63</v>
      </c>
      <c r="I1957">
        <v>580</v>
      </c>
      <c r="J1957" s="11">
        <f t="shared" si="24"/>
        <v>1.7</v>
      </c>
      <c r="K1957">
        <v>81.3</v>
      </c>
      <c r="L1957">
        <v>144</v>
      </c>
      <c r="M1957">
        <v>245</v>
      </c>
      <c r="N1957">
        <v>22</v>
      </c>
      <c r="O1957">
        <v>1.1499999999999999</v>
      </c>
      <c r="P1957">
        <v>6.2</v>
      </c>
    </row>
    <row r="1958" spans="1:16">
      <c r="A1958" s="1" t="s">
        <v>5515</v>
      </c>
      <c r="B1958" s="1" t="s">
        <v>1944</v>
      </c>
      <c r="C1958" s="1" t="s">
        <v>18</v>
      </c>
      <c r="D1958" s="1" t="s">
        <v>19</v>
      </c>
      <c r="E1958" s="1" t="s">
        <v>1804</v>
      </c>
      <c r="F1958">
        <v>7760</v>
      </c>
      <c r="G1958">
        <v>73</v>
      </c>
      <c r="H1958" s="11">
        <f t="shared" si="26"/>
        <v>18.63</v>
      </c>
      <c r="I1958">
        <v>628</v>
      </c>
      <c r="J1958" s="11">
        <f t="shared" si="24"/>
        <v>1.7</v>
      </c>
      <c r="K1958">
        <v>57.1</v>
      </c>
      <c r="L1958">
        <v>153</v>
      </c>
      <c r="M1958">
        <v>253</v>
      </c>
      <c r="N1958">
        <v>28</v>
      </c>
      <c r="O1958">
        <v>1.54</v>
      </c>
      <c r="P1958">
        <v>6.3</v>
      </c>
    </row>
    <row r="1959" spans="1:16">
      <c r="A1959" s="1" t="s">
        <v>5515</v>
      </c>
      <c r="B1959" s="1" t="s">
        <v>1945</v>
      </c>
      <c r="C1959" s="1" t="s">
        <v>18</v>
      </c>
      <c r="D1959" s="1" t="s">
        <v>19</v>
      </c>
      <c r="E1959" s="1" t="s">
        <v>1804</v>
      </c>
      <c r="F1959">
        <v>8450</v>
      </c>
      <c r="G1959">
        <v>40.200000000000003</v>
      </c>
      <c r="H1959" s="11">
        <f t="shared" si="26"/>
        <v>18.63</v>
      </c>
      <c r="I1959">
        <v>404</v>
      </c>
      <c r="J1959" s="11">
        <f t="shared" si="24"/>
        <v>1.7</v>
      </c>
      <c r="K1959">
        <v>117.1</v>
      </c>
      <c r="L1959">
        <v>161</v>
      </c>
      <c r="M1959">
        <v>207</v>
      </c>
      <c r="N1959">
        <v>57</v>
      </c>
      <c r="O1959" s="11">
        <f>0.94/2</f>
        <v>0.47</v>
      </c>
      <c r="P1959">
        <v>5.72</v>
      </c>
    </row>
    <row r="1960" spans="1:16">
      <c r="A1960" s="1" t="s">
        <v>5515</v>
      </c>
      <c r="B1960" s="1" t="s">
        <v>1946</v>
      </c>
      <c r="C1960" s="1" t="s">
        <v>18</v>
      </c>
      <c r="D1960" s="1" t="s">
        <v>19</v>
      </c>
      <c r="E1960" s="1" t="s">
        <v>1804</v>
      </c>
      <c r="F1960">
        <v>12780</v>
      </c>
      <c r="G1960">
        <v>717</v>
      </c>
      <c r="H1960">
        <v>191</v>
      </c>
      <c r="I1960">
        <v>556</v>
      </c>
      <c r="J1960" s="11">
        <f t="shared" si="24"/>
        <v>1.7</v>
      </c>
      <c r="K1960">
        <v>396</v>
      </c>
      <c r="L1960">
        <v>106</v>
      </c>
      <c r="M1960">
        <v>188</v>
      </c>
      <c r="N1960">
        <v>47</v>
      </c>
      <c r="O1960">
        <v>5.9</v>
      </c>
      <c r="P1960">
        <v>18.600000000000001</v>
      </c>
    </row>
    <row r="1961" spans="1:16">
      <c r="A1961" s="1" t="s">
        <v>5515</v>
      </c>
      <c r="B1961" s="1" t="s">
        <v>1947</v>
      </c>
      <c r="C1961" s="1" t="s">
        <v>18</v>
      </c>
      <c r="D1961" s="1" t="s">
        <v>19</v>
      </c>
      <c r="E1961" s="1" t="s">
        <v>1804</v>
      </c>
      <c r="F1961">
        <v>12920</v>
      </c>
      <c r="G1961">
        <v>678</v>
      </c>
      <c r="H1961">
        <v>170</v>
      </c>
      <c r="I1961">
        <v>561</v>
      </c>
      <c r="J1961" s="11">
        <f t="shared" si="24"/>
        <v>1.7</v>
      </c>
      <c r="K1961">
        <v>445</v>
      </c>
      <c r="L1961">
        <v>109.9</v>
      </c>
      <c r="M1961">
        <v>208</v>
      </c>
      <c r="N1961">
        <v>57.7</v>
      </c>
      <c r="O1961">
        <v>5.65</v>
      </c>
      <c r="P1961">
        <v>19.7</v>
      </c>
    </row>
    <row r="1962" spans="1:16">
      <c r="A1962" s="1" t="s">
        <v>5515</v>
      </c>
      <c r="B1962" s="1" t="s">
        <v>1948</v>
      </c>
      <c r="C1962" s="1" t="s">
        <v>18</v>
      </c>
      <c r="D1962" s="1" t="s">
        <v>19</v>
      </c>
      <c r="E1962" s="1" t="s">
        <v>1804</v>
      </c>
      <c r="F1962">
        <v>14800</v>
      </c>
      <c r="G1962">
        <v>662</v>
      </c>
      <c r="H1962">
        <v>155</v>
      </c>
      <c r="I1962">
        <v>550</v>
      </c>
      <c r="J1962" s="11">
        <f t="shared" si="24"/>
        <v>1.7</v>
      </c>
      <c r="K1962">
        <v>495</v>
      </c>
      <c r="L1962">
        <v>116.9</v>
      </c>
      <c r="M1962">
        <v>207</v>
      </c>
      <c r="N1962">
        <v>67</v>
      </c>
      <c r="O1962">
        <v>5.35</v>
      </c>
      <c r="P1962">
        <v>19.399999999999999</v>
      </c>
    </row>
    <row r="1963" spans="1:16">
      <c r="A1963" s="1" t="s">
        <v>5515</v>
      </c>
      <c r="B1963" s="1" t="s">
        <v>1949</v>
      </c>
      <c r="C1963" s="1" t="s">
        <v>18</v>
      </c>
      <c r="D1963" s="1" t="s">
        <v>19</v>
      </c>
      <c r="E1963" s="1" t="s">
        <v>1804</v>
      </c>
      <c r="F1963">
        <v>12600</v>
      </c>
      <c r="G1963">
        <v>602</v>
      </c>
      <c r="H1963">
        <v>157</v>
      </c>
      <c r="I1963">
        <v>514</v>
      </c>
      <c r="J1963">
        <v>3.8</v>
      </c>
      <c r="K1963">
        <v>426</v>
      </c>
      <c r="L1963">
        <v>106</v>
      </c>
      <c r="M1963">
        <v>197</v>
      </c>
      <c r="N1963">
        <v>56</v>
      </c>
      <c r="O1963">
        <v>5.2</v>
      </c>
      <c r="P1963">
        <v>20.3</v>
      </c>
    </row>
    <row r="1964" spans="1:16">
      <c r="A1964" s="1" t="s">
        <v>5515</v>
      </c>
      <c r="B1964" s="1" t="s">
        <v>1950</v>
      </c>
      <c r="C1964" s="1" t="s">
        <v>18</v>
      </c>
      <c r="D1964" s="1" t="s">
        <v>19</v>
      </c>
      <c r="E1964" s="1" t="s">
        <v>1804</v>
      </c>
      <c r="F1964">
        <v>14550</v>
      </c>
      <c r="G1964">
        <v>644</v>
      </c>
      <c r="H1964">
        <v>161</v>
      </c>
      <c r="I1964">
        <v>529</v>
      </c>
      <c r="J1964" s="11">
        <f t="shared" ref="J1964:J1973" si="30">3.4/2</f>
        <v>1.7</v>
      </c>
      <c r="K1964">
        <v>496</v>
      </c>
      <c r="L1964">
        <v>118.3</v>
      </c>
      <c r="M1964">
        <v>220</v>
      </c>
      <c r="N1964">
        <v>57</v>
      </c>
      <c r="O1964">
        <v>5.35</v>
      </c>
      <c r="P1964">
        <v>24.3</v>
      </c>
    </row>
    <row r="1965" spans="1:16">
      <c r="A1965" s="1" t="s">
        <v>5515</v>
      </c>
      <c r="B1965" s="1" t="s">
        <v>1951</v>
      </c>
      <c r="C1965" s="1" t="s">
        <v>18</v>
      </c>
      <c r="D1965" s="1" t="s">
        <v>19</v>
      </c>
      <c r="E1965" s="1" t="s">
        <v>1804</v>
      </c>
      <c r="F1965">
        <v>13610</v>
      </c>
      <c r="G1965">
        <v>626</v>
      </c>
      <c r="H1965">
        <v>164</v>
      </c>
      <c r="I1965">
        <v>538</v>
      </c>
      <c r="J1965" s="11">
        <f t="shared" si="30"/>
        <v>1.7</v>
      </c>
      <c r="K1965">
        <v>469</v>
      </c>
      <c r="L1965">
        <v>114</v>
      </c>
      <c r="M1965">
        <v>201</v>
      </c>
      <c r="N1965">
        <v>68</v>
      </c>
      <c r="O1965">
        <v>5.18</v>
      </c>
      <c r="P1965">
        <v>20.2</v>
      </c>
    </row>
    <row r="1966" spans="1:16">
      <c r="A1966" s="1" t="s">
        <v>5515</v>
      </c>
      <c r="B1966" s="1" t="s">
        <v>1952</v>
      </c>
      <c r="C1966" s="1" t="s">
        <v>18</v>
      </c>
      <c r="D1966" s="1" t="s">
        <v>19</v>
      </c>
      <c r="E1966" s="1" t="s">
        <v>1804</v>
      </c>
      <c r="F1966">
        <v>13740</v>
      </c>
      <c r="G1966">
        <v>672</v>
      </c>
      <c r="H1966">
        <v>165</v>
      </c>
      <c r="I1966">
        <v>567</v>
      </c>
      <c r="J1966" s="11">
        <f t="shared" si="30"/>
        <v>1.7</v>
      </c>
      <c r="K1966">
        <v>474</v>
      </c>
      <c r="L1966">
        <v>114.3</v>
      </c>
      <c r="M1966">
        <v>210</v>
      </c>
      <c r="N1966">
        <v>59</v>
      </c>
      <c r="O1966">
        <v>4.74</v>
      </c>
      <c r="P1966">
        <v>22.1</v>
      </c>
    </row>
    <row r="1967" spans="1:16">
      <c r="A1967" s="1" t="s">
        <v>5515</v>
      </c>
      <c r="B1967" s="1" t="s">
        <v>1953</v>
      </c>
      <c r="C1967" s="1" t="s">
        <v>18</v>
      </c>
      <c r="D1967" s="1" t="s">
        <v>19</v>
      </c>
      <c r="E1967" s="1" t="s">
        <v>1804</v>
      </c>
      <c r="F1967">
        <v>14550</v>
      </c>
      <c r="G1967">
        <v>643</v>
      </c>
      <c r="H1967">
        <v>166</v>
      </c>
      <c r="I1967">
        <v>572</v>
      </c>
      <c r="J1967" s="11">
        <f t="shared" si="30"/>
        <v>1.7</v>
      </c>
      <c r="K1967">
        <v>484</v>
      </c>
      <c r="L1967">
        <v>120</v>
      </c>
      <c r="M1967">
        <v>204</v>
      </c>
      <c r="N1967">
        <v>69</v>
      </c>
      <c r="O1967">
        <v>4.8899999999999997</v>
      </c>
      <c r="P1967">
        <v>20.5</v>
      </c>
    </row>
    <row r="1968" spans="1:16">
      <c r="A1968" s="1" t="s">
        <v>5515</v>
      </c>
      <c r="B1968" s="1" t="s">
        <v>1954</v>
      </c>
      <c r="C1968" s="1" t="s">
        <v>18</v>
      </c>
      <c r="D1968" s="1" t="s">
        <v>19</v>
      </c>
      <c r="E1968" s="1" t="s">
        <v>1804</v>
      </c>
      <c r="F1968">
        <v>10980</v>
      </c>
      <c r="G1968" s="11">
        <f>36.52/2</f>
        <v>18.260000000000002</v>
      </c>
      <c r="H1968" s="11">
        <f t="shared" ref="H1968:H1973" si="31">37.26/2</f>
        <v>18.63</v>
      </c>
      <c r="I1968">
        <v>440</v>
      </c>
      <c r="J1968" s="11">
        <f t="shared" si="30"/>
        <v>1.7</v>
      </c>
      <c r="K1968">
        <v>302</v>
      </c>
      <c r="L1968">
        <v>132</v>
      </c>
      <c r="M1968">
        <v>199</v>
      </c>
      <c r="N1968">
        <v>44</v>
      </c>
      <c r="O1968" s="11">
        <f t="shared" ref="O1968:O1970" si="32">0.94/2</f>
        <v>0.47</v>
      </c>
      <c r="P1968">
        <v>9.1</v>
      </c>
    </row>
    <row r="1969" spans="1:16">
      <c r="A1969" s="1" t="s">
        <v>5515</v>
      </c>
      <c r="B1969" s="1" t="s">
        <v>1955</v>
      </c>
      <c r="C1969" s="1" t="s">
        <v>18</v>
      </c>
      <c r="D1969" s="1" t="s">
        <v>19</v>
      </c>
      <c r="E1969" s="1" t="s">
        <v>1804</v>
      </c>
      <c r="F1969">
        <v>7760</v>
      </c>
      <c r="G1969">
        <v>121</v>
      </c>
      <c r="H1969" s="11">
        <f t="shared" si="31"/>
        <v>18.63</v>
      </c>
      <c r="I1969">
        <v>416</v>
      </c>
      <c r="J1969" s="11">
        <f t="shared" si="30"/>
        <v>1.7</v>
      </c>
      <c r="K1969">
        <v>84.1</v>
      </c>
      <c r="L1969">
        <v>117.9</v>
      </c>
      <c r="M1969">
        <v>199</v>
      </c>
      <c r="N1969">
        <v>118</v>
      </c>
      <c r="O1969" s="11">
        <f t="shared" si="32"/>
        <v>0.47</v>
      </c>
      <c r="P1969">
        <v>10.8</v>
      </c>
    </row>
    <row r="1970" spans="1:16">
      <c r="A1970" s="1" t="s">
        <v>5515</v>
      </c>
      <c r="B1970" s="1" t="s">
        <v>1956</v>
      </c>
      <c r="C1970" s="1" t="s">
        <v>18</v>
      </c>
      <c r="D1970" s="1" t="s">
        <v>19</v>
      </c>
      <c r="E1970" s="1" t="s">
        <v>1804</v>
      </c>
      <c r="F1970">
        <v>8940</v>
      </c>
      <c r="G1970">
        <v>38</v>
      </c>
      <c r="H1970" s="11">
        <f t="shared" si="31"/>
        <v>18.63</v>
      </c>
      <c r="I1970">
        <v>429</v>
      </c>
      <c r="J1970" s="11">
        <f t="shared" si="30"/>
        <v>1.7</v>
      </c>
      <c r="K1970">
        <v>203.7</v>
      </c>
      <c r="L1970">
        <v>155.9</v>
      </c>
      <c r="M1970">
        <v>229</v>
      </c>
      <c r="N1970">
        <v>38.9</v>
      </c>
      <c r="O1970" s="11">
        <f t="shared" si="32"/>
        <v>0.47</v>
      </c>
      <c r="P1970">
        <v>6.83</v>
      </c>
    </row>
    <row r="1971" spans="1:16">
      <c r="A1971" s="1" t="s">
        <v>5515</v>
      </c>
      <c r="B1971" s="1" t="s">
        <v>1957</v>
      </c>
      <c r="C1971" s="1" t="s">
        <v>18</v>
      </c>
      <c r="D1971" s="1" t="s">
        <v>19</v>
      </c>
      <c r="E1971" s="1" t="s">
        <v>1804</v>
      </c>
      <c r="F1971">
        <v>6770</v>
      </c>
      <c r="G1971">
        <v>59</v>
      </c>
      <c r="H1971" s="11">
        <f t="shared" si="31"/>
        <v>18.63</v>
      </c>
      <c r="I1971">
        <v>555</v>
      </c>
      <c r="J1971" s="11">
        <f t="shared" si="30"/>
        <v>1.7</v>
      </c>
      <c r="K1971">
        <v>55.3</v>
      </c>
      <c r="L1971">
        <v>138</v>
      </c>
      <c r="M1971">
        <v>238</v>
      </c>
      <c r="N1971">
        <v>41</v>
      </c>
      <c r="O1971">
        <v>1.3</v>
      </c>
      <c r="P1971">
        <v>8.1999999999999993</v>
      </c>
    </row>
    <row r="1972" spans="1:16">
      <c r="A1972" s="1" t="s">
        <v>5515</v>
      </c>
      <c r="B1972" s="1" t="s">
        <v>1958</v>
      </c>
      <c r="C1972" s="1" t="s">
        <v>18</v>
      </c>
      <c r="D1972" s="1" t="s">
        <v>19</v>
      </c>
      <c r="E1972" s="1" t="s">
        <v>1804</v>
      </c>
      <c r="F1972">
        <v>6480</v>
      </c>
      <c r="G1972">
        <v>66</v>
      </c>
      <c r="H1972" s="11">
        <f t="shared" si="31"/>
        <v>18.63</v>
      </c>
      <c r="I1972">
        <v>586</v>
      </c>
      <c r="J1972" s="11">
        <f t="shared" si="30"/>
        <v>1.7</v>
      </c>
      <c r="K1972">
        <v>74</v>
      </c>
      <c r="L1972">
        <v>152</v>
      </c>
      <c r="M1972">
        <v>236</v>
      </c>
      <c r="N1972">
        <v>29.1</v>
      </c>
      <c r="O1972" s="11">
        <f>0.94/2</f>
        <v>0.47</v>
      </c>
      <c r="P1972">
        <v>6.39</v>
      </c>
    </row>
    <row r="1973" spans="1:16">
      <c r="A1973" s="1" t="s">
        <v>5515</v>
      </c>
      <c r="B1973" s="1" t="s">
        <v>1959</v>
      </c>
      <c r="C1973" s="1" t="s">
        <v>18</v>
      </c>
      <c r="D1973" s="1" t="s">
        <v>19</v>
      </c>
      <c r="E1973" s="1" t="s">
        <v>1804</v>
      </c>
      <c r="F1973">
        <v>8770</v>
      </c>
      <c r="G1973">
        <v>66.099999999999994</v>
      </c>
      <c r="H1973" s="11">
        <f t="shared" si="31"/>
        <v>18.63</v>
      </c>
      <c r="I1973">
        <v>606</v>
      </c>
      <c r="J1973" s="11">
        <f t="shared" si="30"/>
        <v>1.7</v>
      </c>
      <c r="K1973">
        <v>58.7</v>
      </c>
      <c r="L1973">
        <v>168</v>
      </c>
      <c r="M1973">
        <v>246</v>
      </c>
      <c r="N1973">
        <v>20.2</v>
      </c>
      <c r="O1973">
        <v>1.2</v>
      </c>
      <c r="P1973">
        <v>7.42</v>
      </c>
    </row>
    <row r="1974" spans="1:16" s="11" customFormat="1">
      <c r="A1974" s="1" t="s">
        <v>5515</v>
      </c>
      <c r="B1974" s="1" t="s">
        <v>2514</v>
      </c>
      <c r="C1974" s="1" t="s">
        <v>18</v>
      </c>
      <c r="D1974" s="1" t="s">
        <v>19</v>
      </c>
      <c r="E1974" s="1" t="s">
        <v>1804</v>
      </c>
      <c r="F1974" s="11">
        <v>4490</v>
      </c>
      <c r="G1974" s="11">
        <v>6160</v>
      </c>
      <c r="H1974" s="11">
        <v>8490</v>
      </c>
      <c r="I1974" s="11">
        <v>3080</v>
      </c>
      <c r="J1974" s="11">
        <v>4.7</v>
      </c>
      <c r="K1974" s="11">
        <v>186</v>
      </c>
      <c r="L1974" s="11">
        <v>150</v>
      </c>
      <c r="M1974" s="11">
        <v>465</v>
      </c>
      <c r="N1974" s="11">
        <v>88.1</v>
      </c>
      <c r="O1974" s="11">
        <v>36</v>
      </c>
      <c r="P1974" s="11">
        <v>5.05</v>
      </c>
    </row>
    <row r="1975" spans="1:16" s="11" customFormat="1">
      <c r="A1975" s="1" t="s">
        <v>5515</v>
      </c>
      <c r="B1975" s="1" t="s">
        <v>2515</v>
      </c>
      <c r="C1975" s="1" t="s">
        <v>18</v>
      </c>
      <c r="D1975" s="1" t="s">
        <v>19</v>
      </c>
      <c r="E1975" s="1" t="s">
        <v>1804</v>
      </c>
      <c r="F1975" s="11">
        <v>1456</v>
      </c>
      <c r="G1975" s="11">
        <v>4870</v>
      </c>
      <c r="H1975" s="11">
        <v>6760</v>
      </c>
      <c r="I1975" s="11">
        <v>3670</v>
      </c>
      <c r="J1975" s="11">
        <v>3.7</v>
      </c>
      <c r="K1975" s="11">
        <v>55.6</v>
      </c>
      <c r="L1975" s="11">
        <v>170</v>
      </c>
      <c r="M1975" s="11">
        <v>476</v>
      </c>
      <c r="N1975" s="11">
        <v>65.7</v>
      </c>
      <c r="O1975" s="11">
        <v>34.9</v>
      </c>
      <c r="P1975" s="11">
        <v>3.26</v>
      </c>
    </row>
    <row r="1976" spans="1:16" s="11" customFormat="1">
      <c r="A1976" s="1" t="s">
        <v>5515</v>
      </c>
      <c r="B1976" s="1" t="s">
        <v>2516</v>
      </c>
      <c r="C1976" s="1" t="s">
        <v>18</v>
      </c>
      <c r="D1976" s="1" t="s">
        <v>19</v>
      </c>
      <c r="E1976" s="1" t="s">
        <v>1804</v>
      </c>
      <c r="F1976" s="11">
        <v>1746</v>
      </c>
      <c r="G1976" s="11">
        <v>5850</v>
      </c>
      <c r="H1976" s="11">
        <v>6690</v>
      </c>
      <c r="I1976" s="11">
        <v>3690</v>
      </c>
      <c r="J1976" s="11">
        <v>5.0999999999999996</v>
      </c>
      <c r="K1976" s="11">
        <v>63.1</v>
      </c>
      <c r="L1976" s="11">
        <v>167</v>
      </c>
      <c r="M1976" s="11">
        <v>452</v>
      </c>
      <c r="N1976" s="11">
        <v>80.2</v>
      </c>
      <c r="O1976" s="11">
        <v>34.700000000000003</v>
      </c>
      <c r="P1976" s="11">
        <v>4.3899999999999997</v>
      </c>
    </row>
    <row r="1977" spans="1:16" s="11" customFormat="1">
      <c r="A1977" s="1" t="s">
        <v>5515</v>
      </c>
      <c r="B1977" s="1" t="s">
        <v>2517</v>
      </c>
      <c r="C1977" s="1" t="s">
        <v>18</v>
      </c>
      <c r="D1977" s="1" t="s">
        <v>19</v>
      </c>
      <c r="E1977" s="1" t="s">
        <v>1804</v>
      </c>
      <c r="F1977" s="11">
        <v>3160</v>
      </c>
      <c r="G1977" s="11">
        <v>6610</v>
      </c>
      <c r="H1977" s="11">
        <v>6540</v>
      </c>
      <c r="I1977" s="11">
        <v>2900</v>
      </c>
      <c r="J1977" s="11">
        <f>3.4/2</f>
        <v>1.7</v>
      </c>
      <c r="K1977" s="11">
        <v>116.4</v>
      </c>
      <c r="L1977" s="11">
        <v>164.6</v>
      </c>
      <c r="M1977" s="11">
        <v>449</v>
      </c>
      <c r="N1977" s="11">
        <v>90.6</v>
      </c>
      <c r="O1977" s="11">
        <v>38.5</v>
      </c>
      <c r="P1977" s="11">
        <v>4.83</v>
      </c>
    </row>
    <row r="1978" spans="1:16" s="11" customFormat="1">
      <c r="A1978" s="1" t="s">
        <v>5515</v>
      </c>
      <c r="B1978" s="1" t="s">
        <v>2518</v>
      </c>
      <c r="C1978" s="1" t="s">
        <v>18</v>
      </c>
      <c r="D1978" s="1" t="s">
        <v>19</v>
      </c>
      <c r="E1978" s="1" t="s">
        <v>1804</v>
      </c>
      <c r="F1978" s="11">
        <v>3240</v>
      </c>
      <c r="G1978" s="11">
        <v>6890</v>
      </c>
      <c r="H1978" s="11">
        <v>20200</v>
      </c>
      <c r="I1978" s="11">
        <v>2580</v>
      </c>
      <c r="J1978" s="11">
        <v>42.7</v>
      </c>
      <c r="K1978" s="11">
        <v>161.5</v>
      </c>
      <c r="L1978" s="11">
        <v>164.4</v>
      </c>
      <c r="M1978" s="11">
        <v>402</v>
      </c>
      <c r="N1978" s="11">
        <v>64.2</v>
      </c>
      <c r="O1978" s="11">
        <v>33.200000000000003</v>
      </c>
      <c r="P1978" s="11">
        <v>5.66</v>
      </c>
    </row>
    <row r="1979" spans="1:16" s="11" customFormat="1">
      <c r="A1979" s="1" t="s">
        <v>5515</v>
      </c>
      <c r="B1979" s="1" t="s">
        <v>2519</v>
      </c>
      <c r="C1979" s="1" t="s">
        <v>18</v>
      </c>
      <c r="D1979" s="1" t="s">
        <v>19</v>
      </c>
      <c r="E1979" s="1" t="s">
        <v>1804</v>
      </c>
      <c r="F1979" s="11">
        <v>2760</v>
      </c>
      <c r="G1979" s="11">
        <v>6030</v>
      </c>
      <c r="H1979" s="11">
        <v>17100</v>
      </c>
      <c r="I1979" s="11">
        <v>2779</v>
      </c>
      <c r="J1979" s="11">
        <f t="shared" ref="J1979:J1981" si="33">3.4/2</f>
        <v>1.7</v>
      </c>
      <c r="K1979" s="11">
        <v>142.1</v>
      </c>
      <c r="L1979" s="11">
        <v>148.6</v>
      </c>
      <c r="M1979" s="11">
        <v>473</v>
      </c>
      <c r="N1979" s="11">
        <v>64.7</v>
      </c>
      <c r="O1979" s="11">
        <v>35.200000000000003</v>
      </c>
      <c r="P1979" s="11">
        <v>6.28</v>
      </c>
    </row>
    <row r="1980" spans="1:16" s="11" customFormat="1">
      <c r="A1980" s="1" t="s">
        <v>5515</v>
      </c>
      <c r="B1980" s="1" t="s">
        <v>2520</v>
      </c>
      <c r="C1980" s="1" t="s">
        <v>18</v>
      </c>
      <c r="D1980" s="1" t="s">
        <v>19</v>
      </c>
      <c r="E1980" s="1" t="s">
        <v>1804</v>
      </c>
      <c r="F1980" s="11">
        <v>3080</v>
      </c>
      <c r="G1980" s="11">
        <v>6960</v>
      </c>
      <c r="H1980" s="11">
        <v>17780</v>
      </c>
      <c r="I1980" s="11">
        <v>2730</v>
      </c>
      <c r="J1980" s="11">
        <f t="shared" si="33"/>
        <v>1.7</v>
      </c>
      <c r="K1980" s="11">
        <v>145.80000000000001</v>
      </c>
      <c r="L1980" s="11">
        <v>174.4</v>
      </c>
      <c r="M1980" s="11">
        <v>402</v>
      </c>
      <c r="N1980" s="11">
        <v>66</v>
      </c>
      <c r="O1980" s="11">
        <v>34.700000000000003</v>
      </c>
      <c r="P1980" s="11">
        <v>5.44</v>
      </c>
    </row>
    <row r="1981" spans="1:16" s="11" customFormat="1">
      <c r="A1981" s="1" t="s">
        <v>5515</v>
      </c>
      <c r="B1981" s="1" t="s">
        <v>2521</v>
      </c>
      <c r="C1981" s="1" t="s">
        <v>18</v>
      </c>
      <c r="D1981" s="1" t="s">
        <v>19</v>
      </c>
      <c r="E1981" s="1" t="s">
        <v>1804</v>
      </c>
      <c r="F1981" s="11">
        <v>1996</v>
      </c>
      <c r="G1981" s="11">
        <v>6580</v>
      </c>
      <c r="H1981" s="11">
        <v>10790</v>
      </c>
      <c r="I1981" s="11">
        <v>2710</v>
      </c>
      <c r="J1981" s="11">
        <f t="shared" si="33"/>
        <v>1.7</v>
      </c>
      <c r="K1981" s="11">
        <v>74.8</v>
      </c>
      <c r="L1981" s="11">
        <v>157.5</v>
      </c>
      <c r="M1981" s="11">
        <v>412</v>
      </c>
      <c r="N1981" s="11">
        <v>83.3</v>
      </c>
      <c r="O1981" s="11">
        <v>34.200000000000003</v>
      </c>
      <c r="P1981" s="11">
        <v>5.0199999999999996</v>
      </c>
    </row>
    <row r="1982" spans="1:16" s="11" customFormat="1">
      <c r="A1982" s="1" t="s">
        <v>5515</v>
      </c>
      <c r="B1982" s="1" t="s">
        <v>2522</v>
      </c>
      <c r="C1982" s="1" t="s">
        <v>18</v>
      </c>
      <c r="D1982" s="1" t="s">
        <v>19</v>
      </c>
      <c r="E1982" s="1" t="s">
        <v>1804</v>
      </c>
      <c r="F1982" s="11">
        <v>881</v>
      </c>
      <c r="G1982" s="11">
        <v>5200</v>
      </c>
      <c r="H1982" s="11">
        <v>9490</v>
      </c>
      <c r="I1982" s="11">
        <v>2663</v>
      </c>
      <c r="J1982" s="11">
        <v>7.2</v>
      </c>
      <c r="K1982" s="11">
        <v>92.5</v>
      </c>
      <c r="L1982" s="11">
        <v>141.19999999999999</v>
      </c>
      <c r="M1982" s="11">
        <v>429</v>
      </c>
      <c r="N1982" s="11">
        <v>64.5</v>
      </c>
      <c r="O1982" s="11">
        <v>29.2</v>
      </c>
      <c r="P1982" s="11">
        <v>4.4000000000000004</v>
      </c>
    </row>
    <row r="1983" spans="1:16" s="11" customFormat="1">
      <c r="A1983" s="1" t="s">
        <v>5515</v>
      </c>
      <c r="B1983" s="1" t="s">
        <v>2494</v>
      </c>
      <c r="C1983" s="1" t="s">
        <v>18</v>
      </c>
      <c r="D1983" s="1" t="s">
        <v>19</v>
      </c>
      <c r="E1983" s="1" t="s">
        <v>1804</v>
      </c>
      <c r="F1983" s="11">
        <v>6870</v>
      </c>
      <c r="G1983" s="11">
        <v>5740</v>
      </c>
      <c r="H1983" s="11">
        <v>9760</v>
      </c>
      <c r="I1983" s="11">
        <v>2830</v>
      </c>
      <c r="J1983" s="11">
        <v>3.7</v>
      </c>
      <c r="K1983" s="11">
        <v>457</v>
      </c>
      <c r="L1983" s="11">
        <v>144.19999999999999</v>
      </c>
      <c r="M1983" s="11">
        <v>384</v>
      </c>
      <c r="N1983" s="11">
        <v>107.5</v>
      </c>
      <c r="O1983" s="11">
        <v>45.7</v>
      </c>
      <c r="P1983" s="11">
        <v>4.8099999999999996</v>
      </c>
    </row>
    <row r="1984" spans="1:16" s="11" customFormat="1">
      <c r="A1984" s="1" t="s">
        <v>5515</v>
      </c>
      <c r="B1984" s="1" t="s">
        <v>2495</v>
      </c>
      <c r="C1984" s="1" t="s">
        <v>18</v>
      </c>
      <c r="D1984" s="1" t="s">
        <v>19</v>
      </c>
      <c r="E1984" s="1" t="s">
        <v>1804</v>
      </c>
      <c r="F1984" s="11">
        <v>7010</v>
      </c>
      <c r="G1984" s="11">
        <v>5790</v>
      </c>
      <c r="H1984" s="11">
        <v>8670</v>
      </c>
      <c r="I1984" s="11">
        <v>2960</v>
      </c>
      <c r="J1984" s="11">
        <f t="shared" ref="J1984:J1986" si="34">3.4/2</f>
        <v>1.7</v>
      </c>
      <c r="K1984" s="11">
        <v>441</v>
      </c>
      <c r="L1984" s="11">
        <v>155.30000000000001</v>
      </c>
      <c r="M1984" s="11">
        <v>391</v>
      </c>
      <c r="N1984" s="11">
        <v>127</v>
      </c>
      <c r="O1984" s="11">
        <v>46.6</v>
      </c>
      <c r="P1984" s="11">
        <v>3.7</v>
      </c>
    </row>
    <row r="1985" spans="1:16" s="11" customFormat="1">
      <c r="A1985" s="1" t="s">
        <v>5515</v>
      </c>
      <c r="B1985" s="1" t="s">
        <v>2496</v>
      </c>
      <c r="C1985" s="1" t="s">
        <v>18</v>
      </c>
      <c r="D1985" s="1" t="s">
        <v>19</v>
      </c>
      <c r="E1985" s="1" t="s">
        <v>1804</v>
      </c>
      <c r="F1985" s="11">
        <v>8610</v>
      </c>
      <c r="G1985" s="11">
        <v>6000</v>
      </c>
      <c r="H1985" s="11">
        <v>7680</v>
      </c>
      <c r="I1985" s="11">
        <v>2900</v>
      </c>
      <c r="J1985" s="11">
        <f t="shared" si="34"/>
        <v>1.7</v>
      </c>
      <c r="K1985" s="11">
        <v>528</v>
      </c>
      <c r="L1985" s="11">
        <v>151.19999999999999</v>
      </c>
      <c r="M1985" s="11">
        <v>376</v>
      </c>
      <c r="N1985" s="11">
        <v>100</v>
      </c>
      <c r="O1985" s="11">
        <v>45.6</v>
      </c>
      <c r="P1985" s="11">
        <v>3.95</v>
      </c>
    </row>
    <row r="1986" spans="1:16" s="11" customFormat="1">
      <c r="A1986" s="1" t="s">
        <v>5515</v>
      </c>
      <c r="B1986" s="1" t="s">
        <v>2497</v>
      </c>
      <c r="C1986" s="1" t="s">
        <v>18</v>
      </c>
      <c r="D1986" s="1" t="s">
        <v>19</v>
      </c>
      <c r="E1986" s="1" t="s">
        <v>1804</v>
      </c>
      <c r="F1986" s="11">
        <v>9660</v>
      </c>
      <c r="G1986" s="11">
        <v>5500</v>
      </c>
      <c r="H1986" s="11">
        <v>8930</v>
      </c>
      <c r="I1986" s="11">
        <v>2737</v>
      </c>
      <c r="J1986" s="11">
        <f t="shared" si="34"/>
        <v>1.7</v>
      </c>
      <c r="K1986" s="11">
        <v>536</v>
      </c>
      <c r="L1986" s="11">
        <v>151.19999999999999</v>
      </c>
      <c r="M1986" s="11">
        <v>372</v>
      </c>
      <c r="N1986" s="11">
        <v>96.3</v>
      </c>
      <c r="O1986" s="11">
        <v>48.3</v>
      </c>
      <c r="P1986" s="11">
        <v>5.8</v>
      </c>
    </row>
    <row r="1987" spans="1:16" s="11" customFormat="1">
      <c r="A1987" s="1" t="s">
        <v>5515</v>
      </c>
      <c r="B1987" s="1" t="s">
        <v>2498</v>
      </c>
      <c r="C1987" s="1" t="s">
        <v>18</v>
      </c>
      <c r="D1987" s="1" t="s">
        <v>19</v>
      </c>
      <c r="E1987" s="1" t="s">
        <v>1804</v>
      </c>
      <c r="F1987" s="11">
        <v>8910</v>
      </c>
      <c r="G1987" s="11">
        <v>6080</v>
      </c>
      <c r="H1987" s="11">
        <v>9230</v>
      </c>
      <c r="I1987" s="11">
        <v>3400</v>
      </c>
      <c r="J1987" s="11">
        <v>5.4</v>
      </c>
      <c r="K1987" s="11">
        <v>872</v>
      </c>
      <c r="L1987" s="11">
        <v>170.1</v>
      </c>
      <c r="M1987" s="11">
        <v>422</v>
      </c>
      <c r="N1987" s="11">
        <v>110.6</v>
      </c>
      <c r="O1987" s="11">
        <v>47.5</v>
      </c>
      <c r="P1987" s="11">
        <v>4.13</v>
      </c>
    </row>
    <row r="1988" spans="1:16" s="11" customFormat="1">
      <c r="A1988" s="1" t="s">
        <v>5515</v>
      </c>
      <c r="B1988" s="1" t="s">
        <v>2499</v>
      </c>
      <c r="C1988" s="1" t="s">
        <v>18</v>
      </c>
      <c r="D1988" s="1" t="s">
        <v>19</v>
      </c>
      <c r="E1988" s="1" t="s">
        <v>1804</v>
      </c>
      <c r="F1988" s="11">
        <v>7940</v>
      </c>
      <c r="G1988" s="11">
        <v>6050</v>
      </c>
      <c r="H1988" s="11">
        <v>9120</v>
      </c>
      <c r="I1988" s="11">
        <v>3120</v>
      </c>
      <c r="J1988" s="11">
        <v>10</v>
      </c>
      <c r="K1988" s="11">
        <v>765</v>
      </c>
      <c r="L1988" s="11">
        <v>164</v>
      </c>
      <c r="M1988" s="11">
        <v>418</v>
      </c>
      <c r="N1988" s="11">
        <v>107</v>
      </c>
      <c r="O1988" s="11">
        <v>47.6</v>
      </c>
      <c r="P1988" s="11">
        <v>4.5</v>
      </c>
    </row>
    <row r="1989" spans="1:16" s="11" customFormat="1">
      <c r="A1989" s="1" t="s">
        <v>5515</v>
      </c>
      <c r="B1989" s="1" t="s">
        <v>2500</v>
      </c>
      <c r="C1989" s="1" t="s">
        <v>18</v>
      </c>
      <c r="D1989" s="1" t="s">
        <v>19</v>
      </c>
      <c r="E1989" s="1" t="s">
        <v>1804</v>
      </c>
      <c r="F1989" s="11">
        <v>8390</v>
      </c>
      <c r="G1989" s="11">
        <v>5760</v>
      </c>
      <c r="H1989" s="11">
        <v>8760</v>
      </c>
      <c r="I1989" s="11">
        <v>2900</v>
      </c>
      <c r="J1989" s="11">
        <v>9.6</v>
      </c>
      <c r="K1989" s="11">
        <v>695</v>
      </c>
      <c r="L1989" s="11">
        <v>156</v>
      </c>
      <c r="M1989" s="11">
        <v>384</v>
      </c>
      <c r="N1989" s="11">
        <v>68.099999999999994</v>
      </c>
      <c r="O1989" s="11">
        <v>45.7</v>
      </c>
      <c r="P1989" s="11">
        <v>3.91</v>
      </c>
    </row>
    <row r="1990" spans="1:16" s="11" customFormat="1">
      <c r="A1990" s="1" t="s">
        <v>5515</v>
      </c>
      <c r="B1990" s="1" t="s">
        <v>2501</v>
      </c>
      <c r="C1990" s="1" t="s">
        <v>18</v>
      </c>
      <c r="D1990" s="1" t="s">
        <v>19</v>
      </c>
      <c r="E1990" s="1" t="s">
        <v>1804</v>
      </c>
      <c r="F1990" s="11">
        <v>8760</v>
      </c>
      <c r="G1990" s="11">
        <v>6210</v>
      </c>
      <c r="H1990" s="11">
        <v>9870</v>
      </c>
      <c r="I1990" s="11">
        <v>3040</v>
      </c>
      <c r="J1990" s="11">
        <v>5.7</v>
      </c>
      <c r="K1990" s="11">
        <v>662</v>
      </c>
      <c r="L1990" s="11">
        <v>158.9</v>
      </c>
      <c r="M1990" s="11">
        <v>419</v>
      </c>
      <c r="N1990" s="11">
        <v>93.9</v>
      </c>
      <c r="O1990" s="11">
        <v>50.5</v>
      </c>
      <c r="P1990" s="11">
        <v>5.4</v>
      </c>
    </row>
    <row r="1991" spans="1:16" s="11" customFormat="1">
      <c r="A1991" s="1" t="s">
        <v>5515</v>
      </c>
      <c r="B1991" s="1" t="s">
        <v>2502</v>
      </c>
      <c r="C1991" s="1" t="s">
        <v>18</v>
      </c>
      <c r="D1991" s="1" t="s">
        <v>19</v>
      </c>
      <c r="E1991" s="1" t="s">
        <v>1804</v>
      </c>
      <c r="F1991" s="11">
        <v>10130</v>
      </c>
      <c r="G1991" s="11">
        <v>6140</v>
      </c>
      <c r="H1991" s="11">
        <v>8490</v>
      </c>
      <c r="I1991" s="11">
        <v>2860</v>
      </c>
      <c r="J1991" s="11">
        <f>3.4/2</f>
        <v>1.7</v>
      </c>
      <c r="K1991" s="11">
        <v>781</v>
      </c>
      <c r="L1991" s="11">
        <v>156.19999999999999</v>
      </c>
      <c r="M1991" s="11">
        <v>407</v>
      </c>
      <c r="N1991" s="11">
        <v>90.1</v>
      </c>
      <c r="O1991" s="11">
        <v>44.6</v>
      </c>
      <c r="P1991" s="11">
        <v>4.57</v>
      </c>
    </row>
    <row r="1992" spans="1:16" s="11" customFormat="1">
      <c r="A1992" s="1" t="s">
        <v>5515</v>
      </c>
      <c r="B1992" s="1" t="s">
        <v>2503</v>
      </c>
      <c r="C1992" s="1" t="s">
        <v>18</v>
      </c>
      <c r="D1992" s="1" t="s">
        <v>19</v>
      </c>
      <c r="E1992" s="1" t="s">
        <v>1804</v>
      </c>
      <c r="F1992" s="11">
        <v>7920</v>
      </c>
      <c r="G1992" s="11">
        <v>5860</v>
      </c>
      <c r="H1992" s="11">
        <v>7990</v>
      </c>
      <c r="I1992" s="11">
        <v>3380</v>
      </c>
      <c r="J1992" s="11">
        <v>8.4</v>
      </c>
      <c r="K1992" s="11">
        <v>654</v>
      </c>
      <c r="L1992" s="11">
        <v>157.1</v>
      </c>
      <c r="M1992" s="11">
        <v>428</v>
      </c>
      <c r="N1992" s="11">
        <v>94.3</v>
      </c>
      <c r="O1992" s="11">
        <v>46.2</v>
      </c>
      <c r="P1992" s="11">
        <v>4.72</v>
      </c>
    </row>
    <row r="1993" spans="1:16" s="11" customFormat="1">
      <c r="A1993" s="1" t="s">
        <v>5515</v>
      </c>
      <c r="B1993" s="1" t="s">
        <v>2504</v>
      </c>
      <c r="C1993" s="1" t="s">
        <v>18</v>
      </c>
      <c r="D1993" s="1" t="s">
        <v>19</v>
      </c>
      <c r="E1993" s="1" t="s">
        <v>1804</v>
      </c>
      <c r="F1993" s="11">
        <v>7780</v>
      </c>
      <c r="G1993" s="11">
        <v>5680</v>
      </c>
      <c r="H1993" s="11">
        <v>8340</v>
      </c>
      <c r="I1993" s="11">
        <v>2850</v>
      </c>
      <c r="J1993" s="11">
        <v>4.2</v>
      </c>
      <c r="K1993" s="11">
        <v>780</v>
      </c>
      <c r="L1993" s="11">
        <v>171.3</v>
      </c>
      <c r="M1993" s="11">
        <v>396</v>
      </c>
      <c r="N1993" s="11">
        <v>100.9</v>
      </c>
      <c r="O1993" s="11">
        <v>44.1</v>
      </c>
      <c r="P1993" s="11">
        <v>5.07</v>
      </c>
    </row>
    <row r="1994" spans="1:16" s="11" customFormat="1">
      <c r="A1994" s="1" t="s">
        <v>5515</v>
      </c>
      <c r="B1994" s="1" t="s">
        <v>2505</v>
      </c>
      <c r="C1994" s="1" t="s">
        <v>18</v>
      </c>
      <c r="D1994" s="1" t="s">
        <v>19</v>
      </c>
      <c r="E1994" s="1" t="s">
        <v>1804</v>
      </c>
      <c r="F1994" s="11">
        <v>7060</v>
      </c>
      <c r="G1994" s="11">
        <v>5270</v>
      </c>
      <c r="H1994" s="11">
        <v>8400</v>
      </c>
      <c r="I1994" s="11">
        <v>2970</v>
      </c>
      <c r="J1994" s="11">
        <v>4.8</v>
      </c>
      <c r="K1994" s="11">
        <v>697</v>
      </c>
      <c r="L1994" s="11">
        <v>149.1</v>
      </c>
      <c r="M1994" s="11">
        <v>406</v>
      </c>
      <c r="N1994" s="11">
        <v>87.1</v>
      </c>
      <c r="O1994" s="11">
        <v>46.7</v>
      </c>
      <c r="P1994" s="11">
        <v>4.84</v>
      </c>
    </row>
    <row r="1995" spans="1:16" s="11" customFormat="1">
      <c r="A1995" s="1" t="s">
        <v>5515</v>
      </c>
      <c r="B1995" s="1" t="s">
        <v>2506</v>
      </c>
      <c r="C1995" s="1" t="s">
        <v>18</v>
      </c>
      <c r="D1995" s="1" t="s">
        <v>19</v>
      </c>
      <c r="E1995" s="1" t="s">
        <v>1804</v>
      </c>
      <c r="F1995" s="11">
        <v>5620</v>
      </c>
      <c r="G1995" s="11">
        <v>5270</v>
      </c>
      <c r="H1995" s="11">
        <v>8270</v>
      </c>
      <c r="I1995" s="11">
        <v>2830</v>
      </c>
      <c r="J1995" s="11">
        <f t="shared" ref="J1995:J1997" si="35">3.4/2</f>
        <v>1.7</v>
      </c>
      <c r="K1995" s="11">
        <v>473</v>
      </c>
      <c r="L1995" s="11">
        <v>145</v>
      </c>
      <c r="M1995" s="11">
        <v>412</v>
      </c>
      <c r="N1995" s="11">
        <v>97.4</v>
      </c>
      <c r="O1995" s="11">
        <v>44.6</v>
      </c>
      <c r="P1995" s="11">
        <v>4.16</v>
      </c>
    </row>
    <row r="1996" spans="1:16" s="11" customFormat="1">
      <c r="A1996" s="1" t="s">
        <v>5515</v>
      </c>
      <c r="B1996" s="1" t="s">
        <v>2507</v>
      </c>
      <c r="C1996" s="1" t="s">
        <v>18</v>
      </c>
      <c r="D1996" s="1" t="s">
        <v>19</v>
      </c>
      <c r="E1996" s="1" t="s">
        <v>1804</v>
      </c>
      <c r="F1996" s="11">
        <v>9870</v>
      </c>
      <c r="G1996" s="11">
        <v>6330</v>
      </c>
      <c r="H1996" s="11">
        <v>8680</v>
      </c>
      <c r="I1996" s="11">
        <v>2880</v>
      </c>
      <c r="J1996" s="11">
        <f t="shared" si="35"/>
        <v>1.7</v>
      </c>
      <c r="K1996" s="11">
        <v>670</v>
      </c>
      <c r="L1996" s="11">
        <v>151.80000000000001</v>
      </c>
      <c r="M1996" s="11">
        <v>406</v>
      </c>
      <c r="N1996" s="11">
        <v>82.9</v>
      </c>
      <c r="O1996" s="11">
        <v>49</v>
      </c>
      <c r="P1996" s="11">
        <v>5.53</v>
      </c>
    </row>
    <row r="1997" spans="1:16" s="11" customFormat="1">
      <c r="A1997" s="1" t="s">
        <v>5515</v>
      </c>
      <c r="B1997" s="1" t="s">
        <v>2508</v>
      </c>
      <c r="C1997" s="1" t="s">
        <v>18</v>
      </c>
      <c r="D1997" s="1" t="s">
        <v>19</v>
      </c>
      <c r="E1997" s="1" t="s">
        <v>1804</v>
      </c>
      <c r="F1997" s="11">
        <v>6280</v>
      </c>
      <c r="G1997" s="11">
        <v>5530</v>
      </c>
      <c r="H1997" s="11">
        <v>8530</v>
      </c>
      <c r="I1997" s="11">
        <v>3340</v>
      </c>
      <c r="J1997" s="11">
        <f t="shared" si="35"/>
        <v>1.7</v>
      </c>
      <c r="K1997" s="11">
        <v>538</v>
      </c>
      <c r="L1997" s="11">
        <v>147.19999999999999</v>
      </c>
      <c r="M1997" s="11">
        <v>406</v>
      </c>
      <c r="N1997" s="11">
        <v>91.2</v>
      </c>
      <c r="O1997" s="11">
        <v>47.3</v>
      </c>
      <c r="P1997" s="11">
        <v>4.17</v>
      </c>
    </row>
    <row r="1998" spans="1:16" s="11" customFormat="1">
      <c r="A1998" s="1" t="s">
        <v>5515</v>
      </c>
      <c r="B1998" s="1" t="s">
        <v>2509</v>
      </c>
      <c r="C1998" s="1" t="s">
        <v>18</v>
      </c>
      <c r="D1998" s="1" t="s">
        <v>19</v>
      </c>
      <c r="E1998" s="1" t="s">
        <v>1804</v>
      </c>
      <c r="F1998" s="11">
        <v>8180</v>
      </c>
      <c r="G1998" s="11">
        <v>6210</v>
      </c>
      <c r="H1998" s="11">
        <v>8630</v>
      </c>
      <c r="I1998" s="11">
        <v>2800</v>
      </c>
      <c r="J1998" s="11">
        <v>4.2</v>
      </c>
      <c r="K1998" s="11">
        <v>542</v>
      </c>
      <c r="L1998" s="11">
        <v>130.1</v>
      </c>
      <c r="M1998" s="11">
        <v>363</v>
      </c>
      <c r="N1998" s="11">
        <v>89</v>
      </c>
      <c r="O1998" s="11">
        <v>41.5</v>
      </c>
      <c r="P1998" s="11">
        <v>4.9000000000000004</v>
      </c>
    </row>
    <row r="1999" spans="1:16" s="11" customFormat="1">
      <c r="A1999" s="1" t="s">
        <v>5515</v>
      </c>
      <c r="B1999" s="1" t="s">
        <v>2510</v>
      </c>
      <c r="C1999" s="1" t="s">
        <v>18</v>
      </c>
      <c r="D1999" s="1" t="s">
        <v>19</v>
      </c>
      <c r="E1999" s="1" t="s">
        <v>1804</v>
      </c>
      <c r="F1999" s="11">
        <v>9600</v>
      </c>
      <c r="G1999" s="11">
        <v>6290</v>
      </c>
      <c r="H1999" s="11">
        <v>8880</v>
      </c>
      <c r="I1999" s="11">
        <v>2690</v>
      </c>
      <c r="J1999" s="11">
        <f t="shared" ref="J1999:J2000" si="36">3.4/2</f>
        <v>1.7</v>
      </c>
      <c r="K1999" s="11">
        <v>458</v>
      </c>
      <c r="L1999" s="11">
        <v>120.8</v>
      </c>
      <c r="M1999" s="11">
        <v>344</v>
      </c>
      <c r="N1999" s="11">
        <v>93.8</v>
      </c>
      <c r="O1999" s="11">
        <v>39.700000000000003</v>
      </c>
      <c r="P1999" s="11">
        <v>4.43</v>
      </c>
    </row>
    <row r="2000" spans="1:16" s="11" customFormat="1">
      <c r="A2000" s="1" t="s">
        <v>5515</v>
      </c>
      <c r="B2000" s="1" t="s">
        <v>2511</v>
      </c>
      <c r="C2000" s="1" t="s">
        <v>18</v>
      </c>
      <c r="D2000" s="1" t="s">
        <v>19</v>
      </c>
      <c r="E2000" s="1" t="s">
        <v>1804</v>
      </c>
      <c r="F2000" s="11">
        <v>8880</v>
      </c>
      <c r="G2000" s="11">
        <v>6350</v>
      </c>
      <c r="H2000" s="11">
        <v>8540</v>
      </c>
      <c r="I2000" s="11">
        <v>2789</v>
      </c>
      <c r="J2000" s="11">
        <f t="shared" si="36"/>
        <v>1.7</v>
      </c>
      <c r="K2000" s="11">
        <v>510</v>
      </c>
      <c r="L2000" s="11">
        <v>126.5</v>
      </c>
      <c r="M2000" s="11">
        <v>373</v>
      </c>
      <c r="N2000" s="11">
        <v>97</v>
      </c>
      <c r="O2000" s="11">
        <v>43.7</v>
      </c>
      <c r="P2000" s="11">
        <v>4.46</v>
      </c>
    </row>
    <row r="2001" spans="1:16" s="11" customFormat="1">
      <c r="A2001" s="1" t="s">
        <v>5515</v>
      </c>
      <c r="B2001" s="1" t="s">
        <v>2512</v>
      </c>
      <c r="C2001" s="1" t="s">
        <v>18</v>
      </c>
      <c r="D2001" s="1" t="s">
        <v>19</v>
      </c>
      <c r="E2001" s="1" t="s">
        <v>1804</v>
      </c>
      <c r="F2001" s="11">
        <v>9410</v>
      </c>
      <c r="G2001" s="11">
        <v>6130</v>
      </c>
      <c r="H2001" s="11">
        <v>8320</v>
      </c>
      <c r="I2001" s="11">
        <v>2832</v>
      </c>
      <c r="J2001" s="11">
        <v>7</v>
      </c>
      <c r="K2001" s="11">
        <v>624</v>
      </c>
      <c r="L2001" s="11">
        <v>138.30000000000001</v>
      </c>
      <c r="M2001" s="11">
        <v>375</v>
      </c>
      <c r="N2001" s="11">
        <v>73.3</v>
      </c>
      <c r="O2001" s="11">
        <v>43.7</v>
      </c>
      <c r="P2001" s="11">
        <v>4.6100000000000003</v>
      </c>
    </row>
    <row r="2002" spans="1:16" s="11" customFormat="1">
      <c r="A2002" s="1" t="s">
        <v>5515</v>
      </c>
      <c r="B2002" s="1" t="s">
        <v>2513</v>
      </c>
      <c r="C2002" s="1" t="s">
        <v>18</v>
      </c>
      <c r="D2002" s="1" t="s">
        <v>19</v>
      </c>
      <c r="E2002" s="1" t="s">
        <v>1804</v>
      </c>
      <c r="F2002" s="11">
        <v>5610</v>
      </c>
      <c r="G2002" s="11">
        <v>5086</v>
      </c>
      <c r="H2002" s="11">
        <v>7990</v>
      </c>
      <c r="I2002" s="11">
        <v>3040</v>
      </c>
      <c r="J2002" s="11">
        <v>8.1</v>
      </c>
      <c r="K2002" s="11">
        <v>452</v>
      </c>
      <c r="L2002" s="11">
        <v>133.19999999999999</v>
      </c>
      <c r="M2002" s="11">
        <v>351.3</v>
      </c>
      <c r="N2002" s="11">
        <v>65.400000000000006</v>
      </c>
      <c r="O2002" s="11">
        <v>41.6</v>
      </c>
      <c r="P2002" s="11">
        <v>3.49</v>
      </c>
    </row>
    <row r="2003" spans="1:16" s="11" customFormat="1">
      <c r="A2003" s="1" t="s">
        <v>5515</v>
      </c>
      <c r="B2003" s="1" t="s">
        <v>2328</v>
      </c>
      <c r="C2003" s="1" t="s">
        <v>1764</v>
      </c>
      <c r="D2003" s="1" t="s">
        <v>5516</v>
      </c>
      <c r="E2003" s="1" t="s">
        <v>1804</v>
      </c>
      <c r="F2003" s="11">
        <v>7260</v>
      </c>
      <c r="G2003" s="11">
        <v>6560</v>
      </c>
      <c r="H2003" s="11">
        <v>3500</v>
      </c>
      <c r="I2003" s="11">
        <v>1820</v>
      </c>
      <c r="J2003" s="11">
        <f t="shared" ref="J2003:J2007" si="37">3.4/2</f>
        <v>1.7</v>
      </c>
      <c r="K2003" s="11">
        <v>480</v>
      </c>
      <c r="L2003" s="11">
        <v>157</v>
      </c>
      <c r="M2003" s="11">
        <v>305</v>
      </c>
      <c r="N2003" s="11">
        <v>49.9</v>
      </c>
      <c r="O2003" s="11">
        <v>50.4</v>
      </c>
      <c r="P2003" s="11">
        <f>0.95/2</f>
        <v>0.47499999999999998</v>
      </c>
    </row>
    <row r="2004" spans="1:16" s="11" customFormat="1">
      <c r="A2004" s="1" t="s">
        <v>5515</v>
      </c>
      <c r="B2004" s="1" t="s">
        <v>2329</v>
      </c>
      <c r="C2004" s="1" t="s">
        <v>1764</v>
      </c>
      <c r="D2004" s="1" t="s">
        <v>5516</v>
      </c>
      <c r="E2004" s="1" t="s">
        <v>1804</v>
      </c>
      <c r="F2004" s="11">
        <v>12790</v>
      </c>
      <c r="G2004" s="11">
        <v>8160</v>
      </c>
      <c r="H2004" s="11">
        <v>4340</v>
      </c>
      <c r="I2004" s="11">
        <v>1990</v>
      </c>
      <c r="J2004" s="11">
        <f t="shared" si="37"/>
        <v>1.7</v>
      </c>
      <c r="K2004" s="11">
        <v>694</v>
      </c>
      <c r="L2004" s="11">
        <v>170</v>
      </c>
      <c r="M2004" s="11">
        <v>334</v>
      </c>
      <c r="N2004" s="11">
        <v>31.7</v>
      </c>
      <c r="O2004" s="11">
        <v>57.5</v>
      </c>
      <c r="P2004" s="11">
        <v>12</v>
      </c>
    </row>
    <row r="2005" spans="1:16" s="11" customFormat="1">
      <c r="A2005" s="1" t="s">
        <v>5515</v>
      </c>
      <c r="B2005" s="1" t="s">
        <v>2330</v>
      </c>
      <c r="C2005" s="1" t="s">
        <v>1764</v>
      </c>
      <c r="D2005" s="1" t="s">
        <v>5516</v>
      </c>
      <c r="E2005" s="1" t="s">
        <v>1804</v>
      </c>
      <c r="F2005" s="11">
        <v>8260</v>
      </c>
      <c r="G2005" s="11">
        <v>6390</v>
      </c>
      <c r="H2005" s="11">
        <v>3600</v>
      </c>
      <c r="I2005" s="11">
        <v>2060</v>
      </c>
      <c r="J2005" s="11">
        <f t="shared" si="37"/>
        <v>1.7</v>
      </c>
      <c r="K2005" s="11">
        <v>596</v>
      </c>
      <c r="L2005" s="11">
        <v>158</v>
      </c>
      <c r="M2005" s="11">
        <v>319</v>
      </c>
      <c r="N2005" s="11">
        <v>38.5</v>
      </c>
      <c r="O2005" s="11">
        <v>52.8</v>
      </c>
      <c r="P2005" s="11">
        <f>0.95/2</f>
        <v>0.47499999999999998</v>
      </c>
    </row>
    <row r="2006" spans="1:16" s="11" customFormat="1">
      <c r="A2006" s="1" t="s">
        <v>5515</v>
      </c>
      <c r="B2006" s="1" t="s">
        <v>2331</v>
      </c>
      <c r="C2006" s="1" t="s">
        <v>1764</v>
      </c>
      <c r="D2006" s="1" t="s">
        <v>5516</v>
      </c>
      <c r="E2006" s="1" t="s">
        <v>1804</v>
      </c>
      <c r="F2006" s="11">
        <v>12220</v>
      </c>
      <c r="G2006" s="11">
        <v>8650</v>
      </c>
      <c r="H2006" s="11">
        <v>3730</v>
      </c>
      <c r="I2006" s="11">
        <v>1688</v>
      </c>
      <c r="J2006" s="11">
        <f t="shared" si="37"/>
        <v>1.7</v>
      </c>
      <c r="K2006" s="11">
        <v>579</v>
      </c>
      <c r="L2006" s="11">
        <v>143.9</v>
      </c>
      <c r="M2006" s="11">
        <v>290</v>
      </c>
      <c r="N2006" s="11">
        <v>50.2</v>
      </c>
      <c r="O2006" s="11">
        <v>51.1</v>
      </c>
      <c r="P2006" s="11">
        <v>7.28</v>
      </c>
    </row>
    <row r="2007" spans="1:16" s="11" customFormat="1">
      <c r="A2007" s="1" t="s">
        <v>5515</v>
      </c>
      <c r="B2007" s="1" t="s">
        <v>2332</v>
      </c>
      <c r="C2007" s="1" t="s">
        <v>1764</v>
      </c>
      <c r="D2007" s="1" t="s">
        <v>5516</v>
      </c>
      <c r="E2007" s="1" t="s">
        <v>1804</v>
      </c>
      <c r="F2007" s="11">
        <v>8500</v>
      </c>
      <c r="G2007" s="11">
        <v>6820</v>
      </c>
      <c r="H2007" s="11">
        <v>3300</v>
      </c>
      <c r="I2007" s="11">
        <v>1725</v>
      </c>
      <c r="J2007" s="11">
        <f t="shared" si="37"/>
        <v>1.7</v>
      </c>
      <c r="K2007" s="11">
        <v>542</v>
      </c>
      <c r="L2007" s="11">
        <v>147.9</v>
      </c>
      <c r="M2007" s="11">
        <v>272</v>
      </c>
      <c r="N2007" s="11">
        <v>51.1</v>
      </c>
      <c r="O2007" s="11">
        <v>48.6</v>
      </c>
      <c r="P2007" s="11">
        <f t="shared" ref="P2007:P2008" si="38">0.95/2</f>
        <v>0.47499999999999998</v>
      </c>
    </row>
    <row r="2008" spans="1:16" s="11" customFormat="1">
      <c r="A2008" s="1" t="s">
        <v>5515</v>
      </c>
      <c r="B2008" s="1" t="s">
        <v>2333</v>
      </c>
      <c r="C2008" s="1" t="s">
        <v>1764</v>
      </c>
      <c r="D2008" s="1" t="s">
        <v>5516</v>
      </c>
      <c r="E2008" s="1" t="s">
        <v>1804</v>
      </c>
      <c r="F2008" s="11">
        <v>7810</v>
      </c>
      <c r="G2008" s="11">
        <v>6970</v>
      </c>
      <c r="H2008" s="11">
        <v>3260</v>
      </c>
      <c r="I2008" s="11">
        <v>1782</v>
      </c>
      <c r="J2008" s="11">
        <v>4.4000000000000004</v>
      </c>
      <c r="K2008" s="11">
        <v>537</v>
      </c>
      <c r="L2008" s="11">
        <v>150.6</v>
      </c>
      <c r="M2008" s="11">
        <v>298</v>
      </c>
      <c r="N2008" s="11">
        <v>32.1</v>
      </c>
      <c r="O2008" s="11">
        <v>48.7</v>
      </c>
      <c r="P2008" s="11">
        <f t="shared" si="38"/>
        <v>0.47499999999999998</v>
      </c>
    </row>
    <row r="2009" spans="1:16" s="11" customFormat="1">
      <c r="A2009" s="1" t="s">
        <v>5515</v>
      </c>
      <c r="B2009" s="1" t="s">
        <v>2334</v>
      </c>
      <c r="C2009" s="1" t="s">
        <v>1764</v>
      </c>
      <c r="D2009" s="1" t="s">
        <v>5516</v>
      </c>
      <c r="E2009" s="1" t="s">
        <v>1804</v>
      </c>
      <c r="F2009" s="11">
        <v>11420</v>
      </c>
      <c r="G2009" s="11">
        <v>8370</v>
      </c>
      <c r="H2009" s="11">
        <v>3940</v>
      </c>
      <c r="I2009" s="11">
        <v>1860</v>
      </c>
      <c r="J2009" s="11">
        <f t="shared" ref="J2009:J2021" si="39">3.4/2</f>
        <v>1.7</v>
      </c>
      <c r="K2009" s="11">
        <v>614</v>
      </c>
      <c r="L2009" s="11">
        <v>148.5</v>
      </c>
      <c r="M2009" s="11">
        <v>303</v>
      </c>
      <c r="N2009" s="11">
        <v>42</v>
      </c>
      <c r="O2009" s="11">
        <v>53.2</v>
      </c>
      <c r="P2009" s="11">
        <v>7.49</v>
      </c>
    </row>
    <row r="2010" spans="1:16" s="11" customFormat="1">
      <c r="A2010" s="1" t="s">
        <v>5515</v>
      </c>
      <c r="B2010" s="1" t="s">
        <v>2335</v>
      </c>
      <c r="C2010" s="1" t="s">
        <v>1764</v>
      </c>
      <c r="D2010" s="1" t="s">
        <v>5516</v>
      </c>
      <c r="E2010" s="1" t="s">
        <v>1804</v>
      </c>
      <c r="F2010" s="11">
        <v>6500</v>
      </c>
      <c r="G2010" s="11">
        <v>6290</v>
      </c>
      <c r="H2010" s="11">
        <v>3400</v>
      </c>
      <c r="I2010" s="11">
        <v>2210</v>
      </c>
      <c r="J2010" s="11">
        <f t="shared" si="39"/>
        <v>1.7</v>
      </c>
      <c r="K2010" s="11">
        <v>358</v>
      </c>
      <c r="L2010" s="11">
        <v>162</v>
      </c>
      <c r="M2010" s="11">
        <v>309</v>
      </c>
      <c r="N2010" s="11">
        <v>65</v>
      </c>
      <c r="O2010" s="11">
        <v>49.9</v>
      </c>
      <c r="P2010" s="11">
        <f>0.95/2</f>
        <v>0.47499999999999998</v>
      </c>
    </row>
    <row r="2011" spans="1:16" s="11" customFormat="1">
      <c r="A2011" s="1" t="s">
        <v>5515</v>
      </c>
      <c r="B2011" s="1" t="s">
        <v>2336</v>
      </c>
      <c r="C2011" s="1" t="s">
        <v>1764</v>
      </c>
      <c r="D2011" s="1" t="s">
        <v>5516</v>
      </c>
      <c r="E2011" s="1" t="s">
        <v>1804</v>
      </c>
      <c r="F2011" s="11">
        <v>12790</v>
      </c>
      <c r="G2011" s="11">
        <v>6570</v>
      </c>
      <c r="H2011" s="11">
        <v>2760</v>
      </c>
      <c r="I2011" s="11">
        <v>2410</v>
      </c>
      <c r="J2011" s="11">
        <f t="shared" si="39"/>
        <v>1.7</v>
      </c>
      <c r="K2011" s="11">
        <v>485</v>
      </c>
      <c r="L2011" s="11">
        <v>157</v>
      </c>
      <c r="M2011" s="11">
        <v>317</v>
      </c>
      <c r="N2011" s="11">
        <v>27.1</v>
      </c>
      <c r="O2011" s="11">
        <v>41</v>
      </c>
      <c r="P2011" s="11">
        <v>6.8</v>
      </c>
    </row>
    <row r="2012" spans="1:16" s="11" customFormat="1">
      <c r="A2012" s="1" t="s">
        <v>5515</v>
      </c>
      <c r="B2012" s="1" t="s">
        <v>2337</v>
      </c>
      <c r="C2012" s="1" t="s">
        <v>1764</v>
      </c>
      <c r="D2012" s="1" t="s">
        <v>5516</v>
      </c>
      <c r="E2012" s="1" t="s">
        <v>1804</v>
      </c>
      <c r="F2012" s="11">
        <v>9400</v>
      </c>
      <c r="G2012" s="11">
        <v>5530</v>
      </c>
      <c r="H2012" s="11">
        <v>2110</v>
      </c>
      <c r="I2012" s="11">
        <v>2590</v>
      </c>
      <c r="J2012" s="11">
        <f t="shared" si="39"/>
        <v>1.7</v>
      </c>
      <c r="K2012" s="11">
        <v>829</v>
      </c>
      <c r="L2012" s="11">
        <v>154.19999999999999</v>
      </c>
      <c r="M2012" s="11">
        <v>338</v>
      </c>
      <c r="N2012" s="11">
        <v>63.7</v>
      </c>
      <c r="O2012" s="11">
        <v>39.799999999999997</v>
      </c>
      <c r="P2012" s="11">
        <f t="shared" ref="P2012:P2013" si="40">0.95/2</f>
        <v>0.47499999999999998</v>
      </c>
    </row>
    <row r="2013" spans="1:16" s="11" customFormat="1">
      <c r="A2013" s="1" t="s">
        <v>5515</v>
      </c>
      <c r="B2013" s="1" t="s">
        <v>2338</v>
      </c>
      <c r="C2013" s="1" t="s">
        <v>1764</v>
      </c>
      <c r="D2013" s="1" t="s">
        <v>5516</v>
      </c>
      <c r="E2013" s="1" t="s">
        <v>1804</v>
      </c>
      <c r="F2013" s="11">
        <v>6610</v>
      </c>
      <c r="G2013" s="11">
        <v>4420</v>
      </c>
      <c r="H2013" s="11">
        <v>2270</v>
      </c>
      <c r="I2013" s="11">
        <v>2370</v>
      </c>
      <c r="J2013" s="11">
        <f t="shared" si="39"/>
        <v>1.7</v>
      </c>
      <c r="K2013" s="11">
        <v>505</v>
      </c>
      <c r="L2013" s="11">
        <v>167</v>
      </c>
      <c r="M2013" s="11">
        <v>315</v>
      </c>
      <c r="N2013" s="11">
        <v>32.700000000000003</v>
      </c>
      <c r="O2013" s="11">
        <v>34.6</v>
      </c>
      <c r="P2013" s="11">
        <f t="shared" si="40"/>
        <v>0.47499999999999998</v>
      </c>
    </row>
    <row r="2014" spans="1:16" s="11" customFormat="1">
      <c r="A2014" s="1" t="s">
        <v>5515</v>
      </c>
      <c r="B2014" s="1" t="s">
        <v>2339</v>
      </c>
      <c r="C2014" s="1" t="s">
        <v>1764</v>
      </c>
      <c r="D2014" s="1" t="s">
        <v>5516</v>
      </c>
      <c r="E2014" s="1" t="s">
        <v>1804</v>
      </c>
      <c r="F2014" s="11">
        <v>9350</v>
      </c>
      <c r="G2014" s="11">
        <v>7030</v>
      </c>
      <c r="H2014" s="11">
        <v>4550</v>
      </c>
      <c r="I2014" s="11">
        <v>1738</v>
      </c>
      <c r="J2014" s="11">
        <f t="shared" si="39"/>
        <v>1.7</v>
      </c>
      <c r="K2014" s="11">
        <v>709</v>
      </c>
      <c r="L2014" s="11">
        <v>150.1</v>
      </c>
      <c r="M2014" s="11">
        <v>299</v>
      </c>
      <c r="N2014" s="11">
        <v>68.8</v>
      </c>
      <c r="O2014" s="11">
        <v>44.9</v>
      </c>
      <c r="P2014" s="11">
        <v>1.1399999999999999</v>
      </c>
    </row>
    <row r="2015" spans="1:16" s="11" customFormat="1">
      <c r="A2015" s="1" t="s">
        <v>5515</v>
      </c>
      <c r="B2015" s="1" t="s">
        <v>2340</v>
      </c>
      <c r="C2015" s="1" t="s">
        <v>1764</v>
      </c>
      <c r="D2015" s="1" t="s">
        <v>5516</v>
      </c>
      <c r="E2015" s="1" t="s">
        <v>1804</v>
      </c>
      <c r="F2015" s="11">
        <v>8830</v>
      </c>
      <c r="G2015" s="11">
        <v>6610</v>
      </c>
      <c r="H2015" s="11">
        <v>4320</v>
      </c>
      <c r="I2015" s="11">
        <v>2060</v>
      </c>
      <c r="J2015" s="11">
        <f t="shared" si="39"/>
        <v>1.7</v>
      </c>
      <c r="K2015" s="11">
        <v>686</v>
      </c>
      <c r="L2015" s="11">
        <v>156</v>
      </c>
      <c r="M2015" s="11">
        <v>326</v>
      </c>
      <c r="N2015" s="11">
        <v>112</v>
      </c>
      <c r="O2015" s="11">
        <v>49.5</v>
      </c>
      <c r="P2015" s="11">
        <f>0.95/2</f>
        <v>0.47499999999999998</v>
      </c>
    </row>
    <row r="2016" spans="1:16" s="11" customFormat="1">
      <c r="A2016" s="1" t="s">
        <v>5515</v>
      </c>
      <c r="B2016" s="1" t="s">
        <v>2341</v>
      </c>
      <c r="C2016" s="1" t="s">
        <v>1764</v>
      </c>
      <c r="D2016" s="1" t="s">
        <v>5516</v>
      </c>
      <c r="E2016" s="1" t="s">
        <v>1804</v>
      </c>
      <c r="F2016" s="11">
        <v>14240</v>
      </c>
      <c r="G2016" s="11">
        <v>9100</v>
      </c>
      <c r="H2016" s="11">
        <v>5240</v>
      </c>
      <c r="I2016" s="11">
        <v>1810</v>
      </c>
      <c r="J2016" s="11">
        <f t="shared" si="39"/>
        <v>1.7</v>
      </c>
      <c r="K2016" s="11">
        <v>699</v>
      </c>
      <c r="L2016" s="11">
        <v>166</v>
      </c>
      <c r="M2016" s="11">
        <v>321</v>
      </c>
      <c r="N2016" s="11">
        <v>58.1</v>
      </c>
      <c r="O2016" s="11">
        <v>55.8</v>
      </c>
      <c r="P2016" s="11">
        <v>13.8</v>
      </c>
    </row>
    <row r="2017" spans="1:16" s="11" customFormat="1">
      <c r="A2017" s="1" t="s">
        <v>5515</v>
      </c>
      <c r="B2017" s="1" t="s">
        <v>2342</v>
      </c>
      <c r="C2017" s="1" t="s">
        <v>1764</v>
      </c>
      <c r="D2017" s="1" t="s">
        <v>5516</v>
      </c>
      <c r="E2017" s="1" t="s">
        <v>1804</v>
      </c>
      <c r="F2017" s="11">
        <v>6760</v>
      </c>
      <c r="G2017" s="11">
        <v>5380</v>
      </c>
      <c r="H2017" s="11">
        <v>3810</v>
      </c>
      <c r="I2017" s="11">
        <v>2270</v>
      </c>
      <c r="J2017" s="11">
        <f t="shared" si="39"/>
        <v>1.7</v>
      </c>
      <c r="K2017" s="11">
        <v>494</v>
      </c>
      <c r="L2017" s="11">
        <v>153.1</v>
      </c>
      <c r="M2017" s="11">
        <v>317</v>
      </c>
      <c r="N2017" s="11">
        <v>35.700000000000003</v>
      </c>
      <c r="O2017" s="11">
        <v>50.8</v>
      </c>
      <c r="P2017" s="11">
        <f t="shared" ref="P2017:P2018" si="41">0.95/2</f>
        <v>0.47499999999999998</v>
      </c>
    </row>
    <row r="2018" spans="1:16" s="11" customFormat="1">
      <c r="A2018" s="1" t="s">
        <v>5515</v>
      </c>
      <c r="B2018" s="1" t="s">
        <v>2343</v>
      </c>
      <c r="C2018" s="1" t="s">
        <v>1764</v>
      </c>
      <c r="D2018" s="1" t="s">
        <v>5516</v>
      </c>
      <c r="E2018" s="1" t="s">
        <v>1804</v>
      </c>
      <c r="F2018" s="11">
        <v>8120</v>
      </c>
      <c r="G2018" s="11">
        <v>6560</v>
      </c>
      <c r="H2018" s="11">
        <v>3770</v>
      </c>
      <c r="I2018" s="11">
        <v>2100</v>
      </c>
      <c r="J2018" s="11">
        <f t="shared" si="39"/>
        <v>1.7</v>
      </c>
      <c r="K2018" s="11">
        <v>572</v>
      </c>
      <c r="L2018" s="11">
        <v>156.19999999999999</v>
      </c>
      <c r="M2018" s="11">
        <v>321</v>
      </c>
      <c r="N2018" s="11">
        <v>36</v>
      </c>
      <c r="O2018" s="11">
        <v>44.4</v>
      </c>
      <c r="P2018" s="11">
        <f t="shared" si="41"/>
        <v>0.47499999999999998</v>
      </c>
    </row>
    <row r="2019" spans="1:16" s="11" customFormat="1">
      <c r="A2019" s="1" t="s">
        <v>5515</v>
      </c>
      <c r="B2019" s="1" t="s">
        <v>2344</v>
      </c>
      <c r="C2019" s="1" t="s">
        <v>1764</v>
      </c>
      <c r="D2019" s="1" t="s">
        <v>5516</v>
      </c>
      <c r="E2019" s="1" t="s">
        <v>1804</v>
      </c>
      <c r="F2019" s="11">
        <v>11930</v>
      </c>
      <c r="G2019" s="11">
        <v>5460</v>
      </c>
      <c r="H2019" s="11">
        <v>2707</v>
      </c>
      <c r="I2019" s="11">
        <v>1941</v>
      </c>
      <c r="J2019" s="11">
        <f t="shared" si="39"/>
        <v>1.7</v>
      </c>
      <c r="K2019" s="11">
        <v>588</v>
      </c>
      <c r="L2019" s="11">
        <v>144.9</v>
      </c>
      <c r="M2019" s="11">
        <v>277</v>
      </c>
      <c r="N2019" s="11">
        <v>52.5</v>
      </c>
      <c r="O2019" s="11">
        <v>37</v>
      </c>
      <c r="P2019" s="11">
        <v>9.2899999999999991</v>
      </c>
    </row>
    <row r="2020" spans="1:16" s="11" customFormat="1">
      <c r="A2020" s="1" t="s">
        <v>5515</v>
      </c>
      <c r="B2020" s="1" t="s">
        <v>2345</v>
      </c>
      <c r="C2020" s="1" t="s">
        <v>1764</v>
      </c>
      <c r="D2020" s="1" t="s">
        <v>5516</v>
      </c>
      <c r="E2020" s="1" t="s">
        <v>1804</v>
      </c>
      <c r="F2020" s="11">
        <v>12200</v>
      </c>
      <c r="G2020" s="11">
        <v>5920</v>
      </c>
      <c r="H2020" s="11">
        <v>2330</v>
      </c>
      <c r="I2020" s="11">
        <v>2160</v>
      </c>
      <c r="J2020" s="11">
        <f t="shared" si="39"/>
        <v>1.7</v>
      </c>
      <c r="K2020" s="11">
        <v>452</v>
      </c>
      <c r="L2020" s="11">
        <v>155.80000000000001</v>
      </c>
      <c r="M2020" s="11">
        <v>301</v>
      </c>
      <c r="N2020" s="11">
        <v>31.9</v>
      </c>
      <c r="O2020" s="11">
        <v>41.6</v>
      </c>
      <c r="P2020" s="11">
        <v>1.05</v>
      </c>
    </row>
    <row r="2021" spans="1:16" s="11" customFormat="1">
      <c r="A2021" s="1" t="s">
        <v>5515</v>
      </c>
      <c r="B2021" s="1" t="s">
        <v>2346</v>
      </c>
      <c r="C2021" s="1" t="s">
        <v>1764</v>
      </c>
      <c r="D2021" s="1" t="s">
        <v>5516</v>
      </c>
      <c r="E2021" s="1" t="s">
        <v>1804</v>
      </c>
      <c r="F2021" s="11">
        <v>6070</v>
      </c>
      <c r="G2021" s="11">
        <v>3660</v>
      </c>
      <c r="H2021" s="11">
        <v>2040</v>
      </c>
      <c r="I2021" s="11">
        <v>2030</v>
      </c>
      <c r="J2021" s="11">
        <f t="shared" si="39"/>
        <v>1.7</v>
      </c>
      <c r="K2021" s="11">
        <v>313</v>
      </c>
      <c r="L2021" s="11">
        <v>156</v>
      </c>
      <c r="M2021" s="11">
        <v>311</v>
      </c>
      <c r="N2021" s="11">
        <v>21.1</v>
      </c>
      <c r="O2021" s="11">
        <v>42.1</v>
      </c>
      <c r="P2021" s="11">
        <f>0.95/2</f>
        <v>0.47499999999999998</v>
      </c>
    </row>
    <row r="2022" spans="1:16" s="11" customFormat="1">
      <c r="A2022" s="1" t="s">
        <v>5515</v>
      </c>
      <c r="B2022" s="1" t="s">
        <v>2347</v>
      </c>
      <c r="C2022" s="1" t="s">
        <v>1764</v>
      </c>
      <c r="D2022" s="1" t="s">
        <v>5516</v>
      </c>
      <c r="E2022" s="1" t="s">
        <v>1804</v>
      </c>
      <c r="F2022" s="11">
        <v>11480</v>
      </c>
      <c r="G2022" s="11">
        <v>7280</v>
      </c>
      <c r="H2022" s="11">
        <v>3440</v>
      </c>
      <c r="I2022" s="11">
        <v>1819</v>
      </c>
      <c r="J2022" s="11">
        <v>3.6</v>
      </c>
      <c r="K2022" s="11">
        <v>532</v>
      </c>
      <c r="L2022" s="11">
        <v>151</v>
      </c>
      <c r="M2022" s="11">
        <v>281</v>
      </c>
      <c r="N2022" s="11">
        <v>49.1</v>
      </c>
      <c r="O2022" s="11">
        <v>43.5</v>
      </c>
      <c r="P2022" s="11">
        <v>7.75</v>
      </c>
    </row>
    <row r="2023" spans="1:16" s="11" customFormat="1">
      <c r="A2023" s="1" t="s">
        <v>5515</v>
      </c>
      <c r="B2023" s="1" t="s">
        <v>2348</v>
      </c>
      <c r="C2023" s="1" t="s">
        <v>1764</v>
      </c>
      <c r="D2023" s="1" t="s">
        <v>5516</v>
      </c>
      <c r="E2023" s="1" t="s">
        <v>1804</v>
      </c>
      <c r="F2023" s="11">
        <v>5750</v>
      </c>
      <c r="G2023" s="11">
        <v>4610</v>
      </c>
      <c r="H2023" s="11">
        <v>2214</v>
      </c>
      <c r="I2023" s="11">
        <v>2145</v>
      </c>
      <c r="J2023" s="11">
        <v>6.8</v>
      </c>
      <c r="K2023" s="11">
        <v>537</v>
      </c>
      <c r="L2023" s="11">
        <v>151.19999999999999</v>
      </c>
      <c r="M2023" s="11">
        <v>280</v>
      </c>
      <c r="N2023" s="11">
        <v>54.4</v>
      </c>
      <c r="O2023" s="11">
        <v>34.200000000000003</v>
      </c>
      <c r="P2023" s="11">
        <f>0.95/2</f>
        <v>0.47499999999999998</v>
      </c>
    </row>
    <row r="2024" spans="1:16" s="11" customFormat="1">
      <c r="A2024" s="1" t="s">
        <v>5515</v>
      </c>
      <c r="B2024" s="1" t="s">
        <v>2298</v>
      </c>
      <c r="C2024" s="1" t="s">
        <v>1764</v>
      </c>
      <c r="D2024" s="1" t="s">
        <v>5516</v>
      </c>
      <c r="E2024" s="1" t="s">
        <v>1804</v>
      </c>
      <c r="F2024" s="11">
        <v>9740</v>
      </c>
      <c r="G2024" s="11">
        <v>1750</v>
      </c>
      <c r="H2024" s="11">
        <v>1225</v>
      </c>
      <c r="I2024" s="11">
        <v>2080</v>
      </c>
      <c r="J2024" s="11">
        <f t="shared" ref="J2024:J2029" si="42">3.4/2</f>
        <v>1.7</v>
      </c>
      <c r="K2024" s="11">
        <v>408</v>
      </c>
      <c r="L2024" s="11">
        <v>161</v>
      </c>
      <c r="M2024" s="11">
        <v>316</v>
      </c>
      <c r="N2024" s="11">
        <v>80.2</v>
      </c>
      <c r="O2024" s="11">
        <v>26.1</v>
      </c>
      <c r="P2024" s="11">
        <v>5.0999999999999996</v>
      </c>
    </row>
    <row r="2025" spans="1:16" s="11" customFormat="1">
      <c r="A2025" s="1" t="s">
        <v>5515</v>
      </c>
      <c r="B2025" s="1" t="s">
        <v>2299</v>
      </c>
      <c r="C2025" s="1" t="s">
        <v>1764</v>
      </c>
      <c r="D2025" s="1" t="s">
        <v>5516</v>
      </c>
      <c r="E2025" s="1" t="s">
        <v>1804</v>
      </c>
      <c r="F2025" s="11">
        <v>5840</v>
      </c>
      <c r="G2025" s="11">
        <v>1890</v>
      </c>
      <c r="H2025" s="11">
        <v>1108</v>
      </c>
      <c r="I2025" s="11">
        <v>2190</v>
      </c>
      <c r="J2025" s="11">
        <f t="shared" si="42"/>
        <v>1.7</v>
      </c>
      <c r="K2025" s="11">
        <v>472</v>
      </c>
      <c r="L2025" s="11">
        <v>126</v>
      </c>
      <c r="M2025" s="11">
        <v>350</v>
      </c>
      <c r="N2025" s="11">
        <v>50.6</v>
      </c>
      <c r="O2025" s="11">
        <v>28.5</v>
      </c>
      <c r="P2025" s="11">
        <v>4.91</v>
      </c>
    </row>
    <row r="2026" spans="1:16" s="11" customFormat="1">
      <c r="A2026" s="1" t="s">
        <v>5515</v>
      </c>
      <c r="B2026" s="1" t="s">
        <v>2300</v>
      </c>
      <c r="C2026" s="1" t="s">
        <v>1764</v>
      </c>
      <c r="D2026" s="1" t="s">
        <v>5516</v>
      </c>
      <c r="E2026" s="1" t="s">
        <v>1804</v>
      </c>
      <c r="F2026" s="11">
        <v>6270</v>
      </c>
      <c r="G2026" s="11">
        <v>1700</v>
      </c>
      <c r="H2026" s="11">
        <v>1110</v>
      </c>
      <c r="I2026" s="11">
        <v>2220</v>
      </c>
      <c r="J2026" s="11">
        <f t="shared" si="42"/>
        <v>1.7</v>
      </c>
      <c r="K2026" s="11">
        <v>350</v>
      </c>
      <c r="L2026" s="11">
        <v>132</v>
      </c>
      <c r="M2026" s="11">
        <v>318</v>
      </c>
      <c r="N2026" s="11">
        <v>64</v>
      </c>
      <c r="O2026" s="11">
        <v>26.9</v>
      </c>
      <c r="P2026" s="11">
        <v>6.21</v>
      </c>
    </row>
    <row r="2027" spans="1:16" s="11" customFormat="1">
      <c r="A2027" s="1" t="s">
        <v>5515</v>
      </c>
      <c r="B2027" s="1" t="s">
        <v>2301</v>
      </c>
      <c r="C2027" s="1" t="s">
        <v>1764</v>
      </c>
      <c r="D2027" s="1" t="s">
        <v>5516</v>
      </c>
      <c r="E2027" s="1" t="s">
        <v>1804</v>
      </c>
      <c r="F2027" s="11">
        <v>8740</v>
      </c>
      <c r="G2027" s="11">
        <v>1562</v>
      </c>
      <c r="H2027" s="11">
        <v>1187</v>
      </c>
      <c r="I2027" s="11">
        <v>2270</v>
      </c>
      <c r="J2027" s="11">
        <f t="shared" si="42"/>
        <v>1.7</v>
      </c>
      <c r="K2027" s="11">
        <v>387</v>
      </c>
      <c r="L2027" s="11">
        <v>162</v>
      </c>
      <c r="M2027" s="11">
        <v>304</v>
      </c>
      <c r="N2027" s="11">
        <v>64.599999999999994</v>
      </c>
      <c r="O2027" s="11">
        <v>25</v>
      </c>
      <c r="P2027" s="11">
        <v>4.76</v>
      </c>
    </row>
    <row r="2028" spans="1:16" s="11" customFormat="1">
      <c r="A2028" s="1" t="s">
        <v>5515</v>
      </c>
      <c r="B2028" s="1" t="s">
        <v>2302</v>
      </c>
      <c r="C2028" s="1" t="s">
        <v>1764</v>
      </c>
      <c r="D2028" s="1" t="s">
        <v>5516</v>
      </c>
      <c r="E2028" s="1" t="s">
        <v>1804</v>
      </c>
      <c r="F2028" s="11">
        <v>7670</v>
      </c>
      <c r="G2028" s="11">
        <v>1960</v>
      </c>
      <c r="H2028" s="11">
        <v>1108</v>
      </c>
      <c r="I2028" s="11">
        <v>2300</v>
      </c>
      <c r="J2028" s="11">
        <f t="shared" si="42"/>
        <v>1.7</v>
      </c>
      <c r="K2028" s="11">
        <v>277</v>
      </c>
      <c r="L2028" s="11">
        <v>147</v>
      </c>
      <c r="M2028" s="11">
        <v>292</v>
      </c>
      <c r="N2028" s="11">
        <v>94</v>
      </c>
      <c r="O2028" s="11">
        <v>25.8</v>
      </c>
      <c r="P2028" s="11">
        <v>4.71</v>
      </c>
    </row>
    <row r="2029" spans="1:16" s="11" customFormat="1">
      <c r="A2029" s="1" t="s">
        <v>5515</v>
      </c>
      <c r="B2029" s="1" t="s">
        <v>2303</v>
      </c>
      <c r="C2029" s="1" t="s">
        <v>1764</v>
      </c>
      <c r="D2029" s="1" t="s">
        <v>5516</v>
      </c>
      <c r="E2029" s="1" t="s">
        <v>1804</v>
      </c>
      <c r="F2029" s="11">
        <v>5520</v>
      </c>
      <c r="G2029" s="11">
        <v>2040</v>
      </c>
      <c r="H2029" s="11">
        <v>1292</v>
      </c>
      <c r="I2029" s="11">
        <v>2170</v>
      </c>
      <c r="J2029" s="11">
        <f t="shared" si="42"/>
        <v>1.7</v>
      </c>
      <c r="K2029" s="11">
        <v>507</v>
      </c>
      <c r="L2029" s="11">
        <v>131</v>
      </c>
      <c r="M2029" s="11">
        <v>299</v>
      </c>
      <c r="N2029" s="11">
        <v>62</v>
      </c>
      <c r="O2029" s="11">
        <v>25.4</v>
      </c>
      <c r="P2029" s="11">
        <v>4.03</v>
      </c>
    </row>
    <row r="2030" spans="1:16" s="11" customFormat="1">
      <c r="A2030" s="1" t="s">
        <v>5515</v>
      </c>
      <c r="B2030" s="1" t="s">
        <v>2304</v>
      </c>
      <c r="C2030" s="1" t="s">
        <v>1764</v>
      </c>
      <c r="D2030" s="1" t="s">
        <v>5516</v>
      </c>
      <c r="E2030" s="1" t="s">
        <v>1804</v>
      </c>
      <c r="F2030" s="11">
        <v>8450</v>
      </c>
      <c r="G2030" s="11">
        <v>2080</v>
      </c>
      <c r="H2030" s="11">
        <v>1290</v>
      </c>
      <c r="I2030" s="11">
        <v>2190</v>
      </c>
      <c r="J2030" s="11">
        <v>5.2</v>
      </c>
      <c r="K2030" s="11">
        <v>357</v>
      </c>
      <c r="L2030" s="11">
        <v>151.80000000000001</v>
      </c>
      <c r="M2030" s="11">
        <v>299</v>
      </c>
      <c r="N2030" s="11">
        <v>107</v>
      </c>
      <c r="O2030" s="11">
        <v>28.9</v>
      </c>
      <c r="P2030" s="11">
        <v>5.76</v>
      </c>
    </row>
    <row r="2031" spans="1:16" s="11" customFormat="1">
      <c r="A2031" s="1" t="s">
        <v>5515</v>
      </c>
      <c r="B2031" s="1" t="s">
        <v>2305</v>
      </c>
      <c r="C2031" s="1" t="s">
        <v>1764</v>
      </c>
      <c r="D2031" s="1" t="s">
        <v>5516</v>
      </c>
      <c r="E2031" s="1" t="s">
        <v>1804</v>
      </c>
      <c r="F2031" s="11">
        <v>6280</v>
      </c>
      <c r="G2031" s="11">
        <v>2144</v>
      </c>
      <c r="H2031" s="11">
        <v>1420</v>
      </c>
      <c r="I2031" s="11">
        <v>2410</v>
      </c>
      <c r="J2031" s="11">
        <f t="shared" ref="J2031:J2034" si="43">3.4/2</f>
        <v>1.7</v>
      </c>
      <c r="K2031" s="11">
        <v>582</v>
      </c>
      <c r="L2031" s="11">
        <v>141.30000000000001</v>
      </c>
      <c r="M2031" s="11">
        <v>303</v>
      </c>
      <c r="N2031" s="11">
        <v>90</v>
      </c>
      <c r="O2031" s="11">
        <v>27.4</v>
      </c>
      <c r="P2031" s="11">
        <v>5.75</v>
      </c>
    </row>
    <row r="2032" spans="1:16" s="11" customFormat="1">
      <c r="A2032" s="1" t="s">
        <v>5515</v>
      </c>
      <c r="B2032" s="1" t="s">
        <v>2306</v>
      </c>
      <c r="C2032" s="1" t="s">
        <v>1764</v>
      </c>
      <c r="D2032" s="1" t="s">
        <v>5516</v>
      </c>
      <c r="E2032" s="1" t="s">
        <v>1804</v>
      </c>
      <c r="F2032" s="11">
        <v>9580</v>
      </c>
      <c r="G2032" s="11">
        <v>2217</v>
      </c>
      <c r="H2032" s="11">
        <v>1422</v>
      </c>
      <c r="I2032" s="11">
        <v>2194</v>
      </c>
      <c r="J2032" s="11">
        <f t="shared" si="43"/>
        <v>1.7</v>
      </c>
      <c r="K2032" s="11">
        <v>677</v>
      </c>
      <c r="L2032" s="11">
        <v>155.80000000000001</v>
      </c>
      <c r="M2032" s="11">
        <v>286</v>
      </c>
      <c r="N2032" s="11">
        <v>71.099999999999994</v>
      </c>
      <c r="O2032" s="11">
        <v>25.1</v>
      </c>
      <c r="P2032" s="11">
        <v>5.68</v>
      </c>
    </row>
    <row r="2033" spans="1:16" s="11" customFormat="1">
      <c r="A2033" s="1" t="s">
        <v>5515</v>
      </c>
      <c r="B2033" s="1" t="s">
        <v>2307</v>
      </c>
      <c r="C2033" s="1" t="s">
        <v>1764</v>
      </c>
      <c r="D2033" s="1" t="s">
        <v>5516</v>
      </c>
      <c r="E2033" s="1" t="s">
        <v>1804</v>
      </c>
      <c r="F2033" s="11">
        <v>5780</v>
      </c>
      <c r="G2033" s="11">
        <v>2140</v>
      </c>
      <c r="H2033" s="11">
        <v>1658</v>
      </c>
      <c r="I2033" s="11">
        <v>2158</v>
      </c>
      <c r="J2033" s="11">
        <f t="shared" si="43"/>
        <v>1.7</v>
      </c>
      <c r="K2033" s="11">
        <v>122.3</v>
      </c>
      <c r="L2033" s="11">
        <v>89</v>
      </c>
      <c r="M2033" s="11">
        <v>278</v>
      </c>
      <c r="N2033" s="11">
        <v>41.5</v>
      </c>
      <c r="O2033" s="11">
        <v>27.2</v>
      </c>
      <c r="P2033" s="11">
        <v>6.5</v>
      </c>
    </row>
    <row r="2034" spans="1:16" s="11" customFormat="1">
      <c r="A2034" s="1" t="s">
        <v>5515</v>
      </c>
      <c r="B2034" s="1" t="s">
        <v>2308</v>
      </c>
      <c r="C2034" s="1" t="s">
        <v>1764</v>
      </c>
      <c r="D2034" s="1" t="s">
        <v>5516</v>
      </c>
      <c r="E2034" s="1" t="s">
        <v>1804</v>
      </c>
      <c r="F2034" s="11">
        <v>9740</v>
      </c>
      <c r="G2034" s="11">
        <v>2670</v>
      </c>
      <c r="H2034" s="11">
        <v>1693</v>
      </c>
      <c r="I2034" s="11">
        <v>2240</v>
      </c>
      <c r="J2034" s="11">
        <f t="shared" si="43"/>
        <v>1.7</v>
      </c>
      <c r="K2034" s="11">
        <v>296</v>
      </c>
      <c r="L2034" s="11">
        <v>154.6</v>
      </c>
      <c r="M2034" s="11">
        <v>306</v>
      </c>
      <c r="N2034" s="11">
        <v>75.900000000000006</v>
      </c>
      <c r="O2034" s="11">
        <v>28</v>
      </c>
      <c r="P2034" s="11">
        <v>4.97</v>
      </c>
    </row>
    <row r="2035" spans="1:16" s="11" customFormat="1">
      <c r="A2035" s="1" t="s">
        <v>5515</v>
      </c>
      <c r="B2035" s="1" t="s">
        <v>2309</v>
      </c>
      <c r="C2035" s="1" t="s">
        <v>1764</v>
      </c>
      <c r="D2035" s="1" t="s">
        <v>5516</v>
      </c>
      <c r="E2035" s="1" t="s">
        <v>1804</v>
      </c>
      <c r="F2035" s="11">
        <v>6030</v>
      </c>
      <c r="G2035" s="11">
        <v>2328</v>
      </c>
      <c r="H2035" s="11">
        <v>1660</v>
      </c>
      <c r="I2035" s="11">
        <v>1830</v>
      </c>
      <c r="J2035" s="11">
        <v>3.9</v>
      </c>
      <c r="K2035" s="11">
        <v>511</v>
      </c>
      <c r="L2035" s="11">
        <v>120.6</v>
      </c>
      <c r="M2035" s="11">
        <v>303</v>
      </c>
      <c r="N2035" s="11">
        <v>55.2</v>
      </c>
      <c r="O2035" s="11">
        <v>28.8</v>
      </c>
      <c r="P2035" s="11">
        <v>5.46</v>
      </c>
    </row>
    <row r="2036" spans="1:16" s="11" customFormat="1">
      <c r="A2036" s="1" t="s">
        <v>5515</v>
      </c>
      <c r="B2036" s="1" t="s">
        <v>2310</v>
      </c>
      <c r="C2036" s="1" t="s">
        <v>1764</v>
      </c>
      <c r="D2036" s="1" t="s">
        <v>5516</v>
      </c>
      <c r="E2036" s="1" t="s">
        <v>1804</v>
      </c>
      <c r="F2036" s="11">
        <v>8110</v>
      </c>
      <c r="G2036" s="11">
        <v>2497</v>
      </c>
      <c r="H2036" s="11">
        <v>2040</v>
      </c>
      <c r="I2036" s="11">
        <v>2050</v>
      </c>
      <c r="J2036" s="11">
        <f t="shared" ref="J2036:J2099" si="44">3.4/2</f>
        <v>1.7</v>
      </c>
      <c r="K2036" s="11">
        <v>659</v>
      </c>
      <c r="L2036" s="11">
        <v>135.9</v>
      </c>
      <c r="M2036" s="11">
        <v>314</v>
      </c>
      <c r="N2036" s="11">
        <v>57.2</v>
      </c>
      <c r="O2036" s="11">
        <v>29.3</v>
      </c>
      <c r="P2036" s="11">
        <v>5.08</v>
      </c>
    </row>
    <row r="2037" spans="1:16" s="11" customFormat="1">
      <c r="A2037" s="1" t="s">
        <v>5515</v>
      </c>
      <c r="B2037" s="1" t="s">
        <v>2311</v>
      </c>
      <c r="C2037" s="1" t="s">
        <v>1764</v>
      </c>
      <c r="D2037" s="1" t="s">
        <v>5516</v>
      </c>
      <c r="E2037" s="1" t="s">
        <v>1804</v>
      </c>
      <c r="F2037" s="11">
        <v>6160</v>
      </c>
      <c r="G2037" s="11">
        <v>1990</v>
      </c>
      <c r="H2037" s="11">
        <v>1540</v>
      </c>
      <c r="I2037" s="11">
        <v>1920</v>
      </c>
      <c r="J2037" s="11">
        <f t="shared" si="44"/>
        <v>1.7</v>
      </c>
      <c r="K2037" s="11">
        <v>389</v>
      </c>
      <c r="L2037" s="11">
        <v>121</v>
      </c>
      <c r="M2037" s="11">
        <v>303</v>
      </c>
      <c r="N2037" s="11">
        <v>72</v>
      </c>
      <c r="O2037" s="11">
        <v>30.2</v>
      </c>
      <c r="P2037" s="11">
        <v>7.2</v>
      </c>
    </row>
    <row r="2038" spans="1:16">
      <c r="A2038" s="1" t="s">
        <v>5518</v>
      </c>
      <c r="B2038" s="1" t="s">
        <v>5517</v>
      </c>
      <c r="C2038" s="1" t="s">
        <v>18</v>
      </c>
      <c r="D2038" s="1" t="s">
        <v>19</v>
      </c>
      <c r="E2038" s="1" t="s">
        <v>1804</v>
      </c>
      <c r="F2038">
        <v>7190</v>
      </c>
      <c r="G2038">
        <v>393</v>
      </c>
      <c r="H2038">
        <v>112</v>
      </c>
      <c r="I2038">
        <v>954</v>
      </c>
      <c r="J2038" s="11">
        <f t="shared" si="44"/>
        <v>1.7</v>
      </c>
      <c r="K2038">
        <v>621</v>
      </c>
      <c r="L2038">
        <v>140.1</v>
      </c>
      <c r="M2038">
        <v>244</v>
      </c>
      <c r="N2038">
        <v>74.099999999999994</v>
      </c>
      <c r="O2038">
        <v>1.99</v>
      </c>
      <c r="P2038">
        <v>4.9400000000000004</v>
      </c>
    </row>
    <row r="2039" spans="1:16">
      <c r="A2039" s="1" t="s">
        <v>5518</v>
      </c>
      <c r="B2039" s="1" t="s">
        <v>1960</v>
      </c>
      <c r="C2039" s="1" t="s">
        <v>18</v>
      </c>
      <c r="D2039" s="1" t="s">
        <v>19</v>
      </c>
      <c r="E2039" s="1" t="s">
        <v>1804</v>
      </c>
      <c r="F2039">
        <v>1522</v>
      </c>
      <c r="G2039">
        <v>222</v>
      </c>
      <c r="H2039">
        <v>56.3</v>
      </c>
      <c r="I2039">
        <v>1082</v>
      </c>
      <c r="J2039" s="11">
        <f t="shared" si="44"/>
        <v>1.7</v>
      </c>
      <c r="K2039">
        <v>260</v>
      </c>
      <c r="L2039">
        <v>133.30000000000001</v>
      </c>
      <c r="M2039">
        <v>245</v>
      </c>
      <c r="N2039">
        <v>58</v>
      </c>
      <c r="O2039">
        <v>2.04</v>
      </c>
      <c r="P2039">
        <v>4.4400000000000004</v>
      </c>
    </row>
    <row r="2040" spans="1:16">
      <c r="A2040" s="1" t="s">
        <v>5518</v>
      </c>
      <c r="B2040" s="1" t="s">
        <v>1961</v>
      </c>
      <c r="C2040" s="1" t="s">
        <v>18</v>
      </c>
      <c r="D2040" s="1" t="s">
        <v>19</v>
      </c>
      <c r="E2040" s="1" t="s">
        <v>1804</v>
      </c>
      <c r="F2040">
        <v>2130</v>
      </c>
      <c r="G2040">
        <v>309</v>
      </c>
      <c r="H2040">
        <v>73.599999999999994</v>
      </c>
      <c r="I2040">
        <v>976</v>
      </c>
      <c r="J2040" s="11">
        <f t="shared" si="44"/>
        <v>1.7</v>
      </c>
      <c r="K2040">
        <v>253</v>
      </c>
      <c r="L2040">
        <v>119.8</v>
      </c>
      <c r="M2040">
        <v>237</v>
      </c>
      <c r="N2040">
        <v>52.3</v>
      </c>
      <c r="O2040">
        <v>1.89</v>
      </c>
      <c r="P2040">
        <v>3.7</v>
      </c>
    </row>
    <row r="2041" spans="1:16">
      <c r="A2041" s="1" t="s">
        <v>5518</v>
      </c>
      <c r="B2041" s="1" t="s">
        <v>1962</v>
      </c>
      <c r="C2041" s="1" t="s">
        <v>18</v>
      </c>
      <c r="D2041" s="1" t="s">
        <v>19</v>
      </c>
      <c r="E2041" s="1" t="s">
        <v>1804</v>
      </c>
      <c r="F2041">
        <v>5470</v>
      </c>
      <c r="G2041">
        <v>452</v>
      </c>
      <c r="H2041">
        <v>200</v>
      </c>
      <c r="I2041">
        <v>929</v>
      </c>
      <c r="J2041" s="11">
        <f t="shared" si="44"/>
        <v>1.7</v>
      </c>
      <c r="K2041">
        <v>477</v>
      </c>
      <c r="L2041">
        <v>137.5</v>
      </c>
      <c r="M2041">
        <v>253</v>
      </c>
      <c r="N2041">
        <v>75.400000000000006</v>
      </c>
      <c r="O2041">
        <v>3.11</v>
      </c>
      <c r="P2041">
        <v>3.9</v>
      </c>
    </row>
    <row r="2042" spans="1:16">
      <c r="A2042" s="1" t="s">
        <v>5518</v>
      </c>
      <c r="B2042" s="1" t="s">
        <v>1963</v>
      </c>
      <c r="C2042" s="1" t="s">
        <v>18</v>
      </c>
      <c r="D2042" s="1" t="s">
        <v>19</v>
      </c>
      <c r="E2042" s="1" t="s">
        <v>1804</v>
      </c>
      <c r="F2042">
        <v>635</v>
      </c>
      <c r="G2042">
        <v>442</v>
      </c>
      <c r="H2042">
        <v>215</v>
      </c>
      <c r="I2042">
        <v>882</v>
      </c>
      <c r="J2042" s="11">
        <f t="shared" si="44"/>
        <v>1.7</v>
      </c>
      <c r="K2042">
        <v>142.69999999999999</v>
      </c>
      <c r="L2042">
        <v>105.9</v>
      </c>
      <c r="M2042">
        <v>231.6</v>
      </c>
      <c r="N2042">
        <v>38.700000000000003</v>
      </c>
      <c r="O2042">
        <v>2.63</v>
      </c>
      <c r="P2042">
        <v>3.22</v>
      </c>
    </row>
    <row r="2043" spans="1:16">
      <c r="A2043" s="1" t="s">
        <v>5518</v>
      </c>
      <c r="B2043" s="1" t="s">
        <v>1964</v>
      </c>
      <c r="C2043" s="1" t="s">
        <v>18</v>
      </c>
      <c r="D2043" s="1" t="s">
        <v>19</v>
      </c>
      <c r="E2043" s="1" t="s">
        <v>1804</v>
      </c>
      <c r="F2043">
        <v>4430</v>
      </c>
      <c r="G2043">
        <v>509</v>
      </c>
      <c r="H2043">
        <v>198</v>
      </c>
      <c r="I2043">
        <v>877</v>
      </c>
      <c r="J2043" s="11">
        <f t="shared" si="44"/>
        <v>1.7</v>
      </c>
      <c r="K2043">
        <v>419</v>
      </c>
      <c r="L2043">
        <v>132</v>
      </c>
      <c r="M2043">
        <v>249</v>
      </c>
      <c r="N2043">
        <v>74.099999999999994</v>
      </c>
      <c r="O2043">
        <v>2.3199999999999998</v>
      </c>
      <c r="P2043">
        <v>3.48</v>
      </c>
    </row>
    <row r="2044" spans="1:16">
      <c r="A2044" s="1" t="s">
        <v>5518</v>
      </c>
      <c r="B2044" s="1" t="s">
        <v>1965</v>
      </c>
      <c r="C2044" s="1" t="s">
        <v>18</v>
      </c>
      <c r="D2044" s="1" t="s">
        <v>19</v>
      </c>
      <c r="E2044" s="1" t="s">
        <v>1804</v>
      </c>
      <c r="F2044">
        <v>1420</v>
      </c>
      <c r="G2044">
        <v>495</v>
      </c>
      <c r="H2044">
        <v>205</v>
      </c>
      <c r="I2044">
        <v>910</v>
      </c>
      <c r="J2044" s="11">
        <f t="shared" si="44"/>
        <v>1.7</v>
      </c>
      <c r="K2044">
        <v>233</v>
      </c>
      <c r="L2044">
        <v>121.5</v>
      </c>
      <c r="M2044">
        <v>255</v>
      </c>
      <c r="N2044">
        <v>56.7</v>
      </c>
      <c r="O2044">
        <v>2.6</v>
      </c>
      <c r="P2044">
        <v>3.51</v>
      </c>
    </row>
    <row r="2045" spans="1:16">
      <c r="A2045" s="1" t="s">
        <v>5518</v>
      </c>
      <c r="B2045" s="1" t="s">
        <v>1966</v>
      </c>
      <c r="C2045" s="1" t="s">
        <v>18</v>
      </c>
      <c r="D2045" s="1" t="s">
        <v>19</v>
      </c>
      <c r="E2045" s="1" t="s">
        <v>1804</v>
      </c>
      <c r="F2045">
        <v>3040</v>
      </c>
      <c r="G2045">
        <v>365</v>
      </c>
      <c r="H2045">
        <v>123.2</v>
      </c>
      <c r="I2045">
        <v>813</v>
      </c>
      <c r="J2045" s="11">
        <f t="shared" si="44"/>
        <v>1.7</v>
      </c>
      <c r="K2045">
        <v>354</v>
      </c>
      <c r="L2045">
        <v>124</v>
      </c>
      <c r="M2045">
        <v>248</v>
      </c>
      <c r="N2045">
        <v>66.8</v>
      </c>
      <c r="O2045">
        <v>2.2999999999999998</v>
      </c>
      <c r="P2045">
        <v>3.75</v>
      </c>
    </row>
    <row r="2046" spans="1:16">
      <c r="A2046" s="1" t="s">
        <v>5518</v>
      </c>
      <c r="B2046" s="1" t="s">
        <v>1967</v>
      </c>
      <c r="C2046" s="1" t="s">
        <v>18</v>
      </c>
      <c r="D2046" s="1" t="s">
        <v>19</v>
      </c>
      <c r="E2046" s="1" t="s">
        <v>1804</v>
      </c>
      <c r="F2046">
        <v>3610</v>
      </c>
      <c r="G2046">
        <v>402</v>
      </c>
      <c r="H2046">
        <v>165.6</v>
      </c>
      <c r="I2046">
        <v>759</v>
      </c>
      <c r="J2046" s="11">
        <f t="shared" si="44"/>
        <v>1.7</v>
      </c>
      <c r="K2046">
        <v>345</v>
      </c>
      <c r="L2046">
        <v>106.2</v>
      </c>
      <c r="M2046">
        <v>218.6</v>
      </c>
      <c r="N2046">
        <v>55</v>
      </c>
      <c r="O2046">
        <v>2.08</v>
      </c>
      <c r="P2046">
        <v>4.0599999999999996</v>
      </c>
    </row>
    <row r="2047" spans="1:16">
      <c r="A2047" s="1" t="s">
        <v>5518</v>
      </c>
      <c r="B2047" s="1" t="s">
        <v>1968</v>
      </c>
      <c r="C2047" s="1" t="s">
        <v>18</v>
      </c>
      <c r="D2047" s="1" t="s">
        <v>19</v>
      </c>
      <c r="E2047" s="1" t="s">
        <v>1804</v>
      </c>
      <c r="F2047">
        <v>3900</v>
      </c>
      <c r="G2047">
        <v>379</v>
      </c>
      <c r="H2047">
        <v>145.6</v>
      </c>
      <c r="I2047">
        <v>532</v>
      </c>
      <c r="J2047" s="11">
        <f t="shared" si="44"/>
        <v>1.7</v>
      </c>
      <c r="K2047">
        <v>436</v>
      </c>
      <c r="L2047">
        <v>109.9</v>
      </c>
      <c r="M2047">
        <v>225</v>
      </c>
      <c r="N2047">
        <v>67.3</v>
      </c>
      <c r="O2047">
        <v>1.52</v>
      </c>
      <c r="P2047">
        <v>3.77</v>
      </c>
    </row>
    <row r="2048" spans="1:16">
      <c r="A2048" s="1" t="s">
        <v>5518</v>
      </c>
      <c r="B2048" s="1" t="s">
        <v>1969</v>
      </c>
      <c r="C2048" s="1" t="s">
        <v>18</v>
      </c>
      <c r="D2048" s="1" t="s">
        <v>19</v>
      </c>
      <c r="E2048" s="1" t="s">
        <v>1804</v>
      </c>
      <c r="F2048">
        <v>3650</v>
      </c>
      <c r="G2048">
        <v>477</v>
      </c>
      <c r="H2048">
        <v>159</v>
      </c>
      <c r="I2048">
        <v>787</v>
      </c>
      <c r="J2048" s="11">
        <f t="shared" si="44"/>
        <v>1.7</v>
      </c>
      <c r="K2048">
        <v>77</v>
      </c>
      <c r="L2048">
        <v>122.1</v>
      </c>
      <c r="M2048">
        <v>239</v>
      </c>
      <c r="N2048">
        <v>41</v>
      </c>
      <c r="O2048">
        <v>1.55</v>
      </c>
      <c r="P2048">
        <v>3.47</v>
      </c>
    </row>
    <row r="2049" spans="1:16">
      <c r="A2049" s="1" t="s">
        <v>5518</v>
      </c>
      <c r="B2049" s="1" t="s">
        <v>1970</v>
      </c>
      <c r="C2049" s="1" t="s">
        <v>18</v>
      </c>
      <c r="D2049" s="1" t="s">
        <v>19</v>
      </c>
      <c r="E2049" s="1" t="s">
        <v>1804</v>
      </c>
      <c r="F2049">
        <v>2890</v>
      </c>
      <c r="G2049">
        <v>349</v>
      </c>
      <c r="H2049">
        <v>137.1</v>
      </c>
      <c r="I2049">
        <v>802</v>
      </c>
      <c r="J2049" s="11">
        <f t="shared" si="44"/>
        <v>1.7</v>
      </c>
      <c r="K2049">
        <v>185</v>
      </c>
      <c r="L2049">
        <v>88.6</v>
      </c>
      <c r="M2049">
        <v>175.4</v>
      </c>
      <c r="N2049">
        <v>40.9</v>
      </c>
      <c r="O2049">
        <v>2.06</v>
      </c>
      <c r="P2049">
        <v>3.52</v>
      </c>
    </row>
    <row r="2050" spans="1:16">
      <c r="A2050" s="1" t="s">
        <v>5518</v>
      </c>
      <c r="B2050" s="1" t="s">
        <v>1971</v>
      </c>
      <c r="C2050" s="1" t="s">
        <v>18</v>
      </c>
      <c r="D2050" s="1" t="s">
        <v>19</v>
      </c>
      <c r="E2050" s="1" t="s">
        <v>1804</v>
      </c>
      <c r="F2050">
        <v>6130</v>
      </c>
      <c r="G2050">
        <v>607</v>
      </c>
      <c r="H2050">
        <v>222</v>
      </c>
      <c r="I2050">
        <v>1026</v>
      </c>
      <c r="J2050" s="11">
        <f t="shared" si="44"/>
        <v>1.7</v>
      </c>
      <c r="K2050">
        <v>190.2</v>
      </c>
      <c r="L2050">
        <v>146.5</v>
      </c>
      <c r="M2050">
        <v>284</v>
      </c>
      <c r="N2050">
        <v>20.3</v>
      </c>
      <c r="O2050">
        <v>3.83</v>
      </c>
      <c r="P2050">
        <v>4.68</v>
      </c>
    </row>
    <row r="2051" spans="1:16">
      <c r="A2051" s="1" t="s">
        <v>5518</v>
      </c>
      <c r="B2051" s="1" t="s">
        <v>1972</v>
      </c>
      <c r="C2051" s="1" t="s">
        <v>18</v>
      </c>
      <c r="D2051" s="1" t="s">
        <v>19</v>
      </c>
      <c r="E2051" s="1" t="s">
        <v>1804</v>
      </c>
      <c r="F2051">
        <v>3190</v>
      </c>
      <c r="G2051">
        <v>532</v>
      </c>
      <c r="H2051">
        <v>199</v>
      </c>
      <c r="I2051">
        <v>1003</v>
      </c>
      <c r="J2051" s="11">
        <f t="shared" si="44"/>
        <v>1.7</v>
      </c>
      <c r="K2051">
        <v>111.9</v>
      </c>
      <c r="L2051">
        <v>143.30000000000001</v>
      </c>
      <c r="M2051">
        <v>275</v>
      </c>
      <c r="N2051">
        <v>25.2</v>
      </c>
      <c r="O2051">
        <v>2.64</v>
      </c>
      <c r="P2051">
        <v>4.4400000000000004</v>
      </c>
    </row>
    <row r="2052" spans="1:16">
      <c r="A2052" s="1" t="s">
        <v>5518</v>
      </c>
      <c r="B2052" s="1" t="s">
        <v>1973</v>
      </c>
      <c r="C2052" s="1" t="s">
        <v>18</v>
      </c>
      <c r="D2052" s="1" t="s">
        <v>19</v>
      </c>
      <c r="E2052" s="1" t="s">
        <v>1804</v>
      </c>
      <c r="F2052">
        <v>1990</v>
      </c>
      <c r="G2052">
        <v>562</v>
      </c>
      <c r="H2052">
        <v>215</v>
      </c>
      <c r="I2052">
        <v>998</v>
      </c>
      <c r="J2052" s="11">
        <f t="shared" si="44"/>
        <v>1.7</v>
      </c>
      <c r="K2052">
        <v>111.7</v>
      </c>
      <c r="L2052">
        <v>123.9</v>
      </c>
      <c r="M2052">
        <v>278</v>
      </c>
      <c r="N2052">
        <v>27.1</v>
      </c>
      <c r="O2052">
        <v>3.25</v>
      </c>
      <c r="P2052">
        <v>5.64</v>
      </c>
    </row>
    <row r="2053" spans="1:16">
      <c r="A2053" s="1" t="s">
        <v>5518</v>
      </c>
      <c r="B2053" s="1" t="s">
        <v>1974</v>
      </c>
      <c r="C2053" s="1" t="s">
        <v>18</v>
      </c>
      <c r="D2053" s="1" t="s">
        <v>19</v>
      </c>
      <c r="E2053" s="1" t="s">
        <v>1804</v>
      </c>
      <c r="F2053">
        <v>7430</v>
      </c>
      <c r="G2053">
        <v>688</v>
      </c>
      <c r="H2053">
        <v>224</v>
      </c>
      <c r="I2053">
        <v>1078</v>
      </c>
      <c r="J2053" s="11">
        <f t="shared" si="44"/>
        <v>1.7</v>
      </c>
      <c r="K2053">
        <v>622</v>
      </c>
      <c r="L2053">
        <v>156.4</v>
      </c>
      <c r="M2053">
        <v>281</v>
      </c>
      <c r="N2053">
        <v>87.1</v>
      </c>
      <c r="O2053">
        <v>2.6</v>
      </c>
      <c r="P2053">
        <v>3.37</v>
      </c>
    </row>
    <row r="2054" spans="1:16">
      <c r="A2054" s="1" t="s">
        <v>5518</v>
      </c>
      <c r="B2054" s="1" t="s">
        <v>1975</v>
      </c>
      <c r="C2054" s="1" t="s">
        <v>18</v>
      </c>
      <c r="D2054" s="1" t="s">
        <v>19</v>
      </c>
      <c r="E2054" s="1" t="s">
        <v>1804</v>
      </c>
      <c r="F2054">
        <v>7330</v>
      </c>
      <c r="G2054">
        <v>629</v>
      </c>
      <c r="H2054">
        <v>200</v>
      </c>
      <c r="I2054">
        <v>1016</v>
      </c>
      <c r="J2054" s="11">
        <f t="shared" si="44"/>
        <v>1.7</v>
      </c>
      <c r="K2054">
        <v>615</v>
      </c>
      <c r="L2054">
        <v>152.30000000000001</v>
      </c>
      <c r="M2054">
        <v>284</v>
      </c>
      <c r="N2054">
        <v>80.400000000000006</v>
      </c>
      <c r="O2054">
        <v>2.89</v>
      </c>
      <c r="P2054">
        <v>3.37</v>
      </c>
    </row>
    <row r="2055" spans="1:16">
      <c r="A2055" s="1" t="s">
        <v>5518</v>
      </c>
      <c r="B2055" s="1" t="s">
        <v>1976</v>
      </c>
      <c r="C2055" s="1" t="s">
        <v>18</v>
      </c>
      <c r="D2055" s="1" t="s">
        <v>19</v>
      </c>
      <c r="E2055" s="1" t="s">
        <v>1804</v>
      </c>
      <c r="F2055">
        <v>7350</v>
      </c>
      <c r="G2055">
        <v>681</v>
      </c>
      <c r="H2055">
        <v>235</v>
      </c>
      <c r="I2055">
        <v>1080</v>
      </c>
      <c r="J2055" s="11">
        <f t="shared" si="44"/>
        <v>1.7</v>
      </c>
      <c r="K2055">
        <v>617</v>
      </c>
      <c r="L2055">
        <v>151.5</v>
      </c>
      <c r="M2055">
        <v>287</v>
      </c>
      <c r="N2055">
        <v>88</v>
      </c>
      <c r="O2055">
        <v>2.99</v>
      </c>
      <c r="P2055">
        <v>3.4</v>
      </c>
    </row>
    <row r="2056" spans="1:16">
      <c r="A2056" s="1" t="s">
        <v>5518</v>
      </c>
      <c r="B2056" s="1" t="s">
        <v>1977</v>
      </c>
      <c r="C2056" s="1" t="s">
        <v>18</v>
      </c>
      <c r="D2056" s="1" t="s">
        <v>19</v>
      </c>
      <c r="E2056" s="1" t="s">
        <v>1804</v>
      </c>
      <c r="F2056">
        <v>6650</v>
      </c>
      <c r="G2056">
        <v>679</v>
      </c>
      <c r="H2056">
        <v>250</v>
      </c>
      <c r="I2056">
        <v>1014</v>
      </c>
      <c r="J2056" s="11">
        <f t="shared" si="44"/>
        <v>1.7</v>
      </c>
      <c r="K2056">
        <v>523</v>
      </c>
      <c r="L2056">
        <v>145.9</v>
      </c>
      <c r="M2056">
        <v>269</v>
      </c>
      <c r="N2056">
        <v>83.2</v>
      </c>
      <c r="O2056">
        <v>3.56</v>
      </c>
      <c r="P2056">
        <v>4.3</v>
      </c>
    </row>
    <row r="2057" spans="1:16">
      <c r="A2057" s="1" t="s">
        <v>5518</v>
      </c>
      <c r="B2057" s="1" t="s">
        <v>1978</v>
      </c>
      <c r="C2057" s="1" t="s">
        <v>18</v>
      </c>
      <c r="D2057" s="1" t="s">
        <v>19</v>
      </c>
      <c r="E2057" s="1" t="s">
        <v>1804</v>
      </c>
      <c r="F2057">
        <v>1580</v>
      </c>
      <c r="G2057">
        <v>64.7</v>
      </c>
      <c r="H2057" s="11">
        <f t="shared" ref="H2057:H2060" si="45">37.26/2</f>
        <v>18.63</v>
      </c>
      <c r="I2057">
        <v>856</v>
      </c>
      <c r="J2057" s="11">
        <f t="shared" si="44"/>
        <v>1.7</v>
      </c>
      <c r="K2057">
        <v>216</v>
      </c>
      <c r="L2057">
        <v>91.2</v>
      </c>
      <c r="M2057">
        <v>199.2</v>
      </c>
      <c r="N2057">
        <v>34.799999999999997</v>
      </c>
      <c r="O2057" s="11">
        <f t="shared" ref="O2057:O2060" si="46">0.94/2</f>
        <v>0.47</v>
      </c>
      <c r="P2057">
        <v>3.32</v>
      </c>
    </row>
    <row r="2058" spans="1:16">
      <c r="A2058" s="1" t="s">
        <v>5518</v>
      </c>
      <c r="B2058" s="1" t="s">
        <v>1979</v>
      </c>
      <c r="C2058" s="1" t="s">
        <v>18</v>
      </c>
      <c r="D2058" s="1" t="s">
        <v>19</v>
      </c>
      <c r="E2058" s="1" t="s">
        <v>1804</v>
      </c>
      <c r="F2058">
        <v>7710</v>
      </c>
      <c r="G2058">
        <v>78.900000000000006</v>
      </c>
      <c r="H2058" s="11">
        <f t="shared" si="45"/>
        <v>18.63</v>
      </c>
      <c r="I2058">
        <v>834</v>
      </c>
      <c r="J2058" s="11">
        <f t="shared" si="44"/>
        <v>1.7</v>
      </c>
      <c r="K2058">
        <v>746</v>
      </c>
      <c r="L2058">
        <v>148.4</v>
      </c>
      <c r="M2058">
        <v>229.3</v>
      </c>
      <c r="N2058">
        <v>95.4</v>
      </c>
      <c r="O2058" s="11">
        <f t="shared" si="46"/>
        <v>0.47</v>
      </c>
      <c r="P2058">
        <v>3.94</v>
      </c>
    </row>
    <row r="2059" spans="1:16">
      <c r="A2059" s="1" t="s">
        <v>5518</v>
      </c>
      <c r="B2059" s="1" t="s">
        <v>1980</v>
      </c>
      <c r="C2059" s="1" t="s">
        <v>18</v>
      </c>
      <c r="D2059" s="1" t="s">
        <v>19</v>
      </c>
      <c r="E2059" s="1" t="s">
        <v>1804</v>
      </c>
      <c r="F2059">
        <v>7980</v>
      </c>
      <c r="G2059">
        <v>79.8</v>
      </c>
      <c r="H2059" s="11">
        <f t="shared" si="45"/>
        <v>18.63</v>
      </c>
      <c r="I2059">
        <v>847</v>
      </c>
      <c r="J2059" s="11">
        <f t="shared" si="44"/>
        <v>1.7</v>
      </c>
      <c r="K2059">
        <v>746</v>
      </c>
      <c r="L2059">
        <v>142.19999999999999</v>
      </c>
      <c r="M2059">
        <v>217</v>
      </c>
      <c r="N2059">
        <v>92.6</v>
      </c>
      <c r="O2059" s="11">
        <f t="shared" si="46"/>
        <v>0.47</v>
      </c>
      <c r="P2059">
        <v>5.32</v>
      </c>
    </row>
    <row r="2060" spans="1:16">
      <c r="A2060" s="1" t="s">
        <v>5518</v>
      </c>
      <c r="B2060" s="1" t="s">
        <v>1981</v>
      </c>
      <c r="C2060" s="1" t="s">
        <v>18</v>
      </c>
      <c r="D2060" s="1" t="s">
        <v>19</v>
      </c>
      <c r="E2060" s="1" t="s">
        <v>1804</v>
      </c>
      <c r="F2060">
        <v>7040</v>
      </c>
      <c r="G2060">
        <v>64.400000000000006</v>
      </c>
      <c r="H2060" s="11">
        <f t="shared" si="45"/>
        <v>18.63</v>
      </c>
      <c r="I2060">
        <v>794</v>
      </c>
      <c r="J2060" s="11">
        <f t="shared" si="44"/>
        <v>1.7</v>
      </c>
      <c r="K2060">
        <v>698</v>
      </c>
      <c r="L2060">
        <v>140.80000000000001</v>
      </c>
      <c r="M2060">
        <v>214.8</v>
      </c>
      <c r="N2060">
        <v>81.8</v>
      </c>
      <c r="O2060" s="11">
        <f t="shared" si="46"/>
        <v>0.47</v>
      </c>
      <c r="P2060">
        <v>5.36</v>
      </c>
    </row>
    <row r="2061" spans="1:16">
      <c r="A2061" s="1" t="s">
        <v>5518</v>
      </c>
      <c r="B2061" s="1" t="s">
        <v>1982</v>
      </c>
      <c r="C2061" s="1" t="s">
        <v>18</v>
      </c>
      <c r="D2061" s="1" t="s">
        <v>19</v>
      </c>
      <c r="E2061" s="1" t="s">
        <v>1804</v>
      </c>
      <c r="F2061">
        <v>8580</v>
      </c>
      <c r="G2061">
        <v>832</v>
      </c>
      <c r="H2061">
        <v>294</v>
      </c>
      <c r="I2061">
        <v>1054</v>
      </c>
      <c r="J2061" s="11">
        <f t="shared" si="44"/>
        <v>1.7</v>
      </c>
      <c r="K2061">
        <v>552</v>
      </c>
      <c r="L2061">
        <v>154</v>
      </c>
      <c r="M2061">
        <v>293</v>
      </c>
      <c r="N2061">
        <v>84.5</v>
      </c>
      <c r="O2061">
        <v>3.35</v>
      </c>
      <c r="P2061">
        <v>3.92</v>
      </c>
    </row>
    <row r="2062" spans="1:16">
      <c r="A2062" s="1" t="s">
        <v>5518</v>
      </c>
      <c r="B2062" s="1" t="s">
        <v>1983</v>
      </c>
      <c r="C2062" s="1" t="s">
        <v>18</v>
      </c>
      <c r="D2062" s="1" t="s">
        <v>19</v>
      </c>
      <c r="E2062" s="1" t="s">
        <v>1804</v>
      </c>
      <c r="F2062">
        <v>8450</v>
      </c>
      <c r="G2062">
        <v>908</v>
      </c>
      <c r="H2062">
        <v>328</v>
      </c>
      <c r="I2062">
        <v>1095</v>
      </c>
      <c r="J2062" s="11">
        <f t="shared" si="44"/>
        <v>1.7</v>
      </c>
      <c r="K2062">
        <v>646</v>
      </c>
      <c r="L2062">
        <v>152.1</v>
      </c>
      <c r="M2062">
        <v>291</v>
      </c>
      <c r="N2062">
        <v>90.3</v>
      </c>
      <c r="O2062">
        <v>4.0199999999999996</v>
      </c>
      <c r="P2062">
        <v>4.18</v>
      </c>
    </row>
    <row r="2063" spans="1:16">
      <c r="A2063" s="1" t="s">
        <v>5518</v>
      </c>
      <c r="B2063" s="1" t="s">
        <v>1984</v>
      </c>
      <c r="C2063" s="1" t="s">
        <v>18</v>
      </c>
      <c r="D2063" s="1" t="s">
        <v>19</v>
      </c>
      <c r="E2063" s="1" t="s">
        <v>1804</v>
      </c>
      <c r="F2063">
        <v>8520</v>
      </c>
      <c r="G2063">
        <v>923</v>
      </c>
      <c r="H2063">
        <v>312</v>
      </c>
      <c r="I2063">
        <v>1034</v>
      </c>
      <c r="J2063" s="11">
        <f t="shared" si="44"/>
        <v>1.7</v>
      </c>
      <c r="K2063">
        <v>637</v>
      </c>
      <c r="L2063">
        <v>152.1</v>
      </c>
      <c r="M2063">
        <v>276</v>
      </c>
      <c r="N2063">
        <v>80.099999999999994</v>
      </c>
      <c r="O2063">
        <v>3.54</v>
      </c>
      <c r="P2063">
        <v>4.4000000000000004</v>
      </c>
    </row>
    <row r="2064" spans="1:16">
      <c r="A2064" s="1" t="s">
        <v>5518</v>
      </c>
      <c r="B2064" s="1" t="s">
        <v>1985</v>
      </c>
      <c r="C2064" s="1" t="s">
        <v>18</v>
      </c>
      <c r="D2064" s="1" t="s">
        <v>19</v>
      </c>
      <c r="E2064" s="1" t="s">
        <v>1804</v>
      </c>
      <c r="F2064">
        <v>8290</v>
      </c>
      <c r="G2064">
        <v>933</v>
      </c>
      <c r="H2064">
        <v>341</v>
      </c>
      <c r="I2064">
        <v>1012</v>
      </c>
      <c r="J2064" s="11">
        <f t="shared" si="44"/>
        <v>1.7</v>
      </c>
      <c r="K2064">
        <v>600</v>
      </c>
      <c r="L2064">
        <v>149.80000000000001</v>
      </c>
      <c r="M2064">
        <v>279</v>
      </c>
      <c r="N2064">
        <v>81.5</v>
      </c>
      <c r="O2064">
        <v>3.34</v>
      </c>
      <c r="P2064">
        <v>4.43</v>
      </c>
    </row>
    <row r="2065" spans="1:16">
      <c r="A2065" s="1" t="s">
        <v>5518</v>
      </c>
      <c r="B2065" s="1" t="s">
        <v>1986</v>
      </c>
      <c r="C2065" s="1" t="s">
        <v>18</v>
      </c>
      <c r="D2065" s="1" t="s">
        <v>19</v>
      </c>
      <c r="E2065" s="1" t="s">
        <v>1804</v>
      </c>
      <c r="F2065">
        <v>8480</v>
      </c>
      <c r="G2065">
        <v>973</v>
      </c>
      <c r="H2065">
        <v>343</v>
      </c>
      <c r="I2065">
        <v>1034</v>
      </c>
      <c r="J2065" s="11">
        <f t="shared" si="44"/>
        <v>1.7</v>
      </c>
      <c r="K2065">
        <v>617</v>
      </c>
      <c r="L2065">
        <v>151</v>
      </c>
      <c r="M2065">
        <v>283</v>
      </c>
      <c r="N2065">
        <v>88.1</v>
      </c>
      <c r="O2065">
        <v>3.2</v>
      </c>
      <c r="P2065">
        <v>4.38</v>
      </c>
    </row>
    <row r="2066" spans="1:16">
      <c r="A2066" s="1" t="s">
        <v>5518</v>
      </c>
      <c r="B2066" s="1" t="s">
        <v>1987</v>
      </c>
      <c r="C2066" s="1" t="s">
        <v>18</v>
      </c>
      <c r="D2066" s="1" t="s">
        <v>19</v>
      </c>
      <c r="E2066" s="1" t="s">
        <v>1804</v>
      </c>
      <c r="F2066">
        <v>8360</v>
      </c>
      <c r="G2066">
        <v>974</v>
      </c>
      <c r="H2066">
        <v>346</v>
      </c>
      <c r="I2066">
        <v>1014</v>
      </c>
      <c r="J2066" s="11">
        <f t="shared" si="44"/>
        <v>1.7</v>
      </c>
      <c r="K2066">
        <v>591</v>
      </c>
      <c r="L2066">
        <v>151.30000000000001</v>
      </c>
      <c r="M2066">
        <v>278.60000000000002</v>
      </c>
      <c r="N2066">
        <v>83.4</v>
      </c>
      <c r="O2066">
        <v>3.33</v>
      </c>
      <c r="P2066">
        <v>4.3899999999999997</v>
      </c>
    </row>
    <row r="2067" spans="1:16">
      <c r="A2067" s="1" t="s">
        <v>5518</v>
      </c>
      <c r="B2067" s="1" t="s">
        <v>1988</v>
      </c>
      <c r="C2067" s="1" t="s">
        <v>18</v>
      </c>
      <c r="D2067" s="1" t="s">
        <v>19</v>
      </c>
      <c r="E2067" s="1" t="s">
        <v>1804</v>
      </c>
      <c r="F2067">
        <v>8320</v>
      </c>
      <c r="G2067">
        <v>935</v>
      </c>
      <c r="H2067">
        <v>340</v>
      </c>
      <c r="I2067">
        <v>1030</v>
      </c>
      <c r="J2067" s="11">
        <f t="shared" si="44"/>
        <v>1.7</v>
      </c>
      <c r="K2067">
        <v>601</v>
      </c>
      <c r="L2067">
        <v>145.6</v>
      </c>
      <c r="M2067">
        <v>269.7</v>
      </c>
      <c r="N2067">
        <v>85.8</v>
      </c>
      <c r="O2067">
        <v>2.98</v>
      </c>
      <c r="P2067">
        <v>3.97</v>
      </c>
    </row>
    <row r="2068" spans="1:16">
      <c r="A2068" s="1" t="s">
        <v>5518</v>
      </c>
      <c r="B2068" s="1" t="s">
        <v>1989</v>
      </c>
      <c r="C2068" s="1" t="s">
        <v>18</v>
      </c>
      <c r="D2068" s="1" t="s">
        <v>19</v>
      </c>
      <c r="E2068" s="1" t="s">
        <v>1804</v>
      </c>
      <c r="F2068">
        <v>8500</v>
      </c>
      <c r="G2068">
        <v>956</v>
      </c>
      <c r="H2068">
        <v>332</v>
      </c>
      <c r="I2068">
        <v>1043</v>
      </c>
      <c r="J2068" s="11">
        <f t="shared" si="44"/>
        <v>1.7</v>
      </c>
      <c r="K2068">
        <v>639</v>
      </c>
      <c r="L2068">
        <v>145.5</v>
      </c>
      <c r="M2068">
        <v>259</v>
      </c>
      <c r="N2068">
        <v>90.2</v>
      </c>
      <c r="O2068">
        <v>2.99</v>
      </c>
      <c r="P2068">
        <v>4.24</v>
      </c>
    </row>
    <row r="2069" spans="1:16">
      <c r="A2069" s="1" t="s">
        <v>5518</v>
      </c>
      <c r="B2069" s="1" t="s">
        <v>1990</v>
      </c>
      <c r="C2069" s="1" t="s">
        <v>18</v>
      </c>
      <c r="D2069" s="1" t="s">
        <v>19</v>
      </c>
      <c r="E2069" s="1" t="s">
        <v>1804</v>
      </c>
      <c r="F2069">
        <v>8160</v>
      </c>
      <c r="G2069">
        <v>890</v>
      </c>
      <c r="H2069">
        <v>350</v>
      </c>
      <c r="I2069">
        <v>1093</v>
      </c>
      <c r="J2069" s="11">
        <f t="shared" si="44"/>
        <v>1.7</v>
      </c>
      <c r="K2069">
        <v>613</v>
      </c>
      <c r="L2069">
        <v>142.69999999999999</v>
      </c>
      <c r="M2069">
        <v>280</v>
      </c>
      <c r="N2069">
        <v>90.9</v>
      </c>
      <c r="O2069">
        <v>4.07</v>
      </c>
      <c r="P2069">
        <v>4.08</v>
      </c>
    </row>
    <row r="2070" spans="1:16">
      <c r="A2070" s="1" t="s">
        <v>5518</v>
      </c>
      <c r="B2070" s="1" t="s">
        <v>1991</v>
      </c>
      <c r="C2070" s="1" t="s">
        <v>18</v>
      </c>
      <c r="D2070" s="1" t="s">
        <v>19</v>
      </c>
      <c r="E2070" s="1" t="s">
        <v>1804</v>
      </c>
      <c r="F2070">
        <v>1740</v>
      </c>
      <c r="G2070">
        <v>571</v>
      </c>
      <c r="H2070">
        <v>180</v>
      </c>
      <c r="I2070">
        <v>937</v>
      </c>
      <c r="J2070" s="11">
        <f t="shared" si="44"/>
        <v>1.7</v>
      </c>
      <c r="K2070">
        <v>158</v>
      </c>
      <c r="L2070">
        <v>143.4</v>
      </c>
      <c r="M2070">
        <v>254</v>
      </c>
      <c r="N2070">
        <v>29.3</v>
      </c>
      <c r="O2070">
        <v>2.63</v>
      </c>
      <c r="P2070">
        <v>3.84</v>
      </c>
    </row>
    <row r="2071" spans="1:16">
      <c r="A2071" s="1" t="s">
        <v>5518</v>
      </c>
      <c r="B2071" s="1" t="s">
        <v>1992</v>
      </c>
      <c r="C2071" s="1" t="s">
        <v>18</v>
      </c>
      <c r="D2071" s="1" t="s">
        <v>19</v>
      </c>
      <c r="E2071" s="1" t="s">
        <v>1804</v>
      </c>
      <c r="F2071">
        <v>638</v>
      </c>
      <c r="G2071">
        <v>634</v>
      </c>
      <c r="H2071">
        <v>203.3</v>
      </c>
      <c r="I2071">
        <v>847</v>
      </c>
      <c r="J2071" s="11">
        <f t="shared" si="44"/>
        <v>1.7</v>
      </c>
      <c r="K2071">
        <v>243</v>
      </c>
      <c r="L2071">
        <v>144</v>
      </c>
      <c r="M2071">
        <v>256.2</v>
      </c>
      <c r="N2071">
        <v>57.2</v>
      </c>
      <c r="O2071">
        <v>2.37</v>
      </c>
      <c r="P2071">
        <v>3.78</v>
      </c>
    </row>
    <row r="2072" spans="1:16">
      <c r="A2072" s="1" t="s">
        <v>5518</v>
      </c>
      <c r="B2072" s="1" t="s">
        <v>1993</v>
      </c>
      <c r="C2072" s="1" t="s">
        <v>18</v>
      </c>
      <c r="D2072" s="1" t="s">
        <v>19</v>
      </c>
      <c r="E2072" s="1" t="s">
        <v>1804</v>
      </c>
      <c r="F2072">
        <v>832</v>
      </c>
      <c r="G2072">
        <v>589</v>
      </c>
      <c r="H2072">
        <v>206</v>
      </c>
      <c r="I2072">
        <v>804</v>
      </c>
      <c r="J2072" s="11">
        <f t="shared" si="44"/>
        <v>1.7</v>
      </c>
      <c r="K2072">
        <v>120.7</v>
      </c>
      <c r="L2072">
        <v>105.6</v>
      </c>
      <c r="M2072">
        <v>218</v>
      </c>
      <c r="N2072">
        <v>27.5</v>
      </c>
      <c r="O2072">
        <v>2.0099999999999998</v>
      </c>
      <c r="P2072">
        <v>3.74</v>
      </c>
    </row>
    <row r="2073" spans="1:16">
      <c r="A2073" s="1" t="s">
        <v>5518</v>
      </c>
      <c r="B2073" s="1" t="s">
        <v>1994</v>
      </c>
      <c r="C2073" s="1" t="s">
        <v>18</v>
      </c>
      <c r="D2073" s="1" t="s">
        <v>19</v>
      </c>
      <c r="E2073" s="1" t="s">
        <v>1804</v>
      </c>
      <c r="F2073">
        <v>791</v>
      </c>
      <c r="G2073">
        <v>552</v>
      </c>
      <c r="H2073">
        <v>189</v>
      </c>
      <c r="I2073">
        <v>868</v>
      </c>
      <c r="J2073" s="11">
        <f t="shared" si="44"/>
        <v>1.7</v>
      </c>
      <c r="K2073">
        <v>184.7</v>
      </c>
      <c r="L2073">
        <v>113.9</v>
      </c>
      <c r="M2073">
        <v>241</v>
      </c>
      <c r="N2073">
        <v>44.5</v>
      </c>
      <c r="O2073">
        <v>2.2799999999999998</v>
      </c>
      <c r="P2073">
        <v>3.55</v>
      </c>
    </row>
    <row r="2074" spans="1:16">
      <c r="A2074" s="1" t="s">
        <v>5518</v>
      </c>
      <c r="B2074" s="1" t="s">
        <v>1995</v>
      </c>
      <c r="C2074" s="1" t="s">
        <v>18</v>
      </c>
      <c r="D2074" s="1" t="s">
        <v>19</v>
      </c>
      <c r="E2074" s="1" t="s">
        <v>1804</v>
      </c>
      <c r="F2074">
        <v>1018</v>
      </c>
      <c r="G2074">
        <v>565</v>
      </c>
      <c r="H2074">
        <v>201</v>
      </c>
      <c r="I2074">
        <v>936</v>
      </c>
      <c r="J2074" s="11">
        <f t="shared" si="44"/>
        <v>1.7</v>
      </c>
      <c r="K2074">
        <v>155</v>
      </c>
      <c r="L2074">
        <v>105.8</v>
      </c>
      <c r="M2074">
        <v>240</v>
      </c>
      <c r="N2074">
        <v>46.8</v>
      </c>
      <c r="O2074">
        <v>2.27</v>
      </c>
      <c r="P2074">
        <v>4.01</v>
      </c>
    </row>
    <row r="2075" spans="1:16">
      <c r="A2075" s="1" t="s">
        <v>5518</v>
      </c>
      <c r="B2075" s="1" t="s">
        <v>1996</v>
      </c>
      <c r="C2075" s="1" t="s">
        <v>18</v>
      </c>
      <c r="D2075" s="1" t="s">
        <v>19</v>
      </c>
      <c r="E2075" s="1" t="s">
        <v>1804</v>
      </c>
      <c r="F2075">
        <v>180</v>
      </c>
      <c r="G2075">
        <v>523</v>
      </c>
      <c r="H2075">
        <v>179</v>
      </c>
      <c r="I2075">
        <v>884</v>
      </c>
      <c r="J2075" s="11">
        <f t="shared" si="44"/>
        <v>1.7</v>
      </c>
      <c r="K2075">
        <v>47.9</v>
      </c>
      <c r="L2075">
        <v>83.6</v>
      </c>
      <c r="M2075">
        <v>224</v>
      </c>
      <c r="N2075">
        <v>40.700000000000003</v>
      </c>
      <c r="O2075">
        <v>2.75</v>
      </c>
      <c r="P2075">
        <v>3.72</v>
      </c>
    </row>
    <row r="2076" spans="1:16">
      <c r="A2076" s="1" t="s">
        <v>5518</v>
      </c>
      <c r="B2076" s="1" t="s">
        <v>1997</v>
      </c>
      <c r="C2076" s="1" t="s">
        <v>18</v>
      </c>
      <c r="D2076" s="1" t="s">
        <v>19</v>
      </c>
      <c r="E2076" s="1" t="s">
        <v>1804</v>
      </c>
      <c r="F2076">
        <v>970</v>
      </c>
      <c r="G2076">
        <v>565</v>
      </c>
      <c r="H2076">
        <v>176</v>
      </c>
      <c r="I2076">
        <v>891</v>
      </c>
      <c r="J2076" s="11">
        <f t="shared" si="44"/>
        <v>1.7</v>
      </c>
      <c r="K2076">
        <v>38.700000000000003</v>
      </c>
      <c r="L2076">
        <v>78.599999999999994</v>
      </c>
      <c r="M2076">
        <v>208</v>
      </c>
      <c r="N2076">
        <v>21.2</v>
      </c>
      <c r="O2076">
        <v>2.5299999999999998</v>
      </c>
      <c r="P2076">
        <v>4.3099999999999996</v>
      </c>
    </row>
    <row r="2077" spans="1:16">
      <c r="A2077" s="1" t="s">
        <v>5518</v>
      </c>
      <c r="B2077" s="1" t="s">
        <v>1998</v>
      </c>
      <c r="C2077" s="1" t="s">
        <v>18</v>
      </c>
      <c r="D2077" s="1" t="s">
        <v>19</v>
      </c>
      <c r="E2077" s="1" t="s">
        <v>1804</v>
      </c>
      <c r="F2077">
        <v>767</v>
      </c>
      <c r="G2077">
        <v>558</v>
      </c>
      <c r="H2077">
        <v>150.69999999999999</v>
      </c>
      <c r="I2077">
        <v>879</v>
      </c>
      <c r="J2077" s="11">
        <f t="shared" si="44"/>
        <v>1.7</v>
      </c>
      <c r="K2077">
        <v>53.7</v>
      </c>
      <c r="L2077">
        <v>82</v>
      </c>
      <c r="M2077">
        <v>200.3</v>
      </c>
      <c r="N2077">
        <v>18.5</v>
      </c>
      <c r="O2077">
        <v>2.5299999999999998</v>
      </c>
      <c r="P2077">
        <v>3.34</v>
      </c>
    </row>
    <row r="2078" spans="1:16">
      <c r="A2078" s="1" t="s">
        <v>5518</v>
      </c>
      <c r="B2078" s="1" t="s">
        <v>1999</v>
      </c>
      <c r="C2078" s="1" t="s">
        <v>18</v>
      </c>
      <c r="D2078" s="1" t="s">
        <v>19</v>
      </c>
      <c r="E2078" s="1" t="s">
        <v>1804</v>
      </c>
      <c r="F2078">
        <v>547</v>
      </c>
      <c r="G2078">
        <v>595</v>
      </c>
      <c r="H2078">
        <v>161</v>
      </c>
      <c r="I2078">
        <v>936</v>
      </c>
      <c r="J2078" s="11">
        <f t="shared" si="44"/>
        <v>1.7</v>
      </c>
      <c r="K2078">
        <v>75.900000000000006</v>
      </c>
      <c r="L2078">
        <v>111.6</v>
      </c>
      <c r="M2078">
        <v>232</v>
      </c>
      <c r="N2078">
        <v>37.9</v>
      </c>
      <c r="O2078">
        <v>2.92</v>
      </c>
      <c r="P2078">
        <v>4.1900000000000004</v>
      </c>
    </row>
    <row r="2079" spans="1:16">
      <c r="A2079" s="1" t="s">
        <v>5518</v>
      </c>
      <c r="B2079" s="1" t="s">
        <v>2000</v>
      </c>
      <c r="C2079" s="1" t="s">
        <v>18</v>
      </c>
      <c r="D2079" s="1" t="s">
        <v>19</v>
      </c>
      <c r="E2079" s="1" t="s">
        <v>1804</v>
      </c>
      <c r="F2079">
        <v>301</v>
      </c>
      <c r="G2079">
        <v>563</v>
      </c>
      <c r="H2079">
        <v>134</v>
      </c>
      <c r="I2079">
        <v>896</v>
      </c>
      <c r="J2079" s="11">
        <f t="shared" si="44"/>
        <v>1.7</v>
      </c>
      <c r="K2079">
        <v>94.6</v>
      </c>
      <c r="L2079">
        <v>89.3</v>
      </c>
      <c r="M2079">
        <v>187</v>
      </c>
      <c r="N2079">
        <v>44.8</v>
      </c>
      <c r="O2079">
        <v>2.4</v>
      </c>
      <c r="P2079">
        <v>3.74</v>
      </c>
    </row>
    <row r="2080" spans="1:16">
      <c r="A2080" s="1" t="s">
        <v>5518</v>
      </c>
      <c r="B2080" s="1" t="s">
        <v>2001</v>
      </c>
      <c r="C2080" s="1" t="s">
        <v>18</v>
      </c>
      <c r="D2080" s="1" t="s">
        <v>19</v>
      </c>
      <c r="E2080" s="1" t="s">
        <v>1804</v>
      </c>
      <c r="F2080">
        <v>4480</v>
      </c>
      <c r="G2080">
        <v>196</v>
      </c>
      <c r="H2080">
        <v>49.4</v>
      </c>
      <c r="I2080">
        <v>953</v>
      </c>
      <c r="J2080" s="11">
        <f t="shared" si="44"/>
        <v>1.7</v>
      </c>
      <c r="K2080">
        <v>407</v>
      </c>
      <c r="L2080">
        <v>148</v>
      </c>
      <c r="M2080">
        <v>272</v>
      </c>
      <c r="N2080">
        <v>56.1</v>
      </c>
      <c r="O2080">
        <v>1.54</v>
      </c>
      <c r="P2080">
        <v>3.52</v>
      </c>
    </row>
    <row r="2081" spans="1:16">
      <c r="A2081" s="1" t="s">
        <v>5518</v>
      </c>
      <c r="B2081" s="1" t="s">
        <v>2002</v>
      </c>
      <c r="C2081" s="1" t="s">
        <v>18</v>
      </c>
      <c r="D2081" s="1" t="s">
        <v>19</v>
      </c>
      <c r="E2081" s="1" t="s">
        <v>1804</v>
      </c>
      <c r="F2081">
        <v>1136</v>
      </c>
      <c r="G2081">
        <v>209.3</v>
      </c>
      <c r="H2081">
        <v>51.8</v>
      </c>
      <c r="I2081">
        <v>1005</v>
      </c>
      <c r="J2081" s="11">
        <f t="shared" si="44"/>
        <v>1.7</v>
      </c>
      <c r="K2081">
        <v>220.7</v>
      </c>
      <c r="L2081">
        <v>122.8</v>
      </c>
      <c r="M2081">
        <v>239</v>
      </c>
      <c r="N2081">
        <v>52.7</v>
      </c>
      <c r="O2081">
        <v>2.2599999999999998</v>
      </c>
      <c r="P2081">
        <v>3.74</v>
      </c>
    </row>
    <row r="2082" spans="1:16">
      <c r="A2082" s="1" t="s">
        <v>5518</v>
      </c>
      <c r="B2082" s="1" t="s">
        <v>2003</v>
      </c>
      <c r="C2082" s="1" t="s">
        <v>18</v>
      </c>
      <c r="D2082" s="1" t="s">
        <v>19</v>
      </c>
      <c r="E2082" s="1" t="s">
        <v>1804</v>
      </c>
      <c r="F2082">
        <v>3000</v>
      </c>
      <c r="G2082">
        <v>257</v>
      </c>
      <c r="H2082">
        <v>69.7</v>
      </c>
      <c r="I2082">
        <v>989</v>
      </c>
      <c r="J2082" s="11">
        <f t="shared" si="44"/>
        <v>1.7</v>
      </c>
      <c r="K2082">
        <v>313</v>
      </c>
      <c r="L2082">
        <v>123.6</v>
      </c>
      <c r="M2082">
        <v>225</v>
      </c>
      <c r="N2082">
        <v>61</v>
      </c>
      <c r="O2082">
        <v>1.69</v>
      </c>
      <c r="P2082">
        <v>3.61</v>
      </c>
    </row>
    <row r="2083" spans="1:16">
      <c r="A2083" s="1" t="s">
        <v>5518</v>
      </c>
      <c r="B2083" s="1" t="s">
        <v>2004</v>
      </c>
      <c r="C2083" s="1" t="s">
        <v>18</v>
      </c>
      <c r="D2083" s="1" t="s">
        <v>19</v>
      </c>
      <c r="E2083" s="1" t="s">
        <v>1804</v>
      </c>
      <c r="F2083">
        <v>1900</v>
      </c>
      <c r="G2083">
        <v>256</v>
      </c>
      <c r="H2083">
        <v>63.7</v>
      </c>
      <c r="I2083">
        <v>939</v>
      </c>
      <c r="J2083" s="11">
        <f t="shared" si="44"/>
        <v>1.7</v>
      </c>
      <c r="K2083">
        <v>182</v>
      </c>
      <c r="L2083">
        <v>114.9</v>
      </c>
      <c r="M2083">
        <v>236</v>
      </c>
      <c r="N2083">
        <v>36.5</v>
      </c>
      <c r="O2083">
        <v>1.68</v>
      </c>
      <c r="P2083">
        <v>3.03</v>
      </c>
    </row>
    <row r="2084" spans="1:16">
      <c r="A2084" s="1" t="s">
        <v>5518</v>
      </c>
      <c r="B2084" s="1" t="s">
        <v>2005</v>
      </c>
      <c r="C2084" s="1" t="s">
        <v>18</v>
      </c>
      <c r="D2084" s="1" t="s">
        <v>19</v>
      </c>
      <c r="E2084" s="1" t="s">
        <v>1804</v>
      </c>
      <c r="F2084">
        <v>1351</v>
      </c>
      <c r="G2084">
        <v>238</v>
      </c>
      <c r="H2084">
        <v>60.3</v>
      </c>
      <c r="I2084">
        <v>1013</v>
      </c>
      <c r="J2084" s="11">
        <f t="shared" si="44"/>
        <v>1.7</v>
      </c>
      <c r="K2084">
        <v>345</v>
      </c>
      <c r="L2084">
        <v>117.5</v>
      </c>
      <c r="M2084">
        <v>232</v>
      </c>
      <c r="N2084">
        <v>58.4</v>
      </c>
      <c r="O2084">
        <v>2.0499999999999998</v>
      </c>
      <c r="P2084">
        <v>3.56</v>
      </c>
    </row>
    <row r="2085" spans="1:16">
      <c r="A2085" s="1" t="s">
        <v>5518</v>
      </c>
      <c r="B2085" s="1" t="s">
        <v>2006</v>
      </c>
      <c r="C2085" s="1" t="s">
        <v>18</v>
      </c>
      <c r="D2085" s="1" t="s">
        <v>19</v>
      </c>
      <c r="E2085" s="1" t="s">
        <v>1804</v>
      </c>
      <c r="F2085">
        <v>917</v>
      </c>
      <c r="G2085">
        <v>426</v>
      </c>
      <c r="H2085">
        <v>176</v>
      </c>
      <c r="I2085">
        <v>894</v>
      </c>
      <c r="J2085" s="11">
        <f t="shared" si="44"/>
        <v>1.7</v>
      </c>
      <c r="K2085">
        <v>225</v>
      </c>
      <c r="L2085">
        <v>127.9</v>
      </c>
      <c r="M2085">
        <v>251</v>
      </c>
      <c r="N2085">
        <v>57.4</v>
      </c>
      <c r="O2085">
        <v>2.21</v>
      </c>
      <c r="P2085">
        <v>3.69</v>
      </c>
    </row>
    <row r="2086" spans="1:16">
      <c r="A2086" s="1" t="s">
        <v>5518</v>
      </c>
      <c r="B2086" s="1" t="s">
        <v>2007</v>
      </c>
      <c r="C2086" s="1" t="s">
        <v>18</v>
      </c>
      <c r="D2086" s="1" t="s">
        <v>19</v>
      </c>
      <c r="E2086" s="1" t="s">
        <v>1804</v>
      </c>
      <c r="F2086">
        <v>1560</v>
      </c>
      <c r="G2086">
        <v>444</v>
      </c>
      <c r="H2086">
        <v>218</v>
      </c>
      <c r="I2086">
        <v>892</v>
      </c>
      <c r="J2086" s="11">
        <f t="shared" si="44"/>
        <v>1.7</v>
      </c>
      <c r="K2086">
        <v>287</v>
      </c>
      <c r="L2086">
        <v>128.5</v>
      </c>
      <c r="M2086">
        <v>251</v>
      </c>
      <c r="N2086">
        <v>72.900000000000006</v>
      </c>
      <c r="O2086">
        <v>2.93</v>
      </c>
      <c r="P2086">
        <v>3.97</v>
      </c>
    </row>
    <row r="2087" spans="1:16">
      <c r="A2087" s="1" t="s">
        <v>5518</v>
      </c>
      <c r="B2087" s="1" t="s">
        <v>2008</v>
      </c>
      <c r="C2087" s="1" t="s">
        <v>18</v>
      </c>
      <c r="D2087" s="1" t="s">
        <v>19</v>
      </c>
      <c r="E2087" s="1" t="s">
        <v>1804</v>
      </c>
      <c r="F2087">
        <v>2690</v>
      </c>
      <c r="G2087">
        <v>504</v>
      </c>
      <c r="H2087">
        <v>219</v>
      </c>
      <c r="I2087">
        <v>911</v>
      </c>
      <c r="J2087" s="11">
        <f t="shared" si="44"/>
        <v>1.7</v>
      </c>
      <c r="K2087">
        <v>261</v>
      </c>
      <c r="L2087">
        <v>118.4</v>
      </c>
      <c r="M2087">
        <v>245</v>
      </c>
      <c r="N2087">
        <v>44.9</v>
      </c>
      <c r="O2087">
        <v>2.54</v>
      </c>
      <c r="P2087">
        <v>3.58</v>
      </c>
    </row>
    <row r="2088" spans="1:16">
      <c r="A2088" s="1" t="s">
        <v>5518</v>
      </c>
      <c r="B2088" s="1" t="s">
        <v>2009</v>
      </c>
      <c r="C2088" s="1" t="s">
        <v>18</v>
      </c>
      <c r="D2088" s="1" t="s">
        <v>19</v>
      </c>
      <c r="E2088" s="1" t="s">
        <v>1804</v>
      </c>
      <c r="F2088">
        <v>2920</v>
      </c>
      <c r="G2088">
        <v>486</v>
      </c>
      <c r="H2088">
        <v>206</v>
      </c>
      <c r="I2088">
        <v>855</v>
      </c>
      <c r="J2088" s="11">
        <f t="shared" si="44"/>
        <v>1.7</v>
      </c>
      <c r="K2088">
        <v>344</v>
      </c>
      <c r="L2088">
        <v>120.7</v>
      </c>
      <c r="M2088">
        <v>257</v>
      </c>
      <c r="N2088">
        <v>66.900000000000006</v>
      </c>
      <c r="O2088">
        <v>2.16</v>
      </c>
      <c r="P2088">
        <v>3.54</v>
      </c>
    </row>
    <row r="2089" spans="1:16">
      <c r="A2089" s="1" t="s">
        <v>5518</v>
      </c>
      <c r="B2089" s="1" t="s">
        <v>2010</v>
      </c>
      <c r="C2089" s="1" t="s">
        <v>18</v>
      </c>
      <c r="D2089" s="1" t="s">
        <v>19</v>
      </c>
      <c r="E2089" s="1" t="s">
        <v>1804</v>
      </c>
      <c r="F2089">
        <v>750</v>
      </c>
      <c r="G2089">
        <v>469</v>
      </c>
      <c r="H2089">
        <v>201</v>
      </c>
      <c r="I2089">
        <v>886</v>
      </c>
      <c r="J2089" s="11">
        <f t="shared" si="44"/>
        <v>1.7</v>
      </c>
      <c r="K2089">
        <v>127.6</v>
      </c>
      <c r="L2089">
        <v>82.7</v>
      </c>
      <c r="M2089">
        <v>245</v>
      </c>
      <c r="N2089">
        <v>27.5</v>
      </c>
      <c r="O2089">
        <v>2.37</v>
      </c>
      <c r="P2089">
        <v>3.24</v>
      </c>
    </row>
    <row r="2090" spans="1:16">
      <c r="A2090" s="1" t="s">
        <v>5518</v>
      </c>
      <c r="B2090" s="1" t="s">
        <v>2011</v>
      </c>
      <c r="C2090" s="1" t="s">
        <v>18</v>
      </c>
      <c r="D2090" s="1" t="s">
        <v>19</v>
      </c>
      <c r="E2090" s="1" t="s">
        <v>1804</v>
      </c>
      <c r="F2090">
        <v>559</v>
      </c>
      <c r="G2090">
        <v>566</v>
      </c>
      <c r="H2090">
        <v>218</v>
      </c>
      <c r="I2090">
        <v>850</v>
      </c>
      <c r="J2090" s="11">
        <f t="shared" si="44"/>
        <v>1.7</v>
      </c>
      <c r="K2090">
        <v>210</v>
      </c>
      <c r="L2090">
        <v>99.9</v>
      </c>
      <c r="M2090">
        <v>226</v>
      </c>
      <c r="N2090">
        <v>59.2</v>
      </c>
      <c r="O2090">
        <v>2.6</v>
      </c>
      <c r="P2090">
        <v>4</v>
      </c>
    </row>
    <row r="2091" spans="1:16">
      <c r="A2091" s="1" t="s">
        <v>5518</v>
      </c>
      <c r="B2091" s="1" t="s">
        <v>2012</v>
      </c>
      <c r="C2091" s="1" t="s">
        <v>18</v>
      </c>
      <c r="D2091" s="1" t="s">
        <v>19</v>
      </c>
      <c r="E2091" s="1" t="s">
        <v>1804</v>
      </c>
      <c r="F2091">
        <v>1690</v>
      </c>
      <c r="G2091">
        <v>600</v>
      </c>
      <c r="H2091">
        <v>206</v>
      </c>
      <c r="I2091">
        <v>892</v>
      </c>
      <c r="J2091" s="11">
        <f t="shared" si="44"/>
        <v>1.7</v>
      </c>
      <c r="K2091">
        <v>268</v>
      </c>
      <c r="L2091">
        <v>108</v>
      </c>
      <c r="M2091">
        <v>223</v>
      </c>
      <c r="N2091">
        <v>62.5</v>
      </c>
      <c r="O2091">
        <v>2.2400000000000002</v>
      </c>
      <c r="P2091">
        <v>3.94</v>
      </c>
    </row>
    <row r="2092" spans="1:16">
      <c r="A2092" s="1" t="s">
        <v>5518</v>
      </c>
      <c r="B2092" s="1" t="s">
        <v>2013</v>
      </c>
      <c r="C2092" s="1" t="s">
        <v>18</v>
      </c>
      <c r="D2092" s="1" t="s">
        <v>19</v>
      </c>
      <c r="E2092" s="1" t="s">
        <v>1804</v>
      </c>
      <c r="F2092">
        <v>1320</v>
      </c>
      <c r="G2092">
        <v>505</v>
      </c>
      <c r="H2092">
        <v>195</v>
      </c>
      <c r="I2092">
        <v>891</v>
      </c>
      <c r="J2092" s="11">
        <f t="shared" si="44"/>
        <v>1.7</v>
      </c>
      <c r="K2092">
        <v>310</v>
      </c>
      <c r="L2092">
        <v>132</v>
      </c>
      <c r="M2092">
        <v>268</v>
      </c>
      <c r="N2092">
        <v>73.599999999999994</v>
      </c>
      <c r="O2092">
        <v>2.68</v>
      </c>
      <c r="P2092">
        <v>4.0999999999999996</v>
      </c>
    </row>
    <row r="2093" spans="1:16">
      <c r="A2093" s="1" t="s">
        <v>5518</v>
      </c>
      <c r="B2093" s="1" t="s">
        <v>2014</v>
      </c>
      <c r="C2093" s="1" t="s">
        <v>18</v>
      </c>
      <c r="D2093" s="1" t="s">
        <v>19</v>
      </c>
      <c r="E2093" s="1" t="s">
        <v>1804</v>
      </c>
      <c r="F2093">
        <v>1550</v>
      </c>
      <c r="G2093">
        <v>445</v>
      </c>
      <c r="H2093">
        <v>183</v>
      </c>
      <c r="I2093">
        <v>894</v>
      </c>
      <c r="J2093" s="11">
        <f t="shared" si="44"/>
        <v>1.7</v>
      </c>
      <c r="K2093">
        <v>281</v>
      </c>
      <c r="L2093">
        <v>116.9</v>
      </c>
      <c r="M2093">
        <v>231</v>
      </c>
      <c r="N2093">
        <v>74.7</v>
      </c>
      <c r="O2093">
        <v>2.8</v>
      </c>
      <c r="P2093">
        <v>3.75</v>
      </c>
    </row>
    <row r="2094" spans="1:16">
      <c r="A2094" s="1" t="s">
        <v>5518</v>
      </c>
      <c r="B2094" s="1" t="s">
        <v>2015</v>
      </c>
      <c r="C2094" s="1" t="s">
        <v>18</v>
      </c>
      <c r="D2094" s="1" t="s">
        <v>19</v>
      </c>
      <c r="E2094" s="1" t="s">
        <v>1804</v>
      </c>
      <c r="F2094">
        <v>827</v>
      </c>
      <c r="G2094">
        <v>392</v>
      </c>
      <c r="H2094">
        <v>152.19999999999999</v>
      </c>
      <c r="I2094">
        <v>834</v>
      </c>
      <c r="J2094" s="11">
        <f t="shared" si="44"/>
        <v>1.7</v>
      </c>
      <c r="K2094">
        <v>144.1</v>
      </c>
      <c r="L2094">
        <v>83</v>
      </c>
      <c r="M2094">
        <v>244</v>
      </c>
      <c r="N2094">
        <v>28.7</v>
      </c>
      <c r="O2094">
        <v>2.4500000000000002</v>
      </c>
      <c r="P2094">
        <v>3.55</v>
      </c>
    </row>
    <row r="2095" spans="1:16">
      <c r="A2095" s="1" t="s">
        <v>5518</v>
      </c>
      <c r="B2095" s="1" t="s">
        <v>2016</v>
      </c>
      <c r="C2095" s="1" t="s">
        <v>18</v>
      </c>
      <c r="D2095" s="1" t="s">
        <v>19</v>
      </c>
      <c r="E2095" s="1" t="s">
        <v>1804</v>
      </c>
      <c r="F2095">
        <v>1106</v>
      </c>
      <c r="G2095">
        <v>360</v>
      </c>
      <c r="H2095">
        <v>154</v>
      </c>
      <c r="I2095">
        <v>797</v>
      </c>
      <c r="J2095" s="11">
        <f t="shared" si="44"/>
        <v>1.7</v>
      </c>
      <c r="K2095">
        <v>252</v>
      </c>
      <c r="L2095">
        <v>103</v>
      </c>
      <c r="M2095">
        <v>206</v>
      </c>
      <c r="N2095">
        <v>57</v>
      </c>
      <c r="O2095">
        <v>2.4700000000000002</v>
      </c>
      <c r="P2095">
        <v>3.67</v>
      </c>
    </row>
    <row r="2096" spans="1:16">
      <c r="A2096" s="1" t="s">
        <v>5518</v>
      </c>
      <c r="B2096" s="1" t="s">
        <v>2017</v>
      </c>
      <c r="C2096" s="1" t="s">
        <v>18</v>
      </c>
      <c r="D2096" s="1" t="s">
        <v>19</v>
      </c>
      <c r="E2096" s="1" t="s">
        <v>1804</v>
      </c>
      <c r="F2096">
        <v>1104</v>
      </c>
      <c r="G2096">
        <v>399</v>
      </c>
      <c r="H2096">
        <v>155.4</v>
      </c>
      <c r="I2096">
        <v>834</v>
      </c>
      <c r="J2096" s="11">
        <f t="shared" si="44"/>
        <v>1.7</v>
      </c>
      <c r="K2096">
        <v>299</v>
      </c>
      <c r="L2096">
        <v>113.2</v>
      </c>
      <c r="M2096">
        <v>239</v>
      </c>
      <c r="N2096">
        <v>60.9</v>
      </c>
      <c r="O2096">
        <v>2.37</v>
      </c>
      <c r="P2096">
        <v>3.63</v>
      </c>
    </row>
    <row r="2097" spans="1:16">
      <c r="A2097" s="1" t="s">
        <v>5518</v>
      </c>
      <c r="B2097" s="1" t="s">
        <v>2018</v>
      </c>
      <c r="C2097" s="1" t="s">
        <v>18</v>
      </c>
      <c r="D2097" s="1" t="s">
        <v>19</v>
      </c>
      <c r="E2097" s="1" t="s">
        <v>1804</v>
      </c>
      <c r="F2097">
        <v>3430</v>
      </c>
      <c r="G2097">
        <v>249</v>
      </c>
      <c r="H2097">
        <v>68.2</v>
      </c>
      <c r="I2097">
        <v>870</v>
      </c>
      <c r="J2097" s="11">
        <f t="shared" si="44"/>
        <v>1.7</v>
      </c>
      <c r="K2097">
        <v>225.9</v>
      </c>
      <c r="L2097">
        <v>117.2</v>
      </c>
      <c r="M2097">
        <v>221</v>
      </c>
      <c r="N2097">
        <v>47</v>
      </c>
      <c r="O2097">
        <v>1.45</v>
      </c>
      <c r="P2097">
        <v>3.48</v>
      </c>
    </row>
    <row r="2098" spans="1:16">
      <c r="A2098" s="1" t="s">
        <v>5518</v>
      </c>
      <c r="B2098" s="1" t="s">
        <v>2019</v>
      </c>
      <c r="C2098" s="1" t="s">
        <v>18</v>
      </c>
      <c r="D2098" s="1" t="s">
        <v>19</v>
      </c>
      <c r="E2098" s="1" t="s">
        <v>1804</v>
      </c>
      <c r="F2098">
        <v>2520</v>
      </c>
      <c r="G2098">
        <v>247</v>
      </c>
      <c r="H2098">
        <v>61.9</v>
      </c>
      <c r="I2098">
        <v>908</v>
      </c>
      <c r="J2098" s="11">
        <f t="shared" si="44"/>
        <v>1.7</v>
      </c>
      <c r="K2098">
        <v>279</v>
      </c>
      <c r="L2098">
        <v>107.8</v>
      </c>
      <c r="M2098">
        <v>250</v>
      </c>
      <c r="N2098">
        <v>58.3</v>
      </c>
      <c r="O2098">
        <v>1.04</v>
      </c>
      <c r="P2098">
        <v>3.89</v>
      </c>
    </row>
    <row r="2099" spans="1:16">
      <c r="A2099" s="1" t="s">
        <v>5518</v>
      </c>
      <c r="B2099" s="1" t="s">
        <v>2020</v>
      </c>
      <c r="C2099" s="1" t="s">
        <v>18</v>
      </c>
      <c r="D2099" s="1" t="s">
        <v>19</v>
      </c>
      <c r="E2099" s="1" t="s">
        <v>1804</v>
      </c>
      <c r="F2099">
        <v>4680</v>
      </c>
      <c r="G2099">
        <v>252</v>
      </c>
      <c r="H2099">
        <v>69.400000000000006</v>
      </c>
      <c r="I2099">
        <v>892</v>
      </c>
      <c r="J2099" s="11">
        <f t="shared" si="44"/>
        <v>1.7</v>
      </c>
      <c r="K2099">
        <v>491</v>
      </c>
      <c r="L2099">
        <v>128</v>
      </c>
      <c r="M2099">
        <v>237</v>
      </c>
      <c r="N2099">
        <v>76</v>
      </c>
      <c r="O2099">
        <v>1.2</v>
      </c>
      <c r="P2099">
        <v>2.85</v>
      </c>
    </row>
    <row r="2100" spans="1:16">
      <c r="A2100" s="1" t="s">
        <v>5518</v>
      </c>
      <c r="B2100" s="1" t="s">
        <v>2021</v>
      </c>
      <c r="C2100" s="1" t="s">
        <v>18</v>
      </c>
      <c r="D2100" s="1" t="s">
        <v>19</v>
      </c>
      <c r="E2100" s="1" t="s">
        <v>1804</v>
      </c>
      <c r="F2100">
        <v>5410</v>
      </c>
      <c r="G2100">
        <v>299</v>
      </c>
      <c r="H2100">
        <v>94.9</v>
      </c>
      <c r="I2100">
        <v>888</v>
      </c>
      <c r="J2100" s="11">
        <f t="shared" ref="J2100:J2136" si="47">3.4/2</f>
        <v>1.7</v>
      </c>
      <c r="K2100">
        <v>565</v>
      </c>
      <c r="L2100">
        <v>133.1</v>
      </c>
      <c r="M2100">
        <v>249.6</v>
      </c>
      <c r="N2100">
        <v>83.1</v>
      </c>
      <c r="O2100">
        <v>1.54</v>
      </c>
      <c r="P2100">
        <v>3.76</v>
      </c>
    </row>
    <row r="2101" spans="1:16">
      <c r="A2101" s="1" t="s">
        <v>5518</v>
      </c>
      <c r="B2101" s="1" t="s">
        <v>2022</v>
      </c>
      <c r="C2101" s="1" t="s">
        <v>18</v>
      </c>
      <c r="D2101" s="1" t="s">
        <v>19</v>
      </c>
      <c r="E2101" s="1" t="s">
        <v>1804</v>
      </c>
      <c r="F2101">
        <v>3790</v>
      </c>
      <c r="G2101">
        <v>334</v>
      </c>
      <c r="H2101">
        <v>100.6</v>
      </c>
      <c r="I2101">
        <v>840</v>
      </c>
      <c r="J2101" s="11">
        <f t="shared" si="47"/>
        <v>1.7</v>
      </c>
      <c r="K2101">
        <v>432</v>
      </c>
      <c r="L2101">
        <v>125.2</v>
      </c>
      <c r="M2101">
        <v>243</v>
      </c>
      <c r="N2101">
        <v>69.8</v>
      </c>
      <c r="O2101" s="11">
        <f t="shared" ref="O2101" si="48">0.94/2</f>
        <v>0.47</v>
      </c>
      <c r="P2101">
        <v>3.11</v>
      </c>
    </row>
    <row r="2102" spans="1:16">
      <c r="A2102" s="1" t="s">
        <v>5518</v>
      </c>
      <c r="B2102" s="1" t="s">
        <v>2023</v>
      </c>
      <c r="C2102" s="1" t="s">
        <v>18</v>
      </c>
      <c r="D2102" s="1" t="s">
        <v>19</v>
      </c>
      <c r="E2102" s="1" t="s">
        <v>1804</v>
      </c>
      <c r="F2102">
        <v>2200</v>
      </c>
      <c r="G2102">
        <v>320</v>
      </c>
      <c r="H2102">
        <v>115.1</v>
      </c>
      <c r="I2102">
        <v>804</v>
      </c>
      <c r="J2102" s="11">
        <f t="shared" si="47"/>
        <v>1.7</v>
      </c>
      <c r="K2102">
        <v>149</v>
      </c>
      <c r="L2102">
        <v>106.9</v>
      </c>
      <c r="M2102">
        <v>240</v>
      </c>
      <c r="N2102">
        <v>30.9</v>
      </c>
      <c r="O2102">
        <v>1.1100000000000001</v>
      </c>
      <c r="P2102">
        <v>3.81</v>
      </c>
    </row>
    <row r="2103" spans="1:16">
      <c r="A2103" s="1" t="s">
        <v>5518</v>
      </c>
      <c r="B2103" s="1" t="s">
        <v>2024</v>
      </c>
      <c r="C2103" s="1" t="s">
        <v>18</v>
      </c>
      <c r="D2103" s="1" t="s">
        <v>19</v>
      </c>
      <c r="E2103" s="1" t="s">
        <v>1804</v>
      </c>
      <c r="F2103">
        <v>2350</v>
      </c>
      <c r="G2103">
        <v>364</v>
      </c>
      <c r="H2103">
        <v>156.19999999999999</v>
      </c>
      <c r="I2103">
        <v>725</v>
      </c>
      <c r="J2103" s="11">
        <f t="shared" si="47"/>
        <v>1.7</v>
      </c>
      <c r="K2103">
        <v>154.30000000000001</v>
      </c>
      <c r="L2103">
        <v>92.3</v>
      </c>
      <c r="M2103">
        <v>192.6</v>
      </c>
      <c r="N2103">
        <v>35.4</v>
      </c>
      <c r="O2103">
        <v>2.2799999999999998</v>
      </c>
      <c r="P2103">
        <v>3.79</v>
      </c>
    </row>
    <row r="2104" spans="1:16">
      <c r="A2104" s="1" t="s">
        <v>5518</v>
      </c>
      <c r="B2104" s="5" t="s">
        <v>2025</v>
      </c>
      <c r="C2104" s="1" t="s">
        <v>18</v>
      </c>
      <c r="D2104" s="1" t="s">
        <v>19</v>
      </c>
      <c r="E2104" s="1" t="s">
        <v>1804</v>
      </c>
      <c r="F2104">
        <v>1800</v>
      </c>
      <c r="G2104">
        <v>363</v>
      </c>
      <c r="H2104">
        <v>152.69999999999999</v>
      </c>
      <c r="I2104">
        <v>767</v>
      </c>
      <c r="J2104" s="11">
        <f t="shared" si="47"/>
        <v>1.7</v>
      </c>
      <c r="K2104">
        <v>87.1</v>
      </c>
      <c r="L2104">
        <v>83.7</v>
      </c>
      <c r="M2104">
        <v>182.6</v>
      </c>
      <c r="N2104">
        <v>25.7</v>
      </c>
      <c r="O2104">
        <v>2.74</v>
      </c>
      <c r="P2104">
        <v>3.84</v>
      </c>
    </row>
    <row r="2105" spans="1:16">
      <c r="A2105" s="1" t="s">
        <v>5519</v>
      </c>
      <c r="B2105" s="1" t="s">
        <v>2026</v>
      </c>
      <c r="C2105" s="1" t="s">
        <v>18</v>
      </c>
      <c r="D2105" s="1" t="s">
        <v>19</v>
      </c>
      <c r="E2105" s="1" t="s">
        <v>1804</v>
      </c>
      <c r="F2105">
        <v>7520</v>
      </c>
      <c r="G2105">
        <v>2696</v>
      </c>
      <c r="H2105">
        <v>607</v>
      </c>
      <c r="I2105">
        <v>1013</v>
      </c>
      <c r="J2105" s="11">
        <f t="shared" si="47"/>
        <v>1.7</v>
      </c>
      <c r="K2105">
        <v>1084</v>
      </c>
      <c r="L2105">
        <v>132.4</v>
      </c>
      <c r="M2105">
        <v>131.5</v>
      </c>
      <c r="N2105">
        <v>108</v>
      </c>
      <c r="O2105">
        <v>13.42</v>
      </c>
      <c r="P2105">
        <v>4.0199999999999996</v>
      </c>
    </row>
    <row r="2106" spans="1:16">
      <c r="A2106" s="1" t="s">
        <v>5519</v>
      </c>
      <c r="B2106" s="1" t="s">
        <v>2027</v>
      </c>
      <c r="C2106" s="1" t="s">
        <v>18</v>
      </c>
      <c r="D2106" s="1" t="s">
        <v>19</v>
      </c>
      <c r="E2106" s="1" t="s">
        <v>1804</v>
      </c>
      <c r="F2106">
        <v>7040</v>
      </c>
      <c r="G2106">
        <v>2650</v>
      </c>
      <c r="H2106">
        <v>592</v>
      </c>
      <c r="I2106">
        <v>1016</v>
      </c>
      <c r="J2106" s="11">
        <f t="shared" si="47"/>
        <v>1.7</v>
      </c>
      <c r="K2106">
        <v>1061</v>
      </c>
      <c r="L2106">
        <v>133.9</v>
      </c>
      <c r="M2106">
        <v>139.5</v>
      </c>
      <c r="N2106">
        <v>119.4</v>
      </c>
      <c r="O2106">
        <v>13.13</v>
      </c>
      <c r="P2106">
        <v>4.3899999999999997</v>
      </c>
    </row>
    <row r="2107" spans="1:16">
      <c r="A2107" s="1" t="s">
        <v>5519</v>
      </c>
      <c r="B2107" s="1" t="s">
        <v>2028</v>
      </c>
      <c r="C2107" s="1" t="s">
        <v>18</v>
      </c>
      <c r="D2107" s="1" t="s">
        <v>19</v>
      </c>
      <c r="E2107" s="1" t="s">
        <v>1804</v>
      </c>
      <c r="F2107">
        <v>7460</v>
      </c>
      <c r="G2107">
        <v>2332</v>
      </c>
      <c r="H2107">
        <v>539</v>
      </c>
      <c r="I2107">
        <v>914</v>
      </c>
      <c r="J2107" s="11">
        <f t="shared" si="47"/>
        <v>1.7</v>
      </c>
      <c r="K2107">
        <v>1047</v>
      </c>
      <c r="L2107">
        <v>128.69999999999999</v>
      </c>
      <c r="M2107">
        <v>131.80000000000001</v>
      </c>
      <c r="N2107">
        <v>122.9</v>
      </c>
      <c r="O2107">
        <v>13.34</v>
      </c>
      <c r="P2107">
        <v>4.2699999999999996</v>
      </c>
    </row>
    <row r="2108" spans="1:16">
      <c r="A2108" s="1" t="s">
        <v>5519</v>
      </c>
      <c r="B2108" s="1" t="s">
        <v>2029</v>
      </c>
      <c r="C2108" s="1" t="s">
        <v>18</v>
      </c>
      <c r="D2108" s="1" t="s">
        <v>19</v>
      </c>
      <c r="E2108" s="1" t="s">
        <v>1804</v>
      </c>
      <c r="F2108">
        <v>6760</v>
      </c>
      <c r="G2108">
        <v>2222</v>
      </c>
      <c r="H2108">
        <v>489</v>
      </c>
      <c r="I2108">
        <v>898</v>
      </c>
      <c r="J2108" s="11">
        <f t="shared" si="47"/>
        <v>1.7</v>
      </c>
      <c r="K2108">
        <v>1039</v>
      </c>
      <c r="L2108">
        <v>126.5</v>
      </c>
      <c r="M2108">
        <v>131.6</v>
      </c>
      <c r="N2108">
        <v>124.9</v>
      </c>
      <c r="O2108">
        <v>13.03</v>
      </c>
      <c r="P2108">
        <v>4.1500000000000004</v>
      </c>
    </row>
    <row r="2109" spans="1:16">
      <c r="A2109" s="1" t="s">
        <v>5519</v>
      </c>
      <c r="B2109" s="1" t="s">
        <v>2030</v>
      </c>
      <c r="C2109" s="1" t="s">
        <v>18</v>
      </c>
      <c r="D2109" s="1" t="s">
        <v>19</v>
      </c>
      <c r="E2109" s="1" t="s">
        <v>1804</v>
      </c>
      <c r="F2109">
        <v>7200</v>
      </c>
      <c r="G2109">
        <v>2053</v>
      </c>
      <c r="H2109">
        <v>462</v>
      </c>
      <c r="I2109">
        <v>934</v>
      </c>
      <c r="J2109" s="11">
        <f t="shared" si="47"/>
        <v>1.7</v>
      </c>
      <c r="K2109">
        <v>1062</v>
      </c>
      <c r="L2109">
        <v>130.69999999999999</v>
      </c>
      <c r="M2109">
        <v>131.19999999999999</v>
      </c>
      <c r="N2109">
        <v>124.3</v>
      </c>
      <c r="O2109">
        <v>13.21</v>
      </c>
      <c r="P2109">
        <v>4.47</v>
      </c>
    </row>
    <row r="2110" spans="1:16">
      <c r="A2110" s="1" t="s">
        <v>5519</v>
      </c>
      <c r="B2110" s="1" t="s">
        <v>2031</v>
      </c>
      <c r="C2110" s="1" t="s">
        <v>18</v>
      </c>
      <c r="D2110" s="1" t="s">
        <v>19</v>
      </c>
      <c r="E2110" s="1" t="s">
        <v>1804</v>
      </c>
      <c r="F2110">
        <v>7240</v>
      </c>
      <c r="G2110">
        <v>1947</v>
      </c>
      <c r="H2110">
        <v>418</v>
      </c>
      <c r="I2110">
        <v>966</v>
      </c>
      <c r="J2110" s="11">
        <f t="shared" si="47"/>
        <v>1.7</v>
      </c>
      <c r="K2110">
        <v>1039</v>
      </c>
      <c r="L2110">
        <v>127.4</v>
      </c>
      <c r="M2110">
        <v>125.9</v>
      </c>
      <c r="N2110">
        <v>121</v>
      </c>
      <c r="O2110">
        <v>12.14</v>
      </c>
      <c r="P2110">
        <v>3.94</v>
      </c>
    </row>
    <row r="2111" spans="1:16">
      <c r="A2111" s="1" t="s">
        <v>5519</v>
      </c>
      <c r="B2111" s="1" t="s">
        <v>2032</v>
      </c>
      <c r="C2111" s="1" t="s">
        <v>18</v>
      </c>
      <c r="D2111" s="1" t="s">
        <v>19</v>
      </c>
      <c r="E2111" s="1" t="s">
        <v>1804</v>
      </c>
      <c r="F2111">
        <v>7420</v>
      </c>
      <c r="G2111">
        <v>1747</v>
      </c>
      <c r="H2111">
        <v>348</v>
      </c>
      <c r="I2111">
        <v>987</v>
      </c>
      <c r="J2111" s="11">
        <f t="shared" si="47"/>
        <v>1.7</v>
      </c>
      <c r="K2111">
        <v>1028</v>
      </c>
      <c r="L2111">
        <v>130.4</v>
      </c>
      <c r="M2111">
        <v>126.7</v>
      </c>
      <c r="N2111">
        <v>115</v>
      </c>
      <c r="O2111">
        <v>12.25</v>
      </c>
      <c r="P2111">
        <v>4.29</v>
      </c>
    </row>
    <row r="2112" spans="1:16">
      <c r="A2112" s="1" t="s">
        <v>5519</v>
      </c>
      <c r="B2112" s="1" t="s">
        <v>2033</v>
      </c>
      <c r="C2112" s="1" t="s">
        <v>18</v>
      </c>
      <c r="D2112" s="1" t="s">
        <v>19</v>
      </c>
      <c r="E2112" s="1" t="s">
        <v>1804</v>
      </c>
      <c r="F2112">
        <v>7080</v>
      </c>
      <c r="G2112">
        <v>1614</v>
      </c>
      <c r="H2112">
        <v>291</v>
      </c>
      <c r="I2112">
        <v>973</v>
      </c>
      <c r="J2112" s="11">
        <f t="shared" si="47"/>
        <v>1.7</v>
      </c>
      <c r="K2112">
        <v>1028</v>
      </c>
      <c r="L2112">
        <v>130.30000000000001</v>
      </c>
      <c r="M2112">
        <v>127.7</v>
      </c>
      <c r="N2112">
        <v>120.6</v>
      </c>
      <c r="O2112">
        <v>12.21</v>
      </c>
      <c r="P2112">
        <v>4.34</v>
      </c>
    </row>
    <row r="2113" spans="1:16">
      <c r="A2113" s="1" t="s">
        <v>5519</v>
      </c>
      <c r="B2113" s="1" t="s">
        <v>2034</v>
      </c>
      <c r="C2113" s="1" t="s">
        <v>18</v>
      </c>
      <c r="D2113" s="1" t="s">
        <v>19</v>
      </c>
      <c r="E2113" s="1" t="s">
        <v>1804</v>
      </c>
      <c r="F2113">
        <v>7250</v>
      </c>
      <c r="G2113">
        <v>1486</v>
      </c>
      <c r="H2113">
        <v>244</v>
      </c>
      <c r="I2113">
        <v>969</v>
      </c>
      <c r="J2113" s="11">
        <f t="shared" si="47"/>
        <v>1.7</v>
      </c>
      <c r="K2113">
        <v>1032</v>
      </c>
      <c r="L2113">
        <v>130.19999999999999</v>
      </c>
      <c r="M2113">
        <v>123.9</v>
      </c>
      <c r="N2113">
        <v>117.5</v>
      </c>
      <c r="O2113">
        <v>11.47</v>
      </c>
      <c r="P2113">
        <v>4.3</v>
      </c>
    </row>
    <row r="2114" spans="1:16">
      <c r="A2114" s="1" t="s">
        <v>5519</v>
      </c>
      <c r="B2114" s="1" t="s">
        <v>2035</v>
      </c>
      <c r="C2114" s="1" t="s">
        <v>18</v>
      </c>
      <c r="D2114" s="1" t="s">
        <v>19</v>
      </c>
      <c r="E2114" s="1" t="s">
        <v>1804</v>
      </c>
      <c r="F2114">
        <v>6910</v>
      </c>
      <c r="G2114">
        <v>1360</v>
      </c>
      <c r="H2114">
        <v>205</v>
      </c>
      <c r="I2114">
        <v>933</v>
      </c>
      <c r="J2114" s="11">
        <f t="shared" si="47"/>
        <v>1.7</v>
      </c>
      <c r="K2114">
        <v>1002</v>
      </c>
      <c r="L2114">
        <v>130</v>
      </c>
      <c r="M2114">
        <v>120.3</v>
      </c>
      <c r="N2114">
        <v>118.1</v>
      </c>
      <c r="O2114">
        <v>11.34</v>
      </c>
      <c r="P2114">
        <v>4.5599999999999996</v>
      </c>
    </row>
    <row r="2115" spans="1:16">
      <c r="A2115" s="1" t="s">
        <v>5519</v>
      </c>
      <c r="B2115" s="1" t="s">
        <v>2036</v>
      </c>
      <c r="C2115" s="1" t="s">
        <v>18</v>
      </c>
      <c r="D2115" s="1" t="s">
        <v>19</v>
      </c>
      <c r="E2115" s="1" t="s">
        <v>1804</v>
      </c>
      <c r="F2115">
        <v>7900</v>
      </c>
      <c r="G2115">
        <v>933</v>
      </c>
      <c r="H2115">
        <v>110</v>
      </c>
      <c r="I2115">
        <v>933</v>
      </c>
      <c r="J2115" s="11">
        <f t="shared" si="47"/>
        <v>1.7</v>
      </c>
      <c r="K2115">
        <v>1054</v>
      </c>
      <c r="L2115">
        <v>129.80000000000001</v>
      </c>
      <c r="M2115">
        <v>114</v>
      </c>
      <c r="N2115">
        <v>113.2</v>
      </c>
      <c r="O2115">
        <v>9.77</v>
      </c>
      <c r="P2115">
        <v>4.3600000000000003</v>
      </c>
    </row>
    <row r="2116" spans="1:16">
      <c r="A2116" s="1" t="s">
        <v>5519</v>
      </c>
      <c r="B2116" s="1" t="s">
        <v>2037</v>
      </c>
      <c r="C2116" s="1" t="s">
        <v>18</v>
      </c>
      <c r="D2116" s="1" t="s">
        <v>19</v>
      </c>
      <c r="E2116" s="1" t="s">
        <v>1804</v>
      </c>
      <c r="F2116">
        <v>7570</v>
      </c>
      <c r="G2116">
        <v>923</v>
      </c>
      <c r="H2116">
        <v>105.1</v>
      </c>
      <c r="I2116">
        <v>919</v>
      </c>
      <c r="J2116" s="11">
        <f t="shared" si="47"/>
        <v>1.7</v>
      </c>
      <c r="K2116">
        <v>1037</v>
      </c>
      <c r="L2116">
        <v>126.1</v>
      </c>
      <c r="M2116">
        <v>113.5</v>
      </c>
      <c r="N2116">
        <v>114.1</v>
      </c>
      <c r="O2116">
        <v>8.75</v>
      </c>
      <c r="P2116">
        <v>4.59</v>
      </c>
    </row>
    <row r="2117" spans="1:16">
      <c r="A2117" s="1" t="s">
        <v>5519</v>
      </c>
      <c r="B2117" s="1" t="s">
        <v>2038</v>
      </c>
      <c r="C2117" s="1" t="s">
        <v>18</v>
      </c>
      <c r="D2117" s="1" t="s">
        <v>19</v>
      </c>
      <c r="E2117" s="1" t="s">
        <v>1804</v>
      </c>
      <c r="F2117">
        <v>7970</v>
      </c>
      <c r="G2117">
        <v>954</v>
      </c>
      <c r="H2117">
        <v>96.5</v>
      </c>
      <c r="I2117">
        <v>949</v>
      </c>
      <c r="J2117" s="11">
        <f t="shared" si="47"/>
        <v>1.7</v>
      </c>
      <c r="K2117">
        <v>1039</v>
      </c>
      <c r="L2117">
        <v>127.9</v>
      </c>
      <c r="M2117">
        <v>110.8</v>
      </c>
      <c r="N2117">
        <v>115.4</v>
      </c>
      <c r="O2117">
        <v>9.4</v>
      </c>
      <c r="P2117">
        <v>4.63</v>
      </c>
    </row>
    <row r="2118" spans="1:16">
      <c r="A2118" s="1" t="s">
        <v>5519</v>
      </c>
      <c r="B2118" s="1" t="s">
        <v>2039</v>
      </c>
      <c r="C2118" s="1" t="s">
        <v>18</v>
      </c>
      <c r="D2118" s="1" t="s">
        <v>19</v>
      </c>
      <c r="E2118" s="1" t="s">
        <v>1804</v>
      </c>
      <c r="F2118">
        <v>7830</v>
      </c>
      <c r="G2118">
        <v>945</v>
      </c>
      <c r="H2118">
        <v>101</v>
      </c>
      <c r="I2118">
        <v>942</v>
      </c>
      <c r="J2118" s="11">
        <f t="shared" si="47"/>
        <v>1.7</v>
      </c>
      <c r="K2118">
        <v>1060</v>
      </c>
      <c r="L2118">
        <v>130.5</v>
      </c>
      <c r="M2118">
        <v>114.8</v>
      </c>
      <c r="N2118">
        <v>129.30000000000001</v>
      </c>
      <c r="O2118">
        <v>9.0500000000000007</v>
      </c>
      <c r="P2118">
        <v>4.42</v>
      </c>
    </row>
    <row r="2119" spans="1:16">
      <c r="A2119" s="1" t="s">
        <v>5519</v>
      </c>
      <c r="B2119" s="1" t="s">
        <v>2040</v>
      </c>
      <c r="C2119" s="1" t="s">
        <v>18</v>
      </c>
      <c r="D2119" s="1" t="s">
        <v>19</v>
      </c>
      <c r="E2119" s="1" t="s">
        <v>1804</v>
      </c>
      <c r="F2119">
        <v>7460</v>
      </c>
      <c r="G2119">
        <v>941</v>
      </c>
      <c r="H2119">
        <v>100.4</v>
      </c>
      <c r="I2119">
        <v>933</v>
      </c>
      <c r="J2119" s="11">
        <f t="shared" si="47"/>
        <v>1.7</v>
      </c>
      <c r="K2119">
        <v>1055</v>
      </c>
      <c r="L2119">
        <v>130.5</v>
      </c>
      <c r="M2119">
        <v>114</v>
      </c>
      <c r="N2119">
        <v>123.9</v>
      </c>
      <c r="O2119">
        <v>8.8800000000000008</v>
      </c>
      <c r="P2119">
        <v>4.2300000000000004</v>
      </c>
    </row>
    <row r="2120" spans="1:16">
      <c r="A2120" s="1" t="s">
        <v>5519</v>
      </c>
      <c r="B2120" s="1" t="s">
        <v>2041</v>
      </c>
      <c r="C2120" s="1" t="s">
        <v>18</v>
      </c>
      <c r="D2120" s="1" t="s">
        <v>19</v>
      </c>
      <c r="E2120" s="1" t="s">
        <v>1804</v>
      </c>
      <c r="F2120">
        <v>7180</v>
      </c>
      <c r="G2120">
        <v>924</v>
      </c>
      <c r="H2120">
        <v>97.1</v>
      </c>
      <c r="I2120">
        <v>938</v>
      </c>
      <c r="J2120" s="11">
        <f t="shared" si="47"/>
        <v>1.7</v>
      </c>
      <c r="K2120">
        <v>1054</v>
      </c>
      <c r="L2120">
        <v>131</v>
      </c>
      <c r="M2120">
        <v>114.7</v>
      </c>
      <c r="N2120">
        <v>116.8</v>
      </c>
      <c r="O2120">
        <v>9.0399999999999991</v>
      </c>
      <c r="P2120">
        <v>4.38</v>
      </c>
    </row>
    <row r="2121" spans="1:16">
      <c r="A2121" s="1" t="s">
        <v>5519</v>
      </c>
      <c r="B2121" s="1" t="s">
        <v>2042</v>
      </c>
      <c r="C2121" s="1" t="s">
        <v>18</v>
      </c>
      <c r="D2121" s="1" t="s">
        <v>19</v>
      </c>
      <c r="E2121" s="1" t="s">
        <v>1804</v>
      </c>
      <c r="F2121">
        <v>7310</v>
      </c>
      <c r="G2121">
        <v>901</v>
      </c>
      <c r="H2121">
        <v>94.3</v>
      </c>
      <c r="I2121">
        <v>962</v>
      </c>
      <c r="J2121" s="11">
        <f t="shared" si="47"/>
        <v>1.7</v>
      </c>
      <c r="K2121">
        <v>1066</v>
      </c>
      <c r="L2121">
        <v>129.4</v>
      </c>
      <c r="M2121">
        <v>112.3</v>
      </c>
      <c r="N2121">
        <v>121.5</v>
      </c>
      <c r="O2121">
        <v>10.24</v>
      </c>
      <c r="P2121">
        <v>4.1500000000000004</v>
      </c>
    </row>
    <row r="2122" spans="1:16">
      <c r="A2122" s="1" t="s">
        <v>5519</v>
      </c>
      <c r="B2122" s="1" t="s">
        <v>2043</v>
      </c>
      <c r="C2122" s="1" t="s">
        <v>18</v>
      </c>
      <c r="D2122" s="1" t="s">
        <v>19</v>
      </c>
      <c r="E2122" s="1" t="s">
        <v>1804</v>
      </c>
      <c r="F2122">
        <v>7590</v>
      </c>
      <c r="G2122">
        <v>879</v>
      </c>
      <c r="H2122">
        <v>91.7</v>
      </c>
      <c r="I2122">
        <v>952</v>
      </c>
      <c r="J2122" s="11">
        <f t="shared" si="47"/>
        <v>1.7</v>
      </c>
      <c r="K2122">
        <v>1060</v>
      </c>
      <c r="L2122">
        <v>128</v>
      </c>
      <c r="M2122">
        <v>108.3</v>
      </c>
      <c r="N2122">
        <v>131.1</v>
      </c>
      <c r="O2122">
        <v>9.89</v>
      </c>
      <c r="P2122">
        <v>5.1100000000000003</v>
      </c>
    </row>
    <row r="2123" spans="1:16">
      <c r="A2123" s="1" t="s">
        <v>5519</v>
      </c>
      <c r="B2123" s="1" t="s">
        <v>2044</v>
      </c>
      <c r="C2123" s="1" t="s">
        <v>18</v>
      </c>
      <c r="D2123" s="1" t="s">
        <v>19</v>
      </c>
      <c r="E2123" s="1" t="s">
        <v>1804</v>
      </c>
      <c r="F2123">
        <v>7290</v>
      </c>
      <c r="G2123">
        <v>806</v>
      </c>
      <c r="H2123">
        <v>82.7</v>
      </c>
      <c r="I2123">
        <v>969</v>
      </c>
      <c r="J2123" s="11">
        <f t="shared" si="47"/>
        <v>1.7</v>
      </c>
      <c r="K2123">
        <v>1032</v>
      </c>
      <c r="L2123">
        <v>113.7</v>
      </c>
      <c r="M2123">
        <v>108.7</v>
      </c>
      <c r="N2123">
        <v>123</v>
      </c>
      <c r="O2123">
        <v>10.199999999999999</v>
      </c>
      <c r="P2123">
        <v>6.04</v>
      </c>
    </row>
    <row r="2124" spans="1:16">
      <c r="A2124" s="1" t="s">
        <v>5519</v>
      </c>
      <c r="B2124" s="1" t="s">
        <v>2045</v>
      </c>
      <c r="C2124" s="1" t="s">
        <v>18</v>
      </c>
      <c r="D2124" s="1" t="s">
        <v>19</v>
      </c>
      <c r="E2124" s="1" t="s">
        <v>1804</v>
      </c>
      <c r="F2124">
        <v>7970</v>
      </c>
      <c r="G2124">
        <v>890</v>
      </c>
      <c r="H2124">
        <v>80.5</v>
      </c>
      <c r="I2124">
        <v>980</v>
      </c>
      <c r="J2124" s="11">
        <f t="shared" si="47"/>
        <v>1.7</v>
      </c>
      <c r="K2124">
        <v>1097</v>
      </c>
      <c r="L2124">
        <v>110.2</v>
      </c>
      <c r="M2124">
        <v>102.2</v>
      </c>
      <c r="N2124">
        <v>128</v>
      </c>
      <c r="O2124">
        <v>9.81</v>
      </c>
      <c r="P2124">
        <v>5.46</v>
      </c>
    </row>
    <row r="2125" spans="1:16">
      <c r="A2125" s="1" t="s">
        <v>5519</v>
      </c>
      <c r="B2125" s="1" t="s">
        <v>2046</v>
      </c>
      <c r="C2125" s="1" t="s">
        <v>18</v>
      </c>
      <c r="D2125" s="1" t="s">
        <v>19</v>
      </c>
      <c r="E2125" s="1" t="s">
        <v>1804</v>
      </c>
      <c r="F2125">
        <v>7570</v>
      </c>
      <c r="G2125">
        <v>576</v>
      </c>
      <c r="H2125">
        <v>382</v>
      </c>
      <c r="I2125">
        <v>1410</v>
      </c>
      <c r="J2125" s="11">
        <f t="shared" si="47"/>
        <v>1.7</v>
      </c>
      <c r="K2125">
        <v>852</v>
      </c>
      <c r="L2125">
        <v>122</v>
      </c>
      <c r="M2125">
        <v>114</v>
      </c>
      <c r="N2125">
        <v>136</v>
      </c>
      <c r="O2125">
        <v>16.3</v>
      </c>
      <c r="P2125">
        <v>8.01</v>
      </c>
    </row>
    <row r="2126" spans="1:16">
      <c r="A2126" s="1" t="s">
        <v>5519</v>
      </c>
      <c r="B2126" s="1" t="s">
        <v>2047</v>
      </c>
      <c r="C2126" s="1" t="s">
        <v>18</v>
      </c>
      <c r="D2126" s="1" t="s">
        <v>19</v>
      </c>
      <c r="E2126" s="1" t="s">
        <v>1804</v>
      </c>
      <c r="F2126">
        <v>7010</v>
      </c>
      <c r="G2126">
        <v>585</v>
      </c>
      <c r="H2126">
        <v>411</v>
      </c>
      <c r="I2126">
        <v>1420</v>
      </c>
      <c r="J2126" s="11">
        <f t="shared" si="47"/>
        <v>1.7</v>
      </c>
      <c r="K2126">
        <v>843</v>
      </c>
      <c r="L2126">
        <v>124.6</v>
      </c>
      <c r="M2126">
        <v>116.9</v>
      </c>
      <c r="N2126">
        <v>124</v>
      </c>
      <c r="O2126">
        <v>16.7</v>
      </c>
      <c r="P2126">
        <v>6.02</v>
      </c>
    </row>
    <row r="2127" spans="1:16">
      <c r="A2127" s="1" t="s">
        <v>5519</v>
      </c>
      <c r="B2127" s="1" t="s">
        <v>2048</v>
      </c>
      <c r="C2127" s="1" t="s">
        <v>18</v>
      </c>
      <c r="D2127" s="1" t="s">
        <v>19</v>
      </c>
      <c r="E2127" s="1" t="s">
        <v>1804</v>
      </c>
      <c r="F2127">
        <v>7960</v>
      </c>
      <c r="G2127">
        <v>634</v>
      </c>
      <c r="H2127">
        <v>425</v>
      </c>
      <c r="I2127">
        <v>1420</v>
      </c>
      <c r="J2127" s="11">
        <f t="shared" si="47"/>
        <v>1.7</v>
      </c>
      <c r="K2127">
        <v>823</v>
      </c>
      <c r="L2127">
        <v>123.5</v>
      </c>
      <c r="M2127">
        <v>117.7</v>
      </c>
      <c r="N2127">
        <v>119</v>
      </c>
      <c r="O2127">
        <v>17.2</v>
      </c>
      <c r="P2127">
        <v>5.35</v>
      </c>
    </row>
    <row r="2128" spans="1:16">
      <c r="A2128" s="1" t="s">
        <v>5519</v>
      </c>
      <c r="B2128" s="1" t="s">
        <v>2049</v>
      </c>
      <c r="C2128" s="1" t="s">
        <v>18</v>
      </c>
      <c r="D2128" s="1" t="s">
        <v>19</v>
      </c>
      <c r="E2128" s="1" t="s">
        <v>1804</v>
      </c>
      <c r="F2128">
        <v>7600</v>
      </c>
      <c r="G2128">
        <v>653</v>
      </c>
      <c r="H2128">
        <v>439</v>
      </c>
      <c r="I2128">
        <v>1400</v>
      </c>
      <c r="J2128" s="11">
        <f t="shared" si="47"/>
        <v>1.7</v>
      </c>
      <c r="K2128">
        <v>825</v>
      </c>
      <c r="L2128">
        <v>120.3</v>
      </c>
      <c r="M2128">
        <v>109.4</v>
      </c>
      <c r="N2128">
        <v>131</v>
      </c>
      <c r="O2128">
        <v>17.3</v>
      </c>
      <c r="P2128">
        <v>6.66</v>
      </c>
    </row>
    <row r="2129" spans="1:16">
      <c r="A2129" s="1" t="s">
        <v>5519</v>
      </c>
      <c r="B2129" s="1" t="s">
        <v>2050</v>
      </c>
      <c r="C2129" s="1" t="s">
        <v>18</v>
      </c>
      <c r="D2129" s="1" t="s">
        <v>19</v>
      </c>
      <c r="E2129" s="1" t="s">
        <v>1804</v>
      </c>
      <c r="F2129">
        <v>8190</v>
      </c>
      <c r="G2129">
        <v>684</v>
      </c>
      <c r="H2129">
        <v>500</v>
      </c>
      <c r="I2129">
        <v>1480</v>
      </c>
      <c r="J2129" s="11">
        <f t="shared" si="47"/>
        <v>1.7</v>
      </c>
      <c r="K2129">
        <v>869</v>
      </c>
      <c r="L2129">
        <v>126.2</v>
      </c>
      <c r="M2129">
        <v>126.4</v>
      </c>
      <c r="N2129">
        <v>132</v>
      </c>
      <c r="O2129">
        <v>19.399999999999999</v>
      </c>
      <c r="P2129">
        <v>7.24</v>
      </c>
    </row>
    <row r="2130" spans="1:16">
      <c r="A2130" s="1" t="s">
        <v>5519</v>
      </c>
      <c r="B2130" s="1" t="s">
        <v>2051</v>
      </c>
      <c r="C2130" s="1" t="s">
        <v>18</v>
      </c>
      <c r="D2130" s="1" t="s">
        <v>19</v>
      </c>
      <c r="E2130" s="1" t="s">
        <v>1804</v>
      </c>
      <c r="F2130">
        <v>8340</v>
      </c>
      <c r="G2130">
        <v>668</v>
      </c>
      <c r="H2130">
        <v>481</v>
      </c>
      <c r="I2130">
        <v>1480</v>
      </c>
      <c r="J2130" s="11">
        <f t="shared" si="47"/>
        <v>1.7</v>
      </c>
      <c r="K2130">
        <v>852</v>
      </c>
      <c r="L2130">
        <v>119.4</v>
      </c>
      <c r="M2130">
        <v>112.8</v>
      </c>
      <c r="N2130">
        <v>130</v>
      </c>
      <c r="O2130">
        <v>17.600000000000001</v>
      </c>
      <c r="P2130">
        <v>6.69</v>
      </c>
    </row>
    <row r="2131" spans="1:16">
      <c r="A2131" s="1" t="s">
        <v>5519</v>
      </c>
      <c r="B2131" s="1" t="s">
        <v>2052</v>
      </c>
      <c r="C2131" s="1" t="s">
        <v>18</v>
      </c>
      <c r="D2131" s="1" t="s">
        <v>19</v>
      </c>
      <c r="E2131" s="1" t="s">
        <v>1804</v>
      </c>
      <c r="F2131">
        <v>8340</v>
      </c>
      <c r="G2131">
        <v>658</v>
      </c>
      <c r="H2131">
        <v>468</v>
      </c>
      <c r="I2131">
        <v>1480</v>
      </c>
      <c r="J2131" s="11">
        <f t="shared" si="47"/>
        <v>1.7</v>
      </c>
      <c r="K2131">
        <v>860</v>
      </c>
      <c r="L2131">
        <v>119.8</v>
      </c>
      <c r="M2131">
        <v>109</v>
      </c>
      <c r="N2131">
        <v>130</v>
      </c>
      <c r="O2131">
        <v>18.8</v>
      </c>
      <c r="P2131">
        <v>7.66</v>
      </c>
    </row>
    <row r="2132" spans="1:16">
      <c r="A2132" s="1" t="s">
        <v>5519</v>
      </c>
      <c r="B2132" s="1" t="s">
        <v>2053</v>
      </c>
      <c r="C2132" s="1" t="s">
        <v>18</v>
      </c>
      <c r="D2132" s="1" t="s">
        <v>19</v>
      </c>
      <c r="E2132" s="1" t="s">
        <v>1804</v>
      </c>
      <c r="F2132">
        <v>8230</v>
      </c>
      <c r="G2132">
        <v>765</v>
      </c>
      <c r="H2132">
        <v>436</v>
      </c>
      <c r="I2132">
        <v>1440</v>
      </c>
      <c r="J2132" s="11">
        <f t="shared" si="47"/>
        <v>1.7</v>
      </c>
      <c r="K2132">
        <v>827</v>
      </c>
      <c r="L2132">
        <v>121.4</v>
      </c>
      <c r="M2132">
        <v>132.9</v>
      </c>
      <c r="N2132">
        <v>141</v>
      </c>
      <c r="O2132">
        <v>18.899999999999999</v>
      </c>
      <c r="P2132">
        <v>7.6</v>
      </c>
    </row>
    <row r="2133" spans="1:16">
      <c r="A2133" s="1" t="s">
        <v>5519</v>
      </c>
      <c r="B2133" s="1" t="s">
        <v>2054</v>
      </c>
      <c r="C2133" s="1" t="s">
        <v>18</v>
      </c>
      <c r="D2133" s="1" t="s">
        <v>19</v>
      </c>
      <c r="E2133" s="1" t="s">
        <v>1804</v>
      </c>
      <c r="F2133">
        <v>8870</v>
      </c>
      <c r="G2133">
        <v>672</v>
      </c>
      <c r="H2133">
        <v>479</v>
      </c>
      <c r="I2133">
        <v>1340</v>
      </c>
      <c r="J2133" s="11">
        <f t="shared" si="47"/>
        <v>1.7</v>
      </c>
      <c r="K2133">
        <v>850</v>
      </c>
      <c r="L2133">
        <v>116.5</v>
      </c>
      <c r="M2133">
        <v>118.4</v>
      </c>
      <c r="N2133">
        <v>124</v>
      </c>
      <c r="O2133">
        <v>16.399999999999999</v>
      </c>
      <c r="P2133">
        <v>6.59</v>
      </c>
    </row>
    <row r="2134" spans="1:16">
      <c r="A2134" s="1" t="s">
        <v>5519</v>
      </c>
      <c r="B2134" s="1" t="s">
        <v>2055</v>
      </c>
      <c r="C2134" s="1" t="s">
        <v>18</v>
      </c>
      <c r="D2134" s="1" t="s">
        <v>19</v>
      </c>
      <c r="E2134" s="1" t="s">
        <v>1804</v>
      </c>
      <c r="F2134">
        <v>7750</v>
      </c>
      <c r="G2134">
        <v>636</v>
      </c>
      <c r="H2134">
        <v>469</v>
      </c>
      <c r="I2134">
        <v>1407</v>
      </c>
      <c r="J2134" s="11">
        <f t="shared" si="47"/>
        <v>1.7</v>
      </c>
      <c r="K2134">
        <v>875</v>
      </c>
      <c r="L2134">
        <v>119.7</v>
      </c>
      <c r="M2134">
        <v>116.6</v>
      </c>
      <c r="N2134">
        <v>117.1</v>
      </c>
      <c r="O2134">
        <v>17.100000000000001</v>
      </c>
      <c r="P2134">
        <v>7.12</v>
      </c>
    </row>
    <row r="2135" spans="1:16">
      <c r="A2135" s="1" t="s">
        <v>5519</v>
      </c>
      <c r="B2135" s="1" t="s">
        <v>2056</v>
      </c>
      <c r="C2135" s="1" t="s">
        <v>18</v>
      </c>
      <c r="D2135" s="1" t="s">
        <v>19</v>
      </c>
      <c r="E2135" s="1" t="s">
        <v>1804</v>
      </c>
      <c r="F2135">
        <v>8660</v>
      </c>
      <c r="G2135">
        <v>683</v>
      </c>
      <c r="H2135">
        <v>437</v>
      </c>
      <c r="I2135">
        <v>1386</v>
      </c>
      <c r="J2135" s="11">
        <f t="shared" si="47"/>
        <v>1.7</v>
      </c>
      <c r="K2135">
        <v>860</v>
      </c>
      <c r="L2135">
        <v>121.6</v>
      </c>
      <c r="M2135">
        <v>115.4</v>
      </c>
      <c r="N2135">
        <v>114</v>
      </c>
      <c r="O2135">
        <v>17.600000000000001</v>
      </c>
      <c r="P2135">
        <v>7.8</v>
      </c>
    </row>
    <row r="2136" spans="1:16">
      <c r="A2136" s="1" t="s">
        <v>5519</v>
      </c>
      <c r="B2136" s="1" t="s">
        <v>2057</v>
      </c>
      <c r="C2136" s="1" t="s">
        <v>18</v>
      </c>
      <c r="D2136" s="1" t="s">
        <v>19</v>
      </c>
      <c r="E2136" s="1" t="s">
        <v>1804</v>
      </c>
      <c r="F2136">
        <v>6810</v>
      </c>
      <c r="G2136">
        <v>1145</v>
      </c>
      <c r="H2136">
        <v>925</v>
      </c>
      <c r="I2136">
        <v>769</v>
      </c>
      <c r="J2136" s="11">
        <f t="shared" si="47"/>
        <v>1.7</v>
      </c>
      <c r="K2136">
        <v>1478</v>
      </c>
      <c r="L2136">
        <v>154.30000000000001</v>
      </c>
      <c r="M2136">
        <v>131.5</v>
      </c>
      <c r="N2136">
        <v>206</v>
      </c>
      <c r="O2136">
        <v>9.6</v>
      </c>
      <c r="P2136">
        <v>4.8</v>
      </c>
    </row>
    <row r="2137" spans="1:16">
      <c r="A2137" s="1" t="s">
        <v>5519</v>
      </c>
      <c r="B2137" s="1" t="s">
        <v>2058</v>
      </c>
      <c r="C2137" s="1" t="s">
        <v>18</v>
      </c>
      <c r="D2137" s="1" t="s">
        <v>19</v>
      </c>
      <c r="E2137" s="1" t="s">
        <v>1804</v>
      </c>
      <c r="F2137">
        <v>6850</v>
      </c>
      <c r="G2137">
        <v>1130</v>
      </c>
      <c r="H2137">
        <v>917</v>
      </c>
      <c r="I2137">
        <v>798</v>
      </c>
      <c r="J2137">
        <v>3.5</v>
      </c>
      <c r="K2137">
        <v>1520</v>
      </c>
      <c r="L2137">
        <v>160.5</v>
      </c>
      <c r="M2137">
        <v>121.5</v>
      </c>
      <c r="N2137">
        <v>221</v>
      </c>
      <c r="O2137">
        <v>9.4</v>
      </c>
      <c r="P2137">
        <v>6.18</v>
      </c>
    </row>
    <row r="2138" spans="1:16">
      <c r="A2138" s="1" t="s">
        <v>5519</v>
      </c>
      <c r="B2138" s="1" t="s">
        <v>2059</v>
      </c>
      <c r="C2138" s="1" t="s">
        <v>18</v>
      </c>
      <c r="D2138" s="1" t="s">
        <v>19</v>
      </c>
      <c r="E2138" s="1" t="s">
        <v>1804</v>
      </c>
      <c r="F2138">
        <v>6540</v>
      </c>
      <c r="G2138">
        <v>1001</v>
      </c>
      <c r="H2138">
        <v>808</v>
      </c>
      <c r="I2138">
        <v>720</v>
      </c>
      <c r="J2138" s="11">
        <f>3.4/2</f>
        <v>1.7</v>
      </c>
      <c r="K2138">
        <v>1479</v>
      </c>
      <c r="L2138">
        <v>161.9</v>
      </c>
      <c r="M2138">
        <v>119.8</v>
      </c>
      <c r="N2138">
        <v>217</v>
      </c>
      <c r="O2138">
        <v>9</v>
      </c>
      <c r="P2138">
        <v>6.13</v>
      </c>
    </row>
    <row r="2139" spans="1:16">
      <c r="A2139" s="1" t="s">
        <v>5519</v>
      </c>
      <c r="B2139" s="1" t="s">
        <v>2060</v>
      </c>
      <c r="C2139" s="1" t="s">
        <v>18</v>
      </c>
      <c r="D2139" s="1" t="s">
        <v>19</v>
      </c>
      <c r="E2139" s="1" t="s">
        <v>1804</v>
      </c>
      <c r="F2139">
        <v>6760</v>
      </c>
      <c r="G2139">
        <v>930</v>
      </c>
      <c r="H2139">
        <v>782</v>
      </c>
      <c r="I2139">
        <v>699</v>
      </c>
      <c r="J2139">
        <v>5.7</v>
      </c>
      <c r="K2139">
        <v>1487</v>
      </c>
      <c r="L2139">
        <v>157.80000000000001</v>
      </c>
      <c r="M2139">
        <v>125.9</v>
      </c>
      <c r="N2139">
        <v>234</v>
      </c>
      <c r="O2139">
        <v>9.4</v>
      </c>
      <c r="P2139">
        <v>5.52</v>
      </c>
    </row>
    <row r="2140" spans="1:16">
      <c r="A2140" s="1" t="s">
        <v>5519</v>
      </c>
      <c r="B2140" s="1" t="s">
        <v>2061</v>
      </c>
      <c r="C2140" s="1" t="s">
        <v>18</v>
      </c>
      <c r="D2140" s="1" t="s">
        <v>19</v>
      </c>
      <c r="E2140" s="1" t="s">
        <v>1804</v>
      </c>
      <c r="F2140">
        <v>6690</v>
      </c>
      <c r="G2140">
        <v>864</v>
      </c>
      <c r="H2140">
        <v>747</v>
      </c>
      <c r="I2140">
        <v>663</v>
      </c>
      <c r="J2140" s="11">
        <f t="shared" ref="J2140:J2152" si="49">3.4/2</f>
        <v>1.7</v>
      </c>
      <c r="K2140">
        <v>1457</v>
      </c>
      <c r="L2140">
        <v>161.6</v>
      </c>
      <c r="M2140">
        <v>126.3</v>
      </c>
      <c r="N2140">
        <v>234</v>
      </c>
      <c r="O2140">
        <v>9.36</v>
      </c>
      <c r="P2140">
        <v>5.46</v>
      </c>
    </row>
    <row r="2141" spans="1:16">
      <c r="A2141" s="1" t="s">
        <v>5519</v>
      </c>
      <c r="B2141" s="1" t="s">
        <v>2062</v>
      </c>
      <c r="C2141" s="1" t="s">
        <v>18</v>
      </c>
      <c r="D2141" s="1" t="s">
        <v>19</v>
      </c>
      <c r="E2141" s="1" t="s">
        <v>1804</v>
      </c>
      <c r="F2141">
        <v>6820</v>
      </c>
      <c r="G2141">
        <v>869</v>
      </c>
      <c r="H2141">
        <v>764</v>
      </c>
      <c r="I2141">
        <v>663</v>
      </c>
      <c r="J2141" s="11">
        <f t="shared" si="49"/>
        <v>1.7</v>
      </c>
      <c r="K2141">
        <v>1488</v>
      </c>
      <c r="L2141">
        <v>159.6</v>
      </c>
      <c r="M2141">
        <v>123.5</v>
      </c>
      <c r="N2141">
        <v>248</v>
      </c>
      <c r="O2141">
        <v>10.42</v>
      </c>
      <c r="P2141">
        <v>6.9</v>
      </c>
    </row>
    <row r="2142" spans="1:16">
      <c r="A2142" s="1" t="s">
        <v>5519</v>
      </c>
      <c r="B2142" s="1" t="s">
        <v>2063</v>
      </c>
      <c r="C2142" s="1" t="s">
        <v>18</v>
      </c>
      <c r="D2142" s="1" t="s">
        <v>19</v>
      </c>
      <c r="E2142" s="1" t="s">
        <v>1804</v>
      </c>
      <c r="F2142">
        <v>6780</v>
      </c>
      <c r="G2142">
        <v>796</v>
      </c>
      <c r="H2142">
        <v>653</v>
      </c>
      <c r="I2142">
        <v>657</v>
      </c>
      <c r="J2142" s="11">
        <f t="shared" si="49"/>
        <v>1.7</v>
      </c>
      <c r="K2142">
        <v>1458</v>
      </c>
      <c r="L2142">
        <v>153.19999999999999</v>
      </c>
      <c r="M2142">
        <v>113.8</v>
      </c>
      <c r="N2142">
        <v>227</v>
      </c>
      <c r="O2142">
        <v>8.34</v>
      </c>
      <c r="P2142">
        <v>6.52</v>
      </c>
    </row>
    <row r="2143" spans="1:16">
      <c r="A2143" s="1" t="s">
        <v>5519</v>
      </c>
      <c r="B2143" s="1" t="s">
        <v>2064</v>
      </c>
      <c r="C2143" s="1" t="s">
        <v>18</v>
      </c>
      <c r="D2143" s="1" t="s">
        <v>19</v>
      </c>
      <c r="E2143" s="1" t="s">
        <v>1804</v>
      </c>
      <c r="F2143">
        <v>6490</v>
      </c>
      <c r="G2143">
        <v>693</v>
      </c>
      <c r="H2143">
        <v>601</v>
      </c>
      <c r="I2143">
        <v>617</v>
      </c>
      <c r="J2143" s="11">
        <f t="shared" si="49"/>
        <v>1.7</v>
      </c>
      <c r="K2143">
        <v>1422</v>
      </c>
      <c r="L2143">
        <v>156.5</v>
      </c>
      <c r="M2143">
        <v>112.8</v>
      </c>
      <c r="N2143">
        <v>231</v>
      </c>
      <c r="O2143">
        <v>8.5299999999999994</v>
      </c>
      <c r="P2143">
        <v>5.65</v>
      </c>
    </row>
    <row r="2144" spans="1:16">
      <c r="A2144" s="1" t="s">
        <v>5519</v>
      </c>
      <c r="B2144" s="1" t="s">
        <v>2065</v>
      </c>
      <c r="C2144" s="1" t="s">
        <v>18</v>
      </c>
      <c r="D2144" s="1" t="s">
        <v>19</v>
      </c>
      <c r="E2144" s="1" t="s">
        <v>1804</v>
      </c>
      <c r="F2144">
        <v>7030</v>
      </c>
      <c r="G2144">
        <v>659</v>
      </c>
      <c r="H2144">
        <v>589</v>
      </c>
      <c r="I2144">
        <v>641</v>
      </c>
      <c r="J2144" s="11">
        <f t="shared" si="49"/>
        <v>1.7</v>
      </c>
      <c r="K2144">
        <v>1467</v>
      </c>
      <c r="L2144">
        <v>154.4</v>
      </c>
      <c r="M2144">
        <v>120.2</v>
      </c>
      <c r="N2144">
        <v>226</v>
      </c>
      <c r="O2144">
        <v>8.56</v>
      </c>
      <c r="P2144">
        <v>6.45</v>
      </c>
    </row>
    <row r="2145" spans="1:16">
      <c r="A2145" s="1" t="s">
        <v>5519</v>
      </c>
      <c r="B2145" s="1" t="s">
        <v>2066</v>
      </c>
      <c r="C2145" s="1" t="s">
        <v>18</v>
      </c>
      <c r="D2145" s="1" t="s">
        <v>19</v>
      </c>
      <c r="E2145" s="1" t="s">
        <v>1804</v>
      </c>
      <c r="F2145">
        <v>6100</v>
      </c>
      <c r="G2145">
        <v>1516</v>
      </c>
      <c r="H2145">
        <v>932</v>
      </c>
      <c r="I2145">
        <v>957</v>
      </c>
      <c r="J2145" s="11">
        <f t="shared" si="49"/>
        <v>1.7</v>
      </c>
      <c r="K2145">
        <v>1445</v>
      </c>
      <c r="L2145">
        <v>152.4</v>
      </c>
      <c r="M2145">
        <v>141</v>
      </c>
      <c r="N2145">
        <v>217</v>
      </c>
      <c r="O2145">
        <v>10.9</v>
      </c>
      <c r="P2145">
        <v>4.5</v>
      </c>
    </row>
    <row r="2146" spans="1:16">
      <c r="A2146" s="1" t="s">
        <v>5519</v>
      </c>
      <c r="B2146" s="1" t="s">
        <v>2067</v>
      </c>
      <c r="C2146" s="1" t="s">
        <v>18</v>
      </c>
      <c r="D2146" s="1" t="s">
        <v>19</v>
      </c>
      <c r="E2146" s="1" t="s">
        <v>1804</v>
      </c>
      <c r="F2146">
        <v>6640</v>
      </c>
      <c r="G2146">
        <v>1658</v>
      </c>
      <c r="H2146">
        <v>980</v>
      </c>
      <c r="I2146">
        <v>1070</v>
      </c>
      <c r="J2146" s="11">
        <f t="shared" si="49"/>
        <v>1.7</v>
      </c>
      <c r="K2146">
        <v>1513</v>
      </c>
      <c r="L2146">
        <v>165.5</v>
      </c>
      <c r="M2146">
        <v>149</v>
      </c>
      <c r="N2146">
        <v>191</v>
      </c>
      <c r="O2146">
        <v>9.6999999999999993</v>
      </c>
      <c r="P2146">
        <v>4.41</v>
      </c>
    </row>
    <row r="2147" spans="1:16">
      <c r="A2147" s="1" t="s">
        <v>5519</v>
      </c>
      <c r="B2147" s="1" t="s">
        <v>2068</v>
      </c>
      <c r="C2147" s="1" t="s">
        <v>18</v>
      </c>
      <c r="D2147" s="1" t="s">
        <v>19</v>
      </c>
      <c r="E2147" s="1" t="s">
        <v>1804</v>
      </c>
      <c r="F2147">
        <v>6240</v>
      </c>
      <c r="G2147">
        <v>1599</v>
      </c>
      <c r="H2147">
        <v>882</v>
      </c>
      <c r="I2147">
        <v>1041</v>
      </c>
      <c r="J2147" s="11">
        <f t="shared" si="49"/>
        <v>1.7</v>
      </c>
      <c r="K2147">
        <v>1449</v>
      </c>
      <c r="L2147">
        <v>157</v>
      </c>
      <c r="M2147">
        <v>144.80000000000001</v>
      </c>
      <c r="N2147">
        <v>204</v>
      </c>
      <c r="O2147">
        <v>10.7</v>
      </c>
      <c r="P2147">
        <v>4.6100000000000003</v>
      </c>
    </row>
    <row r="2148" spans="1:16">
      <c r="A2148" s="1" t="s">
        <v>5519</v>
      </c>
      <c r="B2148" s="1" t="s">
        <v>2069</v>
      </c>
      <c r="C2148" s="1" t="s">
        <v>18</v>
      </c>
      <c r="D2148" s="1" t="s">
        <v>19</v>
      </c>
      <c r="E2148" s="1" t="s">
        <v>1804</v>
      </c>
      <c r="F2148">
        <v>6170</v>
      </c>
      <c r="G2148">
        <v>1643</v>
      </c>
      <c r="H2148">
        <v>867</v>
      </c>
      <c r="I2148">
        <v>1016</v>
      </c>
      <c r="J2148" s="11">
        <f t="shared" si="49"/>
        <v>1.7</v>
      </c>
      <c r="K2148">
        <v>1434</v>
      </c>
      <c r="L2148">
        <v>155.80000000000001</v>
      </c>
      <c r="M2148">
        <v>147.6</v>
      </c>
      <c r="N2148">
        <v>205</v>
      </c>
      <c r="O2148">
        <v>12.3</v>
      </c>
      <c r="P2148">
        <v>4.49</v>
      </c>
    </row>
    <row r="2149" spans="1:16">
      <c r="A2149" s="1" t="s">
        <v>5519</v>
      </c>
      <c r="B2149" s="1" t="s">
        <v>2070</v>
      </c>
      <c r="C2149" s="1" t="s">
        <v>18</v>
      </c>
      <c r="D2149" s="1" t="s">
        <v>19</v>
      </c>
      <c r="E2149" s="1" t="s">
        <v>1804</v>
      </c>
      <c r="F2149">
        <v>6380</v>
      </c>
      <c r="G2149">
        <v>1711</v>
      </c>
      <c r="H2149">
        <v>767</v>
      </c>
      <c r="I2149">
        <v>1039</v>
      </c>
      <c r="J2149" s="11">
        <f t="shared" si="49"/>
        <v>1.7</v>
      </c>
      <c r="K2149">
        <v>1448</v>
      </c>
      <c r="L2149">
        <v>164</v>
      </c>
      <c r="M2149">
        <v>144</v>
      </c>
      <c r="N2149">
        <v>211</v>
      </c>
      <c r="O2149">
        <v>11.4</v>
      </c>
      <c r="P2149">
        <v>5.14</v>
      </c>
    </row>
    <row r="2150" spans="1:16">
      <c r="A2150" s="1" t="s">
        <v>5519</v>
      </c>
      <c r="B2150" s="1" t="s">
        <v>2071</v>
      </c>
      <c r="C2150" s="1" t="s">
        <v>18</v>
      </c>
      <c r="D2150" s="1" t="s">
        <v>19</v>
      </c>
      <c r="E2150" s="1" t="s">
        <v>1804</v>
      </c>
      <c r="F2150">
        <v>6300</v>
      </c>
      <c r="G2150">
        <v>1689</v>
      </c>
      <c r="H2150">
        <v>788</v>
      </c>
      <c r="I2150">
        <v>1064</v>
      </c>
      <c r="J2150" s="11">
        <f t="shared" si="49"/>
        <v>1.7</v>
      </c>
      <c r="K2150">
        <v>1441</v>
      </c>
      <c r="L2150">
        <v>157.69999999999999</v>
      </c>
      <c r="M2150">
        <v>148</v>
      </c>
      <c r="N2150">
        <v>205</v>
      </c>
      <c r="O2150">
        <v>13.18</v>
      </c>
      <c r="P2150">
        <v>5.37</v>
      </c>
    </row>
    <row r="2151" spans="1:16">
      <c r="A2151" s="1" t="s">
        <v>5519</v>
      </c>
      <c r="B2151" s="1" t="s">
        <v>2072</v>
      </c>
      <c r="C2151" s="1" t="s">
        <v>18</v>
      </c>
      <c r="D2151" s="1" t="s">
        <v>19</v>
      </c>
      <c r="E2151" s="1" t="s">
        <v>1804</v>
      </c>
      <c r="F2151">
        <v>6400</v>
      </c>
      <c r="G2151">
        <v>1658</v>
      </c>
      <c r="H2151">
        <v>739</v>
      </c>
      <c r="I2151">
        <v>1093</v>
      </c>
      <c r="J2151" s="11">
        <f t="shared" si="49"/>
        <v>1.7</v>
      </c>
      <c r="K2151">
        <v>1440</v>
      </c>
      <c r="L2151">
        <v>163</v>
      </c>
      <c r="M2151">
        <v>149.69999999999999</v>
      </c>
      <c r="N2151">
        <v>208</v>
      </c>
      <c r="O2151">
        <v>13.3</v>
      </c>
      <c r="P2151">
        <v>5.1100000000000003</v>
      </c>
    </row>
    <row r="2152" spans="1:16">
      <c r="A2152" s="1" t="s">
        <v>5519</v>
      </c>
      <c r="B2152" s="1" t="s">
        <v>2073</v>
      </c>
      <c r="C2152" s="1" t="s">
        <v>18</v>
      </c>
      <c r="D2152" s="1" t="s">
        <v>19</v>
      </c>
      <c r="E2152" s="1" t="s">
        <v>1804</v>
      </c>
      <c r="F2152">
        <v>6210</v>
      </c>
      <c r="G2152">
        <v>1602</v>
      </c>
      <c r="H2152">
        <v>705</v>
      </c>
      <c r="I2152">
        <v>1124</v>
      </c>
      <c r="J2152" s="11">
        <f t="shared" si="49"/>
        <v>1.7</v>
      </c>
      <c r="K2152">
        <v>1452</v>
      </c>
      <c r="L2152">
        <v>158.1</v>
      </c>
      <c r="M2152">
        <v>148.6</v>
      </c>
      <c r="N2152">
        <v>209</v>
      </c>
      <c r="O2152">
        <v>12.22</v>
      </c>
      <c r="P2152">
        <v>4.42</v>
      </c>
    </row>
    <row r="2153" spans="1:16">
      <c r="A2153" s="1" t="s">
        <v>5519</v>
      </c>
      <c r="B2153" s="1" t="s">
        <v>2074</v>
      </c>
      <c r="C2153" s="1" t="s">
        <v>18</v>
      </c>
      <c r="D2153" s="1" t="s">
        <v>19</v>
      </c>
      <c r="E2153" s="1" t="s">
        <v>1804</v>
      </c>
      <c r="F2153">
        <v>7730</v>
      </c>
      <c r="G2153">
        <v>1445</v>
      </c>
      <c r="H2153">
        <v>653</v>
      </c>
      <c r="I2153">
        <v>1289</v>
      </c>
      <c r="J2153">
        <v>30.7</v>
      </c>
      <c r="K2153">
        <v>850</v>
      </c>
      <c r="L2153">
        <v>122</v>
      </c>
      <c r="M2153">
        <v>119.2</v>
      </c>
      <c r="N2153">
        <v>111.8</v>
      </c>
      <c r="O2153">
        <v>10.4</v>
      </c>
      <c r="P2153">
        <v>4.32</v>
      </c>
    </row>
    <row r="2154" spans="1:16">
      <c r="A2154" s="1" t="s">
        <v>5519</v>
      </c>
      <c r="B2154" s="1" t="s">
        <v>2075</v>
      </c>
      <c r="C2154" s="1" t="s">
        <v>18</v>
      </c>
      <c r="D2154" s="1" t="s">
        <v>19</v>
      </c>
      <c r="E2154" s="1" t="s">
        <v>1804</v>
      </c>
      <c r="F2154">
        <v>8240</v>
      </c>
      <c r="G2154">
        <v>1359</v>
      </c>
      <c r="H2154">
        <v>677</v>
      </c>
      <c r="I2154">
        <v>1307</v>
      </c>
      <c r="J2154" s="11">
        <f t="shared" ref="J2154:J2162" si="50">3.4/2</f>
        <v>1.7</v>
      </c>
      <c r="K2154">
        <v>910</v>
      </c>
      <c r="L2154">
        <v>124.1</v>
      </c>
      <c r="M2154">
        <v>116.7</v>
      </c>
      <c r="N2154">
        <v>130</v>
      </c>
      <c r="O2154">
        <v>11.49</v>
      </c>
      <c r="P2154">
        <v>4.62</v>
      </c>
    </row>
    <row r="2155" spans="1:16">
      <c r="A2155" s="1" t="s">
        <v>5519</v>
      </c>
      <c r="B2155" s="1" t="s">
        <v>2076</v>
      </c>
      <c r="C2155" s="1" t="s">
        <v>18</v>
      </c>
      <c r="D2155" s="1" t="s">
        <v>19</v>
      </c>
      <c r="E2155" s="1" t="s">
        <v>1804</v>
      </c>
      <c r="F2155">
        <v>8450</v>
      </c>
      <c r="G2155">
        <v>1286</v>
      </c>
      <c r="H2155">
        <v>609</v>
      </c>
      <c r="I2155">
        <v>1200</v>
      </c>
      <c r="J2155" s="11">
        <f t="shared" si="50"/>
        <v>1.7</v>
      </c>
      <c r="K2155">
        <v>911</v>
      </c>
      <c r="L2155">
        <v>126.2</v>
      </c>
      <c r="M2155">
        <v>119.5</v>
      </c>
      <c r="N2155">
        <v>126.7</v>
      </c>
      <c r="O2155">
        <v>12.77</v>
      </c>
      <c r="P2155">
        <v>5.45</v>
      </c>
    </row>
    <row r="2156" spans="1:16">
      <c r="A2156" s="1" t="s">
        <v>5519</v>
      </c>
      <c r="B2156" s="1" t="s">
        <v>2077</v>
      </c>
      <c r="C2156" s="1" t="s">
        <v>18</v>
      </c>
      <c r="D2156" s="1" t="s">
        <v>19</v>
      </c>
      <c r="E2156" s="1" t="s">
        <v>1804</v>
      </c>
      <c r="F2156">
        <v>8960</v>
      </c>
      <c r="G2156">
        <v>1251</v>
      </c>
      <c r="H2156">
        <v>550</v>
      </c>
      <c r="I2156">
        <v>1278</v>
      </c>
      <c r="J2156" s="11">
        <f t="shared" si="50"/>
        <v>1.7</v>
      </c>
      <c r="K2156">
        <v>879</v>
      </c>
      <c r="L2156">
        <v>130.9</v>
      </c>
      <c r="M2156">
        <v>124.7</v>
      </c>
      <c r="N2156">
        <v>134</v>
      </c>
      <c r="O2156">
        <v>12.18</v>
      </c>
      <c r="P2156">
        <v>4.6500000000000004</v>
      </c>
    </row>
    <row r="2157" spans="1:16">
      <c r="A2157" s="1" t="s">
        <v>5519</v>
      </c>
      <c r="B2157" s="1" t="s">
        <v>2078</v>
      </c>
      <c r="C2157" s="1" t="s">
        <v>18</v>
      </c>
      <c r="D2157" s="1" t="s">
        <v>19</v>
      </c>
      <c r="E2157" s="1" t="s">
        <v>1804</v>
      </c>
      <c r="F2157">
        <v>8370</v>
      </c>
      <c r="G2157">
        <v>1134</v>
      </c>
      <c r="H2157">
        <v>496</v>
      </c>
      <c r="I2157">
        <v>1215</v>
      </c>
      <c r="J2157" s="11">
        <f t="shared" si="50"/>
        <v>1.7</v>
      </c>
      <c r="K2157">
        <v>872</v>
      </c>
      <c r="L2157">
        <v>122.6</v>
      </c>
      <c r="M2157">
        <v>117.2</v>
      </c>
      <c r="N2157">
        <v>125</v>
      </c>
      <c r="O2157">
        <v>13.08</v>
      </c>
      <c r="P2157">
        <v>4.91</v>
      </c>
    </row>
    <row r="2158" spans="1:16">
      <c r="A2158" s="1" t="s">
        <v>5519</v>
      </c>
      <c r="B2158" s="1" t="s">
        <v>2079</v>
      </c>
      <c r="C2158" s="1" t="s">
        <v>18</v>
      </c>
      <c r="D2158" s="1" t="s">
        <v>19</v>
      </c>
      <c r="E2158" s="1" t="s">
        <v>1804</v>
      </c>
      <c r="F2158">
        <v>8640</v>
      </c>
      <c r="G2158">
        <v>1011</v>
      </c>
      <c r="H2158">
        <v>455</v>
      </c>
      <c r="I2158">
        <v>1320</v>
      </c>
      <c r="J2158" s="11">
        <f t="shared" si="50"/>
        <v>1.7</v>
      </c>
      <c r="K2158">
        <v>845</v>
      </c>
      <c r="L2158">
        <v>121.7</v>
      </c>
      <c r="M2158">
        <v>118.4</v>
      </c>
      <c r="N2158">
        <v>125</v>
      </c>
      <c r="O2158">
        <v>11.8</v>
      </c>
      <c r="P2158">
        <v>5.1100000000000003</v>
      </c>
    </row>
    <row r="2159" spans="1:16">
      <c r="A2159" s="1" t="s">
        <v>5519</v>
      </c>
      <c r="B2159" s="1" t="s">
        <v>2080</v>
      </c>
      <c r="C2159" s="1" t="s">
        <v>18</v>
      </c>
      <c r="D2159" s="1" t="s">
        <v>19</v>
      </c>
      <c r="E2159" s="1" t="s">
        <v>1804</v>
      </c>
      <c r="F2159">
        <v>8740</v>
      </c>
      <c r="G2159">
        <v>911</v>
      </c>
      <c r="H2159">
        <v>375</v>
      </c>
      <c r="I2159">
        <v>1310</v>
      </c>
      <c r="J2159" s="11">
        <f t="shared" si="50"/>
        <v>1.7</v>
      </c>
      <c r="K2159">
        <v>834</v>
      </c>
      <c r="L2159">
        <v>124.7</v>
      </c>
      <c r="M2159">
        <v>118.7</v>
      </c>
      <c r="N2159">
        <v>116.9</v>
      </c>
      <c r="O2159">
        <v>11.94</v>
      </c>
      <c r="P2159">
        <v>5.55</v>
      </c>
    </row>
    <row r="2160" spans="1:16">
      <c r="A2160" s="1" t="s">
        <v>5519</v>
      </c>
      <c r="B2160" s="1" t="s">
        <v>2081</v>
      </c>
      <c r="C2160" s="1" t="s">
        <v>18</v>
      </c>
      <c r="D2160" s="1" t="s">
        <v>19</v>
      </c>
      <c r="E2160" s="1" t="s">
        <v>1804</v>
      </c>
      <c r="F2160">
        <v>8970</v>
      </c>
      <c r="G2160">
        <v>817</v>
      </c>
      <c r="H2160">
        <v>306</v>
      </c>
      <c r="I2160">
        <v>1313</v>
      </c>
      <c r="J2160" s="11">
        <f t="shared" si="50"/>
        <v>1.7</v>
      </c>
      <c r="K2160">
        <v>846</v>
      </c>
      <c r="L2160">
        <v>126.7</v>
      </c>
      <c r="M2160">
        <v>128.80000000000001</v>
      </c>
      <c r="N2160">
        <v>111</v>
      </c>
      <c r="O2160">
        <v>11.59</v>
      </c>
      <c r="P2160">
        <v>5.18</v>
      </c>
    </row>
    <row r="2161" spans="1:16">
      <c r="A2161" s="1" t="s">
        <v>5519</v>
      </c>
      <c r="B2161" s="1" t="s">
        <v>2082</v>
      </c>
      <c r="C2161" s="1" t="s">
        <v>18</v>
      </c>
      <c r="D2161" s="1" t="s">
        <v>19</v>
      </c>
      <c r="E2161" s="1" t="s">
        <v>1804</v>
      </c>
      <c r="F2161">
        <v>9220</v>
      </c>
      <c r="G2161">
        <v>755</v>
      </c>
      <c r="H2161">
        <v>279</v>
      </c>
      <c r="I2161">
        <v>1346</v>
      </c>
      <c r="J2161" s="11">
        <f t="shared" si="50"/>
        <v>1.7</v>
      </c>
      <c r="K2161">
        <v>820</v>
      </c>
      <c r="L2161">
        <v>124.8</v>
      </c>
      <c r="M2161">
        <v>120.9</v>
      </c>
      <c r="N2161">
        <v>116.2</v>
      </c>
      <c r="O2161">
        <v>11.2</v>
      </c>
      <c r="P2161">
        <v>6.18</v>
      </c>
    </row>
    <row r="2162" spans="1:16">
      <c r="A2162" s="1" t="s">
        <v>5519</v>
      </c>
      <c r="B2162" s="1" t="s">
        <v>2083</v>
      </c>
      <c r="C2162" s="1" t="s">
        <v>18</v>
      </c>
      <c r="D2162" s="1" t="s">
        <v>19</v>
      </c>
      <c r="E2162" s="1" t="s">
        <v>1804</v>
      </c>
      <c r="F2162">
        <v>9350</v>
      </c>
      <c r="G2162">
        <v>639</v>
      </c>
      <c r="H2162">
        <v>267</v>
      </c>
      <c r="I2162">
        <v>1374</v>
      </c>
      <c r="J2162" s="11">
        <f t="shared" si="50"/>
        <v>1.7</v>
      </c>
      <c r="K2162">
        <v>819</v>
      </c>
      <c r="L2162">
        <v>122.4</v>
      </c>
      <c r="M2162">
        <v>113.4</v>
      </c>
      <c r="N2162">
        <v>104.4</v>
      </c>
      <c r="O2162">
        <v>11.17</v>
      </c>
      <c r="P2162">
        <v>5.57</v>
      </c>
    </row>
    <row r="2163" spans="1:16">
      <c r="A2163" s="1" t="s">
        <v>5519</v>
      </c>
      <c r="B2163" s="1" t="s">
        <v>2084</v>
      </c>
      <c r="C2163" s="1" t="s">
        <v>18</v>
      </c>
      <c r="D2163" s="1" t="s">
        <v>19</v>
      </c>
      <c r="E2163" s="1" t="s">
        <v>1804</v>
      </c>
      <c r="F2163">
        <v>11030</v>
      </c>
      <c r="G2163">
        <v>3230</v>
      </c>
      <c r="H2163">
        <v>1476</v>
      </c>
      <c r="I2163">
        <v>1314</v>
      </c>
      <c r="J2163">
        <v>5.6</v>
      </c>
      <c r="K2163">
        <v>907</v>
      </c>
      <c r="L2163">
        <v>122.5</v>
      </c>
      <c r="M2163">
        <v>119.9</v>
      </c>
      <c r="N2163">
        <v>130.30000000000001</v>
      </c>
      <c r="O2163">
        <v>14.8</v>
      </c>
      <c r="P2163">
        <v>5.41</v>
      </c>
    </row>
    <row r="2164" spans="1:16">
      <c r="A2164" s="1" t="s">
        <v>5519</v>
      </c>
      <c r="B2164" s="1" t="s">
        <v>2085</v>
      </c>
      <c r="C2164" s="1" t="s">
        <v>18</v>
      </c>
      <c r="D2164" s="1" t="s">
        <v>19</v>
      </c>
      <c r="E2164" s="1" t="s">
        <v>1804</v>
      </c>
      <c r="F2164">
        <v>10990</v>
      </c>
      <c r="G2164">
        <v>3370</v>
      </c>
      <c r="H2164">
        <v>1570</v>
      </c>
      <c r="I2164">
        <v>1351</v>
      </c>
      <c r="J2164">
        <v>6.6</v>
      </c>
      <c r="K2164">
        <v>917</v>
      </c>
      <c r="L2164">
        <v>117.9</v>
      </c>
      <c r="M2164">
        <v>118.9</v>
      </c>
      <c r="N2164">
        <v>127.4</v>
      </c>
      <c r="O2164">
        <v>16.2</v>
      </c>
      <c r="P2164">
        <v>5.55</v>
      </c>
    </row>
    <row r="2165" spans="1:16">
      <c r="A2165" s="1" t="s">
        <v>5519</v>
      </c>
      <c r="B2165" s="1" t="s">
        <v>2086</v>
      </c>
      <c r="C2165" s="1" t="s">
        <v>18</v>
      </c>
      <c r="D2165" s="1" t="s">
        <v>19</v>
      </c>
      <c r="E2165" s="1" t="s">
        <v>1804</v>
      </c>
      <c r="F2165">
        <v>11490</v>
      </c>
      <c r="G2165">
        <v>3580</v>
      </c>
      <c r="H2165">
        <v>1695</v>
      </c>
      <c r="I2165">
        <v>1344</v>
      </c>
      <c r="J2165">
        <v>6.9</v>
      </c>
      <c r="K2165">
        <v>937</v>
      </c>
      <c r="L2165">
        <v>127.5</v>
      </c>
      <c r="M2165">
        <v>119</v>
      </c>
      <c r="N2165">
        <v>137</v>
      </c>
      <c r="O2165">
        <v>15.36</v>
      </c>
      <c r="P2165">
        <v>6.44</v>
      </c>
    </row>
    <row r="2166" spans="1:16">
      <c r="A2166" s="1" t="s">
        <v>5519</v>
      </c>
      <c r="B2166" s="1" t="s">
        <v>2087</v>
      </c>
      <c r="C2166" s="1" t="s">
        <v>18</v>
      </c>
      <c r="D2166" s="1" t="s">
        <v>19</v>
      </c>
      <c r="E2166" s="1" t="s">
        <v>1804</v>
      </c>
      <c r="F2166">
        <v>10760</v>
      </c>
      <c r="G2166">
        <v>3610</v>
      </c>
      <c r="H2166">
        <v>1800</v>
      </c>
      <c r="I2166">
        <v>1335</v>
      </c>
      <c r="J2166">
        <v>8</v>
      </c>
      <c r="K2166">
        <v>983</v>
      </c>
      <c r="L2166">
        <v>127.4</v>
      </c>
      <c r="M2166">
        <v>127</v>
      </c>
      <c r="N2166">
        <v>137.4</v>
      </c>
      <c r="O2166">
        <v>16.600000000000001</v>
      </c>
      <c r="P2166">
        <v>6.26</v>
      </c>
    </row>
    <row r="2167" spans="1:16">
      <c r="A2167" s="1" t="s">
        <v>5519</v>
      </c>
      <c r="B2167" s="1" t="s">
        <v>2088</v>
      </c>
      <c r="C2167" s="1" t="s">
        <v>18</v>
      </c>
      <c r="D2167" s="1" t="s">
        <v>19</v>
      </c>
      <c r="E2167" s="1" t="s">
        <v>1804</v>
      </c>
      <c r="F2167">
        <v>11440</v>
      </c>
      <c r="G2167">
        <v>3620</v>
      </c>
      <c r="H2167">
        <v>1791</v>
      </c>
      <c r="I2167">
        <v>1400</v>
      </c>
      <c r="J2167">
        <v>4.7</v>
      </c>
      <c r="K2167">
        <v>940</v>
      </c>
      <c r="L2167">
        <v>123.7</v>
      </c>
      <c r="M2167">
        <v>118.8</v>
      </c>
      <c r="N2167">
        <v>142</v>
      </c>
      <c r="O2167">
        <v>16.5</v>
      </c>
      <c r="P2167">
        <v>5.65</v>
      </c>
    </row>
    <row r="2168" spans="1:16">
      <c r="A2168" s="1" t="s">
        <v>5519</v>
      </c>
      <c r="B2168" s="1" t="s">
        <v>2089</v>
      </c>
      <c r="C2168" s="1" t="s">
        <v>18</v>
      </c>
      <c r="D2168" s="1" t="s">
        <v>19</v>
      </c>
      <c r="E2168" s="1" t="s">
        <v>1804</v>
      </c>
      <c r="F2168">
        <v>11240</v>
      </c>
      <c r="G2168">
        <v>3620</v>
      </c>
      <c r="H2168">
        <v>1840</v>
      </c>
      <c r="I2168">
        <v>1402</v>
      </c>
      <c r="J2168">
        <v>4.5999999999999996</v>
      </c>
      <c r="K2168">
        <v>931</v>
      </c>
      <c r="L2168">
        <v>122.7</v>
      </c>
      <c r="M2168">
        <v>126.2</v>
      </c>
      <c r="N2168">
        <v>137.69999999999999</v>
      </c>
      <c r="O2168">
        <v>14.7</v>
      </c>
      <c r="P2168">
        <v>5.76</v>
      </c>
    </row>
    <row r="2169" spans="1:16">
      <c r="A2169" s="1" t="s">
        <v>5519</v>
      </c>
      <c r="B2169" s="1" t="s">
        <v>2090</v>
      </c>
      <c r="C2169" s="1" t="s">
        <v>18</v>
      </c>
      <c r="D2169" s="1" t="s">
        <v>19</v>
      </c>
      <c r="E2169" s="1" t="s">
        <v>1804</v>
      </c>
      <c r="F2169">
        <v>10440</v>
      </c>
      <c r="G2169">
        <v>3392</v>
      </c>
      <c r="H2169">
        <v>1818</v>
      </c>
      <c r="I2169">
        <v>1499</v>
      </c>
      <c r="J2169">
        <v>13.2</v>
      </c>
      <c r="K2169">
        <v>926</v>
      </c>
      <c r="L2169">
        <v>125.6</v>
      </c>
      <c r="M2169">
        <v>127.1</v>
      </c>
      <c r="N2169">
        <v>162.4</v>
      </c>
      <c r="O2169">
        <v>15</v>
      </c>
      <c r="P2169">
        <v>5.41</v>
      </c>
    </row>
    <row r="2170" spans="1:16">
      <c r="A2170" s="1" t="s">
        <v>5519</v>
      </c>
      <c r="B2170" s="1" t="s">
        <v>2091</v>
      </c>
      <c r="C2170" s="1" t="s">
        <v>18</v>
      </c>
      <c r="D2170" s="1" t="s">
        <v>19</v>
      </c>
      <c r="E2170" s="1" t="s">
        <v>1804</v>
      </c>
      <c r="F2170">
        <v>9560</v>
      </c>
      <c r="G2170">
        <v>3240</v>
      </c>
      <c r="H2170">
        <v>1788</v>
      </c>
      <c r="I2170">
        <v>1467</v>
      </c>
      <c r="J2170">
        <v>18.399999999999999</v>
      </c>
      <c r="K2170">
        <v>1000</v>
      </c>
      <c r="L2170">
        <v>132</v>
      </c>
      <c r="M2170">
        <v>126</v>
      </c>
      <c r="N2170">
        <v>160</v>
      </c>
      <c r="O2170">
        <v>16</v>
      </c>
      <c r="P2170">
        <v>5.63</v>
      </c>
    </row>
    <row r="2171" spans="1:16">
      <c r="A2171" s="1" t="s">
        <v>5519</v>
      </c>
      <c r="B2171" s="1" t="s">
        <v>2092</v>
      </c>
      <c r="C2171" s="1" t="s">
        <v>18</v>
      </c>
      <c r="D2171" s="1" t="s">
        <v>19</v>
      </c>
      <c r="E2171" s="1" t="s">
        <v>1804</v>
      </c>
      <c r="F2171">
        <v>7610</v>
      </c>
      <c r="G2171">
        <v>155.30000000000001</v>
      </c>
      <c r="H2171">
        <v>136</v>
      </c>
      <c r="I2171">
        <v>1402</v>
      </c>
      <c r="J2171" s="11">
        <f t="shared" ref="J2171:J2211" si="51">3.4/2</f>
        <v>1.7</v>
      </c>
      <c r="K2171">
        <v>731</v>
      </c>
      <c r="L2171">
        <v>100.7</v>
      </c>
      <c r="M2171">
        <v>103.5</v>
      </c>
      <c r="N2171">
        <v>101.6</v>
      </c>
      <c r="O2171">
        <v>11.05</v>
      </c>
      <c r="P2171">
        <v>4.6500000000000004</v>
      </c>
    </row>
    <row r="2172" spans="1:16">
      <c r="A2172" s="1" t="s">
        <v>5519</v>
      </c>
      <c r="B2172" s="1" t="s">
        <v>2093</v>
      </c>
      <c r="C2172" s="1" t="s">
        <v>18</v>
      </c>
      <c r="D2172" s="1" t="s">
        <v>19</v>
      </c>
      <c r="E2172" s="1" t="s">
        <v>1804</v>
      </c>
      <c r="F2172">
        <v>7470</v>
      </c>
      <c r="G2172">
        <v>166.4</v>
      </c>
      <c r="H2172">
        <v>143.6</v>
      </c>
      <c r="I2172">
        <v>1410</v>
      </c>
      <c r="J2172" s="11">
        <f t="shared" si="51"/>
        <v>1.7</v>
      </c>
      <c r="K2172">
        <v>726</v>
      </c>
      <c r="L2172">
        <v>103.1</v>
      </c>
      <c r="M2172">
        <v>100.7</v>
      </c>
      <c r="N2172">
        <v>90.5</v>
      </c>
      <c r="O2172">
        <v>10.09</v>
      </c>
      <c r="P2172">
        <v>5.05</v>
      </c>
    </row>
    <row r="2173" spans="1:16">
      <c r="A2173" s="1" t="s">
        <v>5519</v>
      </c>
      <c r="B2173" s="1" t="s">
        <v>2094</v>
      </c>
      <c r="C2173" s="1" t="s">
        <v>18</v>
      </c>
      <c r="D2173" s="1" t="s">
        <v>19</v>
      </c>
      <c r="E2173" s="1" t="s">
        <v>1804</v>
      </c>
      <c r="F2173">
        <v>7770</v>
      </c>
      <c r="G2173">
        <v>161.6</v>
      </c>
      <c r="H2173">
        <v>149.9</v>
      </c>
      <c r="I2173">
        <v>1428</v>
      </c>
      <c r="J2173" s="11">
        <f t="shared" si="51"/>
        <v>1.7</v>
      </c>
      <c r="K2173">
        <v>746</v>
      </c>
      <c r="L2173">
        <v>104</v>
      </c>
      <c r="M2173">
        <v>104.3</v>
      </c>
      <c r="N2173">
        <v>101</v>
      </c>
      <c r="O2173">
        <v>11.08</v>
      </c>
      <c r="P2173">
        <v>4.67</v>
      </c>
    </row>
    <row r="2174" spans="1:16">
      <c r="A2174" s="1" t="s">
        <v>5519</v>
      </c>
      <c r="B2174" s="1" t="s">
        <v>2095</v>
      </c>
      <c r="C2174" s="1" t="s">
        <v>18</v>
      </c>
      <c r="D2174" s="1" t="s">
        <v>19</v>
      </c>
      <c r="E2174" s="1" t="s">
        <v>1804</v>
      </c>
      <c r="F2174">
        <v>7820</v>
      </c>
      <c r="G2174">
        <v>164.8</v>
      </c>
      <c r="H2174">
        <v>142.5</v>
      </c>
      <c r="I2174">
        <v>1440</v>
      </c>
      <c r="J2174" s="11">
        <f t="shared" si="51"/>
        <v>1.7</v>
      </c>
      <c r="K2174">
        <v>724</v>
      </c>
      <c r="L2174">
        <v>101.5</v>
      </c>
      <c r="M2174">
        <v>102.8</v>
      </c>
      <c r="N2174">
        <v>91.8</v>
      </c>
      <c r="O2174">
        <v>11.01</v>
      </c>
      <c r="P2174">
        <v>4.8600000000000003</v>
      </c>
    </row>
    <row r="2175" spans="1:16">
      <c r="A2175" s="1" t="s">
        <v>5519</v>
      </c>
      <c r="B2175" s="1" t="s">
        <v>2096</v>
      </c>
      <c r="C2175" s="1" t="s">
        <v>18</v>
      </c>
      <c r="D2175" s="1" t="s">
        <v>19</v>
      </c>
      <c r="E2175" s="1" t="s">
        <v>1804</v>
      </c>
      <c r="F2175">
        <v>7560</v>
      </c>
      <c r="G2175">
        <v>167.4</v>
      </c>
      <c r="H2175">
        <v>139.1</v>
      </c>
      <c r="I2175">
        <v>1420</v>
      </c>
      <c r="J2175" s="11">
        <f t="shared" si="51"/>
        <v>1.7</v>
      </c>
      <c r="K2175">
        <v>730</v>
      </c>
      <c r="L2175">
        <v>103.7</v>
      </c>
      <c r="M2175">
        <v>103</v>
      </c>
      <c r="N2175">
        <v>93.1</v>
      </c>
      <c r="O2175">
        <v>10.79</v>
      </c>
      <c r="P2175">
        <v>5.13</v>
      </c>
    </row>
    <row r="2176" spans="1:16">
      <c r="A2176" s="1" t="s">
        <v>5519</v>
      </c>
      <c r="B2176" s="1" t="s">
        <v>2097</v>
      </c>
      <c r="C2176" s="1" t="s">
        <v>18</v>
      </c>
      <c r="D2176" s="1" t="s">
        <v>19</v>
      </c>
      <c r="E2176" s="1" t="s">
        <v>1804</v>
      </c>
      <c r="F2176">
        <v>8000</v>
      </c>
      <c r="G2176">
        <v>172.6</v>
      </c>
      <c r="H2176">
        <v>147.4</v>
      </c>
      <c r="I2176">
        <v>1433</v>
      </c>
      <c r="J2176" s="11">
        <f t="shared" si="51"/>
        <v>1.7</v>
      </c>
      <c r="K2176">
        <v>723</v>
      </c>
      <c r="L2176">
        <v>102.3</v>
      </c>
      <c r="M2176">
        <v>98.8</v>
      </c>
      <c r="N2176">
        <v>106.7</v>
      </c>
      <c r="O2176">
        <v>10.85</v>
      </c>
      <c r="P2176">
        <v>5.3</v>
      </c>
    </row>
    <row r="2177" spans="1:16">
      <c r="A2177" s="1" t="s">
        <v>5519</v>
      </c>
      <c r="B2177" s="1" t="s">
        <v>2098</v>
      </c>
      <c r="C2177" s="1" t="s">
        <v>18</v>
      </c>
      <c r="D2177" s="1" t="s">
        <v>19</v>
      </c>
      <c r="E2177" s="1" t="s">
        <v>1804</v>
      </c>
      <c r="F2177">
        <v>7830</v>
      </c>
      <c r="G2177">
        <v>166.6</v>
      </c>
      <c r="H2177">
        <v>145.19999999999999</v>
      </c>
      <c r="I2177">
        <v>1442</v>
      </c>
      <c r="J2177" s="11">
        <f t="shared" si="51"/>
        <v>1.7</v>
      </c>
      <c r="K2177">
        <v>734</v>
      </c>
      <c r="L2177">
        <v>103.2</v>
      </c>
      <c r="M2177">
        <v>100.7</v>
      </c>
      <c r="N2177">
        <v>100</v>
      </c>
      <c r="O2177">
        <v>11.49</v>
      </c>
      <c r="P2177">
        <v>4.87</v>
      </c>
    </row>
    <row r="2178" spans="1:16">
      <c r="A2178" s="1" t="s">
        <v>5519</v>
      </c>
      <c r="B2178" s="1" t="s">
        <v>2099</v>
      </c>
      <c r="C2178" s="1" t="s">
        <v>18</v>
      </c>
      <c r="D2178" s="1" t="s">
        <v>19</v>
      </c>
      <c r="E2178" s="1" t="s">
        <v>1804</v>
      </c>
      <c r="F2178">
        <v>7690</v>
      </c>
      <c r="G2178">
        <v>172.3</v>
      </c>
      <c r="H2178">
        <v>154.5</v>
      </c>
      <c r="I2178">
        <v>1458</v>
      </c>
      <c r="J2178" s="11">
        <f t="shared" si="51"/>
        <v>1.7</v>
      </c>
      <c r="K2178">
        <v>736</v>
      </c>
      <c r="L2178">
        <v>105.6</v>
      </c>
      <c r="M2178">
        <v>98.6</v>
      </c>
      <c r="N2178">
        <v>103.1</v>
      </c>
      <c r="O2178">
        <v>11.82</v>
      </c>
      <c r="P2178">
        <v>5.59</v>
      </c>
    </row>
    <row r="2179" spans="1:16">
      <c r="A2179" s="1" t="s">
        <v>5519</v>
      </c>
      <c r="B2179" s="1" t="s">
        <v>2100</v>
      </c>
      <c r="C2179" s="1" t="s">
        <v>18</v>
      </c>
      <c r="D2179" s="1" t="s">
        <v>19</v>
      </c>
      <c r="E2179" s="1" t="s">
        <v>1804</v>
      </c>
      <c r="F2179">
        <v>7620</v>
      </c>
      <c r="G2179">
        <v>174.7</v>
      </c>
      <c r="H2179">
        <v>159</v>
      </c>
      <c r="I2179">
        <v>1446</v>
      </c>
      <c r="J2179" s="11">
        <f t="shared" si="51"/>
        <v>1.7</v>
      </c>
      <c r="K2179">
        <v>750</v>
      </c>
      <c r="L2179">
        <v>103.7</v>
      </c>
      <c r="M2179">
        <v>96.8</v>
      </c>
      <c r="N2179">
        <v>109.1</v>
      </c>
      <c r="O2179">
        <v>12.18</v>
      </c>
      <c r="P2179">
        <v>4.8899999999999997</v>
      </c>
    </row>
    <row r="2180" spans="1:16">
      <c r="A2180" s="1" t="s">
        <v>5519</v>
      </c>
      <c r="B2180" s="1" t="s">
        <v>2101</v>
      </c>
      <c r="C2180" s="1" t="s">
        <v>18</v>
      </c>
      <c r="D2180" s="1" t="s">
        <v>19</v>
      </c>
      <c r="E2180" s="1" t="s">
        <v>1804</v>
      </c>
      <c r="F2180">
        <v>7480</v>
      </c>
      <c r="G2180">
        <v>170.2</v>
      </c>
      <c r="H2180">
        <v>148</v>
      </c>
      <c r="I2180">
        <v>1423</v>
      </c>
      <c r="J2180" s="11">
        <f t="shared" si="51"/>
        <v>1.7</v>
      </c>
      <c r="K2180">
        <v>726</v>
      </c>
      <c r="L2180">
        <v>100.4</v>
      </c>
      <c r="M2180">
        <v>101.5</v>
      </c>
      <c r="N2180">
        <v>89.7</v>
      </c>
      <c r="O2180">
        <v>10.91</v>
      </c>
      <c r="P2180">
        <v>5.46</v>
      </c>
    </row>
    <row r="2181" spans="1:16">
      <c r="A2181" s="1" t="s">
        <v>5519</v>
      </c>
      <c r="B2181" s="1" t="s">
        <v>2102</v>
      </c>
      <c r="C2181" s="1" t="s">
        <v>18</v>
      </c>
      <c r="D2181" s="1" t="s">
        <v>19</v>
      </c>
      <c r="E2181" s="1" t="s">
        <v>1804</v>
      </c>
      <c r="F2181">
        <v>7830</v>
      </c>
      <c r="G2181">
        <v>184.2</v>
      </c>
      <c r="H2181">
        <v>162.69999999999999</v>
      </c>
      <c r="I2181">
        <v>1478</v>
      </c>
      <c r="J2181" s="11">
        <f t="shared" si="51"/>
        <v>1.7</v>
      </c>
      <c r="K2181">
        <v>749</v>
      </c>
      <c r="L2181">
        <v>107</v>
      </c>
      <c r="M2181">
        <v>102.1</v>
      </c>
      <c r="N2181">
        <v>104.8</v>
      </c>
      <c r="O2181">
        <v>11.98</v>
      </c>
      <c r="P2181">
        <v>5.6</v>
      </c>
    </row>
    <row r="2182" spans="1:16">
      <c r="A2182" s="1" t="s">
        <v>5519</v>
      </c>
      <c r="B2182" s="1" t="s">
        <v>2103</v>
      </c>
      <c r="C2182" s="1" t="s">
        <v>18</v>
      </c>
      <c r="D2182" s="1" t="s">
        <v>19</v>
      </c>
      <c r="E2182" s="1" t="s">
        <v>1804</v>
      </c>
      <c r="F2182">
        <v>7290</v>
      </c>
      <c r="G2182">
        <v>459</v>
      </c>
      <c r="H2182">
        <v>100</v>
      </c>
      <c r="I2182">
        <v>1136</v>
      </c>
      <c r="J2182" s="11">
        <f t="shared" si="51"/>
        <v>1.7</v>
      </c>
      <c r="K2182">
        <v>1151</v>
      </c>
      <c r="L2182">
        <v>144.80000000000001</v>
      </c>
      <c r="M2182">
        <v>146.69999999999999</v>
      </c>
      <c r="N2182">
        <v>160</v>
      </c>
      <c r="O2182">
        <v>8.9</v>
      </c>
      <c r="P2182">
        <v>5.34</v>
      </c>
    </row>
    <row r="2183" spans="1:16">
      <c r="A2183" s="1" t="s">
        <v>5519</v>
      </c>
      <c r="B2183" s="1" t="s">
        <v>2104</v>
      </c>
      <c r="C2183" s="1" t="s">
        <v>18</v>
      </c>
      <c r="D2183" s="1" t="s">
        <v>19</v>
      </c>
      <c r="E2183" s="1" t="s">
        <v>1804</v>
      </c>
      <c r="F2183">
        <v>6450</v>
      </c>
      <c r="G2183">
        <v>433</v>
      </c>
      <c r="H2183">
        <v>88.6</v>
      </c>
      <c r="I2183">
        <v>1125</v>
      </c>
      <c r="J2183" s="11">
        <f t="shared" si="51"/>
        <v>1.7</v>
      </c>
      <c r="K2183">
        <v>1120</v>
      </c>
      <c r="L2183">
        <v>133</v>
      </c>
      <c r="M2183">
        <v>141.6</v>
      </c>
      <c r="N2183">
        <v>139.1</v>
      </c>
      <c r="O2183">
        <v>7.75</v>
      </c>
      <c r="P2183">
        <v>4.49</v>
      </c>
    </row>
    <row r="2184" spans="1:16">
      <c r="A2184" s="1" t="s">
        <v>5519</v>
      </c>
      <c r="B2184" s="1" t="s">
        <v>2105</v>
      </c>
      <c r="C2184" s="1" t="s">
        <v>18</v>
      </c>
      <c r="D2184" s="1" t="s">
        <v>19</v>
      </c>
      <c r="E2184" s="1" t="s">
        <v>1804</v>
      </c>
      <c r="F2184">
        <v>7130</v>
      </c>
      <c r="G2184">
        <v>474</v>
      </c>
      <c r="H2184">
        <v>84</v>
      </c>
      <c r="I2184">
        <v>1185</v>
      </c>
      <c r="J2184" s="11">
        <f t="shared" si="51"/>
        <v>1.7</v>
      </c>
      <c r="K2184">
        <v>1131</v>
      </c>
      <c r="L2184">
        <v>142.4</v>
      </c>
      <c r="M2184">
        <v>142.6</v>
      </c>
      <c r="N2184">
        <v>161</v>
      </c>
      <c r="O2184">
        <v>8.8000000000000007</v>
      </c>
      <c r="P2184">
        <v>4.75</v>
      </c>
    </row>
    <row r="2185" spans="1:16">
      <c r="A2185" s="1" t="s">
        <v>5519</v>
      </c>
      <c r="B2185" s="1" t="s">
        <v>2106</v>
      </c>
      <c r="C2185" s="1" t="s">
        <v>18</v>
      </c>
      <c r="D2185" s="1" t="s">
        <v>19</v>
      </c>
      <c r="E2185" s="1" t="s">
        <v>1804</v>
      </c>
      <c r="F2185">
        <v>7140</v>
      </c>
      <c r="G2185">
        <v>463</v>
      </c>
      <c r="H2185">
        <v>80.099999999999994</v>
      </c>
      <c r="I2185">
        <v>1186</v>
      </c>
      <c r="J2185" s="11">
        <f t="shared" si="51"/>
        <v>1.7</v>
      </c>
      <c r="K2185">
        <v>1132</v>
      </c>
      <c r="L2185">
        <v>141.69999999999999</v>
      </c>
      <c r="M2185">
        <v>145.5</v>
      </c>
      <c r="N2185">
        <v>153</v>
      </c>
      <c r="O2185">
        <v>6.48</v>
      </c>
      <c r="P2185">
        <v>4.49</v>
      </c>
    </row>
    <row r="2186" spans="1:16">
      <c r="A2186" s="1" t="s">
        <v>5519</v>
      </c>
      <c r="B2186" s="1" t="s">
        <v>2107</v>
      </c>
      <c r="C2186" s="1" t="s">
        <v>18</v>
      </c>
      <c r="D2186" s="1" t="s">
        <v>19</v>
      </c>
      <c r="E2186" s="1" t="s">
        <v>1804</v>
      </c>
      <c r="F2186">
        <v>7070</v>
      </c>
      <c r="G2186">
        <v>500</v>
      </c>
      <c r="H2186">
        <v>76.099999999999994</v>
      </c>
      <c r="I2186">
        <v>1229</v>
      </c>
      <c r="J2186" s="11">
        <f t="shared" si="51"/>
        <v>1.7</v>
      </c>
      <c r="K2186">
        <v>1136</v>
      </c>
      <c r="L2186">
        <v>134</v>
      </c>
      <c r="M2186">
        <v>150</v>
      </c>
      <c r="N2186">
        <v>171</v>
      </c>
      <c r="O2186">
        <v>7.5</v>
      </c>
      <c r="P2186">
        <v>4.17</v>
      </c>
    </row>
    <row r="2187" spans="1:16">
      <c r="A2187" s="1" t="s">
        <v>5519</v>
      </c>
      <c r="B2187" s="1" t="s">
        <v>2108</v>
      </c>
      <c r="C2187" s="1" t="s">
        <v>18</v>
      </c>
      <c r="D2187" s="1" t="s">
        <v>19</v>
      </c>
      <c r="E2187" s="1" t="s">
        <v>1804</v>
      </c>
      <c r="F2187">
        <v>7820</v>
      </c>
      <c r="G2187">
        <v>499</v>
      </c>
      <c r="H2187">
        <v>75</v>
      </c>
      <c r="I2187">
        <v>1270</v>
      </c>
      <c r="J2187" s="11">
        <f t="shared" si="51"/>
        <v>1.7</v>
      </c>
      <c r="K2187">
        <v>1169</v>
      </c>
      <c r="L2187">
        <v>142.5</v>
      </c>
      <c r="M2187">
        <v>142</v>
      </c>
      <c r="N2187">
        <v>181</v>
      </c>
      <c r="O2187">
        <v>8.1</v>
      </c>
      <c r="P2187">
        <v>4.99</v>
      </c>
    </row>
    <row r="2188" spans="1:16">
      <c r="A2188" s="1" t="s">
        <v>5519</v>
      </c>
      <c r="B2188" s="1" t="s">
        <v>2109</v>
      </c>
      <c r="C2188" s="1" t="s">
        <v>18</v>
      </c>
      <c r="D2188" s="1" t="s">
        <v>19</v>
      </c>
      <c r="E2188" s="1" t="s">
        <v>1804</v>
      </c>
      <c r="F2188">
        <v>7880</v>
      </c>
      <c r="G2188">
        <v>511</v>
      </c>
      <c r="H2188">
        <v>60</v>
      </c>
      <c r="I2188">
        <v>1190</v>
      </c>
      <c r="J2188" s="11">
        <f t="shared" si="51"/>
        <v>1.7</v>
      </c>
      <c r="K2188">
        <v>1131</v>
      </c>
      <c r="L2188">
        <v>134.80000000000001</v>
      </c>
      <c r="M2188">
        <v>142</v>
      </c>
      <c r="N2188">
        <v>197</v>
      </c>
      <c r="O2188">
        <v>8</v>
      </c>
      <c r="P2188">
        <v>6.06</v>
      </c>
    </row>
    <row r="2189" spans="1:16">
      <c r="A2189" s="1" t="s">
        <v>5519</v>
      </c>
      <c r="B2189" s="1" t="s">
        <v>2110</v>
      </c>
      <c r="C2189" s="1" t="s">
        <v>18</v>
      </c>
      <c r="D2189" s="1" t="s">
        <v>19</v>
      </c>
      <c r="E2189" s="1" t="s">
        <v>1804</v>
      </c>
      <c r="F2189">
        <v>7930</v>
      </c>
      <c r="G2189">
        <v>517</v>
      </c>
      <c r="H2189">
        <v>73.2</v>
      </c>
      <c r="I2189">
        <v>1193</v>
      </c>
      <c r="J2189" s="11">
        <f t="shared" si="51"/>
        <v>1.7</v>
      </c>
      <c r="K2189">
        <v>1152</v>
      </c>
      <c r="L2189">
        <v>137</v>
      </c>
      <c r="M2189">
        <v>137.1</v>
      </c>
      <c r="N2189">
        <v>185</v>
      </c>
      <c r="O2189">
        <v>7.21</v>
      </c>
      <c r="P2189">
        <v>5.82</v>
      </c>
    </row>
    <row r="2190" spans="1:16">
      <c r="A2190" s="1" t="s">
        <v>5519</v>
      </c>
      <c r="B2190" s="1" t="s">
        <v>2111</v>
      </c>
      <c r="C2190" s="1" t="s">
        <v>18</v>
      </c>
      <c r="D2190" s="1" t="s">
        <v>19</v>
      </c>
      <c r="E2190" s="1" t="s">
        <v>1804</v>
      </c>
      <c r="F2190">
        <v>7850</v>
      </c>
      <c r="G2190">
        <v>540</v>
      </c>
      <c r="H2190">
        <v>82.5</v>
      </c>
      <c r="I2190">
        <v>1230</v>
      </c>
      <c r="J2190" s="11">
        <f t="shared" si="51"/>
        <v>1.7</v>
      </c>
      <c r="K2190">
        <v>1171</v>
      </c>
      <c r="L2190">
        <v>138.6</v>
      </c>
      <c r="M2190">
        <v>139.19999999999999</v>
      </c>
      <c r="N2190">
        <v>184</v>
      </c>
      <c r="O2190">
        <v>8.23</v>
      </c>
      <c r="P2190">
        <v>5.53</v>
      </c>
    </row>
    <row r="2191" spans="1:16">
      <c r="A2191" s="1" t="s">
        <v>5519</v>
      </c>
      <c r="B2191" s="1" t="s">
        <v>2112</v>
      </c>
      <c r="C2191" s="1" t="s">
        <v>18</v>
      </c>
      <c r="D2191" s="1" t="s">
        <v>19</v>
      </c>
      <c r="E2191" s="1" t="s">
        <v>1804</v>
      </c>
      <c r="F2191">
        <v>7930</v>
      </c>
      <c r="G2191">
        <v>550</v>
      </c>
      <c r="H2191">
        <v>91.4</v>
      </c>
      <c r="I2191">
        <v>1201</v>
      </c>
      <c r="J2191" s="11">
        <f t="shared" si="51"/>
        <v>1.7</v>
      </c>
      <c r="K2191">
        <v>1153</v>
      </c>
      <c r="L2191">
        <v>141.1</v>
      </c>
      <c r="M2191">
        <v>135.9</v>
      </c>
      <c r="N2191">
        <v>186</v>
      </c>
      <c r="O2191">
        <v>7.91</v>
      </c>
      <c r="P2191">
        <v>5.72</v>
      </c>
    </row>
    <row r="2192" spans="1:16">
      <c r="A2192" s="1" t="s">
        <v>5519</v>
      </c>
      <c r="B2192" s="1" t="s">
        <v>2113</v>
      </c>
      <c r="C2192" s="1" t="s">
        <v>18</v>
      </c>
      <c r="D2192" s="1" t="s">
        <v>19</v>
      </c>
      <c r="E2192" s="1" t="s">
        <v>1804</v>
      </c>
      <c r="F2192">
        <v>7810</v>
      </c>
      <c r="G2192">
        <v>560</v>
      </c>
      <c r="H2192">
        <v>89.1</v>
      </c>
      <c r="I2192">
        <v>1230</v>
      </c>
      <c r="J2192" s="11">
        <f t="shared" si="51"/>
        <v>1.7</v>
      </c>
      <c r="K2192">
        <v>1134</v>
      </c>
      <c r="L2192">
        <v>136.1</v>
      </c>
      <c r="M2192">
        <v>142.80000000000001</v>
      </c>
      <c r="N2192">
        <v>193</v>
      </c>
      <c r="O2192">
        <v>7.75</v>
      </c>
      <c r="P2192">
        <v>5.57</v>
      </c>
    </row>
    <row r="2193" spans="1:16">
      <c r="A2193" s="1" t="s">
        <v>5519</v>
      </c>
      <c r="B2193" s="1" t="s">
        <v>2114</v>
      </c>
      <c r="C2193" s="1" t="s">
        <v>18</v>
      </c>
      <c r="D2193" s="1" t="s">
        <v>19</v>
      </c>
      <c r="E2193" s="1" t="s">
        <v>1804</v>
      </c>
      <c r="F2193">
        <v>7850</v>
      </c>
      <c r="G2193">
        <v>566</v>
      </c>
      <c r="H2193">
        <v>90.1</v>
      </c>
      <c r="I2193">
        <v>1220</v>
      </c>
      <c r="J2193" s="11">
        <f t="shared" si="51"/>
        <v>1.7</v>
      </c>
      <c r="K2193">
        <v>1163</v>
      </c>
      <c r="L2193">
        <v>137.69999999999999</v>
      </c>
      <c r="M2193">
        <v>137.19999999999999</v>
      </c>
      <c r="N2193">
        <v>187</v>
      </c>
      <c r="O2193">
        <v>8.16</v>
      </c>
      <c r="P2193">
        <v>5.26</v>
      </c>
    </row>
    <row r="2194" spans="1:16">
      <c r="A2194" s="1" t="s">
        <v>5519</v>
      </c>
      <c r="B2194" s="1" t="s">
        <v>2115</v>
      </c>
      <c r="C2194" s="1" t="s">
        <v>18</v>
      </c>
      <c r="D2194" s="1" t="s">
        <v>19</v>
      </c>
      <c r="E2194" s="1" t="s">
        <v>1804</v>
      </c>
      <c r="F2194">
        <v>7610</v>
      </c>
      <c r="G2194">
        <v>544</v>
      </c>
      <c r="H2194">
        <v>99</v>
      </c>
      <c r="I2194">
        <v>1270</v>
      </c>
      <c r="J2194" s="11">
        <f t="shared" si="51"/>
        <v>1.7</v>
      </c>
      <c r="K2194">
        <v>1151</v>
      </c>
      <c r="L2194">
        <v>142.80000000000001</v>
      </c>
      <c r="M2194">
        <v>140.5</v>
      </c>
      <c r="N2194">
        <v>193</v>
      </c>
      <c r="O2194">
        <v>7.58</v>
      </c>
      <c r="P2194">
        <v>5.53</v>
      </c>
    </row>
    <row r="2195" spans="1:16">
      <c r="A2195" s="1" t="s">
        <v>5519</v>
      </c>
      <c r="B2195" s="1" t="s">
        <v>2116</v>
      </c>
      <c r="C2195" s="1" t="s">
        <v>18</v>
      </c>
      <c r="D2195" s="1" t="s">
        <v>19</v>
      </c>
      <c r="E2195" s="1" t="s">
        <v>1804</v>
      </c>
      <c r="F2195">
        <v>7970</v>
      </c>
      <c r="G2195">
        <v>560</v>
      </c>
      <c r="H2195">
        <v>96</v>
      </c>
      <c r="I2195">
        <v>1260</v>
      </c>
      <c r="J2195" s="11">
        <f t="shared" si="51"/>
        <v>1.7</v>
      </c>
      <c r="K2195">
        <v>1157</v>
      </c>
      <c r="L2195">
        <v>141.30000000000001</v>
      </c>
      <c r="M2195">
        <v>146.5</v>
      </c>
      <c r="N2195">
        <v>185</v>
      </c>
      <c r="O2195">
        <v>7.5</v>
      </c>
      <c r="P2195">
        <v>4.5599999999999996</v>
      </c>
    </row>
    <row r="2196" spans="1:16">
      <c r="A2196" s="1" t="s">
        <v>5519</v>
      </c>
      <c r="B2196" s="1" t="s">
        <v>2117</v>
      </c>
      <c r="C2196" s="1" t="s">
        <v>18</v>
      </c>
      <c r="D2196" s="1" t="s">
        <v>19</v>
      </c>
      <c r="E2196" s="1" t="s">
        <v>1804</v>
      </c>
      <c r="F2196">
        <v>7510</v>
      </c>
      <c r="G2196">
        <v>543</v>
      </c>
      <c r="H2196">
        <v>101</v>
      </c>
      <c r="I2196">
        <v>1210</v>
      </c>
      <c r="J2196" s="11">
        <f t="shared" si="51"/>
        <v>1.7</v>
      </c>
      <c r="K2196">
        <v>1105</v>
      </c>
      <c r="L2196">
        <v>140.19999999999999</v>
      </c>
      <c r="M2196">
        <v>147</v>
      </c>
      <c r="N2196">
        <v>179</v>
      </c>
      <c r="O2196">
        <v>6.64</v>
      </c>
      <c r="P2196">
        <v>5.01</v>
      </c>
    </row>
    <row r="2197" spans="1:16">
      <c r="A2197" s="1" t="s">
        <v>5519</v>
      </c>
      <c r="B2197" s="1" t="s">
        <v>2118</v>
      </c>
      <c r="C2197" s="1" t="s">
        <v>18</v>
      </c>
      <c r="D2197" s="1" t="s">
        <v>19</v>
      </c>
      <c r="E2197" s="1" t="s">
        <v>1804</v>
      </c>
      <c r="F2197">
        <v>7560</v>
      </c>
      <c r="G2197">
        <v>522</v>
      </c>
      <c r="H2197">
        <v>101</v>
      </c>
      <c r="I2197">
        <v>1260</v>
      </c>
      <c r="J2197" s="11">
        <f t="shared" si="51"/>
        <v>1.7</v>
      </c>
      <c r="K2197">
        <v>1113</v>
      </c>
      <c r="L2197">
        <v>138</v>
      </c>
      <c r="M2197">
        <v>144</v>
      </c>
      <c r="N2197">
        <v>181</v>
      </c>
      <c r="O2197">
        <v>6.6</v>
      </c>
      <c r="P2197">
        <v>5.47</v>
      </c>
    </row>
    <row r="2198" spans="1:16">
      <c r="A2198" s="1" t="s">
        <v>5519</v>
      </c>
      <c r="B2198" s="1" t="s">
        <v>2119</v>
      </c>
      <c r="C2198" s="1" t="s">
        <v>18</v>
      </c>
      <c r="D2198" s="1" t="s">
        <v>19</v>
      </c>
      <c r="E2198" s="1" t="s">
        <v>1804</v>
      </c>
      <c r="F2198">
        <v>6870</v>
      </c>
      <c r="G2198">
        <v>907</v>
      </c>
      <c r="H2198">
        <v>486</v>
      </c>
      <c r="I2198">
        <v>1192</v>
      </c>
      <c r="J2198" s="11">
        <f t="shared" si="51"/>
        <v>1.7</v>
      </c>
      <c r="K2198">
        <v>1075</v>
      </c>
      <c r="L2198">
        <v>139.30000000000001</v>
      </c>
      <c r="M2198">
        <v>125.4</v>
      </c>
      <c r="N2198">
        <v>167.3</v>
      </c>
      <c r="O2198">
        <v>7.6</v>
      </c>
      <c r="P2198">
        <v>4.72</v>
      </c>
    </row>
    <row r="2199" spans="1:16">
      <c r="A2199" s="1" t="s">
        <v>5519</v>
      </c>
      <c r="B2199" s="1" t="s">
        <v>2120</v>
      </c>
      <c r="C2199" s="1" t="s">
        <v>18</v>
      </c>
      <c r="D2199" s="1" t="s">
        <v>19</v>
      </c>
      <c r="E2199" s="1" t="s">
        <v>1804</v>
      </c>
      <c r="F2199">
        <v>6920</v>
      </c>
      <c r="G2199">
        <v>834</v>
      </c>
      <c r="H2199">
        <v>425</v>
      </c>
      <c r="I2199">
        <v>960</v>
      </c>
      <c r="J2199" s="11">
        <f t="shared" si="51"/>
        <v>1.7</v>
      </c>
      <c r="K2199">
        <v>1096</v>
      </c>
      <c r="L2199">
        <v>144.30000000000001</v>
      </c>
      <c r="M2199">
        <v>123.4</v>
      </c>
      <c r="N2199">
        <v>185</v>
      </c>
      <c r="O2199">
        <v>8.1999999999999993</v>
      </c>
      <c r="P2199">
        <v>5.95</v>
      </c>
    </row>
    <row r="2200" spans="1:16">
      <c r="A2200" s="1" t="s">
        <v>5519</v>
      </c>
      <c r="B2200" s="1" t="s">
        <v>2121</v>
      </c>
      <c r="C2200" s="1" t="s">
        <v>18</v>
      </c>
      <c r="D2200" s="1" t="s">
        <v>19</v>
      </c>
      <c r="E2200" s="1" t="s">
        <v>1804</v>
      </c>
      <c r="F2200">
        <v>6930</v>
      </c>
      <c r="G2200">
        <v>698</v>
      </c>
      <c r="H2200">
        <v>342</v>
      </c>
      <c r="I2200">
        <v>693</v>
      </c>
      <c r="J2200" s="11">
        <f t="shared" si="51"/>
        <v>1.7</v>
      </c>
      <c r="K2200">
        <v>1130</v>
      </c>
      <c r="L2200">
        <v>145.9</v>
      </c>
      <c r="M2200">
        <v>125.2</v>
      </c>
      <c r="N2200">
        <v>194</v>
      </c>
      <c r="O2200">
        <v>8.1999999999999993</v>
      </c>
      <c r="P2200">
        <v>5.83</v>
      </c>
    </row>
    <row r="2201" spans="1:16">
      <c r="A2201" s="1" t="s">
        <v>5519</v>
      </c>
      <c r="B2201" s="1" t="s">
        <v>2122</v>
      </c>
      <c r="C2201" s="1" t="s">
        <v>18</v>
      </c>
      <c r="D2201" s="1" t="s">
        <v>19</v>
      </c>
      <c r="E2201" s="1" t="s">
        <v>1804</v>
      </c>
      <c r="F2201">
        <v>6970</v>
      </c>
      <c r="G2201">
        <v>632</v>
      </c>
      <c r="H2201">
        <v>296</v>
      </c>
      <c r="I2201">
        <v>544</v>
      </c>
      <c r="J2201" s="11">
        <f t="shared" si="51"/>
        <v>1.7</v>
      </c>
      <c r="K2201">
        <v>1176</v>
      </c>
      <c r="L2201">
        <v>141.9</v>
      </c>
      <c r="M2201">
        <v>117</v>
      </c>
      <c r="N2201">
        <v>183</v>
      </c>
      <c r="O2201">
        <v>8.5</v>
      </c>
      <c r="P2201">
        <v>6.6</v>
      </c>
    </row>
    <row r="2202" spans="1:16">
      <c r="A2202" s="1" t="s">
        <v>5519</v>
      </c>
      <c r="B2202" s="1" t="s">
        <v>2123</v>
      </c>
      <c r="C2202" s="1" t="s">
        <v>18</v>
      </c>
      <c r="D2202" s="1" t="s">
        <v>19</v>
      </c>
      <c r="E2202" s="1" t="s">
        <v>1804</v>
      </c>
      <c r="F2202">
        <v>6820</v>
      </c>
      <c r="G2202">
        <v>509</v>
      </c>
      <c r="H2202">
        <v>201</v>
      </c>
      <c r="I2202">
        <v>522</v>
      </c>
      <c r="J2202" s="11">
        <f t="shared" si="51"/>
        <v>1.7</v>
      </c>
      <c r="K2202">
        <v>1123</v>
      </c>
      <c r="L2202">
        <v>143.5</v>
      </c>
      <c r="M2202">
        <v>114.8</v>
      </c>
      <c r="N2202">
        <v>183</v>
      </c>
      <c r="O2202">
        <v>7.28</v>
      </c>
      <c r="P2202">
        <v>6.13</v>
      </c>
    </row>
    <row r="2203" spans="1:16">
      <c r="A2203" s="1" t="s">
        <v>5519</v>
      </c>
      <c r="B2203" s="1" t="s">
        <v>2124</v>
      </c>
      <c r="C2203" s="1" t="s">
        <v>18</v>
      </c>
      <c r="D2203" s="1" t="s">
        <v>19</v>
      </c>
      <c r="E2203" s="1" t="s">
        <v>1804</v>
      </c>
      <c r="F2203">
        <v>6230</v>
      </c>
      <c r="G2203">
        <v>411</v>
      </c>
      <c r="H2203">
        <v>160</v>
      </c>
      <c r="I2203">
        <v>558</v>
      </c>
      <c r="J2203" s="11">
        <f t="shared" si="51"/>
        <v>1.7</v>
      </c>
      <c r="K2203">
        <v>1092</v>
      </c>
      <c r="L2203">
        <v>138.1</v>
      </c>
      <c r="M2203">
        <v>110.1</v>
      </c>
      <c r="N2203">
        <v>178</v>
      </c>
      <c r="O2203">
        <v>7.1</v>
      </c>
      <c r="P2203">
        <v>6.41</v>
      </c>
    </row>
    <row r="2204" spans="1:16">
      <c r="A2204" s="1" t="s">
        <v>5519</v>
      </c>
      <c r="B2204" s="1" t="s">
        <v>2125</v>
      </c>
      <c r="C2204" s="1" t="s">
        <v>18</v>
      </c>
      <c r="D2204" s="1" t="s">
        <v>19</v>
      </c>
      <c r="E2204" s="1" t="s">
        <v>1804</v>
      </c>
      <c r="F2204">
        <v>6970</v>
      </c>
      <c r="G2204">
        <v>356</v>
      </c>
      <c r="H2204">
        <v>115</v>
      </c>
      <c r="I2204">
        <v>662</v>
      </c>
      <c r="J2204" s="11">
        <f t="shared" si="51"/>
        <v>1.7</v>
      </c>
      <c r="K2204">
        <v>1106</v>
      </c>
      <c r="L2204">
        <v>138.6</v>
      </c>
      <c r="M2204">
        <v>110.3</v>
      </c>
      <c r="N2204">
        <v>182</v>
      </c>
      <c r="O2204">
        <v>7.6</v>
      </c>
      <c r="P2204">
        <v>6.03</v>
      </c>
    </row>
    <row r="2205" spans="1:16">
      <c r="A2205" s="1" t="s">
        <v>5519</v>
      </c>
      <c r="B2205" s="1" t="s">
        <v>2126</v>
      </c>
      <c r="C2205" s="1" t="s">
        <v>18</v>
      </c>
      <c r="D2205" s="1" t="s">
        <v>19</v>
      </c>
      <c r="E2205" s="1" t="s">
        <v>1804</v>
      </c>
      <c r="F2205">
        <v>7620</v>
      </c>
      <c r="G2205">
        <v>325</v>
      </c>
      <c r="H2205">
        <v>90</v>
      </c>
      <c r="I2205">
        <v>730</v>
      </c>
      <c r="J2205" s="11">
        <f t="shared" si="51"/>
        <v>1.7</v>
      </c>
      <c r="K2205">
        <v>1144</v>
      </c>
      <c r="L2205">
        <v>143.1</v>
      </c>
      <c r="M2205">
        <v>109.6</v>
      </c>
      <c r="N2205">
        <v>219</v>
      </c>
      <c r="O2205">
        <v>9</v>
      </c>
      <c r="P2205">
        <v>7.3</v>
      </c>
    </row>
    <row r="2206" spans="1:16">
      <c r="A2206" s="1" t="s">
        <v>5519</v>
      </c>
      <c r="B2206" s="1" t="s">
        <v>2127</v>
      </c>
      <c r="C2206" s="1" t="s">
        <v>18</v>
      </c>
      <c r="D2206" s="1" t="s">
        <v>19</v>
      </c>
      <c r="E2206" s="1" t="s">
        <v>1804</v>
      </c>
      <c r="F2206">
        <v>6560</v>
      </c>
      <c r="G2206">
        <v>321</v>
      </c>
      <c r="H2206">
        <v>65</v>
      </c>
      <c r="I2206">
        <v>543</v>
      </c>
      <c r="J2206" s="11">
        <f t="shared" si="51"/>
        <v>1.7</v>
      </c>
      <c r="K2206">
        <v>1084</v>
      </c>
      <c r="L2206">
        <v>138.30000000000001</v>
      </c>
      <c r="M2206">
        <v>114.4</v>
      </c>
      <c r="N2206">
        <v>214</v>
      </c>
      <c r="O2206">
        <v>7.5</v>
      </c>
      <c r="P2206">
        <v>7.07</v>
      </c>
    </row>
    <row r="2207" spans="1:16">
      <c r="A2207" s="1" t="s">
        <v>5519</v>
      </c>
      <c r="B2207" s="1" t="s">
        <v>2128</v>
      </c>
      <c r="C2207" s="1" t="s">
        <v>18</v>
      </c>
      <c r="D2207" s="1" t="s">
        <v>19</v>
      </c>
      <c r="E2207" s="1" t="s">
        <v>1804</v>
      </c>
      <c r="F2207">
        <v>6250</v>
      </c>
      <c r="G2207">
        <v>436</v>
      </c>
      <c r="H2207">
        <v>65</v>
      </c>
      <c r="I2207">
        <v>377</v>
      </c>
      <c r="J2207" s="11">
        <f t="shared" si="51"/>
        <v>1.7</v>
      </c>
      <c r="K2207">
        <v>1017</v>
      </c>
      <c r="L2207">
        <v>148.9</v>
      </c>
      <c r="M2207">
        <v>114</v>
      </c>
      <c r="N2207">
        <v>266</v>
      </c>
      <c r="O2207">
        <v>7</v>
      </c>
      <c r="P2207">
        <v>6.5</v>
      </c>
    </row>
    <row r="2208" spans="1:16">
      <c r="A2208" s="1" t="s">
        <v>5519</v>
      </c>
      <c r="B2208" s="5" t="s">
        <v>2129</v>
      </c>
      <c r="C2208" s="1" t="s">
        <v>18</v>
      </c>
      <c r="D2208" s="1" t="s">
        <v>19</v>
      </c>
      <c r="E2208" s="1" t="s">
        <v>1804</v>
      </c>
      <c r="F2208">
        <v>6930</v>
      </c>
      <c r="G2208">
        <v>364</v>
      </c>
      <c r="H2208">
        <v>82</v>
      </c>
      <c r="I2208">
        <v>311</v>
      </c>
      <c r="J2208" s="11">
        <f t="shared" si="51"/>
        <v>1.7</v>
      </c>
      <c r="K2208">
        <v>1054</v>
      </c>
      <c r="L2208">
        <v>144.6</v>
      </c>
      <c r="M2208">
        <v>116.3</v>
      </c>
      <c r="N2208">
        <v>214</v>
      </c>
      <c r="O2208">
        <v>8.1199999999999992</v>
      </c>
      <c r="P2208">
        <v>6.23</v>
      </c>
    </row>
    <row r="2209" spans="1:16">
      <c r="A2209" s="1" t="s">
        <v>5520</v>
      </c>
      <c r="B2209" s="1" t="s">
        <v>2130</v>
      </c>
      <c r="C2209" s="1" t="s">
        <v>18</v>
      </c>
      <c r="D2209" s="1" t="s">
        <v>19</v>
      </c>
      <c r="E2209" s="1" t="s">
        <v>1804</v>
      </c>
      <c r="F2209">
        <v>13110</v>
      </c>
      <c r="G2209">
        <v>1035</v>
      </c>
      <c r="H2209">
        <v>788</v>
      </c>
      <c r="I2209">
        <v>2030</v>
      </c>
      <c r="J2209" s="11">
        <f t="shared" si="51"/>
        <v>1.7</v>
      </c>
      <c r="K2209">
        <v>633</v>
      </c>
      <c r="L2209">
        <v>65.8</v>
      </c>
      <c r="M2209">
        <v>43.3</v>
      </c>
      <c r="N2209">
        <v>89</v>
      </c>
      <c r="O2209">
        <v>20</v>
      </c>
      <c r="P2209">
        <v>24.5</v>
      </c>
    </row>
    <row r="2210" spans="1:16">
      <c r="A2210" s="1" t="s">
        <v>5520</v>
      </c>
      <c r="B2210" s="1" t="s">
        <v>2131</v>
      </c>
      <c r="C2210" s="1" t="s">
        <v>18</v>
      </c>
      <c r="D2210" s="1" t="s">
        <v>19</v>
      </c>
      <c r="E2210" s="1" t="s">
        <v>1804</v>
      </c>
      <c r="F2210">
        <v>13040</v>
      </c>
      <c r="G2210">
        <v>1184</v>
      </c>
      <c r="H2210">
        <v>817</v>
      </c>
      <c r="I2210">
        <v>2050</v>
      </c>
      <c r="J2210" s="11">
        <f t="shared" si="51"/>
        <v>1.7</v>
      </c>
      <c r="K2210">
        <v>625</v>
      </c>
      <c r="L2210">
        <v>73.099999999999994</v>
      </c>
      <c r="M2210">
        <v>44.6</v>
      </c>
      <c r="N2210">
        <v>96</v>
      </c>
      <c r="O2210">
        <v>19</v>
      </c>
      <c r="P2210">
        <v>27.7</v>
      </c>
    </row>
    <row r="2211" spans="1:16">
      <c r="A2211" s="1" t="s">
        <v>5520</v>
      </c>
      <c r="B2211" s="1" t="s">
        <v>2132</v>
      </c>
      <c r="C2211" s="1" t="s">
        <v>18</v>
      </c>
      <c r="D2211" s="1" t="s">
        <v>19</v>
      </c>
      <c r="E2211" s="1" t="s">
        <v>1804</v>
      </c>
      <c r="F2211">
        <v>12630</v>
      </c>
      <c r="G2211">
        <v>1160</v>
      </c>
      <c r="H2211">
        <v>802</v>
      </c>
      <c r="I2211">
        <v>1990</v>
      </c>
      <c r="J2211" s="11">
        <f t="shared" si="51"/>
        <v>1.7</v>
      </c>
      <c r="K2211">
        <v>651</v>
      </c>
      <c r="L2211">
        <v>71.3</v>
      </c>
      <c r="M2211">
        <v>42</v>
      </c>
      <c r="N2211">
        <v>93.8</v>
      </c>
      <c r="O2211">
        <v>19.600000000000001</v>
      </c>
      <c r="P2211">
        <v>26.1</v>
      </c>
    </row>
    <row r="2212" spans="1:16">
      <c r="A2212" s="1" t="s">
        <v>5520</v>
      </c>
      <c r="B2212" s="1" t="s">
        <v>2133</v>
      </c>
      <c r="C2212" s="1" t="s">
        <v>18</v>
      </c>
      <c r="D2212" s="1" t="s">
        <v>19</v>
      </c>
      <c r="E2212" s="1" t="s">
        <v>1804</v>
      </c>
      <c r="F2212">
        <v>5340</v>
      </c>
      <c r="G2212">
        <v>4420</v>
      </c>
      <c r="H2212">
        <v>6660</v>
      </c>
      <c r="I2212">
        <v>1823</v>
      </c>
      <c r="J2212">
        <v>22</v>
      </c>
      <c r="K2212">
        <v>946</v>
      </c>
      <c r="L2212">
        <v>127.2</v>
      </c>
      <c r="M2212">
        <v>84.7</v>
      </c>
      <c r="N2212">
        <v>157</v>
      </c>
      <c r="O2212">
        <v>40.799999999999997</v>
      </c>
      <c r="P2212">
        <v>5.26</v>
      </c>
    </row>
    <row r="2213" spans="1:16">
      <c r="A2213" s="1" t="s">
        <v>5520</v>
      </c>
      <c r="B2213" s="1" t="s">
        <v>2134</v>
      </c>
      <c r="C2213" s="1" t="s">
        <v>18</v>
      </c>
      <c r="D2213" s="1" t="s">
        <v>19</v>
      </c>
      <c r="E2213" s="1" t="s">
        <v>1804</v>
      </c>
      <c r="F2213">
        <v>6820</v>
      </c>
      <c r="G2213">
        <v>5530</v>
      </c>
      <c r="H2213">
        <v>7570</v>
      </c>
      <c r="I2213">
        <v>1900</v>
      </c>
      <c r="J2213">
        <v>57.9</v>
      </c>
      <c r="K2213">
        <v>991</v>
      </c>
      <c r="L2213">
        <v>116</v>
      </c>
      <c r="M2213">
        <v>70.099999999999994</v>
      </c>
      <c r="N2213">
        <v>136.6</v>
      </c>
      <c r="O2213">
        <v>45.1</v>
      </c>
      <c r="P2213">
        <v>4.54</v>
      </c>
    </row>
    <row r="2214" spans="1:16">
      <c r="A2214" s="1" t="s">
        <v>5520</v>
      </c>
      <c r="B2214" s="1" t="s">
        <v>2135</v>
      </c>
      <c r="C2214" s="1" t="s">
        <v>18</v>
      </c>
      <c r="D2214" s="1" t="s">
        <v>19</v>
      </c>
      <c r="E2214" s="1" t="s">
        <v>1804</v>
      </c>
      <c r="F2214">
        <v>6480</v>
      </c>
      <c r="G2214">
        <v>5480</v>
      </c>
      <c r="H2214">
        <v>7580</v>
      </c>
      <c r="I2214">
        <v>2020</v>
      </c>
      <c r="J2214">
        <v>44.8</v>
      </c>
      <c r="K2214">
        <v>936</v>
      </c>
      <c r="L2214">
        <v>119.2</v>
      </c>
      <c r="M2214">
        <v>79.900000000000006</v>
      </c>
      <c r="N2214">
        <v>163</v>
      </c>
      <c r="O2214">
        <v>44.6</v>
      </c>
      <c r="P2214">
        <v>5.0999999999999996</v>
      </c>
    </row>
    <row r="2215" spans="1:16">
      <c r="A2215" s="1" t="s">
        <v>5520</v>
      </c>
      <c r="B2215" s="1" t="s">
        <v>2136</v>
      </c>
      <c r="C2215" s="1" t="s">
        <v>18</v>
      </c>
      <c r="D2215" s="1" t="s">
        <v>19</v>
      </c>
      <c r="E2215" s="1" t="s">
        <v>1804</v>
      </c>
      <c r="F2215">
        <v>6530</v>
      </c>
      <c r="G2215">
        <v>5440</v>
      </c>
      <c r="H2215">
        <v>6810</v>
      </c>
      <c r="I2215">
        <v>1920</v>
      </c>
      <c r="J2215">
        <v>35.9</v>
      </c>
      <c r="K2215">
        <v>969</v>
      </c>
      <c r="L2215">
        <v>120.6</v>
      </c>
      <c r="M2215">
        <v>69.400000000000006</v>
      </c>
      <c r="N2215">
        <v>159</v>
      </c>
      <c r="O2215">
        <v>43.5</v>
      </c>
      <c r="P2215">
        <v>4.5</v>
      </c>
    </row>
    <row r="2216" spans="1:16">
      <c r="A2216" s="1" t="s">
        <v>5520</v>
      </c>
      <c r="B2216" s="1" t="s">
        <v>2137</v>
      </c>
      <c r="C2216" s="1" t="s">
        <v>18</v>
      </c>
      <c r="D2216" s="1" t="s">
        <v>19</v>
      </c>
      <c r="E2216" s="1" t="s">
        <v>1804</v>
      </c>
      <c r="F2216">
        <v>6420</v>
      </c>
      <c r="G2216">
        <v>5360</v>
      </c>
      <c r="H2216">
        <v>7410</v>
      </c>
      <c r="I2216">
        <v>1991</v>
      </c>
      <c r="J2216">
        <v>25</v>
      </c>
      <c r="K2216">
        <v>1067</v>
      </c>
      <c r="L2216">
        <v>119.4</v>
      </c>
      <c r="M2216">
        <v>78.5</v>
      </c>
      <c r="N2216">
        <v>172</v>
      </c>
      <c r="O2216">
        <v>44.1</v>
      </c>
      <c r="P2216">
        <v>4.5599999999999996</v>
      </c>
    </row>
    <row r="2217" spans="1:16">
      <c r="A2217" s="1" t="s">
        <v>5520</v>
      </c>
      <c r="B2217" s="1" t="s">
        <v>2138</v>
      </c>
      <c r="C2217" s="1" t="s">
        <v>18</v>
      </c>
      <c r="D2217" s="1" t="s">
        <v>19</v>
      </c>
      <c r="E2217" s="1" t="s">
        <v>1804</v>
      </c>
      <c r="F2217">
        <v>5040</v>
      </c>
      <c r="G2217">
        <v>5170</v>
      </c>
      <c r="H2217">
        <v>7060</v>
      </c>
      <c r="I2217">
        <v>2002</v>
      </c>
      <c r="J2217">
        <v>21</v>
      </c>
      <c r="K2217">
        <v>966</v>
      </c>
      <c r="L2217">
        <v>129</v>
      </c>
      <c r="M2217">
        <v>82.5</v>
      </c>
      <c r="N2217">
        <v>157</v>
      </c>
      <c r="O2217">
        <v>42.6</v>
      </c>
      <c r="P2217">
        <v>5.13</v>
      </c>
    </row>
    <row r="2218" spans="1:16">
      <c r="A2218" s="1" t="s">
        <v>5520</v>
      </c>
      <c r="B2218" s="1" t="s">
        <v>2139</v>
      </c>
      <c r="C2218" s="1" t="s">
        <v>18</v>
      </c>
      <c r="D2218" s="1" t="s">
        <v>19</v>
      </c>
      <c r="E2218" s="1" t="s">
        <v>1804</v>
      </c>
      <c r="F2218">
        <v>8150</v>
      </c>
      <c r="G2218">
        <v>6140</v>
      </c>
      <c r="H2218">
        <v>7650</v>
      </c>
      <c r="I2218">
        <v>2000</v>
      </c>
      <c r="J2218">
        <v>14.6</v>
      </c>
      <c r="K2218">
        <v>1055</v>
      </c>
      <c r="L2218">
        <v>116.9</v>
      </c>
      <c r="M2218">
        <v>80.2</v>
      </c>
      <c r="N2218">
        <v>157</v>
      </c>
      <c r="O2218">
        <v>45.7</v>
      </c>
      <c r="P2218">
        <v>5.42</v>
      </c>
    </row>
    <row r="2219" spans="1:16">
      <c r="A2219" s="1" t="s">
        <v>5520</v>
      </c>
      <c r="B2219" s="1" t="s">
        <v>2140</v>
      </c>
      <c r="C2219" s="1" t="s">
        <v>18</v>
      </c>
      <c r="D2219" s="1" t="s">
        <v>19</v>
      </c>
      <c r="E2219" s="1" t="s">
        <v>1804</v>
      </c>
      <c r="F2219">
        <v>5670</v>
      </c>
      <c r="G2219">
        <v>5260</v>
      </c>
      <c r="H2219">
        <v>7380</v>
      </c>
      <c r="I2219">
        <v>1940</v>
      </c>
      <c r="J2219">
        <v>13</v>
      </c>
      <c r="K2219">
        <v>1029</v>
      </c>
      <c r="L2219">
        <v>125.5</v>
      </c>
      <c r="M2219">
        <v>79.400000000000006</v>
      </c>
      <c r="N2219">
        <v>166</v>
      </c>
      <c r="O2219">
        <v>47.5</v>
      </c>
      <c r="P2219">
        <v>5.17</v>
      </c>
    </row>
    <row r="2220" spans="1:16">
      <c r="A2220" s="1" t="s">
        <v>5520</v>
      </c>
      <c r="B2220" s="1" t="s">
        <v>2141</v>
      </c>
      <c r="C2220" s="1" t="s">
        <v>18</v>
      </c>
      <c r="D2220" s="1" t="s">
        <v>19</v>
      </c>
      <c r="E2220" s="1" t="s">
        <v>1804</v>
      </c>
      <c r="F2220">
        <v>6720</v>
      </c>
      <c r="G2220">
        <v>5560</v>
      </c>
      <c r="H2220">
        <v>6660</v>
      </c>
      <c r="I2220">
        <v>1996</v>
      </c>
      <c r="J2220">
        <v>17.8</v>
      </c>
      <c r="K2220">
        <v>934</v>
      </c>
      <c r="L2220">
        <v>122.2</v>
      </c>
      <c r="M2220">
        <v>84.7</v>
      </c>
      <c r="N2220">
        <v>146</v>
      </c>
      <c r="O2220">
        <v>43.3</v>
      </c>
      <c r="P2220">
        <v>5.14</v>
      </c>
    </row>
    <row r="2221" spans="1:16">
      <c r="A2221" s="1" t="s">
        <v>5520</v>
      </c>
      <c r="B2221" s="1" t="s">
        <v>2142</v>
      </c>
      <c r="C2221" s="1" t="s">
        <v>18</v>
      </c>
      <c r="D2221" s="1" t="s">
        <v>19</v>
      </c>
      <c r="E2221" s="1" t="s">
        <v>1804</v>
      </c>
      <c r="F2221">
        <v>7270</v>
      </c>
      <c r="G2221">
        <v>5830</v>
      </c>
      <c r="H2221">
        <v>7020</v>
      </c>
      <c r="I2221">
        <v>1970</v>
      </c>
      <c r="J2221">
        <v>5.7</v>
      </c>
      <c r="K2221">
        <v>1053</v>
      </c>
      <c r="L2221">
        <v>122.1</v>
      </c>
      <c r="M2221">
        <v>86.4</v>
      </c>
      <c r="N2221">
        <v>158</v>
      </c>
      <c r="O2221">
        <v>44.9</v>
      </c>
      <c r="P2221">
        <v>5.12</v>
      </c>
    </row>
    <row r="2222" spans="1:16">
      <c r="A2222" s="1" t="s">
        <v>5520</v>
      </c>
      <c r="B2222" s="1" t="s">
        <v>2143</v>
      </c>
      <c r="C2222" s="1" t="s">
        <v>18</v>
      </c>
      <c r="D2222" s="1" t="s">
        <v>19</v>
      </c>
      <c r="E2222" s="1" t="s">
        <v>1804</v>
      </c>
      <c r="F2222">
        <v>4120</v>
      </c>
      <c r="G2222">
        <v>4500</v>
      </c>
      <c r="H2222">
        <v>6790</v>
      </c>
      <c r="I2222">
        <v>1960</v>
      </c>
      <c r="J2222">
        <v>17.5</v>
      </c>
      <c r="K2222">
        <v>852</v>
      </c>
      <c r="L2222">
        <v>107.8</v>
      </c>
      <c r="M2222">
        <v>80.900000000000006</v>
      </c>
      <c r="N2222">
        <v>129</v>
      </c>
      <c r="O2222">
        <v>41.1</v>
      </c>
      <c r="P2222">
        <v>4.9000000000000004</v>
      </c>
    </row>
    <row r="2223" spans="1:16">
      <c r="A2223" s="1" t="s">
        <v>5520</v>
      </c>
      <c r="B2223" s="1" t="s">
        <v>2144</v>
      </c>
      <c r="C2223" s="1" t="s">
        <v>18</v>
      </c>
      <c r="D2223" s="1" t="s">
        <v>19</v>
      </c>
      <c r="E2223" s="1" t="s">
        <v>1804</v>
      </c>
      <c r="F2223">
        <v>7770</v>
      </c>
      <c r="G2223">
        <v>3520</v>
      </c>
      <c r="H2223">
        <v>2850</v>
      </c>
      <c r="I2223">
        <v>1800</v>
      </c>
      <c r="J2223" s="11">
        <f t="shared" ref="J2223:J2226" si="52">3.4/2</f>
        <v>1.7</v>
      </c>
      <c r="K2223">
        <v>800</v>
      </c>
      <c r="L2223">
        <v>114.9</v>
      </c>
      <c r="M2223">
        <v>92.2</v>
      </c>
      <c r="N2223">
        <v>138</v>
      </c>
      <c r="O2223">
        <v>43.5</v>
      </c>
      <c r="P2223">
        <v>5.75</v>
      </c>
    </row>
    <row r="2224" spans="1:16">
      <c r="A2224" s="1" t="s">
        <v>5520</v>
      </c>
      <c r="B2224" s="1" t="s">
        <v>2145</v>
      </c>
      <c r="C2224" s="1" t="s">
        <v>18</v>
      </c>
      <c r="D2224" s="1" t="s">
        <v>19</v>
      </c>
      <c r="E2224" s="1" t="s">
        <v>1804</v>
      </c>
      <c r="F2224">
        <v>7330</v>
      </c>
      <c r="G2224">
        <v>3510</v>
      </c>
      <c r="H2224">
        <v>2960</v>
      </c>
      <c r="I2224">
        <v>1924</v>
      </c>
      <c r="J2224" s="11">
        <f t="shared" si="52"/>
        <v>1.7</v>
      </c>
      <c r="K2224">
        <v>944</v>
      </c>
      <c r="L2224">
        <v>130.1</v>
      </c>
      <c r="M2224">
        <v>93.5</v>
      </c>
      <c r="N2224">
        <v>148</v>
      </c>
      <c r="O2224">
        <v>44.5</v>
      </c>
      <c r="P2224">
        <v>6.89</v>
      </c>
    </row>
    <row r="2225" spans="1:16">
      <c r="A2225" s="1" t="s">
        <v>5520</v>
      </c>
      <c r="B2225" s="1" t="s">
        <v>2146</v>
      </c>
      <c r="C2225" s="1" t="s">
        <v>18</v>
      </c>
      <c r="D2225" s="1" t="s">
        <v>19</v>
      </c>
      <c r="E2225" s="1" t="s">
        <v>1804</v>
      </c>
      <c r="F2225">
        <v>8300</v>
      </c>
      <c r="G2225">
        <v>4180</v>
      </c>
      <c r="H2225">
        <v>3150</v>
      </c>
      <c r="I2225">
        <v>1870</v>
      </c>
      <c r="J2225" s="11">
        <f t="shared" si="52"/>
        <v>1.7</v>
      </c>
      <c r="K2225">
        <v>945</v>
      </c>
      <c r="L2225">
        <v>126.7</v>
      </c>
      <c r="M2225">
        <v>96.4</v>
      </c>
      <c r="N2225">
        <v>158</v>
      </c>
      <c r="O2225">
        <v>45.2</v>
      </c>
      <c r="P2225">
        <v>6.87</v>
      </c>
    </row>
    <row r="2226" spans="1:16">
      <c r="A2226" s="1" t="s">
        <v>5520</v>
      </c>
      <c r="B2226" s="1" t="s">
        <v>2147</v>
      </c>
      <c r="C2226" s="1" t="s">
        <v>18</v>
      </c>
      <c r="D2226" s="1" t="s">
        <v>19</v>
      </c>
      <c r="E2226" s="1" t="s">
        <v>1804</v>
      </c>
      <c r="F2226">
        <v>5860</v>
      </c>
      <c r="G2226">
        <v>3490</v>
      </c>
      <c r="H2226">
        <v>3710</v>
      </c>
      <c r="I2226">
        <v>1786</v>
      </c>
      <c r="J2226" s="11">
        <f t="shared" si="52"/>
        <v>1.7</v>
      </c>
      <c r="K2226">
        <v>578</v>
      </c>
      <c r="L2226">
        <v>123.4</v>
      </c>
      <c r="M2226">
        <v>93.6</v>
      </c>
      <c r="N2226">
        <v>108</v>
      </c>
      <c r="O2226">
        <v>45.4</v>
      </c>
      <c r="P2226">
        <v>5.97</v>
      </c>
    </row>
    <row r="2227" spans="1:16">
      <c r="A2227" s="1" t="s">
        <v>5520</v>
      </c>
      <c r="B2227" s="1" t="s">
        <v>2148</v>
      </c>
      <c r="C2227" s="1" t="s">
        <v>18</v>
      </c>
      <c r="D2227" s="1" t="s">
        <v>19</v>
      </c>
      <c r="E2227" s="1" t="s">
        <v>1804</v>
      </c>
      <c r="F2227">
        <v>7410</v>
      </c>
      <c r="G2227">
        <v>4050</v>
      </c>
      <c r="H2227">
        <v>5000</v>
      </c>
      <c r="I2227">
        <v>1947</v>
      </c>
      <c r="J2227">
        <v>9.8000000000000007</v>
      </c>
      <c r="K2227">
        <v>913</v>
      </c>
      <c r="L2227">
        <v>134</v>
      </c>
      <c r="M2227">
        <v>89.7</v>
      </c>
      <c r="N2227">
        <v>158</v>
      </c>
      <c r="O2227">
        <v>42.4</v>
      </c>
      <c r="P2227">
        <v>5.47</v>
      </c>
    </row>
    <row r="2228" spans="1:16">
      <c r="A2228" s="1" t="s">
        <v>5520</v>
      </c>
      <c r="B2228" s="1" t="s">
        <v>2149</v>
      </c>
      <c r="C2228" s="1" t="s">
        <v>18</v>
      </c>
      <c r="D2228" s="1" t="s">
        <v>19</v>
      </c>
      <c r="E2228" s="1" t="s">
        <v>1804</v>
      </c>
      <c r="F2228">
        <v>6800</v>
      </c>
      <c r="G2228">
        <v>3750</v>
      </c>
      <c r="H2228">
        <v>4870</v>
      </c>
      <c r="I2228">
        <v>1860</v>
      </c>
      <c r="J2228">
        <v>10.9</v>
      </c>
      <c r="K2228">
        <v>904</v>
      </c>
      <c r="L2228">
        <v>120.8</v>
      </c>
      <c r="M2228">
        <v>85.3</v>
      </c>
      <c r="N2228">
        <v>154</v>
      </c>
      <c r="O2228">
        <v>43.7</v>
      </c>
      <c r="P2228">
        <v>4.97</v>
      </c>
    </row>
    <row r="2229" spans="1:16">
      <c r="A2229" s="1" t="s">
        <v>5520</v>
      </c>
      <c r="B2229" s="1" t="s">
        <v>2150</v>
      </c>
      <c r="C2229" s="1" t="s">
        <v>18</v>
      </c>
      <c r="D2229" s="1" t="s">
        <v>19</v>
      </c>
      <c r="E2229" s="1" t="s">
        <v>1804</v>
      </c>
      <c r="F2229">
        <v>5000</v>
      </c>
      <c r="G2229">
        <v>3750</v>
      </c>
      <c r="H2229">
        <v>5560</v>
      </c>
      <c r="I2229">
        <v>1890</v>
      </c>
      <c r="J2229">
        <v>8.6</v>
      </c>
      <c r="K2229">
        <v>1179</v>
      </c>
      <c r="L2229">
        <v>137.9</v>
      </c>
      <c r="M2229">
        <v>89.3</v>
      </c>
      <c r="N2229">
        <v>166</v>
      </c>
      <c r="O2229">
        <v>41.6</v>
      </c>
      <c r="P2229">
        <v>6.68</v>
      </c>
    </row>
    <row r="2230" spans="1:16">
      <c r="A2230" s="1" t="s">
        <v>5520</v>
      </c>
      <c r="B2230" s="1" t="s">
        <v>2151</v>
      </c>
      <c r="C2230" s="1" t="s">
        <v>18</v>
      </c>
      <c r="D2230" s="1" t="s">
        <v>19</v>
      </c>
      <c r="E2230" s="1" t="s">
        <v>1804</v>
      </c>
      <c r="F2230">
        <v>6760</v>
      </c>
      <c r="G2230">
        <v>4000</v>
      </c>
      <c r="H2230">
        <v>5280</v>
      </c>
      <c r="I2230">
        <v>1920</v>
      </c>
      <c r="J2230">
        <v>10.8</v>
      </c>
      <c r="K2230">
        <v>946</v>
      </c>
      <c r="L2230">
        <v>127.7</v>
      </c>
      <c r="M2230">
        <v>91.3</v>
      </c>
      <c r="N2230">
        <v>176</v>
      </c>
      <c r="O2230">
        <v>42.5</v>
      </c>
      <c r="P2230">
        <v>5.62</v>
      </c>
    </row>
    <row r="2231" spans="1:16">
      <c r="A2231" s="1" t="s">
        <v>5520</v>
      </c>
      <c r="B2231" s="1" t="s">
        <v>2152</v>
      </c>
      <c r="C2231" s="1" t="s">
        <v>18</v>
      </c>
      <c r="D2231" s="1" t="s">
        <v>19</v>
      </c>
      <c r="E2231" s="1" t="s">
        <v>1804</v>
      </c>
      <c r="F2231">
        <v>4970</v>
      </c>
      <c r="G2231">
        <v>3960</v>
      </c>
      <c r="H2231">
        <v>6800</v>
      </c>
      <c r="I2231">
        <v>1716</v>
      </c>
      <c r="J2231">
        <v>36.6</v>
      </c>
      <c r="K2231">
        <v>829</v>
      </c>
      <c r="L2231">
        <v>127.4</v>
      </c>
      <c r="M2231">
        <v>93.3</v>
      </c>
      <c r="N2231">
        <v>169</v>
      </c>
      <c r="O2231">
        <v>45.7</v>
      </c>
      <c r="P2231">
        <v>5.31</v>
      </c>
    </row>
    <row r="2232" spans="1:16">
      <c r="A2232" s="1" t="s">
        <v>5520</v>
      </c>
      <c r="B2232" s="1" t="s">
        <v>2153</v>
      </c>
      <c r="C2232" s="1" t="s">
        <v>18</v>
      </c>
      <c r="D2232" s="1" t="s">
        <v>19</v>
      </c>
      <c r="E2232" s="1" t="s">
        <v>1804</v>
      </c>
      <c r="F2232">
        <v>4890</v>
      </c>
      <c r="G2232">
        <v>3810</v>
      </c>
      <c r="H2232">
        <v>6040</v>
      </c>
      <c r="I2232">
        <v>1760</v>
      </c>
      <c r="J2232">
        <v>32.700000000000003</v>
      </c>
      <c r="K2232">
        <v>798</v>
      </c>
      <c r="L2232">
        <v>123.3</v>
      </c>
      <c r="M2232">
        <v>91.9</v>
      </c>
      <c r="N2232">
        <v>157</v>
      </c>
      <c r="O2232">
        <v>45.2</v>
      </c>
      <c r="P2232">
        <v>4.87</v>
      </c>
    </row>
    <row r="2233" spans="1:16">
      <c r="A2233" s="1" t="s">
        <v>5520</v>
      </c>
      <c r="B2233" s="1" t="s">
        <v>2154</v>
      </c>
      <c r="C2233" s="1" t="s">
        <v>18</v>
      </c>
      <c r="D2233" s="1" t="s">
        <v>19</v>
      </c>
      <c r="E2233" s="1" t="s">
        <v>1804</v>
      </c>
      <c r="F2233">
        <v>5550</v>
      </c>
      <c r="G2233">
        <v>4050</v>
      </c>
      <c r="H2233">
        <v>6050</v>
      </c>
      <c r="I2233">
        <v>1760</v>
      </c>
      <c r="J2233">
        <v>34.5</v>
      </c>
      <c r="K2233">
        <v>885</v>
      </c>
      <c r="L2233">
        <v>123.5</v>
      </c>
      <c r="M2233">
        <v>97.9</v>
      </c>
      <c r="N2233">
        <v>152</v>
      </c>
      <c r="O2233">
        <v>45.9</v>
      </c>
      <c r="P2233">
        <v>5.17</v>
      </c>
    </row>
    <row r="2234" spans="1:16">
      <c r="A2234" s="1" t="s">
        <v>5520</v>
      </c>
      <c r="B2234" s="1" t="s">
        <v>2155</v>
      </c>
      <c r="C2234" s="1" t="s">
        <v>18</v>
      </c>
      <c r="D2234" s="1" t="s">
        <v>19</v>
      </c>
      <c r="E2234" s="1" t="s">
        <v>1804</v>
      </c>
      <c r="F2234">
        <v>5650</v>
      </c>
      <c r="G2234">
        <v>4020</v>
      </c>
      <c r="H2234">
        <v>6500</v>
      </c>
      <c r="I2234">
        <v>1698</v>
      </c>
      <c r="J2234">
        <v>40.5</v>
      </c>
      <c r="K2234">
        <v>983</v>
      </c>
      <c r="L2234">
        <v>119.4</v>
      </c>
      <c r="M2234">
        <v>91.8</v>
      </c>
      <c r="N2234">
        <v>153.69999999999999</v>
      </c>
      <c r="O2234">
        <v>45.9</v>
      </c>
      <c r="P2234">
        <v>4.95</v>
      </c>
    </row>
    <row r="2235" spans="1:16">
      <c r="A2235" s="1" t="s">
        <v>5520</v>
      </c>
      <c r="B2235" s="1" t="s">
        <v>2156</v>
      </c>
      <c r="C2235" s="1" t="s">
        <v>18</v>
      </c>
      <c r="D2235" s="1" t="s">
        <v>19</v>
      </c>
      <c r="E2235" s="1" t="s">
        <v>1804</v>
      </c>
      <c r="F2235">
        <v>5540</v>
      </c>
      <c r="G2235">
        <v>3940</v>
      </c>
      <c r="H2235">
        <v>5420</v>
      </c>
      <c r="I2235">
        <v>1734</v>
      </c>
      <c r="J2235">
        <v>8.3000000000000007</v>
      </c>
      <c r="K2235">
        <v>848</v>
      </c>
      <c r="L2235">
        <v>124.6</v>
      </c>
      <c r="M2235">
        <v>97.9</v>
      </c>
      <c r="N2235">
        <v>161</v>
      </c>
      <c r="O2235">
        <v>44.9</v>
      </c>
      <c r="P2235">
        <v>4.41</v>
      </c>
    </row>
    <row r="2236" spans="1:16">
      <c r="A2236" s="1" t="s">
        <v>5520</v>
      </c>
      <c r="B2236" s="1" t="s">
        <v>2157</v>
      </c>
      <c r="C2236" s="1" t="s">
        <v>18</v>
      </c>
      <c r="D2236" s="1" t="s">
        <v>19</v>
      </c>
      <c r="E2236" s="1" t="s">
        <v>1804</v>
      </c>
      <c r="F2236">
        <v>7260</v>
      </c>
      <c r="G2236">
        <v>5770</v>
      </c>
      <c r="H2236">
        <v>7590</v>
      </c>
      <c r="I2236">
        <v>1725</v>
      </c>
      <c r="J2236">
        <v>4.4000000000000004</v>
      </c>
      <c r="K2236">
        <v>846</v>
      </c>
      <c r="L2236">
        <v>140.69999999999999</v>
      </c>
      <c r="M2236">
        <v>89.2</v>
      </c>
      <c r="N2236">
        <v>113</v>
      </c>
      <c r="O2236">
        <v>42.7</v>
      </c>
      <c r="P2236">
        <v>12.1</v>
      </c>
    </row>
    <row r="2237" spans="1:16">
      <c r="A2237" s="1" t="s">
        <v>5520</v>
      </c>
      <c r="B2237" s="1" t="s">
        <v>2158</v>
      </c>
      <c r="C2237" s="1" t="s">
        <v>18</v>
      </c>
      <c r="D2237" s="1" t="s">
        <v>19</v>
      </c>
      <c r="E2237" s="1" t="s">
        <v>1804</v>
      </c>
      <c r="F2237">
        <v>6530</v>
      </c>
      <c r="G2237">
        <v>4700</v>
      </c>
      <c r="H2237">
        <v>6560</v>
      </c>
      <c r="I2237">
        <v>1691</v>
      </c>
      <c r="J2237">
        <v>11.6</v>
      </c>
      <c r="K2237">
        <v>937</v>
      </c>
      <c r="L2237">
        <v>129.4</v>
      </c>
      <c r="M2237">
        <v>95.4</v>
      </c>
      <c r="N2237">
        <v>193</v>
      </c>
      <c r="O2237">
        <v>46.1</v>
      </c>
      <c r="P2237">
        <v>8.4</v>
      </c>
    </row>
    <row r="2238" spans="1:16">
      <c r="A2238" s="1" t="s">
        <v>5520</v>
      </c>
      <c r="B2238" s="1" t="s">
        <v>2159</v>
      </c>
      <c r="C2238" s="1" t="s">
        <v>18</v>
      </c>
      <c r="D2238" s="1" t="s">
        <v>19</v>
      </c>
      <c r="E2238" s="1" t="s">
        <v>1804</v>
      </c>
      <c r="F2238">
        <v>6430</v>
      </c>
      <c r="G2238">
        <v>4720</v>
      </c>
      <c r="H2238">
        <v>6210</v>
      </c>
      <c r="I2238">
        <v>1649</v>
      </c>
      <c r="J2238">
        <v>6.2</v>
      </c>
      <c r="K2238">
        <v>805</v>
      </c>
      <c r="L2238">
        <v>120.6</v>
      </c>
      <c r="M2238">
        <v>83.5</v>
      </c>
      <c r="N2238">
        <v>180</v>
      </c>
      <c r="O2238">
        <v>44</v>
      </c>
      <c r="P2238">
        <v>7.2</v>
      </c>
    </row>
    <row r="2239" spans="1:16">
      <c r="A2239" s="1" t="s">
        <v>5520</v>
      </c>
      <c r="B2239" s="1" t="s">
        <v>2160</v>
      </c>
      <c r="C2239" s="1" t="s">
        <v>18</v>
      </c>
      <c r="D2239" s="1" t="s">
        <v>19</v>
      </c>
      <c r="E2239" s="1" t="s">
        <v>1804</v>
      </c>
      <c r="F2239">
        <v>6730</v>
      </c>
      <c r="G2239">
        <v>4680</v>
      </c>
      <c r="H2239">
        <v>6070</v>
      </c>
      <c r="I2239">
        <v>1716</v>
      </c>
      <c r="J2239">
        <v>5.2</v>
      </c>
      <c r="K2239">
        <v>911</v>
      </c>
      <c r="L2239">
        <v>117.2</v>
      </c>
      <c r="M2239">
        <v>78.599999999999994</v>
      </c>
      <c r="N2239">
        <v>162</v>
      </c>
      <c r="O2239">
        <v>44.1</v>
      </c>
      <c r="P2239">
        <v>8.1</v>
      </c>
    </row>
    <row r="2240" spans="1:16">
      <c r="A2240" s="1" t="s">
        <v>5520</v>
      </c>
      <c r="B2240" s="1" t="s">
        <v>2161</v>
      </c>
      <c r="C2240" s="1" t="s">
        <v>18</v>
      </c>
      <c r="D2240" s="1" t="s">
        <v>19</v>
      </c>
      <c r="E2240" s="1" t="s">
        <v>1804</v>
      </c>
      <c r="F2240">
        <v>7320</v>
      </c>
      <c r="G2240">
        <v>4590</v>
      </c>
      <c r="H2240">
        <v>5760</v>
      </c>
      <c r="I2240">
        <v>1694</v>
      </c>
      <c r="J2240" s="11">
        <f t="shared" ref="J2240:J2244" si="53">3.4/2</f>
        <v>1.7</v>
      </c>
      <c r="K2240">
        <v>948</v>
      </c>
      <c r="L2240">
        <v>134</v>
      </c>
      <c r="M2240">
        <v>79.5</v>
      </c>
      <c r="N2240">
        <v>189</v>
      </c>
      <c r="O2240">
        <v>42.7</v>
      </c>
      <c r="P2240">
        <v>8.3000000000000007</v>
      </c>
    </row>
    <row r="2241" spans="1:16">
      <c r="A2241" s="1" t="s">
        <v>5520</v>
      </c>
      <c r="B2241" s="1" t="s">
        <v>2162</v>
      </c>
      <c r="C2241" s="1" t="s">
        <v>18</v>
      </c>
      <c r="D2241" s="1" t="s">
        <v>19</v>
      </c>
      <c r="E2241" s="1" t="s">
        <v>1804</v>
      </c>
      <c r="F2241">
        <v>6860</v>
      </c>
      <c r="G2241">
        <v>4350</v>
      </c>
      <c r="H2241">
        <v>5880</v>
      </c>
      <c r="I2241">
        <v>1744</v>
      </c>
      <c r="J2241" s="11">
        <f t="shared" si="53"/>
        <v>1.7</v>
      </c>
      <c r="K2241">
        <v>968</v>
      </c>
      <c r="L2241">
        <v>126</v>
      </c>
      <c r="M2241">
        <v>83.5</v>
      </c>
      <c r="N2241">
        <v>201</v>
      </c>
      <c r="O2241">
        <v>44.3</v>
      </c>
      <c r="P2241">
        <v>6.2</v>
      </c>
    </row>
    <row r="2242" spans="1:16">
      <c r="A2242" s="1" t="s">
        <v>5520</v>
      </c>
      <c r="B2242" s="1" t="s">
        <v>2163</v>
      </c>
      <c r="C2242" s="1" t="s">
        <v>18</v>
      </c>
      <c r="D2242" s="1" t="s">
        <v>19</v>
      </c>
      <c r="E2242" s="1" t="s">
        <v>1804</v>
      </c>
      <c r="F2242">
        <v>8100</v>
      </c>
      <c r="G2242">
        <v>4440</v>
      </c>
      <c r="H2242">
        <v>5620</v>
      </c>
      <c r="I2242">
        <v>1640</v>
      </c>
      <c r="J2242" s="11">
        <f t="shared" si="53"/>
        <v>1.7</v>
      </c>
      <c r="K2242">
        <v>985</v>
      </c>
      <c r="L2242">
        <v>115.7</v>
      </c>
      <c r="M2242">
        <v>79.900000000000006</v>
      </c>
      <c r="N2242">
        <v>192</v>
      </c>
      <c r="O2242">
        <v>44.5</v>
      </c>
      <c r="P2242">
        <v>5.0999999999999996</v>
      </c>
    </row>
    <row r="2243" spans="1:16">
      <c r="A2243" s="1" t="s">
        <v>5520</v>
      </c>
      <c r="B2243" s="1" t="s">
        <v>2164</v>
      </c>
      <c r="C2243" s="1" t="s">
        <v>18</v>
      </c>
      <c r="D2243" s="1" t="s">
        <v>19</v>
      </c>
      <c r="E2243" s="1" t="s">
        <v>1804</v>
      </c>
      <c r="F2243">
        <v>5120</v>
      </c>
      <c r="G2243">
        <v>3790</v>
      </c>
      <c r="H2243">
        <v>6820</v>
      </c>
      <c r="I2243">
        <v>1718</v>
      </c>
      <c r="J2243" s="11">
        <f t="shared" si="53"/>
        <v>1.7</v>
      </c>
      <c r="K2243">
        <v>1420</v>
      </c>
      <c r="L2243">
        <v>119.9</v>
      </c>
      <c r="M2243">
        <v>83.1</v>
      </c>
      <c r="N2243">
        <v>152</v>
      </c>
      <c r="O2243">
        <v>43.4</v>
      </c>
      <c r="P2243">
        <v>5.85</v>
      </c>
    </row>
    <row r="2244" spans="1:16">
      <c r="A2244" s="1" t="s">
        <v>5520</v>
      </c>
      <c r="B2244" s="1" t="s">
        <v>2165</v>
      </c>
      <c r="C2244" s="1" t="s">
        <v>18</v>
      </c>
      <c r="D2244" s="1" t="s">
        <v>19</v>
      </c>
      <c r="E2244" s="1" t="s">
        <v>1804</v>
      </c>
      <c r="F2244">
        <v>5900</v>
      </c>
      <c r="G2244">
        <v>3850</v>
      </c>
      <c r="H2244">
        <v>4400</v>
      </c>
      <c r="I2244">
        <v>1702</v>
      </c>
      <c r="J2244" s="11">
        <f t="shared" si="53"/>
        <v>1.7</v>
      </c>
      <c r="K2244">
        <v>801</v>
      </c>
      <c r="L2244">
        <v>115</v>
      </c>
      <c r="M2244">
        <v>89</v>
      </c>
      <c r="N2244">
        <v>196</v>
      </c>
      <c r="O2244">
        <v>45.6</v>
      </c>
      <c r="P2244">
        <v>7.8</v>
      </c>
    </row>
    <row r="2245" spans="1:16">
      <c r="A2245" s="1" t="s">
        <v>5520</v>
      </c>
      <c r="B2245" s="1" t="s">
        <v>2166</v>
      </c>
      <c r="C2245" s="1" t="s">
        <v>18</v>
      </c>
      <c r="D2245" s="1" t="s">
        <v>19</v>
      </c>
      <c r="E2245" s="1" t="s">
        <v>1804</v>
      </c>
      <c r="F2245">
        <v>4640</v>
      </c>
      <c r="G2245">
        <v>3650</v>
      </c>
      <c r="H2245">
        <v>3620</v>
      </c>
      <c r="I2245">
        <v>1767</v>
      </c>
      <c r="J2245">
        <v>6.5</v>
      </c>
      <c r="K2245">
        <v>584</v>
      </c>
      <c r="L2245">
        <v>114.7</v>
      </c>
      <c r="M2245">
        <v>85.6</v>
      </c>
      <c r="N2245">
        <v>137</v>
      </c>
      <c r="O2245">
        <v>45.2</v>
      </c>
      <c r="P2245">
        <v>7.4</v>
      </c>
    </row>
    <row r="2246" spans="1:16">
      <c r="A2246" s="1" t="s">
        <v>5520</v>
      </c>
      <c r="B2246" s="1" t="s">
        <v>2167</v>
      </c>
      <c r="C2246" s="1" t="s">
        <v>18</v>
      </c>
      <c r="D2246" s="1" t="s">
        <v>19</v>
      </c>
      <c r="E2246" s="1" t="s">
        <v>1804</v>
      </c>
      <c r="F2246">
        <v>7980</v>
      </c>
      <c r="G2246">
        <v>1949</v>
      </c>
      <c r="H2246">
        <v>1480</v>
      </c>
      <c r="I2246">
        <v>1710</v>
      </c>
      <c r="J2246" s="11">
        <f t="shared" ref="J2246:J2270" si="54">3.4/2</f>
        <v>1.7</v>
      </c>
      <c r="K2246">
        <v>993</v>
      </c>
      <c r="L2246">
        <v>120.3</v>
      </c>
      <c r="M2246">
        <v>115.3</v>
      </c>
      <c r="N2246">
        <v>141</v>
      </c>
      <c r="O2246">
        <v>24.8</v>
      </c>
      <c r="P2246">
        <v>4.5599999999999996</v>
      </c>
    </row>
    <row r="2247" spans="1:16">
      <c r="A2247" s="1" t="s">
        <v>5520</v>
      </c>
      <c r="B2247" s="1" t="s">
        <v>2168</v>
      </c>
      <c r="C2247" s="1" t="s">
        <v>18</v>
      </c>
      <c r="D2247" s="1" t="s">
        <v>19</v>
      </c>
      <c r="E2247" s="1" t="s">
        <v>1804</v>
      </c>
      <c r="F2247">
        <v>7280</v>
      </c>
      <c r="G2247">
        <v>1811</v>
      </c>
      <c r="H2247">
        <v>1393</v>
      </c>
      <c r="I2247">
        <v>1561</v>
      </c>
      <c r="J2247" s="11">
        <f t="shared" si="54"/>
        <v>1.7</v>
      </c>
      <c r="K2247">
        <v>977</v>
      </c>
      <c r="L2247">
        <v>117.1</v>
      </c>
      <c r="M2247">
        <v>111.1</v>
      </c>
      <c r="N2247">
        <v>133</v>
      </c>
      <c r="O2247">
        <v>22.1</v>
      </c>
      <c r="P2247">
        <v>3.99</v>
      </c>
    </row>
    <row r="2248" spans="1:16">
      <c r="A2248" s="1" t="s">
        <v>5520</v>
      </c>
      <c r="B2248" s="1" t="s">
        <v>2169</v>
      </c>
      <c r="C2248" s="1" t="s">
        <v>18</v>
      </c>
      <c r="D2248" s="1" t="s">
        <v>19</v>
      </c>
      <c r="E2248" s="1" t="s">
        <v>1804</v>
      </c>
      <c r="F2248">
        <v>9980</v>
      </c>
      <c r="G2248">
        <v>1915</v>
      </c>
      <c r="H2248">
        <v>1298</v>
      </c>
      <c r="I2248">
        <v>1501</v>
      </c>
      <c r="J2248" s="11">
        <f t="shared" si="54"/>
        <v>1.7</v>
      </c>
      <c r="K2248">
        <v>1056</v>
      </c>
      <c r="L2248">
        <v>113.4</v>
      </c>
      <c r="M2248">
        <v>108.3</v>
      </c>
      <c r="N2248">
        <v>139.80000000000001</v>
      </c>
      <c r="O2248">
        <v>23</v>
      </c>
      <c r="P2248">
        <v>4.3099999999999996</v>
      </c>
    </row>
    <row r="2249" spans="1:16">
      <c r="A2249" s="1" t="s">
        <v>5520</v>
      </c>
      <c r="B2249" s="1" t="s">
        <v>2170</v>
      </c>
      <c r="C2249" s="1" t="s">
        <v>18</v>
      </c>
      <c r="D2249" s="1" t="s">
        <v>19</v>
      </c>
      <c r="E2249" s="1" t="s">
        <v>1804</v>
      </c>
      <c r="F2249">
        <v>11240</v>
      </c>
      <c r="G2249">
        <v>1932</v>
      </c>
      <c r="H2249">
        <v>1260</v>
      </c>
      <c r="I2249">
        <v>1470</v>
      </c>
      <c r="J2249" s="11">
        <f t="shared" si="54"/>
        <v>1.7</v>
      </c>
      <c r="K2249">
        <v>1072</v>
      </c>
      <c r="L2249">
        <v>115.7</v>
      </c>
      <c r="M2249">
        <v>105.7</v>
      </c>
      <c r="N2249">
        <v>153</v>
      </c>
      <c r="O2249">
        <v>23.6</v>
      </c>
      <c r="P2249">
        <v>4.83</v>
      </c>
    </row>
    <row r="2250" spans="1:16">
      <c r="A2250" s="1" t="s">
        <v>5520</v>
      </c>
      <c r="B2250" s="1" t="s">
        <v>2171</v>
      </c>
      <c r="C2250" s="1" t="s">
        <v>18</v>
      </c>
      <c r="D2250" s="1" t="s">
        <v>19</v>
      </c>
      <c r="E2250" s="1" t="s">
        <v>1804</v>
      </c>
      <c r="F2250">
        <v>7640</v>
      </c>
      <c r="G2250">
        <v>861</v>
      </c>
      <c r="H2250">
        <v>203</v>
      </c>
      <c r="I2250">
        <v>1505</v>
      </c>
      <c r="J2250" s="11">
        <f t="shared" si="54"/>
        <v>1.7</v>
      </c>
      <c r="K2250">
        <v>979</v>
      </c>
      <c r="L2250">
        <v>114.9</v>
      </c>
      <c r="M2250">
        <v>116.2</v>
      </c>
      <c r="N2250">
        <v>140</v>
      </c>
      <c r="O2250">
        <v>15</v>
      </c>
      <c r="P2250">
        <v>5.13</v>
      </c>
    </row>
    <row r="2251" spans="1:16">
      <c r="A2251" s="1" t="s">
        <v>5520</v>
      </c>
      <c r="B2251" s="1" t="s">
        <v>2172</v>
      </c>
      <c r="C2251" s="1" t="s">
        <v>18</v>
      </c>
      <c r="D2251" s="1" t="s">
        <v>19</v>
      </c>
      <c r="E2251" s="1" t="s">
        <v>1804</v>
      </c>
      <c r="F2251">
        <v>7390</v>
      </c>
      <c r="G2251">
        <v>871</v>
      </c>
      <c r="H2251">
        <v>178.8</v>
      </c>
      <c r="I2251">
        <v>1437</v>
      </c>
      <c r="J2251" s="11">
        <f t="shared" si="54"/>
        <v>1.7</v>
      </c>
      <c r="K2251">
        <v>933</v>
      </c>
      <c r="L2251">
        <v>110.9</v>
      </c>
      <c r="M2251">
        <v>110.4</v>
      </c>
      <c r="N2251">
        <v>127</v>
      </c>
      <c r="O2251">
        <v>15.2</v>
      </c>
      <c r="P2251">
        <v>4.8899999999999997</v>
      </c>
    </row>
    <row r="2252" spans="1:16">
      <c r="A2252" s="1" t="s">
        <v>5520</v>
      </c>
      <c r="B2252" s="1" t="s">
        <v>2173</v>
      </c>
      <c r="C2252" s="1" t="s">
        <v>18</v>
      </c>
      <c r="D2252" s="1" t="s">
        <v>19</v>
      </c>
      <c r="E2252" s="1" t="s">
        <v>1804</v>
      </c>
      <c r="F2252">
        <v>8180</v>
      </c>
      <c r="G2252">
        <v>851</v>
      </c>
      <c r="H2252">
        <v>159</v>
      </c>
      <c r="I2252">
        <v>1451</v>
      </c>
      <c r="J2252" s="11">
        <f t="shared" si="54"/>
        <v>1.7</v>
      </c>
      <c r="K2252">
        <v>957</v>
      </c>
      <c r="L2252">
        <v>113.2</v>
      </c>
      <c r="M2252">
        <v>109.2</v>
      </c>
      <c r="N2252">
        <v>118.3</v>
      </c>
      <c r="O2252">
        <v>13.9</v>
      </c>
      <c r="P2252">
        <v>4.75</v>
      </c>
    </row>
    <row r="2253" spans="1:16">
      <c r="A2253" s="1" t="s">
        <v>5520</v>
      </c>
      <c r="B2253" s="1" t="s">
        <v>2174</v>
      </c>
      <c r="C2253" s="1" t="s">
        <v>18</v>
      </c>
      <c r="D2253" s="1" t="s">
        <v>19</v>
      </c>
      <c r="E2253" s="1" t="s">
        <v>1804</v>
      </c>
      <c r="F2253">
        <v>8430</v>
      </c>
      <c r="G2253">
        <v>826</v>
      </c>
      <c r="H2253">
        <v>160.9</v>
      </c>
      <c r="I2253">
        <v>1415</v>
      </c>
      <c r="J2253" s="11">
        <f t="shared" si="54"/>
        <v>1.7</v>
      </c>
      <c r="K2253">
        <v>987</v>
      </c>
      <c r="L2253">
        <v>112.7</v>
      </c>
      <c r="M2253">
        <v>107.1</v>
      </c>
      <c r="N2253">
        <v>138.1</v>
      </c>
      <c r="O2253">
        <v>15.5</v>
      </c>
      <c r="P2253">
        <v>5.03</v>
      </c>
    </row>
    <row r="2254" spans="1:16">
      <c r="A2254" s="1" t="s">
        <v>5520</v>
      </c>
      <c r="B2254" s="1" t="s">
        <v>2175</v>
      </c>
      <c r="C2254" s="1" t="s">
        <v>18</v>
      </c>
      <c r="D2254" s="1" t="s">
        <v>19</v>
      </c>
      <c r="E2254" s="1" t="s">
        <v>1804</v>
      </c>
      <c r="F2254">
        <v>8600</v>
      </c>
      <c r="G2254">
        <v>814</v>
      </c>
      <c r="H2254">
        <v>138</v>
      </c>
      <c r="I2254">
        <v>1456</v>
      </c>
      <c r="J2254" s="11">
        <f t="shared" si="54"/>
        <v>1.7</v>
      </c>
      <c r="K2254">
        <v>970</v>
      </c>
      <c r="L2254">
        <v>113.4</v>
      </c>
      <c r="M2254">
        <v>112.8</v>
      </c>
      <c r="N2254">
        <v>126.8</v>
      </c>
      <c r="O2254">
        <v>14.76</v>
      </c>
      <c r="P2254">
        <v>5.19</v>
      </c>
    </row>
    <row r="2255" spans="1:16">
      <c r="A2255" s="1" t="s">
        <v>5520</v>
      </c>
      <c r="B2255" s="1" t="s">
        <v>2176</v>
      </c>
      <c r="C2255" s="1" t="s">
        <v>18</v>
      </c>
      <c r="D2255" s="1" t="s">
        <v>19</v>
      </c>
      <c r="E2255" s="1" t="s">
        <v>1804</v>
      </c>
      <c r="F2255">
        <v>8280</v>
      </c>
      <c r="G2255">
        <v>760</v>
      </c>
      <c r="H2255">
        <v>127.7</v>
      </c>
      <c r="I2255">
        <v>1471</v>
      </c>
      <c r="J2255" s="11">
        <f t="shared" si="54"/>
        <v>1.7</v>
      </c>
      <c r="K2255">
        <v>978</v>
      </c>
      <c r="L2255">
        <v>119</v>
      </c>
      <c r="M2255">
        <v>116.1</v>
      </c>
      <c r="N2255">
        <v>124.2</v>
      </c>
      <c r="O2255">
        <v>14.71</v>
      </c>
      <c r="P2255">
        <v>4.51</v>
      </c>
    </row>
    <row r="2256" spans="1:16">
      <c r="A2256" s="1" t="s">
        <v>5520</v>
      </c>
      <c r="B2256" s="1" t="s">
        <v>2177</v>
      </c>
      <c r="C2256" s="1" t="s">
        <v>18</v>
      </c>
      <c r="D2256" s="1" t="s">
        <v>19</v>
      </c>
      <c r="E2256" s="1" t="s">
        <v>1804</v>
      </c>
      <c r="F2256">
        <v>8670</v>
      </c>
      <c r="G2256">
        <v>728</v>
      </c>
      <c r="H2256">
        <v>133.6</v>
      </c>
      <c r="I2256">
        <v>1453</v>
      </c>
      <c r="J2256" s="11">
        <f t="shared" si="54"/>
        <v>1.7</v>
      </c>
      <c r="K2256">
        <v>1008</v>
      </c>
      <c r="L2256">
        <v>112.5</v>
      </c>
      <c r="M2256">
        <v>102</v>
      </c>
      <c r="N2256">
        <v>123.7</v>
      </c>
      <c r="O2256">
        <v>14.9</v>
      </c>
      <c r="P2256">
        <v>4.5599999999999996</v>
      </c>
    </row>
    <row r="2257" spans="1:16">
      <c r="A2257" s="1" t="s">
        <v>5520</v>
      </c>
      <c r="B2257" s="1" t="s">
        <v>2178</v>
      </c>
      <c r="C2257" s="1" t="s">
        <v>18</v>
      </c>
      <c r="D2257" s="1" t="s">
        <v>19</v>
      </c>
      <c r="E2257" s="1" t="s">
        <v>1804</v>
      </c>
      <c r="F2257">
        <v>9070</v>
      </c>
      <c r="G2257">
        <v>712</v>
      </c>
      <c r="H2257">
        <v>99</v>
      </c>
      <c r="I2257">
        <v>1470</v>
      </c>
      <c r="J2257" s="11">
        <f t="shared" si="54"/>
        <v>1.7</v>
      </c>
      <c r="K2257">
        <v>1012</v>
      </c>
      <c r="L2257">
        <v>113.2</v>
      </c>
      <c r="M2257">
        <v>109.9</v>
      </c>
      <c r="N2257">
        <v>123.1</v>
      </c>
      <c r="O2257">
        <v>13.94</v>
      </c>
      <c r="P2257">
        <v>5.21</v>
      </c>
    </row>
    <row r="2258" spans="1:16">
      <c r="A2258" s="1" t="s">
        <v>5520</v>
      </c>
      <c r="B2258" s="1" t="s">
        <v>2179</v>
      </c>
      <c r="C2258" s="1" t="s">
        <v>18</v>
      </c>
      <c r="D2258" s="1" t="s">
        <v>19</v>
      </c>
      <c r="E2258" s="1" t="s">
        <v>1804</v>
      </c>
      <c r="F2258">
        <v>13220</v>
      </c>
      <c r="G2258">
        <v>1076</v>
      </c>
      <c r="H2258">
        <v>787</v>
      </c>
      <c r="I2258">
        <v>1990</v>
      </c>
      <c r="J2258" s="11">
        <f t="shared" si="54"/>
        <v>1.7</v>
      </c>
      <c r="K2258">
        <v>598</v>
      </c>
      <c r="L2258">
        <v>63.2</v>
      </c>
      <c r="M2258">
        <v>42.1</v>
      </c>
      <c r="N2258">
        <v>85</v>
      </c>
      <c r="O2258">
        <v>19.3</v>
      </c>
      <c r="P2258">
        <v>25.3</v>
      </c>
    </row>
    <row r="2259" spans="1:16">
      <c r="A2259" s="1" t="s">
        <v>5520</v>
      </c>
      <c r="B2259" s="1" t="s">
        <v>2180</v>
      </c>
      <c r="C2259" s="1" t="s">
        <v>18</v>
      </c>
      <c r="D2259" s="1" t="s">
        <v>19</v>
      </c>
      <c r="E2259" s="1" t="s">
        <v>1804</v>
      </c>
      <c r="F2259">
        <v>12710</v>
      </c>
      <c r="G2259">
        <v>1086</v>
      </c>
      <c r="H2259">
        <v>774</v>
      </c>
      <c r="I2259">
        <v>1905</v>
      </c>
      <c r="J2259" s="11">
        <f t="shared" si="54"/>
        <v>1.7</v>
      </c>
      <c r="K2259">
        <v>612</v>
      </c>
      <c r="L2259">
        <v>64.900000000000006</v>
      </c>
      <c r="M2259">
        <v>40.5</v>
      </c>
      <c r="N2259">
        <v>78.599999999999994</v>
      </c>
      <c r="O2259">
        <v>18.5</v>
      </c>
      <c r="P2259">
        <v>23.5</v>
      </c>
    </row>
    <row r="2260" spans="1:16">
      <c r="A2260" s="1" t="s">
        <v>5520</v>
      </c>
      <c r="B2260" s="1" t="s">
        <v>2181</v>
      </c>
      <c r="C2260" s="1" t="s">
        <v>18</v>
      </c>
      <c r="D2260" s="1" t="s">
        <v>19</v>
      </c>
      <c r="E2260" s="1" t="s">
        <v>1804</v>
      </c>
      <c r="F2260">
        <v>14110</v>
      </c>
      <c r="G2260">
        <v>1116</v>
      </c>
      <c r="H2260">
        <v>813</v>
      </c>
      <c r="I2260">
        <v>2010</v>
      </c>
      <c r="J2260" s="11">
        <f t="shared" si="54"/>
        <v>1.7</v>
      </c>
      <c r="K2260">
        <v>637</v>
      </c>
      <c r="L2260">
        <v>70.099999999999994</v>
      </c>
      <c r="M2260">
        <v>40.4</v>
      </c>
      <c r="N2260">
        <v>90.6</v>
      </c>
      <c r="O2260">
        <v>19.5</v>
      </c>
      <c r="P2260">
        <v>25.9</v>
      </c>
    </row>
    <row r="2261" spans="1:16">
      <c r="A2261" s="1" t="s">
        <v>5520</v>
      </c>
      <c r="B2261" s="1" t="s">
        <v>2182</v>
      </c>
      <c r="C2261" s="1" t="s">
        <v>18</v>
      </c>
      <c r="D2261" s="1" t="s">
        <v>19</v>
      </c>
      <c r="E2261" s="1" t="s">
        <v>1804</v>
      </c>
      <c r="F2261">
        <v>14280</v>
      </c>
      <c r="G2261">
        <v>1145</v>
      </c>
      <c r="H2261">
        <v>840</v>
      </c>
      <c r="I2261">
        <v>2090</v>
      </c>
      <c r="J2261" s="11">
        <f t="shared" si="54"/>
        <v>1.7</v>
      </c>
      <c r="K2261">
        <v>649</v>
      </c>
      <c r="L2261">
        <v>63.3</v>
      </c>
      <c r="M2261">
        <v>43.1</v>
      </c>
      <c r="N2261">
        <v>97</v>
      </c>
      <c r="O2261">
        <v>17.899999999999999</v>
      </c>
      <c r="P2261">
        <v>25.7</v>
      </c>
    </row>
    <row r="2262" spans="1:16">
      <c r="A2262" s="1" t="s">
        <v>5520</v>
      </c>
      <c r="B2262" s="1" t="s">
        <v>2183</v>
      </c>
      <c r="C2262" s="1" t="s">
        <v>18</v>
      </c>
      <c r="D2262" s="1" t="s">
        <v>19</v>
      </c>
      <c r="E2262" s="1" t="s">
        <v>1804</v>
      </c>
      <c r="F2262">
        <v>14330</v>
      </c>
      <c r="G2262">
        <v>1127</v>
      </c>
      <c r="H2262">
        <v>816</v>
      </c>
      <c r="I2262">
        <v>2010</v>
      </c>
      <c r="J2262" s="11">
        <f t="shared" si="54"/>
        <v>1.7</v>
      </c>
      <c r="K2262">
        <v>649</v>
      </c>
      <c r="L2262">
        <v>68.5</v>
      </c>
      <c r="M2262">
        <v>40</v>
      </c>
      <c r="N2262">
        <v>82.5</v>
      </c>
      <c r="O2262">
        <v>18.5</v>
      </c>
      <c r="P2262">
        <v>25.7</v>
      </c>
    </row>
    <row r="2263" spans="1:16">
      <c r="A2263" s="1" t="s">
        <v>5520</v>
      </c>
      <c r="B2263" s="1" t="s">
        <v>2184</v>
      </c>
      <c r="C2263" s="1" t="s">
        <v>18</v>
      </c>
      <c r="D2263" s="1" t="s">
        <v>19</v>
      </c>
      <c r="E2263" s="1" t="s">
        <v>1804</v>
      </c>
      <c r="F2263">
        <v>14600</v>
      </c>
      <c r="G2263">
        <v>1178</v>
      </c>
      <c r="H2263">
        <v>822</v>
      </c>
      <c r="I2263">
        <v>2030</v>
      </c>
      <c r="J2263" s="11">
        <f t="shared" si="54"/>
        <v>1.7</v>
      </c>
      <c r="K2263">
        <v>647</v>
      </c>
      <c r="L2263">
        <v>65.599999999999994</v>
      </c>
      <c r="M2263">
        <v>41.1</v>
      </c>
      <c r="N2263">
        <v>91.5</v>
      </c>
      <c r="O2263">
        <v>18.2</v>
      </c>
      <c r="P2263">
        <v>27.4</v>
      </c>
    </row>
    <row r="2264" spans="1:16">
      <c r="A2264" s="1" t="s">
        <v>5520</v>
      </c>
      <c r="B2264" s="1" t="s">
        <v>2185</v>
      </c>
      <c r="C2264" s="1" t="s">
        <v>18</v>
      </c>
      <c r="D2264" s="1" t="s">
        <v>19</v>
      </c>
      <c r="E2264" s="1" t="s">
        <v>1804</v>
      </c>
      <c r="F2264">
        <v>14060</v>
      </c>
      <c r="G2264">
        <v>1143</v>
      </c>
      <c r="H2264">
        <v>860</v>
      </c>
      <c r="I2264">
        <v>1990</v>
      </c>
      <c r="J2264" s="11">
        <f t="shared" si="54"/>
        <v>1.7</v>
      </c>
      <c r="K2264">
        <v>638</v>
      </c>
      <c r="L2264">
        <v>61.7</v>
      </c>
      <c r="M2264">
        <v>40.5</v>
      </c>
      <c r="N2264">
        <v>103</v>
      </c>
      <c r="O2264">
        <v>18.399999999999999</v>
      </c>
      <c r="P2264">
        <v>27</v>
      </c>
    </row>
    <row r="2265" spans="1:16">
      <c r="A2265" s="1" t="s">
        <v>5520</v>
      </c>
      <c r="B2265" s="1" t="s">
        <v>2186</v>
      </c>
      <c r="C2265" s="1" t="s">
        <v>18</v>
      </c>
      <c r="D2265" s="1" t="s">
        <v>19</v>
      </c>
      <c r="E2265" s="1" t="s">
        <v>1804</v>
      </c>
      <c r="F2265">
        <v>13570</v>
      </c>
      <c r="G2265">
        <v>1596</v>
      </c>
      <c r="H2265">
        <v>1150</v>
      </c>
      <c r="I2265">
        <v>1980</v>
      </c>
      <c r="J2265" s="11">
        <f t="shared" si="54"/>
        <v>1.7</v>
      </c>
      <c r="K2265">
        <v>670</v>
      </c>
      <c r="L2265">
        <v>69.900000000000006</v>
      </c>
      <c r="M2265">
        <v>42.4</v>
      </c>
      <c r="N2265">
        <v>80.2</v>
      </c>
      <c r="O2265">
        <v>22.4</v>
      </c>
      <c r="P2265">
        <v>21.5</v>
      </c>
    </row>
    <row r="2266" spans="1:16">
      <c r="A2266" s="1" t="s">
        <v>5520</v>
      </c>
      <c r="B2266" s="1" t="s">
        <v>2187</v>
      </c>
      <c r="C2266" s="1" t="s">
        <v>18</v>
      </c>
      <c r="D2266" s="1" t="s">
        <v>19</v>
      </c>
      <c r="E2266" s="1" t="s">
        <v>1804</v>
      </c>
      <c r="F2266">
        <v>13450</v>
      </c>
      <c r="G2266">
        <v>1618</v>
      </c>
      <c r="H2266">
        <v>1180</v>
      </c>
      <c r="I2266">
        <v>1950</v>
      </c>
      <c r="J2266" s="11">
        <f t="shared" si="54"/>
        <v>1.7</v>
      </c>
      <c r="K2266">
        <v>670</v>
      </c>
      <c r="L2266">
        <v>72.900000000000006</v>
      </c>
      <c r="M2266">
        <v>43.4</v>
      </c>
      <c r="N2266">
        <v>89</v>
      </c>
      <c r="O2266">
        <v>23.8</v>
      </c>
      <c r="P2266">
        <v>22.6</v>
      </c>
    </row>
    <row r="2267" spans="1:16">
      <c r="A2267" s="1" t="s">
        <v>5520</v>
      </c>
      <c r="B2267" s="1" t="s">
        <v>2188</v>
      </c>
      <c r="C2267" s="1" t="s">
        <v>18</v>
      </c>
      <c r="D2267" s="1" t="s">
        <v>19</v>
      </c>
      <c r="E2267" s="1" t="s">
        <v>1804</v>
      </c>
      <c r="F2267">
        <v>13930</v>
      </c>
      <c r="G2267">
        <v>1740</v>
      </c>
      <c r="H2267">
        <v>1210</v>
      </c>
      <c r="I2267">
        <v>2030</v>
      </c>
      <c r="J2267" s="11">
        <f t="shared" si="54"/>
        <v>1.7</v>
      </c>
      <c r="K2267">
        <v>673</v>
      </c>
      <c r="L2267">
        <v>73.3</v>
      </c>
      <c r="M2267">
        <v>47.1</v>
      </c>
      <c r="N2267">
        <v>100</v>
      </c>
      <c r="O2267">
        <v>26</v>
      </c>
      <c r="P2267">
        <v>25.2</v>
      </c>
    </row>
    <row r="2268" spans="1:16">
      <c r="A2268" s="1" t="s">
        <v>5520</v>
      </c>
      <c r="B2268" s="1" t="s">
        <v>2189</v>
      </c>
      <c r="C2268" s="1" t="s">
        <v>18</v>
      </c>
      <c r="D2268" s="1" t="s">
        <v>19</v>
      </c>
      <c r="E2268" s="1" t="s">
        <v>1804</v>
      </c>
      <c r="F2268">
        <v>13470</v>
      </c>
      <c r="G2268">
        <v>1624</v>
      </c>
      <c r="H2268">
        <v>1150</v>
      </c>
      <c r="I2268">
        <v>1970</v>
      </c>
      <c r="J2268" s="11">
        <f t="shared" si="54"/>
        <v>1.7</v>
      </c>
      <c r="K2268">
        <v>661</v>
      </c>
      <c r="L2268">
        <v>69.2</v>
      </c>
      <c r="M2268">
        <v>42.9</v>
      </c>
      <c r="N2268">
        <v>84</v>
      </c>
      <c r="O2268">
        <v>24.3</v>
      </c>
      <c r="P2268">
        <v>22.2</v>
      </c>
    </row>
    <row r="2269" spans="1:16">
      <c r="A2269" s="1" t="s">
        <v>5520</v>
      </c>
      <c r="B2269" s="1" t="s">
        <v>2190</v>
      </c>
      <c r="C2269" s="1" t="s">
        <v>18</v>
      </c>
      <c r="D2269" s="1" t="s">
        <v>19</v>
      </c>
      <c r="E2269" s="1" t="s">
        <v>1804</v>
      </c>
      <c r="F2269">
        <v>14030</v>
      </c>
      <c r="G2269">
        <v>1609</v>
      </c>
      <c r="H2269">
        <v>1260</v>
      </c>
      <c r="I2269">
        <v>1920</v>
      </c>
      <c r="J2269" s="11">
        <f t="shared" si="54"/>
        <v>1.7</v>
      </c>
      <c r="K2269">
        <v>684</v>
      </c>
      <c r="L2269">
        <v>70.8</v>
      </c>
      <c r="M2269">
        <v>40.799999999999997</v>
      </c>
      <c r="N2269">
        <v>79.8</v>
      </c>
      <c r="O2269">
        <v>23.4</v>
      </c>
      <c r="P2269">
        <v>21.8</v>
      </c>
    </row>
    <row r="2270" spans="1:16">
      <c r="A2270" s="1" t="s">
        <v>5520</v>
      </c>
      <c r="B2270" s="1" t="s">
        <v>2191</v>
      </c>
      <c r="C2270" s="1" t="s">
        <v>18</v>
      </c>
      <c r="D2270" s="1" t="s">
        <v>19</v>
      </c>
      <c r="E2270" s="1" t="s">
        <v>1804</v>
      </c>
      <c r="F2270">
        <v>13920</v>
      </c>
      <c r="G2270">
        <v>1558</v>
      </c>
      <c r="H2270">
        <v>1098</v>
      </c>
      <c r="I2270">
        <v>1840</v>
      </c>
      <c r="J2270" s="11">
        <f t="shared" si="54"/>
        <v>1.7</v>
      </c>
      <c r="K2270">
        <v>633</v>
      </c>
      <c r="L2270">
        <v>66.8</v>
      </c>
      <c r="M2270">
        <v>39.9</v>
      </c>
      <c r="N2270">
        <v>85</v>
      </c>
      <c r="O2270">
        <v>20.8</v>
      </c>
      <c r="P2270">
        <v>22.4</v>
      </c>
    </row>
    <row r="2271" spans="1:16">
      <c r="A2271" s="1" t="s">
        <v>5520</v>
      </c>
      <c r="B2271" s="1" t="s">
        <v>2192</v>
      </c>
      <c r="C2271" s="1" t="s">
        <v>18</v>
      </c>
      <c r="D2271" s="1" t="s">
        <v>19</v>
      </c>
      <c r="E2271" s="1" t="s">
        <v>1804</v>
      </c>
      <c r="F2271">
        <v>14340</v>
      </c>
      <c r="G2271">
        <v>1550</v>
      </c>
      <c r="H2271">
        <v>1090</v>
      </c>
      <c r="I2271">
        <v>1850</v>
      </c>
      <c r="J2271">
        <v>6.8</v>
      </c>
      <c r="K2271">
        <v>645</v>
      </c>
      <c r="L2271">
        <v>72.400000000000006</v>
      </c>
      <c r="M2271">
        <v>46.5</v>
      </c>
      <c r="N2271">
        <v>102</v>
      </c>
      <c r="O2271">
        <v>23.9</v>
      </c>
      <c r="P2271">
        <v>27</v>
      </c>
    </row>
    <row r="2272" spans="1:16">
      <c r="A2272" s="1" t="s">
        <v>5520</v>
      </c>
      <c r="B2272" s="1" t="s">
        <v>2193</v>
      </c>
      <c r="C2272" s="1" t="s">
        <v>18</v>
      </c>
      <c r="D2272" s="1" t="s">
        <v>19</v>
      </c>
      <c r="E2272" s="1" t="s">
        <v>1804</v>
      </c>
      <c r="F2272">
        <v>14090</v>
      </c>
      <c r="G2272">
        <v>1513</v>
      </c>
      <c r="H2272">
        <v>1060</v>
      </c>
      <c r="I2272">
        <v>1800</v>
      </c>
      <c r="J2272" s="11">
        <f t="shared" ref="J2272:J2284" si="55">3.4/2</f>
        <v>1.7</v>
      </c>
      <c r="K2272">
        <v>633</v>
      </c>
      <c r="L2272">
        <v>66.099999999999994</v>
      </c>
      <c r="M2272">
        <v>42.8</v>
      </c>
      <c r="N2272">
        <v>85</v>
      </c>
      <c r="O2272">
        <v>22.7</v>
      </c>
      <c r="P2272">
        <v>26.3</v>
      </c>
    </row>
    <row r="2273" spans="1:16">
      <c r="A2273" s="1" t="s">
        <v>5520</v>
      </c>
      <c r="B2273" s="1" t="s">
        <v>2194</v>
      </c>
      <c r="C2273" s="1" t="s">
        <v>18</v>
      </c>
      <c r="D2273" s="1" t="s">
        <v>19</v>
      </c>
      <c r="E2273" s="1" t="s">
        <v>1804</v>
      </c>
      <c r="F2273">
        <v>13820</v>
      </c>
      <c r="G2273">
        <v>1534</v>
      </c>
      <c r="H2273">
        <v>1030</v>
      </c>
      <c r="I2273">
        <v>2020</v>
      </c>
      <c r="J2273" s="11">
        <f t="shared" si="55"/>
        <v>1.7</v>
      </c>
      <c r="K2273">
        <v>691</v>
      </c>
      <c r="L2273">
        <v>76.8</v>
      </c>
      <c r="M2273">
        <v>45.1</v>
      </c>
      <c r="N2273">
        <v>103</v>
      </c>
      <c r="O2273">
        <v>25.7</v>
      </c>
      <c r="P2273">
        <v>29.4</v>
      </c>
    </row>
    <row r="2274" spans="1:16">
      <c r="A2274" s="1" t="s">
        <v>5520</v>
      </c>
      <c r="B2274" s="1" t="s">
        <v>2195</v>
      </c>
      <c r="C2274" s="1" t="s">
        <v>18</v>
      </c>
      <c r="D2274" s="1" t="s">
        <v>19</v>
      </c>
      <c r="E2274" s="1" t="s">
        <v>1804</v>
      </c>
      <c r="F2274">
        <v>13590</v>
      </c>
      <c r="G2274">
        <v>1534</v>
      </c>
      <c r="H2274">
        <v>1040</v>
      </c>
      <c r="I2274">
        <v>1900</v>
      </c>
      <c r="J2274" s="11">
        <f t="shared" si="55"/>
        <v>1.7</v>
      </c>
      <c r="K2274">
        <v>652</v>
      </c>
      <c r="L2274">
        <v>70.599999999999994</v>
      </c>
      <c r="M2274">
        <v>44.6</v>
      </c>
      <c r="N2274">
        <v>93</v>
      </c>
      <c r="O2274">
        <v>24.6</v>
      </c>
      <c r="P2274">
        <v>26.8</v>
      </c>
    </row>
    <row r="2275" spans="1:16">
      <c r="A2275" s="1" t="s">
        <v>5520</v>
      </c>
      <c r="B2275" s="1" t="s">
        <v>2196</v>
      </c>
      <c r="C2275" s="1" t="s">
        <v>18</v>
      </c>
      <c r="D2275" s="1" t="s">
        <v>19</v>
      </c>
      <c r="E2275" s="1" t="s">
        <v>1804</v>
      </c>
      <c r="F2275">
        <v>12130</v>
      </c>
      <c r="G2275">
        <v>663</v>
      </c>
      <c r="H2275">
        <v>442</v>
      </c>
      <c r="I2275">
        <v>1840</v>
      </c>
      <c r="J2275" s="11">
        <f t="shared" si="55"/>
        <v>1.7</v>
      </c>
      <c r="K2275">
        <v>576</v>
      </c>
      <c r="L2275">
        <v>68.599999999999994</v>
      </c>
      <c r="M2275">
        <v>50.1</v>
      </c>
      <c r="N2275">
        <v>71.3</v>
      </c>
      <c r="O2275">
        <v>11.7</v>
      </c>
      <c r="P2275">
        <v>16.600000000000001</v>
      </c>
    </row>
    <row r="2276" spans="1:16">
      <c r="A2276" s="1" t="s">
        <v>5520</v>
      </c>
      <c r="B2276" s="1" t="s">
        <v>2197</v>
      </c>
      <c r="C2276" s="1" t="s">
        <v>18</v>
      </c>
      <c r="D2276" s="1" t="s">
        <v>19</v>
      </c>
      <c r="E2276" s="1" t="s">
        <v>1804</v>
      </c>
      <c r="F2276">
        <v>11910</v>
      </c>
      <c r="G2276">
        <v>647</v>
      </c>
      <c r="H2276">
        <v>443</v>
      </c>
      <c r="I2276">
        <v>1840</v>
      </c>
      <c r="J2276" s="11">
        <f t="shared" si="55"/>
        <v>1.7</v>
      </c>
      <c r="K2276">
        <v>582</v>
      </c>
      <c r="L2276">
        <v>69.900000000000006</v>
      </c>
      <c r="M2276">
        <v>48</v>
      </c>
      <c r="N2276">
        <v>73.900000000000006</v>
      </c>
      <c r="O2276">
        <v>9.8000000000000007</v>
      </c>
      <c r="P2276">
        <v>16.8</v>
      </c>
    </row>
    <row r="2277" spans="1:16">
      <c r="A2277" s="1" t="s">
        <v>5520</v>
      </c>
      <c r="B2277" s="1" t="s">
        <v>2198</v>
      </c>
      <c r="C2277" s="1" t="s">
        <v>18</v>
      </c>
      <c r="D2277" s="1" t="s">
        <v>19</v>
      </c>
      <c r="E2277" s="1" t="s">
        <v>1804</v>
      </c>
      <c r="F2277">
        <v>11720</v>
      </c>
      <c r="G2277">
        <v>660</v>
      </c>
      <c r="H2277">
        <v>406</v>
      </c>
      <c r="I2277">
        <v>1730</v>
      </c>
      <c r="J2277" s="11">
        <f t="shared" si="55"/>
        <v>1.7</v>
      </c>
      <c r="K2277">
        <v>574</v>
      </c>
      <c r="L2277">
        <v>67.599999999999994</v>
      </c>
      <c r="M2277">
        <v>51.1</v>
      </c>
      <c r="N2277">
        <v>86</v>
      </c>
      <c r="O2277">
        <v>10.4</v>
      </c>
      <c r="P2277">
        <v>20</v>
      </c>
    </row>
    <row r="2278" spans="1:16">
      <c r="A2278" s="1" t="s">
        <v>5520</v>
      </c>
      <c r="B2278" s="1" t="s">
        <v>2199</v>
      </c>
      <c r="C2278" s="1" t="s">
        <v>18</v>
      </c>
      <c r="D2278" s="1" t="s">
        <v>19</v>
      </c>
      <c r="E2278" s="1" t="s">
        <v>1804</v>
      </c>
      <c r="F2278">
        <v>13090</v>
      </c>
      <c r="G2278">
        <v>690</v>
      </c>
      <c r="H2278">
        <v>462</v>
      </c>
      <c r="I2278">
        <v>1990</v>
      </c>
      <c r="J2278" s="11">
        <f t="shared" si="55"/>
        <v>1.7</v>
      </c>
      <c r="K2278">
        <v>628</v>
      </c>
      <c r="L2278">
        <v>69.7</v>
      </c>
      <c r="M2278">
        <v>49.6</v>
      </c>
      <c r="N2278">
        <v>103</v>
      </c>
      <c r="O2278">
        <v>11.9</v>
      </c>
      <c r="P2278">
        <v>21.9</v>
      </c>
    </row>
    <row r="2279" spans="1:16">
      <c r="A2279" s="1" t="s">
        <v>5520</v>
      </c>
      <c r="B2279" s="1" t="s">
        <v>2200</v>
      </c>
      <c r="C2279" s="1" t="s">
        <v>18</v>
      </c>
      <c r="D2279" s="1" t="s">
        <v>19</v>
      </c>
      <c r="E2279" s="1" t="s">
        <v>1804</v>
      </c>
      <c r="F2279">
        <v>12810</v>
      </c>
      <c r="G2279">
        <v>693</v>
      </c>
      <c r="H2279">
        <v>435</v>
      </c>
      <c r="I2279">
        <v>1830</v>
      </c>
      <c r="J2279" s="11">
        <f t="shared" si="55"/>
        <v>1.7</v>
      </c>
      <c r="K2279">
        <v>614</v>
      </c>
      <c r="L2279">
        <v>66.599999999999994</v>
      </c>
      <c r="M2279">
        <v>52.2</v>
      </c>
      <c r="N2279">
        <v>93</v>
      </c>
      <c r="O2279">
        <v>11.61</v>
      </c>
      <c r="P2279">
        <v>21.2</v>
      </c>
    </row>
    <row r="2280" spans="1:16">
      <c r="A2280" s="1" t="s">
        <v>5520</v>
      </c>
      <c r="B2280" s="1" t="s">
        <v>2201</v>
      </c>
      <c r="C2280" s="1" t="s">
        <v>18</v>
      </c>
      <c r="D2280" s="1" t="s">
        <v>19</v>
      </c>
      <c r="E2280" s="1" t="s">
        <v>1804</v>
      </c>
      <c r="F2280">
        <v>12890</v>
      </c>
      <c r="G2280">
        <v>656</v>
      </c>
      <c r="H2280">
        <v>446</v>
      </c>
      <c r="I2280">
        <v>1654</v>
      </c>
      <c r="J2280" s="11">
        <f t="shared" si="55"/>
        <v>1.7</v>
      </c>
      <c r="K2280">
        <v>593</v>
      </c>
      <c r="L2280">
        <v>72.5</v>
      </c>
      <c r="M2280">
        <v>49.6</v>
      </c>
      <c r="N2280">
        <v>92.5</v>
      </c>
      <c r="O2280">
        <v>10.9</v>
      </c>
      <c r="P2280">
        <v>20.2</v>
      </c>
    </row>
    <row r="2281" spans="1:16">
      <c r="A2281" s="1" t="s">
        <v>5520</v>
      </c>
      <c r="B2281" s="1" t="s">
        <v>2202</v>
      </c>
      <c r="C2281" s="1" t="s">
        <v>18</v>
      </c>
      <c r="D2281" s="1" t="s">
        <v>19</v>
      </c>
      <c r="E2281" s="1" t="s">
        <v>1804</v>
      </c>
      <c r="F2281">
        <v>11680</v>
      </c>
      <c r="G2281">
        <v>633</v>
      </c>
      <c r="H2281">
        <v>408</v>
      </c>
      <c r="I2281">
        <v>1700</v>
      </c>
      <c r="J2281" s="11">
        <f t="shared" si="55"/>
        <v>1.7</v>
      </c>
      <c r="K2281">
        <v>579</v>
      </c>
      <c r="L2281">
        <v>68.900000000000006</v>
      </c>
      <c r="M2281">
        <v>47.2</v>
      </c>
      <c r="N2281">
        <v>85.5</v>
      </c>
      <c r="O2281">
        <v>11.5</v>
      </c>
      <c r="P2281">
        <v>21</v>
      </c>
    </row>
    <row r="2282" spans="1:16">
      <c r="A2282" s="1" t="s">
        <v>5520</v>
      </c>
      <c r="B2282" s="1" t="s">
        <v>2203</v>
      </c>
      <c r="C2282" s="1" t="s">
        <v>18</v>
      </c>
      <c r="D2282" s="1" t="s">
        <v>19</v>
      </c>
      <c r="E2282" s="1" t="s">
        <v>1804</v>
      </c>
      <c r="F2282">
        <v>11600</v>
      </c>
      <c r="G2282">
        <v>604</v>
      </c>
      <c r="H2282">
        <v>364</v>
      </c>
      <c r="I2282">
        <v>1570</v>
      </c>
      <c r="J2282" s="11">
        <f t="shared" si="55"/>
        <v>1.7</v>
      </c>
      <c r="K2282">
        <v>543</v>
      </c>
      <c r="L2282">
        <v>86</v>
      </c>
      <c r="M2282">
        <v>50.4</v>
      </c>
      <c r="N2282">
        <v>87</v>
      </c>
      <c r="O2282">
        <v>9.1999999999999993</v>
      </c>
      <c r="P2282">
        <v>19.8</v>
      </c>
    </row>
    <row r="2283" spans="1:16">
      <c r="A2283" s="1" t="s">
        <v>5520</v>
      </c>
      <c r="B2283" s="1" t="s">
        <v>2204</v>
      </c>
      <c r="C2283" s="1" t="s">
        <v>18</v>
      </c>
      <c r="D2283" s="1" t="s">
        <v>19</v>
      </c>
      <c r="E2283" s="1" t="s">
        <v>1804</v>
      </c>
      <c r="F2283">
        <v>12780</v>
      </c>
      <c r="G2283">
        <v>632</v>
      </c>
      <c r="H2283">
        <v>418</v>
      </c>
      <c r="I2283">
        <v>1709</v>
      </c>
      <c r="J2283" s="11">
        <f t="shared" si="55"/>
        <v>1.7</v>
      </c>
      <c r="K2283">
        <v>612</v>
      </c>
      <c r="L2283">
        <v>69.8</v>
      </c>
      <c r="M2283">
        <v>44.3</v>
      </c>
      <c r="N2283">
        <v>92.7</v>
      </c>
      <c r="O2283">
        <v>11.8</v>
      </c>
      <c r="P2283">
        <v>21.8</v>
      </c>
    </row>
    <row r="2284" spans="1:16">
      <c r="A2284" s="1" t="s">
        <v>5520</v>
      </c>
      <c r="B2284" s="1" t="s">
        <v>2205</v>
      </c>
      <c r="C2284" s="1" t="s">
        <v>18</v>
      </c>
      <c r="D2284" s="1" t="s">
        <v>19</v>
      </c>
      <c r="E2284" s="1" t="s">
        <v>1804</v>
      </c>
      <c r="F2284">
        <v>12390</v>
      </c>
      <c r="G2284">
        <v>634</v>
      </c>
      <c r="H2284">
        <v>416</v>
      </c>
      <c r="I2284">
        <v>1665</v>
      </c>
      <c r="J2284" s="11">
        <f t="shared" si="55"/>
        <v>1.7</v>
      </c>
      <c r="K2284">
        <v>603</v>
      </c>
      <c r="L2284">
        <v>69.3</v>
      </c>
      <c r="M2284">
        <v>45.2</v>
      </c>
      <c r="N2284">
        <v>89.6</v>
      </c>
      <c r="O2284">
        <v>10.87</v>
      </c>
      <c r="P2284">
        <v>20.399999999999999</v>
      </c>
    </row>
    <row r="2285" spans="1:16">
      <c r="A2285" s="1" t="s">
        <v>5520</v>
      </c>
      <c r="B2285" s="1" t="s">
        <v>2206</v>
      </c>
      <c r="C2285" s="1" t="s">
        <v>18</v>
      </c>
      <c r="D2285" s="1" t="s">
        <v>19</v>
      </c>
      <c r="E2285" s="1" t="s">
        <v>1804</v>
      </c>
      <c r="F2285">
        <v>12660</v>
      </c>
      <c r="G2285">
        <v>693</v>
      </c>
      <c r="H2285">
        <v>460</v>
      </c>
      <c r="I2285">
        <v>1870</v>
      </c>
      <c r="J2285">
        <v>3.9</v>
      </c>
      <c r="K2285">
        <v>604</v>
      </c>
      <c r="L2285">
        <v>66.8</v>
      </c>
      <c r="M2285">
        <v>48.4</v>
      </c>
      <c r="N2285">
        <v>70</v>
      </c>
      <c r="O2285">
        <v>11.8</v>
      </c>
      <c r="P2285">
        <v>18.600000000000001</v>
      </c>
    </row>
    <row r="2286" spans="1:16">
      <c r="A2286" s="1" t="s">
        <v>5520</v>
      </c>
      <c r="B2286" s="1" t="s">
        <v>2207</v>
      </c>
      <c r="C2286" s="1" t="s">
        <v>18</v>
      </c>
      <c r="D2286" s="1" t="s">
        <v>19</v>
      </c>
      <c r="E2286" s="1" t="s">
        <v>1804</v>
      </c>
      <c r="F2286">
        <v>11210</v>
      </c>
      <c r="G2286">
        <v>632</v>
      </c>
      <c r="H2286">
        <v>420</v>
      </c>
      <c r="I2286">
        <v>1730</v>
      </c>
      <c r="J2286" s="11">
        <f t="shared" ref="J2286:J2309" si="56">3.4/2</f>
        <v>1.7</v>
      </c>
      <c r="K2286">
        <v>557</v>
      </c>
      <c r="L2286">
        <v>64.099999999999994</v>
      </c>
      <c r="M2286">
        <v>47.9</v>
      </c>
      <c r="N2286">
        <v>84</v>
      </c>
      <c r="O2286">
        <v>12.3</v>
      </c>
      <c r="P2286">
        <v>18.600000000000001</v>
      </c>
    </row>
    <row r="2287" spans="1:16">
      <c r="A2287" s="1" t="s">
        <v>5520</v>
      </c>
      <c r="B2287" s="1" t="s">
        <v>2208</v>
      </c>
      <c r="C2287" s="1" t="s">
        <v>18</v>
      </c>
      <c r="D2287" s="1" t="s">
        <v>19</v>
      </c>
      <c r="E2287" s="1" t="s">
        <v>1804</v>
      </c>
      <c r="F2287">
        <v>12650</v>
      </c>
      <c r="G2287">
        <v>683</v>
      </c>
      <c r="H2287">
        <v>472</v>
      </c>
      <c r="I2287">
        <v>1930</v>
      </c>
      <c r="J2287" s="11">
        <f t="shared" si="56"/>
        <v>1.7</v>
      </c>
      <c r="K2287">
        <v>592</v>
      </c>
      <c r="L2287">
        <v>66.900000000000006</v>
      </c>
      <c r="M2287">
        <v>48</v>
      </c>
      <c r="N2287">
        <v>81</v>
      </c>
      <c r="O2287">
        <v>11.9</v>
      </c>
      <c r="P2287">
        <v>20</v>
      </c>
    </row>
    <row r="2288" spans="1:16">
      <c r="A2288" s="1" t="s">
        <v>5520</v>
      </c>
      <c r="B2288" s="1" t="s">
        <v>2209</v>
      </c>
      <c r="C2288" s="1" t="s">
        <v>18</v>
      </c>
      <c r="D2288" s="1" t="s">
        <v>19</v>
      </c>
      <c r="E2288" s="1" t="s">
        <v>1804</v>
      </c>
      <c r="F2288">
        <v>12810</v>
      </c>
      <c r="G2288">
        <v>644</v>
      </c>
      <c r="H2288">
        <v>433</v>
      </c>
      <c r="I2288">
        <v>1810</v>
      </c>
      <c r="J2288" s="11">
        <f t="shared" si="56"/>
        <v>1.7</v>
      </c>
      <c r="K2288">
        <v>597</v>
      </c>
      <c r="L2288">
        <v>67.2</v>
      </c>
      <c r="M2288">
        <v>46.4</v>
      </c>
      <c r="N2288">
        <v>91</v>
      </c>
      <c r="O2288">
        <v>12.1</v>
      </c>
      <c r="P2288">
        <v>18.600000000000001</v>
      </c>
    </row>
    <row r="2289" spans="1:16">
      <c r="A2289" s="1" t="s">
        <v>5520</v>
      </c>
      <c r="B2289" s="1" t="s">
        <v>2210</v>
      </c>
      <c r="C2289" s="1" t="s">
        <v>18</v>
      </c>
      <c r="D2289" s="1" t="s">
        <v>19</v>
      </c>
      <c r="E2289" s="1" t="s">
        <v>1804</v>
      </c>
      <c r="F2289">
        <v>12720</v>
      </c>
      <c r="G2289">
        <v>661</v>
      </c>
      <c r="H2289">
        <v>434</v>
      </c>
      <c r="I2289">
        <v>1910</v>
      </c>
      <c r="J2289" s="11">
        <f t="shared" si="56"/>
        <v>1.7</v>
      </c>
      <c r="K2289">
        <v>595</v>
      </c>
      <c r="L2289">
        <v>70.400000000000006</v>
      </c>
      <c r="M2289">
        <v>45.5</v>
      </c>
      <c r="N2289">
        <v>86.4</v>
      </c>
      <c r="O2289">
        <v>12.6</v>
      </c>
      <c r="P2289">
        <v>19.899999999999999</v>
      </c>
    </row>
    <row r="2290" spans="1:16">
      <c r="A2290" s="1" t="s">
        <v>5520</v>
      </c>
      <c r="B2290" s="1" t="s">
        <v>2211</v>
      </c>
      <c r="C2290" s="1" t="s">
        <v>18</v>
      </c>
      <c r="D2290" s="1" t="s">
        <v>19</v>
      </c>
      <c r="E2290" s="1" t="s">
        <v>1804</v>
      </c>
      <c r="F2290">
        <v>12180</v>
      </c>
      <c r="G2290">
        <v>620</v>
      </c>
      <c r="H2290">
        <v>429</v>
      </c>
      <c r="I2290">
        <v>1830</v>
      </c>
      <c r="J2290" s="11">
        <f t="shared" si="56"/>
        <v>1.7</v>
      </c>
      <c r="K2290">
        <v>589</v>
      </c>
      <c r="L2290">
        <v>72.2</v>
      </c>
      <c r="M2290">
        <v>46.6</v>
      </c>
      <c r="N2290">
        <v>79</v>
      </c>
      <c r="O2290">
        <v>11.8</v>
      </c>
      <c r="P2290">
        <v>17.7</v>
      </c>
    </row>
    <row r="2291" spans="1:16">
      <c r="A2291" s="1" t="s">
        <v>5520</v>
      </c>
      <c r="B2291" s="1" t="s">
        <v>2212</v>
      </c>
      <c r="C2291" s="1" t="s">
        <v>18</v>
      </c>
      <c r="D2291" s="1" t="s">
        <v>19</v>
      </c>
      <c r="E2291" s="1" t="s">
        <v>1804</v>
      </c>
      <c r="F2291">
        <v>8120</v>
      </c>
      <c r="G2291">
        <v>1320</v>
      </c>
      <c r="H2291">
        <v>368</v>
      </c>
      <c r="I2291">
        <v>1910</v>
      </c>
      <c r="J2291" s="11">
        <f t="shared" si="56"/>
        <v>1.7</v>
      </c>
      <c r="K2291">
        <v>1027</v>
      </c>
      <c r="L2291">
        <v>118.2</v>
      </c>
      <c r="M2291">
        <v>112.7</v>
      </c>
      <c r="N2291">
        <v>124</v>
      </c>
      <c r="O2291">
        <v>28.1</v>
      </c>
      <c r="P2291">
        <v>4.26</v>
      </c>
    </row>
    <row r="2292" spans="1:16">
      <c r="A2292" s="1" t="s">
        <v>5520</v>
      </c>
      <c r="B2292" s="1" t="s">
        <v>2213</v>
      </c>
      <c r="C2292" s="1" t="s">
        <v>18</v>
      </c>
      <c r="D2292" s="1" t="s">
        <v>19</v>
      </c>
      <c r="E2292" s="1" t="s">
        <v>1804</v>
      </c>
      <c r="F2292">
        <v>7990</v>
      </c>
      <c r="G2292">
        <v>1394</v>
      </c>
      <c r="H2292">
        <v>383</v>
      </c>
      <c r="I2292">
        <v>2070</v>
      </c>
      <c r="J2292" s="11">
        <f t="shared" si="56"/>
        <v>1.7</v>
      </c>
      <c r="K2292">
        <v>1009</v>
      </c>
      <c r="L2292">
        <v>119.7</v>
      </c>
      <c r="M2292">
        <v>113.8</v>
      </c>
      <c r="N2292">
        <v>136</v>
      </c>
      <c r="O2292">
        <v>28.1</v>
      </c>
      <c r="P2292">
        <v>4.3499999999999996</v>
      </c>
    </row>
    <row r="2293" spans="1:16">
      <c r="A2293" s="1" t="s">
        <v>5520</v>
      </c>
      <c r="B2293" s="1" t="s">
        <v>2214</v>
      </c>
      <c r="C2293" s="1" t="s">
        <v>18</v>
      </c>
      <c r="D2293" s="1" t="s">
        <v>19</v>
      </c>
      <c r="E2293" s="1" t="s">
        <v>1804</v>
      </c>
      <c r="F2293">
        <v>7340</v>
      </c>
      <c r="G2293">
        <v>1387</v>
      </c>
      <c r="H2293">
        <v>363</v>
      </c>
      <c r="I2293">
        <v>1920</v>
      </c>
      <c r="J2293" s="11">
        <f t="shared" si="56"/>
        <v>1.7</v>
      </c>
      <c r="K2293">
        <v>1009</v>
      </c>
      <c r="L2293">
        <v>122.4</v>
      </c>
      <c r="M2293">
        <v>115.6</v>
      </c>
      <c r="N2293">
        <v>134</v>
      </c>
      <c r="O2293">
        <v>30.6</v>
      </c>
      <c r="P2293">
        <v>4.09</v>
      </c>
    </row>
    <row r="2294" spans="1:16">
      <c r="A2294" s="1" t="s">
        <v>5520</v>
      </c>
      <c r="B2294" s="1" t="s">
        <v>2215</v>
      </c>
      <c r="C2294" s="1" t="s">
        <v>18</v>
      </c>
      <c r="D2294" s="1" t="s">
        <v>19</v>
      </c>
      <c r="E2294" s="1" t="s">
        <v>1804</v>
      </c>
      <c r="F2294">
        <v>7710</v>
      </c>
      <c r="G2294">
        <v>1421</v>
      </c>
      <c r="H2294">
        <v>362</v>
      </c>
      <c r="I2294">
        <v>1950</v>
      </c>
      <c r="J2294" s="11">
        <f t="shared" si="56"/>
        <v>1.7</v>
      </c>
      <c r="K2294">
        <v>1000</v>
      </c>
      <c r="L2294">
        <v>119.2</v>
      </c>
      <c r="M2294">
        <v>112.1</v>
      </c>
      <c r="N2294">
        <v>133</v>
      </c>
      <c r="O2294">
        <v>28.6</v>
      </c>
      <c r="P2294">
        <v>3.78</v>
      </c>
    </row>
    <row r="2295" spans="1:16">
      <c r="A2295" s="1" t="s">
        <v>5520</v>
      </c>
      <c r="B2295" s="1" t="s">
        <v>2216</v>
      </c>
      <c r="C2295" s="1" t="s">
        <v>18</v>
      </c>
      <c r="D2295" s="1" t="s">
        <v>19</v>
      </c>
      <c r="E2295" s="1" t="s">
        <v>1804</v>
      </c>
      <c r="F2295">
        <v>8240</v>
      </c>
      <c r="G2295">
        <v>1448</v>
      </c>
      <c r="H2295">
        <v>401</v>
      </c>
      <c r="I2295">
        <v>1980</v>
      </c>
      <c r="J2295" s="11">
        <f t="shared" si="56"/>
        <v>1.7</v>
      </c>
      <c r="K2295">
        <v>1008</v>
      </c>
      <c r="L2295">
        <v>124.8</v>
      </c>
      <c r="M2295">
        <v>118.7</v>
      </c>
      <c r="N2295">
        <v>144</v>
      </c>
      <c r="O2295">
        <v>31.5</v>
      </c>
      <c r="P2295">
        <v>4.22</v>
      </c>
    </row>
    <row r="2296" spans="1:16">
      <c r="A2296" s="1" t="s">
        <v>5520</v>
      </c>
      <c r="B2296" s="1" t="s">
        <v>2217</v>
      </c>
      <c r="C2296" s="1" t="s">
        <v>18</v>
      </c>
      <c r="D2296" s="1" t="s">
        <v>19</v>
      </c>
      <c r="E2296" s="1" t="s">
        <v>1804</v>
      </c>
      <c r="F2296">
        <v>8550</v>
      </c>
      <c r="G2296">
        <v>1367</v>
      </c>
      <c r="H2296">
        <v>398</v>
      </c>
      <c r="I2296">
        <v>1980</v>
      </c>
      <c r="J2296" s="11">
        <f t="shared" si="56"/>
        <v>1.7</v>
      </c>
      <c r="K2296">
        <v>1055</v>
      </c>
      <c r="L2296">
        <v>115.1</v>
      </c>
      <c r="M2296">
        <v>112.1</v>
      </c>
      <c r="N2296">
        <v>133</v>
      </c>
      <c r="O2296">
        <v>29.9</v>
      </c>
      <c r="P2296">
        <v>3.62</v>
      </c>
    </row>
    <row r="2297" spans="1:16">
      <c r="A2297" s="1" t="s">
        <v>5520</v>
      </c>
      <c r="B2297" s="1" t="s">
        <v>2218</v>
      </c>
      <c r="C2297" s="1" t="s">
        <v>18</v>
      </c>
      <c r="D2297" s="1" t="s">
        <v>19</v>
      </c>
      <c r="E2297" s="1" t="s">
        <v>1804</v>
      </c>
      <c r="F2297">
        <v>8070</v>
      </c>
      <c r="G2297">
        <v>1364</v>
      </c>
      <c r="H2297">
        <v>421</v>
      </c>
      <c r="I2297">
        <v>1980</v>
      </c>
      <c r="J2297" s="11">
        <f t="shared" si="56"/>
        <v>1.7</v>
      </c>
      <c r="K2297">
        <v>1034</v>
      </c>
      <c r="L2297">
        <v>121.7</v>
      </c>
      <c r="M2297">
        <v>121.6</v>
      </c>
      <c r="N2297">
        <v>138</v>
      </c>
      <c r="O2297">
        <v>33.4</v>
      </c>
      <c r="P2297">
        <v>4.09</v>
      </c>
    </row>
    <row r="2298" spans="1:16">
      <c r="A2298" s="1" t="s">
        <v>5520</v>
      </c>
      <c r="B2298" s="1" t="s">
        <v>2219</v>
      </c>
      <c r="C2298" s="1" t="s">
        <v>18</v>
      </c>
      <c r="D2298" s="1" t="s">
        <v>19</v>
      </c>
      <c r="E2298" s="1" t="s">
        <v>1804</v>
      </c>
      <c r="F2298">
        <v>8240</v>
      </c>
      <c r="G2298">
        <v>1410</v>
      </c>
      <c r="H2298">
        <v>396</v>
      </c>
      <c r="I2298">
        <v>2000</v>
      </c>
      <c r="J2298" s="11">
        <f t="shared" si="56"/>
        <v>1.7</v>
      </c>
      <c r="K2298">
        <v>1053</v>
      </c>
      <c r="L2298">
        <v>115</v>
      </c>
      <c r="M2298">
        <v>114.1</v>
      </c>
      <c r="N2298">
        <v>144</v>
      </c>
      <c r="O2298">
        <v>30</v>
      </c>
      <c r="P2298">
        <v>3.56</v>
      </c>
    </row>
    <row r="2299" spans="1:16">
      <c r="A2299" s="1" t="s">
        <v>5520</v>
      </c>
      <c r="B2299" s="1" t="s">
        <v>2220</v>
      </c>
      <c r="C2299" s="1" t="s">
        <v>18</v>
      </c>
      <c r="D2299" s="1" t="s">
        <v>19</v>
      </c>
      <c r="E2299" s="1" t="s">
        <v>1804</v>
      </c>
      <c r="F2299">
        <v>8040</v>
      </c>
      <c r="G2299">
        <v>1594</v>
      </c>
      <c r="H2299">
        <v>474</v>
      </c>
      <c r="I2299">
        <v>2100</v>
      </c>
      <c r="J2299" s="11">
        <f t="shared" si="56"/>
        <v>1.7</v>
      </c>
      <c r="K2299">
        <v>1071</v>
      </c>
      <c r="L2299">
        <v>123.8</v>
      </c>
      <c r="M2299">
        <v>119.4</v>
      </c>
      <c r="N2299">
        <v>170</v>
      </c>
      <c r="O2299">
        <v>32.9</v>
      </c>
      <c r="P2299">
        <v>4.4000000000000004</v>
      </c>
    </row>
    <row r="2300" spans="1:16">
      <c r="A2300" s="1" t="s">
        <v>5520</v>
      </c>
      <c r="B2300" s="1" t="s">
        <v>2221</v>
      </c>
      <c r="C2300" s="1" t="s">
        <v>18</v>
      </c>
      <c r="D2300" s="1" t="s">
        <v>19</v>
      </c>
      <c r="E2300" s="1" t="s">
        <v>1804</v>
      </c>
      <c r="F2300">
        <v>9120</v>
      </c>
      <c r="G2300">
        <v>1292</v>
      </c>
      <c r="H2300">
        <v>306</v>
      </c>
      <c r="I2300">
        <v>1596</v>
      </c>
      <c r="J2300" s="11">
        <f t="shared" si="56"/>
        <v>1.7</v>
      </c>
      <c r="K2300">
        <v>1017</v>
      </c>
      <c r="L2300">
        <v>114.8</v>
      </c>
      <c r="M2300">
        <v>112.5</v>
      </c>
      <c r="N2300">
        <v>133.9</v>
      </c>
      <c r="O2300">
        <v>23.3</v>
      </c>
      <c r="P2300">
        <v>4.95</v>
      </c>
    </row>
    <row r="2301" spans="1:16">
      <c r="A2301" s="1" t="s">
        <v>5520</v>
      </c>
      <c r="B2301" s="1" t="s">
        <v>2222</v>
      </c>
      <c r="C2301" s="1" t="s">
        <v>18</v>
      </c>
      <c r="D2301" s="1" t="s">
        <v>19</v>
      </c>
      <c r="E2301" s="1" t="s">
        <v>1804</v>
      </c>
      <c r="F2301">
        <v>9440</v>
      </c>
      <c r="G2301">
        <v>1192</v>
      </c>
      <c r="H2301">
        <v>312</v>
      </c>
      <c r="I2301">
        <v>1621</v>
      </c>
      <c r="J2301" s="11">
        <f t="shared" si="56"/>
        <v>1.7</v>
      </c>
      <c r="K2301">
        <v>1063</v>
      </c>
      <c r="L2301">
        <v>113.9</v>
      </c>
      <c r="M2301">
        <v>105.8</v>
      </c>
      <c r="N2301">
        <v>140.30000000000001</v>
      </c>
      <c r="O2301">
        <v>22.9</v>
      </c>
      <c r="P2301">
        <v>5.31</v>
      </c>
    </row>
    <row r="2302" spans="1:16">
      <c r="A2302" s="1" t="s">
        <v>5520</v>
      </c>
      <c r="B2302" s="1" t="s">
        <v>2223</v>
      </c>
      <c r="C2302" s="1" t="s">
        <v>18</v>
      </c>
      <c r="D2302" s="1" t="s">
        <v>19</v>
      </c>
      <c r="E2302" s="1" t="s">
        <v>1804</v>
      </c>
      <c r="F2302">
        <v>9110</v>
      </c>
      <c r="G2302">
        <v>1288</v>
      </c>
      <c r="H2302">
        <v>306</v>
      </c>
      <c r="I2302">
        <v>1677</v>
      </c>
      <c r="J2302" s="11">
        <f t="shared" si="56"/>
        <v>1.7</v>
      </c>
      <c r="K2302">
        <v>1064</v>
      </c>
      <c r="L2302">
        <v>120.5</v>
      </c>
      <c r="M2302">
        <v>111.8</v>
      </c>
      <c r="N2302">
        <v>150</v>
      </c>
      <c r="O2302">
        <v>24.3</v>
      </c>
      <c r="P2302">
        <v>5.51</v>
      </c>
    </row>
    <row r="2303" spans="1:16">
      <c r="A2303" s="1" t="s">
        <v>5520</v>
      </c>
      <c r="B2303" s="1" t="s">
        <v>2224</v>
      </c>
      <c r="C2303" s="1" t="s">
        <v>18</v>
      </c>
      <c r="D2303" s="1" t="s">
        <v>19</v>
      </c>
      <c r="E2303" s="1" t="s">
        <v>1804</v>
      </c>
      <c r="F2303">
        <v>9120</v>
      </c>
      <c r="G2303">
        <v>1248</v>
      </c>
      <c r="H2303">
        <v>307</v>
      </c>
      <c r="I2303">
        <v>1614</v>
      </c>
      <c r="J2303" s="11">
        <f t="shared" si="56"/>
        <v>1.7</v>
      </c>
      <c r="K2303">
        <v>1035</v>
      </c>
      <c r="L2303">
        <v>120.6</v>
      </c>
      <c r="M2303">
        <v>108.2</v>
      </c>
      <c r="N2303">
        <v>143.69999999999999</v>
      </c>
      <c r="O2303">
        <v>23.5</v>
      </c>
      <c r="P2303">
        <v>4.6399999999999997</v>
      </c>
    </row>
    <row r="2304" spans="1:16">
      <c r="A2304" s="1" t="s">
        <v>5520</v>
      </c>
      <c r="B2304" s="1" t="s">
        <v>2225</v>
      </c>
      <c r="C2304" s="1" t="s">
        <v>18</v>
      </c>
      <c r="D2304" s="1" t="s">
        <v>19</v>
      </c>
      <c r="E2304" s="1" t="s">
        <v>1804</v>
      </c>
      <c r="F2304">
        <v>9090</v>
      </c>
      <c r="G2304">
        <v>1251</v>
      </c>
      <c r="H2304">
        <v>300</v>
      </c>
      <c r="I2304">
        <v>1667</v>
      </c>
      <c r="J2304" s="11">
        <f t="shared" si="56"/>
        <v>1.7</v>
      </c>
      <c r="K2304">
        <v>1072</v>
      </c>
      <c r="L2304">
        <v>119.3</v>
      </c>
      <c r="M2304">
        <v>111.6</v>
      </c>
      <c r="N2304">
        <v>150.5</v>
      </c>
      <c r="O2304">
        <v>23.7</v>
      </c>
      <c r="P2304">
        <v>4.8499999999999996</v>
      </c>
    </row>
    <row r="2305" spans="1:16">
      <c r="A2305" s="1" t="s">
        <v>5520</v>
      </c>
      <c r="B2305" s="1" t="s">
        <v>2226</v>
      </c>
      <c r="C2305" s="1" t="s">
        <v>18</v>
      </c>
      <c r="D2305" s="1" t="s">
        <v>19</v>
      </c>
      <c r="E2305" s="1" t="s">
        <v>1804</v>
      </c>
      <c r="F2305">
        <v>8250</v>
      </c>
      <c r="G2305">
        <v>1253</v>
      </c>
      <c r="H2305">
        <v>285</v>
      </c>
      <c r="I2305">
        <v>1637</v>
      </c>
      <c r="J2305" s="11">
        <f t="shared" si="56"/>
        <v>1.7</v>
      </c>
      <c r="K2305">
        <v>1064</v>
      </c>
      <c r="L2305">
        <v>116.1</v>
      </c>
      <c r="M2305">
        <v>110.2</v>
      </c>
      <c r="N2305">
        <v>142</v>
      </c>
      <c r="O2305">
        <v>24.5</v>
      </c>
      <c r="P2305">
        <v>5.24</v>
      </c>
    </row>
    <row r="2306" spans="1:16">
      <c r="A2306" s="1" t="s">
        <v>5520</v>
      </c>
      <c r="B2306" s="1" t="s">
        <v>2227</v>
      </c>
      <c r="C2306" s="1" t="s">
        <v>18</v>
      </c>
      <c r="D2306" s="1" t="s">
        <v>19</v>
      </c>
      <c r="E2306" s="1" t="s">
        <v>1804</v>
      </c>
      <c r="F2306">
        <v>8410</v>
      </c>
      <c r="G2306">
        <v>1290</v>
      </c>
      <c r="H2306">
        <v>277</v>
      </c>
      <c r="I2306">
        <v>1642</v>
      </c>
      <c r="J2306" s="11">
        <f t="shared" si="56"/>
        <v>1.7</v>
      </c>
      <c r="K2306">
        <v>1082</v>
      </c>
      <c r="L2306">
        <v>119.9</v>
      </c>
      <c r="M2306">
        <v>111.4</v>
      </c>
      <c r="N2306">
        <v>153</v>
      </c>
      <c r="O2306">
        <v>24.3</v>
      </c>
      <c r="P2306">
        <v>5.34</v>
      </c>
    </row>
    <row r="2307" spans="1:16">
      <c r="A2307" s="1" t="s">
        <v>5520</v>
      </c>
      <c r="B2307" s="1" t="s">
        <v>2228</v>
      </c>
      <c r="C2307" s="1" t="s">
        <v>18</v>
      </c>
      <c r="D2307" s="1" t="s">
        <v>19</v>
      </c>
      <c r="E2307" s="1" t="s">
        <v>1804</v>
      </c>
      <c r="F2307">
        <v>8200</v>
      </c>
      <c r="G2307">
        <v>1240</v>
      </c>
      <c r="H2307">
        <v>308</v>
      </c>
      <c r="I2307">
        <v>1670</v>
      </c>
      <c r="J2307" s="11">
        <f t="shared" si="56"/>
        <v>1.7</v>
      </c>
      <c r="K2307">
        <v>1031</v>
      </c>
      <c r="L2307">
        <v>123.8</v>
      </c>
      <c r="M2307">
        <v>112</v>
      </c>
      <c r="N2307">
        <v>144</v>
      </c>
      <c r="O2307">
        <v>24.8</v>
      </c>
      <c r="P2307">
        <v>4.42</v>
      </c>
    </row>
    <row r="2308" spans="1:16">
      <c r="A2308" s="1" t="s">
        <v>5520</v>
      </c>
      <c r="B2308" s="1" t="s">
        <v>2229</v>
      </c>
      <c r="C2308" s="1" t="s">
        <v>18</v>
      </c>
      <c r="D2308" s="1" t="s">
        <v>19</v>
      </c>
      <c r="E2308" s="1" t="s">
        <v>1804</v>
      </c>
      <c r="F2308">
        <v>7980</v>
      </c>
      <c r="G2308">
        <v>1321</v>
      </c>
      <c r="H2308">
        <v>290</v>
      </c>
      <c r="I2308">
        <v>1600</v>
      </c>
      <c r="J2308" s="11">
        <f t="shared" si="56"/>
        <v>1.7</v>
      </c>
      <c r="K2308">
        <v>1023</v>
      </c>
      <c r="L2308">
        <v>125</v>
      </c>
      <c r="M2308">
        <v>117.9</v>
      </c>
      <c r="N2308">
        <v>163</v>
      </c>
      <c r="O2308">
        <v>23.5</v>
      </c>
      <c r="P2308">
        <v>5.64</v>
      </c>
    </row>
    <row r="2309" spans="1:16">
      <c r="A2309" s="1" t="s">
        <v>5520</v>
      </c>
      <c r="B2309" s="1" t="s">
        <v>2230</v>
      </c>
      <c r="C2309" s="1" t="s">
        <v>18</v>
      </c>
      <c r="D2309" s="1" t="s">
        <v>19</v>
      </c>
      <c r="E2309" s="1" t="s">
        <v>1804</v>
      </c>
      <c r="F2309">
        <v>7880</v>
      </c>
      <c r="G2309">
        <v>1251</v>
      </c>
      <c r="H2309">
        <v>290</v>
      </c>
      <c r="I2309">
        <v>1640</v>
      </c>
      <c r="J2309" s="11">
        <f t="shared" si="56"/>
        <v>1.7</v>
      </c>
      <c r="K2309">
        <v>1035</v>
      </c>
      <c r="L2309">
        <v>117.3</v>
      </c>
      <c r="M2309">
        <v>113.8</v>
      </c>
      <c r="N2309">
        <v>158</v>
      </c>
      <c r="O2309">
        <v>23.4</v>
      </c>
      <c r="P2309">
        <v>5.04</v>
      </c>
    </row>
    <row r="2310" spans="1:16">
      <c r="A2310" s="1" t="s">
        <v>5520</v>
      </c>
      <c r="B2310" s="1" t="s">
        <v>2231</v>
      </c>
      <c r="C2310" s="1" t="s">
        <v>18</v>
      </c>
      <c r="D2310" s="1" t="s">
        <v>19</v>
      </c>
      <c r="E2310" s="1" t="s">
        <v>1804</v>
      </c>
      <c r="F2310">
        <v>6560</v>
      </c>
      <c r="G2310">
        <v>4790</v>
      </c>
      <c r="H2310">
        <v>6830</v>
      </c>
      <c r="I2310">
        <v>1789</v>
      </c>
      <c r="J2310">
        <v>25.4</v>
      </c>
      <c r="K2310">
        <v>914</v>
      </c>
      <c r="L2310">
        <v>116.9</v>
      </c>
      <c r="M2310">
        <v>77.099999999999994</v>
      </c>
      <c r="N2310">
        <v>155</v>
      </c>
      <c r="O2310">
        <v>39.5</v>
      </c>
      <c r="P2310">
        <v>4.8099999999999996</v>
      </c>
    </row>
    <row r="2311" spans="1:16">
      <c r="A2311" s="1" t="s">
        <v>5520</v>
      </c>
      <c r="B2311" s="1" t="s">
        <v>2232</v>
      </c>
      <c r="C2311" s="1" t="s">
        <v>18</v>
      </c>
      <c r="D2311" s="1" t="s">
        <v>19</v>
      </c>
      <c r="E2311" s="1" t="s">
        <v>1804</v>
      </c>
      <c r="F2311">
        <v>7100</v>
      </c>
      <c r="G2311">
        <v>3630</v>
      </c>
      <c r="H2311">
        <v>3000</v>
      </c>
      <c r="I2311">
        <v>1880</v>
      </c>
      <c r="J2311" s="11">
        <f t="shared" ref="J2311:J2326" si="57">3.4/2</f>
        <v>1.7</v>
      </c>
      <c r="K2311">
        <v>879</v>
      </c>
      <c r="L2311">
        <v>124</v>
      </c>
      <c r="M2311">
        <v>98.3</v>
      </c>
      <c r="N2311">
        <v>163</v>
      </c>
      <c r="O2311">
        <v>44.5</v>
      </c>
      <c r="P2311">
        <v>6.84</v>
      </c>
    </row>
    <row r="2312" spans="1:16">
      <c r="A2312" s="1" t="s">
        <v>5520</v>
      </c>
      <c r="B2312" s="1" t="s">
        <v>2233</v>
      </c>
      <c r="C2312" s="1" t="s">
        <v>18</v>
      </c>
      <c r="D2312" s="1" t="s">
        <v>19</v>
      </c>
      <c r="E2312" s="1" t="s">
        <v>1804</v>
      </c>
      <c r="F2312">
        <v>6240</v>
      </c>
      <c r="G2312">
        <v>3400</v>
      </c>
      <c r="H2312">
        <v>3100</v>
      </c>
      <c r="I2312">
        <v>1880</v>
      </c>
      <c r="J2312" s="11">
        <f t="shared" si="57"/>
        <v>1.7</v>
      </c>
      <c r="K2312">
        <v>846</v>
      </c>
      <c r="L2312">
        <v>123.8</v>
      </c>
      <c r="M2312">
        <v>107.6</v>
      </c>
      <c r="N2312">
        <v>146</v>
      </c>
      <c r="O2312">
        <v>45.2</v>
      </c>
      <c r="P2312">
        <v>7.4</v>
      </c>
    </row>
    <row r="2313" spans="1:16">
      <c r="A2313" s="1" t="s">
        <v>5520</v>
      </c>
      <c r="B2313" s="1" t="s">
        <v>2234</v>
      </c>
      <c r="C2313" s="1" t="s">
        <v>18</v>
      </c>
      <c r="D2313" s="1" t="s">
        <v>19</v>
      </c>
      <c r="E2313" s="1" t="s">
        <v>1804</v>
      </c>
      <c r="F2313">
        <v>6340</v>
      </c>
      <c r="G2313">
        <v>3780</v>
      </c>
      <c r="H2313">
        <v>4110</v>
      </c>
      <c r="I2313">
        <v>1770</v>
      </c>
      <c r="J2313" s="11">
        <f t="shared" si="57"/>
        <v>1.7</v>
      </c>
      <c r="K2313">
        <v>885</v>
      </c>
      <c r="L2313">
        <v>128</v>
      </c>
      <c r="M2313">
        <v>102.7</v>
      </c>
      <c r="N2313">
        <v>126</v>
      </c>
      <c r="O2313">
        <v>43.4</v>
      </c>
      <c r="P2313">
        <v>10.9</v>
      </c>
    </row>
    <row r="2314" spans="1:16">
      <c r="A2314" s="1" t="s">
        <v>5520</v>
      </c>
      <c r="B2314" s="1" t="s">
        <v>2235</v>
      </c>
      <c r="C2314" s="1" t="s">
        <v>18</v>
      </c>
      <c r="D2314" s="1" t="s">
        <v>19</v>
      </c>
      <c r="E2314" s="1" t="s">
        <v>1804</v>
      </c>
      <c r="F2314">
        <v>5810</v>
      </c>
      <c r="G2314">
        <v>3400</v>
      </c>
      <c r="H2314">
        <v>3470</v>
      </c>
      <c r="I2314">
        <v>1700</v>
      </c>
      <c r="J2314" s="11">
        <f t="shared" si="57"/>
        <v>1.7</v>
      </c>
      <c r="K2314">
        <v>790</v>
      </c>
      <c r="L2314">
        <v>121.9</v>
      </c>
      <c r="M2314">
        <v>92.9</v>
      </c>
      <c r="N2314">
        <v>136</v>
      </c>
      <c r="O2314">
        <v>41</v>
      </c>
      <c r="P2314">
        <v>7.04</v>
      </c>
    </row>
    <row r="2315" spans="1:16">
      <c r="A2315" s="1" t="s">
        <v>5520</v>
      </c>
      <c r="B2315" s="1" t="s">
        <v>2236</v>
      </c>
      <c r="C2315" s="1" t="s">
        <v>18</v>
      </c>
      <c r="D2315" s="1" t="s">
        <v>19</v>
      </c>
      <c r="E2315" s="1" t="s">
        <v>1804</v>
      </c>
      <c r="F2315">
        <v>6820</v>
      </c>
      <c r="G2315">
        <v>3930</v>
      </c>
      <c r="H2315">
        <v>4460</v>
      </c>
      <c r="I2315">
        <v>1778</v>
      </c>
      <c r="J2315" s="11">
        <f t="shared" si="57"/>
        <v>1.7</v>
      </c>
      <c r="K2315">
        <v>923</v>
      </c>
      <c r="L2315">
        <v>153.69999999999999</v>
      </c>
      <c r="M2315">
        <v>94.7</v>
      </c>
      <c r="N2315">
        <v>162</v>
      </c>
      <c r="O2315">
        <v>44.5</v>
      </c>
      <c r="P2315">
        <v>7.77</v>
      </c>
    </row>
    <row r="2316" spans="1:16">
      <c r="A2316" s="1" t="s">
        <v>5520</v>
      </c>
      <c r="B2316" s="1" t="s">
        <v>2237</v>
      </c>
      <c r="C2316" s="1" t="s">
        <v>18</v>
      </c>
      <c r="D2316" s="1" t="s">
        <v>19</v>
      </c>
      <c r="E2316" s="1" t="s">
        <v>1804</v>
      </c>
      <c r="F2316">
        <v>7360</v>
      </c>
      <c r="G2316">
        <v>4210</v>
      </c>
      <c r="H2316">
        <v>5580</v>
      </c>
      <c r="I2316">
        <v>1762</v>
      </c>
      <c r="J2316" s="11">
        <f t="shared" si="57"/>
        <v>1.7</v>
      </c>
      <c r="K2316">
        <v>970</v>
      </c>
      <c r="L2316">
        <v>119.6</v>
      </c>
      <c r="M2316">
        <v>86.6</v>
      </c>
      <c r="N2316">
        <v>174</v>
      </c>
      <c r="O2316">
        <v>42.8</v>
      </c>
      <c r="P2316">
        <v>5.99</v>
      </c>
    </row>
    <row r="2317" spans="1:16">
      <c r="A2317" s="1" t="s">
        <v>5520</v>
      </c>
      <c r="B2317" s="1" t="s">
        <v>2238</v>
      </c>
      <c r="C2317" s="1" t="s">
        <v>18</v>
      </c>
      <c r="D2317" s="1" t="s">
        <v>19</v>
      </c>
      <c r="E2317" s="1" t="s">
        <v>1804</v>
      </c>
      <c r="F2317">
        <v>6950</v>
      </c>
      <c r="G2317">
        <v>4320</v>
      </c>
      <c r="H2317">
        <v>5000</v>
      </c>
      <c r="I2317">
        <v>1611</v>
      </c>
      <c r="J2317" s="11">
        <f t="shared" si="57"/>
        <v>1.7</v>
      </c>
      <c r="K2317">
        <v>629</v>
      </c>
      <c r="L2317">
        <v>107.9</v>
      </c>
      <c r="M2317">
        <v>103.2</v>
      </c>
      <c r="N2317">
        <v>121</v>
      </c>
      <c r="O2317">
        <v>45.4</v>
      </c>
      <c r="P2317">
        <v>4.7300000000000004</v>
      </c>
    </row>
    <row r="2318" spans="1:16">
      <c r="A2318" s="1" t="s">
        <v>5520</v>
      </c>
      <c r="B2318" s="1" t="s">
        <v>2239</v>
      </c>
      <c r="C2318" s="1" t="s">
        <v>18</v>
      </c>
      <c r="D2318" s="1" t="s">
        <v>19</v>
      </c>
      <c r="E2318" s="1" t="s">
        <v>1804</v>
      </c>
      <c r="F2318">
        <v>5910</v>
      </c>
      <c r="G2318">
        <v>3800</v>
      </c>
      <c r="H2318">
        <v>4460</v>
      </c>
      <c r="I2318">
        <v>1638</v>
      </c>
      <c r="J2318" s="11">
        <f t="shared" si="57"/>
        <v>1.7</v>
      </c>
      <c r="K2318">
        <v>673</v>
      </c>
      <c r="L2318">
        <v>104.4</v>
      </c>
      <c r="M2318">
        <v>89.2</v>
      </c>
      <c r="N2318">
        <v>126.1</v>
      </c>
      <c r="O2318">
        <v>45.1</v>
      </c>
      <c r="P2318">
        <v>6.14</v>
      </c>
    </row>
    <row r="2319" spans="1:16">
      <c r="A2319" s="1" t="s">
        <v>5520</v>
      </c>
      <c r="B2319" s="1" t="s">
        <v>2240</v>
      </c>
      <c r="C2319" s="1" t="s">
        <v>18</v>
      </c>
      <c r="D2319" s="1" t="s">
        <v>19</v>
      </c>
      <c r="E2319" s="1" t="s">
        <v>1804</v>
      </c>
      <c r="F2319">
        <v>4840</v>
      </c>
      <c r="G2319">
        <v>4860</v>
      </c>
      <c r="H2319">
        <v>3270</v>
      </c>
      <c r="I2319">
        <v>1463</v>
      </c>
      <c r="J2319" s="11">
        <f t="shared" si="57"/>
        <v>1.7</v>
      </c>
      <c r="K2319">
        <v>411</v>
      </c>
      <c r="L2319">
        <v>110.8</v>
      </c>
      <c r="M2319">
        <v>146.69999999999999</v>
      </c>
      <c r="N2319">
        <v>51.9</v>
      </c>
      <c r="O2319">
        <v>41.5</v>
      </c>
      <c r="P2319">
        <v>4.28</v>
      </c>
    </row>
    <row r="2320" spans="1:16">
      <c r="A2320" s="1" t="s">
        <v>5520</v>
      </c>
      <c r="B2320" s="1" t="s">
        <v>2241</v>
      </c>
      <c r="C2320" s="1" t="s">
        <v>18</v>
      </c>
      <c r="D2320" s="1" t="s">
        <v>19</v>
      </c>
      <c r="E2320" s="1" t="s">
        <v>1804</v>
      </c>
      <c r="F2320">
        <v>5980</v>
      </c>
      <c r="G2320">
        <v>4270</v>
      </c>
      <c r="H2320">
        <v>7290</v>
      </c>
      <c r="I2320">
        <v>1728</v>
      </c>
      <c r="J2320" s="11">
        <f t="shared" si="57"/>
        <v>1.7</v>
      </c>
      <c r="K2320">
        <v>1162</v>
      </c>
      <c r="L2320">
        <v>131.4</v>
      </c>
      <c r="M2320">
        <v>84.4</v>
      </c>
      <c r="N2320">
        <v>195</v>
      </c>
      <c r="O2320">
        <v>46</v>
      </c>
      <c r="P2320">
        <v>6</v>
      </c>
    </row>
    <row r="2321" spans="1:16">
      <c r="A2321" s="1" t="s">
        <v>5520</v>
      </c>
      <c r="B2321" s="1" t="s">
        <v>2242</v>
      </c>
      <c r="C2321" s="1" t="s">
        <v>18</v>
      </c>
      <c r="D2321" s="1" t="s">
        <v>19</v>
      </c>
      <c r="E2321" s="1" t="s">
        <v>1804</v>
      </c>
      <c r="F2321">
        <v>9770</v>
      </c>
      <c r="G2321">
        <v>1965</v>
      </c>
      <c r="H2321">
        <v>1313</v>
      </c>
      <c r="I2321">
        <v>1511</v>
      </c>
      <c r="J2321" s="11">
        <f t="shared" si="57"/>
        <v>1.7</v>
      </c>
      <c r="K2321">
        <v>1027</v>
      </c>
      <c r="L2321">
        <v>118.3</v>
      </c>
      <c r="M2321">
        <v>109.6</v>
      </c>
      <c r="N2321">
        <v>149.4</v>
      </c>
      <c r="O2321">
        <v>22.7</v>
      </c>
      <c r="P2321">
        <v>4.2</v>
      </c>
    </row>
    <row r="2322" spans="1:16">
      <c r="A2322" s="1" t="s">
        <v>5520</v>
      </c>
      <c r="B2322" s="1" t="s">
        <v>2243</v>
      </c>
      <c r="C2322" s="1" t="s">
        <v>18</v>
      </c>
      <c r="D2322" s="1" t="s">
        <v>19</v>
      </c>
      <c r="E2322" s="1" t="s">
        <v>1804</v>
      </c>
      <c r="F2322">
        <v>10380</v>
      </c>
      <c r="G2322">
        <v>1915</v>
      </c>
      <c r="H2322">
        <v>1301</v>
      </c>
      <c r="I2322">
        <v>1532</v>
      </c>
      <c r="J2322" s="11">
        <f t="shared" si="57"/>
        <v>1.7</v>
      </c>
      <c r="K2322">
        <v>1069</v>
      </c>
      <c r="L2322">
        <v>116.9</v>
      </c>
      <c r="M2322">
        <v>104.6</v>
      </c>
      <c r="N2322">
        <v>156</v>
      </c>
      <c r="O2322">
        <v>23.6</v>
      </c>
      <c r="P2322">
        <v>4.42</v>
      </c>
    </row>
    <row r="2323" spans="1:16">
      <c r="A2323" s="1" t="s">
        <v>5520</v>
      </c>
      <c r="B2323" s="1" t="s">
        <v>2244</v>
      </c>
      <c r="C2323" s="1" t="s">
        <v>18</v>
      </c>
      <c r="D2323" s="1" t="s">
        <v>19</v>
      </c>
      <c r="E2323" s="1" t="s">
        <v>1804</v>
      </c>
      <c r="F2323">
        <v>10070</v>
      </c>
      <c r="G2323">
        <v>1850</v>
      </c>
      <c r="H2323">
        <v>1103</v>
      </c>
      <c r="I2323">
        <v>1462</v>
      </c>
      <c r="J2323" s="11">
        <f t="shared" si="57"/>
        <v>1.7</v>
      </c>
      <c r="K2323">
        <v>1067</v>
      </c>
      <c r="L2323">
        <v>114.4</v>
      </c>
      <c r="M2323">
        <v>111.7</v>
      </c>
      <c r="N2323">
        <v>153.1</v>
      </c>
      <c r="O2323">
        <v>22.8</v>
      </c>
      <c r="P2323">
        <v>5.28</v>
      </c>
    </row>
    <row r="2324" spans="1:16">
      <c r="A2324" s="1" t="s">
        <v>5520</v>
      </c>
      <c r="B2324" s="1" t="s">
        <v>2245</v>
      </c>
      <c r="C2324" s="1" t="s">
        <v>18</v>
      </c>
      <c r="D2324" s="1" t="s">
        <v>19</v>
      </c>
      <c r="E2324" s="1" t="s">
        <v>1804</v>
      </c>
      <c r="F2324">
        <v>9490</v>
      </c>
      <c r="G2324">
        <v>1754</v>
      </c>
      <c r="H2324">
        <v>1039</v>
      </c>
      <c r="I2324">
        <v>1397</v>
      </c>
      <c r="J2324" s="11">
        <f t="shared" si="57"/>
        <v>1.7</v>
      </c>
      <c r="K2324">
        <v>1047</v>
      </c>
      <c r="L2324">
        <v>112</v>
      </c>
      <c r="M2324">
        <v>109.7</v>
      </c>
      <c r="N2324">
        <v>140.69999999999999</v>
      </c>
      <c r="O2324">
        <v>20.7</v>
      </c>
      <c r="P2324">
        <v>4.78</v>
      </c>
    </row>
    <row r="2325" spans="1:16">
      <c r="A2325" s="1" t="s">
        <v>5520</v>
      </c>
      <c r="B2325" s="1" t="s">
        <v>2246</v>
      </c>
      <c r="C2325" s="1" t="s">
        <v>18</v>
      </c>
      <c r="D2325" s="1" t="s">
        <v>19</v>
      </c>
      <c r="E2325" s="1" t="s">
        <v>1804</v>
      </c>
      <c r="F2325">
        <v>10210</v>
      </c>
      <c r="G2325">
        <v>1722</v>
      </c>
      <c r="H2325">
        <v>1009</v>
      </c>
      <c r="I2325">
        <v>1438</v>
      </c>
      <c r="J2325" s="11">
        <f t="shared" si="57"/>
        <v>1.7</v>
      </c>
      <c r="K2325">
        <v>1079</v>
      </c>
      <c r="L2325">
        <v>115.3</v>
      </c>
      <c r="M2325">
        <v>109.6</v>
      </c>
      <c r="N2325">
        <v>143</v>
      </c>
      <c r="O2325">
        <v>22.6</v>
      </c>
      <c r="P2325">
        <v>5.42</v>
      </c>
    </row>
    <row r="2326" spans="1:16">
      <c r="A2326" s="1" t="s">
        <v>5520</v>
      </c>
      <c r="B2326" s="1" t="s">
        <v>2247</v>
      </c>
      <c r="C2326" s="1" t="s">
        <v>18</v>
      </c>
      <c r="D2326" s="1" t="s">
        <v>19</v>
      </c>
      <c r="E2326" s="1" t="s">
        <v>1804</v>
      </c>
      <c r="F2326">
        <v>10350</v>
      </c>
      <c r="G2326">
        <v>1690</v>
      </c>
      <c r="H2326">
        <v>926</v>
      </c>
      <c r="I2326">
        <v>1416</v>
      </c>
      <c r="J2326" s="11">
        <f t="shared" si="57"/>
        <v>1.7</v>
      </c>
      <c r="K2326">
        <v>1079</v>
      </c>
      <c r="L2326">
        <v>110.8</v>
      </c>
      <c r="M2326">
        <v>107</v>
      </c>
      <c r="N2326">
        <v>137.9</v>
      </c>
      <c r="O2326">
        <v>21.9</v>
      </c>
      <c r="P2326">
        <v>5.2</v>
      </c>
    </row>
    <row r="2327" spans="1:16">
      <c r="A2327" s="1" t="s">
        <v>16</v>
      </c>
      <c r="B2327" s="1" t="s">
        <v>2248</v>
      </c>
      <c r="C2327" s="1" t="s">
        <v>18</v>
      </c>
      <c r="D2327" s="1" t="s">
        <v>19</v>
      </c>
      <c r="E2327" s="1" t="s">
        <v>2249</v>
      </c>
      <c r="F2327">
        <v>7090</v>
      </c>
      <c r="G2327">
        <v>1739</v>
      </c>
      <c r="H2327">
        <v>1513</v>
      </c>
      <c r="I2327">
        <v>1749</v>
      </c>
      <c r="J2327">
        <f>9.87/2</f>
        <v>4.9349999999999996</v>
      </c>
      <c r="K2327">
        <v>264.2</v>
      </c>
      <c r="L2327">
        <v>24.6</v>
      </c>
      <c r="M2327">
        <v>83</v>
      </c>
      <c r="N2327">
        <v>90.3</v>
      </c>
      <c r="O2327">
        <v>27</v>
      </c>
      <c r="P2327">
        <v>10.35</v>
      </c>
    </row>
    <row r="2328" spans="1:16">
      <c r="A2328" s="1" t="s">
        <v>16</v>
      </c>
      <c r="B2328" s="1" t="s">
        <v>2250</v>
      </c>
      <c r="C2328" s="1" t="s">
        <v>18</v>
      </c>
      <c r="D2328" s="1" t="s">
        <v>19</v>
      </c>
      <c r="E2328" s="1" t="s">
        <v>2249</v>
      </c>
      <c r="F2328">
        <v>9530</v>
      </c>
      <c r="G2328">
        <v>1426</v>
      </c>
      <c r="H2328">
        <v>907</v>
      </c>
      <c r="I2328">
        <v>1778</v>
      </c>
      <c r="J2328" s="11">
        <f t="shared" ref="J2328:J2374" si="58">9.87/2</f>
        <v>4.9349999999999996</v>
      </c>
      <c r="K2328">
        <v>631</v>
      </c>
      <c r="L2328">
        <v>84.8</v>
      </c>
      <c r="M2328">
        <v>64.900000000000006</v>
      </c>
      <c r="N2328">
        <v>90.9</v>
      </c>
      <c r="O2328">
        <v>23.4</v>
      </c>
      <c r="P2328">
        <v>13.2</v>
      </c>
    </row>
    <row r="2329" spans="1:16">
      <c r="A2329" s="1" t="s">
        <v>16</v>
      </c>
      <c r="B2329" s="1" t="s">
        <v>2251</v>
      </c>
      <c r="C2329" s="1" t="s">
        <v>18</v>
      </c>
      <c r="D2329" s="1" t="s">
        <v>19</v>
      </c>
      <c r="E2329" s="1" t="s">
        <v>2252</v>
      </c>
      <c r="F2329">
        <v>10230</v>
      </c>
      <c r="G2329">
        <v>1190</v>
      </c>
      <c r="H2329">
        <v>621</v>
      </c>
      <c r="I2329">
        <v>1767</v>
      </c>
      <c r="J2329" s="11">
        <f t="shared" si="58"/>
        <v>4.9349999999999996</v>
      </c>
      <c r="K2329">
        <v>689</v>
      </c>
      <c r="L2329">
        <v>96.6</v>
      </c>
      <c r="M2329">
        <v>55.2</v>
      </c>
      <c r="N2329">
        <v>82.8</v>
      </c>
      <c r="O2329">
        <v>22.2</v>
      </c>
      <c r="P2329">
        <v>13.87</v>
      </c>
    </row>
    <row r="2330" spans="1:16">
      <c r="A2330" s="1" t="s">
        <v>16</v>
      </c>
      <c r="B2330" s="1" t="s">
        <v>2253</v>
      </c>
      <c r="C2330" s="1" t="s">
        <v>18</v>
      </c>
      <c r="D2330" s="1" t="s">
        <v>19</v>
      </c>
      <c r="E2330" s="1" t="s">
        <v>2252</v>
      </c>
      <c r="F2330">
        <v>9910</v>
      </c>
      <c r="G2330">
        <v>1304</v>
      </c>
      <c r="H2330">
        <v>783</v>
      </c>
      <c r="I2330">
        <v>1759</v>
      </c>
      <c r="J2330" s="11">
        <f t="shared" si="58"/>
        <v>4.9349999999999996</v>
      </c>
      <c r="K2330">
        <v>675</v>
      </c>
      <c r="L2330">
        <v>86.4</v>
      </c>
      <c r="M2330">
        <v>59.9</v>
      </c>
      <c r="N2330">
        <v>90.1</v>
      </c>
      <c r="O2330">
        <v>22.65</v>
      </c>
      <c r="P2330">
        <v>13.37</v>
      </c>
    </row>
    <row r="2331" spans="1:16">
      <c r="A2331" s="1" t="s">
        <v>16</v>
      </c>
      <c r="B2331" s="1" t="s">
        <v>2254</v>
      </c>
      <c r="C2331" s="1" t="s">
        <v>18</v>
      </c>
      <c r="D2331" s="1" t="s">
        <v>19</v>
      </c>
      <c r="E2331" s="1" t="s">
        <v>2252</v>
      </c>
      <c r="F2331">
        <v>9950</v>
      </c>
      <c r="G2331">
        <v>1204</v>
      </c>
      <c r="H2331">
        <v>638</v>
      </c>
      <c r="I2331">
        <v>1744</v>
      </c>
      <c r="J2331" s="11">
        <f t="shared" si="58"/>
        <v>4.9349999999999996</v>
      </c>
      <c r="K2331">
        <v>525.29999999999995</v>
      </c>
      <c r="L2331">
        <v>65.2</v>
      </c>
      <c r="M2331">
        <v>54.6</v>
      </c>
      <c r="N2331">
        <v>89</v>
      </c>
      <c r="O2331">
        <v>22.16</v>
      </c>
      <c r="P2331">
        <v>14.04</v>
      </c>
    </row>
    <row r="2332" spans="1:16">
      <c r="A2332" s="1" t="s">
        <v>16</v>
      </c>
      <c r="B2332" s="1" t="s">
        <v>2255</v>
      </c>
      <c r="C2332" s="1" t="s">
        <v>18</v>
      </c>
      <c r="D2332" s="1" t="s">
        <v>19</v>
      </c>
      <c r="E2332" s="1" t="s">
        <v>2252</v>
      </c>
      <c r="F2332">
        <v>9960</v>
      </c>
      <c r="G2332">
        <v>1109</v>
      </c>
      <c r="H2332">
        <v>532</v>
      </c>
      <c r="I2332">
        <v>1746</v>
      </c>
      <c r="J2332" s="11">
        <f t="shared" si="58"/>
        <v>4.9349999999999996</v>
      </c>
      <c r="K2332">
        <v>666</v>
      </c>
      <c r="L2332">
        <v>92.5</v>
      </c>
      <c r="M2332">
        <v>49</v>
      </c>
      <c r="N2332">
        <v>88.3</v>
      </c>
      <c r="O2332">
        <v>20.75</v>
      </c>
      <c r="P2332">
        <v>14.7</v>
      </c>
    </row>
    <row r="2333" spans="1:16">
      <c r="A2333" s="1" t="s">
        <v>16</v>
      </c>
      <c r="B2333" s="1" t="s">
        <v>2256</v>
      </c>
      <c r="C2333" s="1" t="s">
        <v>18</v>
      </c>
      <c r="D2333" s="1" t="s">
        <v>19</v>
      </c>
      <c r="E2333" s="1" t="s">
        <v>2252</v>
      </c>
      <c r="F2333">
        <v>10830</v>
      </c>
      <c r="G2333">
        <v>1101</v>
      </c>
      <c r="H2333">
        <v>491</v>
      </c>
      <c r="I2333">
        <v>1743</v>
      </c>
      <c r="J2333" s="11">
        <f t="shared" si="58"/>
        <v>4.9349999999999996</v>
      </c>
      <c r="K2333">
        <v>675</v>
      </c>
      <c r="L2333">
        <v>92.2</v>
      </c>
      <c r="M2333">
        <v>49.3</v>
      </c>
      <c r="N2333">
        <v>81.400000000000006</v>
      </c>
      <c r="O2333">
        <v>19.72</v>
      </c>
      <c r="P2333">
        <v>14.46</v>
      </c>
    </row>
    <row r="2334" spans="1:16">
      <c r="A2334" s="1" t="s">
        <v>16</v>
      </c>
      <c r="B2334" s="1" t="s">
        <v>2257</v>
      </c>
      <c r="C2334" s="1" t="s">
        <v>18</v>
      </c>
      <c r="D2334" s="1" t="s">
        <v>19</v>
      </c>
      <c r="E2334" s="1" t="s">
        <v>2252</v>
      </c>
      <c r="F2334">
        <v>3940</v>
      </c>
      <c r="G2334">
        <v>979</v>
      </c>
      <c r="H2334">
        <v>215</v>
      </c>
      <c r="I2334">
        <v>1076</v>
      </c>
      <c r="J2334" s="11">
        <f t="shared" si="58"/>
        <v>4.9349999999999996</v>
      </c>
      <c r="K2334">
        <v>376</v>
      </c>
      <c r="L2334">
        <v>65.5</v>
      </c>
      <c r="M2334">
        <v>67.8</v>
      </c>
      <c r="N2334">
        <v>55</v>
      </c>
      <c r="O2334">
        <v>24.2</v>
      </c>
      <c r="P2334">
        <v>5.68</v>
      </c>
    </row>
    <row r="2335" spans="1:16">
      <c r="A2335" s="1" t="s">
        <v>16</v>
      </c>
      <c r="B2335" s="1" t="s">
        <v>2258</v>
      </c>
      <c r="C2335" s="1" t="s">
        <v>18</v>
      </c>
      <c r="D2335" s="1" t="s">
        <v>19</v>
      </c>
      <c r="E2335" s="1" t="s">
        <v>2252</v>
      </c>
      <c r="F2335">
        <v>6830</v>
      </c>
      <c r="G2335">
        <v>859</v>
      </c>
      <c r="H2335">
        <v>210</v>
      </c>
      <c r="I2335">
        <v>982</v>
      </c>
      <c r="J2335" s="11">
        <f t="shared" si="58"/>
        <v>4.9349999999999996</v>
      </c>
      <c r="K2335">
        <v>662</v>
      </c>
      <c r="L2335">
        <v>114.3</v>
      </c>
      <c r="M2335">
        <v>65.3</v>
      </c>
      <c r="N2335">
        <v>82.5</v>
      </c>
      <c r="O2335">
        <v>21.44</v>
      </c>
      <c r="P2335">
        <v>5.59</v>
      </c>
    </row>
    <row r="2336" spans="1:16">
      <c r="A2336" s="1" t="s">
        <v>16</v>
      </c>
      <c r="B2336" s="1" t="s">
        <v>2259</v>
      </c>
      <c r="C2336" s="1" t="s">
        <v>18</v>
      </c>
      <c r="D2336" s="1" t="s">
        <v>19</v>
      </c>
      <c r="E2336" s="1" t="s">
        <v>2252</v>
      </c>
      <c r="F2336">
        <v>7100</v>
      </c>
      <c r="G2336">
        <v>1004</v>
      </c>
      <c r="H2336">
        <v>301</v>
      </c>
      <c r="I2336">
        <v>978</v>
      </c>
      <c r="J2336" s="11">
        <f t="shared" si="58"/>
        <v>4.9349999999999996</v>
      </c>
      <c r="K2336">
        <v>691</v>
      </c>
      <c r="L2336">
        <v>111.6</v>
      </c>
      <c r="M2336">
        <v>71.5</v>
      </c>
      <c r="N2336">
        <v>93.3</v>
      </c>
      <c r="O2336">
        <v>21.95</v>
      </c>
      <c r="P2336">
        <v>6.06</v>
      </c>
    </row>
    <row r="2337" spans="1:16">
      <c r="A2337" s="1" t="s">
        <v>16</v>
      </c>
      <c r="B2337" s="1" t="s">
        <v>2260</v>
      </c>
      <c r="C2337" s="1" t="s">
        <v>18</v>
      </c>
      <c r="D2337" s="1" t="s">
        <v>19</v>
      </c>
      <c r="E2337" s="1" t="s">
        <v>2252</v>
      </c>
      <c r="F2337">
        <v>7020</v>
      </c>
      <c r="G2337">
        <v>1135</v>
      </c>
      <c r="H2337">
        <v>369</v>
      </c>
      <c r="I2337">
        <v>977</v>
      </c>
      <c r="J2337" s="11">
        <f t="shared" si="58"/>
        <v>4.9349999999999996</v>
      </c>
      <c r="K2337">
        <v>696</v>
      </c>
      <c r="L2337">
        <v>110.6</v>
      </c>
      <c r="M2337">
        <v>76.2</v>
      </c>
      <c r="N2337">
        <v>94</v>
      </c>
      <c r="O2337">
        <v>22.71</v>
      </c>
      <c r="P2337">
        <v>5.49</v>
      </c>
    </row>
    <row r="2338" spans="1:16">
      <c r="A2338" s="1" t="s">
        <v>16</v>
      </c>
      <c r="B2338" s="1" t="s">
        <v>2261</v>
      </c>
      <c r="C2338" s="1" t="s">
        <v>18</v>
      </c>
      <c r="D2338" s="1" t="s">
        <v>19</v>
      </c>
      <c r="E2338" s="1" t="s">
        <v>2252</v>
      </c>
      <c r="F2338">
        <v>7000</v>
      </c>
      <c r="G2338">
        <v>1052</v>
      </c>
      <c r="H2338">
        <v>285</v>
      </c>
      <c r="I2338">
        <v>981</v>
      </c>
      <c r="J2338" s="11">
        <f t="shared" si="58"/>
        <v>4.9349999999999996</v>
      </c>
      <c r="K2338">
        <v>700</v>
      </c>
      <c r="L2338">
        <v>112.7</v>
      </c>
      <c r="M2338">
        <v>71.7</v>
      </c>
      <c r="N2338">
        <v>88.9</v>
      </c>
      <c r="O2338">
        <v>23.78</v>
      </c>
      <c r="P2338">
        <v>5.43</v>
      </c>
    </row>
    <row r="2339" spans="1:16">
      <c r="A2339" s="1" t="s">
        <v>16</v>
      </c>
      <c r="B2339" s="1" t="s">
        <v>2262</v>
      </c>
      <c r="C2339" s="1" t="s">
        <v>18</v>
      </c>
      <c r="D2339" s="1" t="s">
        <v>19</v>
      </c>
      <c r="E2339" s="1" t="s">
        <v>2252</v>
      </c>
      <c r="F2339">
        <v>3880</v>
      </c>
      <c r="G2339">
        <v>1735</v>
      </c>
      <c r="H2339">
        <v>793</v>
      </c>
      <c r="I2339">
        <v>1123</v>
      </c>
      <c r="J2339" s="11">
        <f t="shared" si="58"/>
        <v>4.9349999999999996</v>
      </c>
      <c r="K2339">
        <v>360.7</v>
      </c>
      <c r="L2339">
        <v>50.4</v>
      </c>
      <c r="M2339">
        <v>103.8</v>
      </c>
      <c r="N2339">
        <v>106.5</v>
      </c>
      <c r="O2339">
        <v>30.07</v>
      </c>
      <c r="P2339">
        <v>4.87</v>
      </c>
    </row>
    <row r="2340" spans="1:16">
      <c r="A2340" s="1" t="s">
        <v>16</v>
      </c>
      <c r="B2340" s="1" t="s">
        <v>2263</v>
      </c>
      <c r="C2340" s="1" t="s">
        <v>18</v>
      </c>
      <c r="D2340" s="1" t="s">
        <v>19</v>
      </c>
      <c r="E2340" s="1" t="s">
        <v>2252</v>
      </c>
      <c r="F2340">
        <v>7660</v>
      </c>
      <c r="G2340">
        <v>1323</v>
      </c>
      <c r="H2340">
        <v>480</v>
      </c>
      <c r="I2340">
        <v>1049</v>
      </c>
      <c r="J2340" s="11">
        <f t="shared" si="58"/>
        <v>4.9349999999999996</v>
      </c>
      <c r="K2340">
        <v>675</v>
      </c>
      <c r="L2340">
        <v>107.9</v>
      </c>
      <c r="M2340">
        <v>94.6</v>
      </c>
      <c r="N2340">
        <v>86.7</v>
      </c>
      <c r="O2340">
        <v>20.36</v>
      </c>
      <c r="P2340">
        <v>5.18</v>
      </c>
    </row>
    <row r="2341" spans="1:16">
      <c r="A2341" s="1" t="s">
        <v>16</v>
      </c>
      <c r="B2341" s="1" t="s">
        <v>2264</v>
      </c>
      <c r="C2341" s="1" t="s">
        <v>18</v>
      </c>
      <c r="D2341" s="1" t="s">
        <v>19</v>
      </c>
      <c r="E2341" s="1" t="s">
        <v>2252</v>
      </c>
      <c r="F2341">
        <v>7840</v>
      </c>
      <c r="G2341">
        <v>997</v>
      </c>
      <c r="H2341">
        <v>279</v>
      </c>
      <c r="I2341">
        <v>994</v>
      </c>
      <c r="J2341" s="11">
        <f t="shared" si="58"/>
        <v>4.9349999999999996</v>
      </c>
      <c r="K2341">
        <v>676</v>
      </c>
      <c r="L2341">
        <v>109.6</v>
      </c>
      <c r="M2341">
        <v>70</v>
      </c>
      <c r="N2341">
        <v>89.2</v>
      </c>
      <c r="O2341">
        <v>19.350000000000001</v>
      </c>
      <c r="P2341">
        <v>5.8</v>
      </c>
    </row>
    <row r="2342" spans="1:16">
      <c r="A2342" s="1" t="s">
        <v>16</v>
      </c>
      <c r="B2342" s="1" t="s">
        <v>2265</v>
      </c>
      <c r="C2342" s="1" t="s">
        <v>18</v>
      </c>
      <c r="D2342" s="1" t="s">
        <v>19</v>
      </c>
      <c r="E2342" s="1" t="s">
        <v>2252</v>
      </c>
      <c r="F2342">
        <v>7720</v>
      </c>
      <c r="G2342">
        <v>1468</v>
      </c>
      <c r="H2342">
        <v>599</v>
      </c>
      <c r="I2342">
        <v>1086</v>
      </c>
      <c r="J2342" s="11">
        <f t="shared" si="58"/>
        <v>4.9349999999999996</v>
      </c>
      <c r="K2342">
        <v>687</v>
      </c>
      <c r="L2342">
        <v>109.7</v>
      </c>
      <c r="M2342">
        <v>96.7</v>
      </c>
      <c r="N2342">
        <v>86.3</v>
      </c>
      <c r="O2342">
        <v>22.32</v>
      </c>
      <c r="P2342">
        <v>4.93</v>
      </c>
    </row>
    <row r="2343" spans="1:16">
      <c r="A2343" s="1" t="s">
        <v>16</v>
      </c>
      <c r="B2343" s="1" t="s">
        <v>2266</v>
      </c>
      <c r="C2343" s="1" t="s">
        <v>18</v>
      </c>
      <c r="D2343" s="1" t="s">
        <v>19</v>
      </c>
      <c r="E2343" s="1" t="s">
        <v>2252</v>
      </c>
      <c r="F2343">
        <v>7580</v>
      </c>
      <c r="G2343">
        <v>1423</v>
      </c>
      <c r="H2343">
        <v>519</v>
      </c>
      <c r="I2343">
        <v>1205</v>
      </c>
      <c r="J2343" s="11">
        <f t="shared" si="58"/>
        <v>4.9349999999999996</v>
      </c>
      <c r="K2343">
        <v>718</v>
      </c>
      <c r="L2343">
        <v>112.2</v>
      </c>
      <c r="M2343">
        <v>106.7</v>
      </c>
      <c r="N2343">
        <v>93.5</v>
      </c>
      <c r="O2343">
        <v>21.77</v>
      </c>
      <c r="P2343">
        <v>4.45</v>
      </c>
    </row>
    <row r="2344" spans="1:16">
      <c r="A2344" s="1" t="s">
        <v>16</v>
      </c>
      <c r="B2344" s="1" t="s">
        <v>2267</v>
      </c>
      <c r="C2344" s="1" t="s">
        <v>18</v>
      </c>
      <c r="D2344" s="1" t="s">
        <v>19</v>
      </c>
      <c r="E2344" s="1" t="s">
        <v>2252</v>
      </c>
      <c r="F2344">
        <v>7680</v>
      </c>
      <c r="G2344">
        <v>935</v>
      </c>
      <c r="H2344">
        <v>228</v>
      </c>
      <c r="I2344">
        <v>1001</v>
      </c>
      <c r="J2344" s="11">
        <f t="shared" si="58"/>
        <v>4.9349999999999996</v>
      </c>
      <c r="K2344">
        <v>684</v>
      </c>
      <c r="L2344">
        <v>109.5</v>
      </c>
      <c r="M2344">
        <v>72.400000000000006</v>
      </c>
      <c r="N2344">
        <v>88.7</v>
      </c>
      <c r="O2344">
        <v>18.12</v>
      </c>
      <c r="P2344">
        <v>5.46</v>
      </c>
    </row>
    <row r="2345" spans="1:16">
      <c r="A2345" s="1" t="s">
        <v>16</v>
      </c>
      <c r="B2345" s="1" t="s">
        <v>2268</v>
      </c>
      <c r="C2345" s="1" t="s">
        <v>18</v>
      </c>
      <c r="D2345" s="1" t="s">
        <v>19</v>
      </c>
      <c r="E2345" s="1" t="s">
        <v>2252</v>
      </c>
      <c r="F2345">
        <v>7710</v>
      </c>
      <c r="G2345">
        <v>994</v>
      </c>
      <c r="H2345">
        <v>269</v>
      </c>
      <c r="I2345">
        <v>1011</v>
      </c>
      <c r="J2345" s="11">
        <f t="shared" si="58"/>
        <v>4.9349999999999996</v>
      </c>
      <c r="K2345">
        <v>712</v>
      </c>
      <c r="L2345">
        <v>106.2</v>
      </c>
      <c r="M2345">
        <v>85.9</v>
      </c>
      <c r="N2345">
        <v>98</v>
      </c>
      <c r="O2345">
        <v>17.82</v>
      </c>
      <c r="P2345">
        <v>5.57</v>
      </c>
    </row>
    <row r="2346" spans="1:16">
      <c r="A2346" s="1" t="s">
        <v>16</v>
      </c>
      <c r="B2346" s="1" t="s">
        <v>2269</v>
      </c>
      <c r="C2346" s="1" t="s">
        <v>18</v>
      </c>
      <c r="D2346" s="1" t="s">
        <v>19</v>
      </c>
      <c r="E2346" s="1" t="s">
        <v>2252</v>
      </c>
      <c r="F2346">
        <v>7150</v>
      </c>
      <c r="G2346">
        <v>42</v>
      </c>
      <c r="H2346">
        <v>26.5</v>
      </c>
      <c r="I2346">
        <v>809</v>
      </c>
      <c r="J2346" s="11">
        <f t="shared" si="58"/>
        <v>4.9349999999999996</v>
      </c>
      <c r="K2346">
        <v>613</v>
      </c>
      <c r="L2346">
        <v>130.5</v>
      </c>
      <c r="M2346">
        <v>104.9</v>
      </c>
      <c r="N2346">
        <v>81.3</v>
      </c>
      <c r="O2346">
        <v>1.18</v>
      </c>
      <c r="P2346">
        <v>4.47</v>
      </c>
    </row>
    <row r="2347" spans="1:16">
      <c r="A2347" s="1" t="s">
        <v>16</v>
      </c>
      <c r="B2347" s="1" t="s">
        <v>2270</v>
      </c>
      <c r="C2347" s="1" t="s">
        <v>18</v>
      </c>
      <c r="D2347" s="1" t="s">
        <v>19</v>
      </c>
      <c r="E2347" s="1" t="s">
        <v>2252</v>
      </c>
      <c r="F2347">
        <v>8450</v>
      </c>
      <c r="G2347">
        <v>44.1</v>
      </c>
      <c r="H2347">
        <v>33.200000000000003</v>
      </c>
      <c r="I2347">
        <v>749</v>
      </c>
      <c r="J2347" s="11">
        <f t="shared" si="58"/>
        <v>4.9349999999999996</v>
      </c>
      <c r="K2347">
        <v>622</v>
      </c>
      <c r="L2347">
        <v>118.6</v>
      </c>
      <c r="M2347">
        <v>112.1</v>
      </c>
      <c r="N2347">
        <v>80.099999999999994</v>
      </c>
      <c r="O2347">
        <v>0.97</v>
      </c>
      <c r="P2347">
        <v>4.07</v>
      </c>
    </row>
    <row r="2348" spans="1:16">
      <c r="A2348" s="1" t="s">
        <v>16</v>
      </c>
      <c r="B2348" s="1" t="s">
        <v>2271</v>
      </c>
      <c r="C2348" s="1" t="s">
        <v>18</v>
      </c>
      <c r="D2348" s="1" t="s">
        <v>19</v>
      </c>
      <c r="E2348" s="1" t="s">
        <v>2252</v>
      </c>
      <c r="F2348">
        <v>6860</v>
      </c>
      <c r="G2348">
        <v>43</v>
      </c>
      <c r="H2348">
        <v>32.299999999999997</v>
      </c>
      <c r="I2348">
        <v>809</v>
      </c>
      <c r="J2348" s="11">
        <f t="shared" si="58"/>
        <v>4.9349999999999996</v>
      </c>
      <c r="K2348">
        <v>558</v>
      </c>
      <c r="L2348">
        <v>123.6</v>
      </c>
      <c r="M2348">
        <v>117.8</v>
      </c>
      <c r="N2348">
        <v>78.900000000000006</v>
      </c>
      <c r="O2348">
        <v>0.93</v>
      </c>
      <c r="P2348">
        <v>3.95</v>
      </c>
    </row>
    <row r="2349" spans="1:16">
      <c r="A2349" s="1" t="s">
        <v>16</v>
      </c>
      <c r="B2349" s="1" t="s">
        <v>2272</v>
      </c>
      <c r="C2349" s="1" t="s">
        <v>18</v>
      </c>
      <c r="D2349" s="1" t="s">
        <v>19</v>
      </c>
      <c r="E2349" s="1" t="s">
        <v>2252</v>
      </c>
      <c r="F2349">
        <v>6660</v>
      </c>
      <c r="G2349">
        <v>40.200000000000003</v>
      </c>
      <c r="H2349">
        <v>30.1</v>
      </c>
      <c r="I2349">
        <v>820</v>
      </c>
      <c r="J2349" s="11">
        <f t="shared" si="58"/>
        <v>4.9349999999999996</v>
      </c>
      <c r="K2349">
        <v>593</v>
      </c>
      <c r="L2349">
        <v>125.4</v>
      </c>
      <c r="M2349">
        <v>105</v>
      </c>
      <c r="N2349">
        <v>78.599999999999994</v>
      </c>
      <c r="O2349">
        <v>1.21</v>
      </c>
      <c r="P2349">
        <v>3.97</v>
      </c>
    </row>
    <row r="2350" spans="1:16">
      <c r="A2350" s="1" t="s">
        <v>16</v>
      </c>
      <c r="B2350" s="1" t="s">
        <v>2273</v>
      </c>
      <c r="C2350" s="1" t="s">
        <v>18</v>
      </c>
      <c r="D2350" s="1" t="s">
        <v>19</v>
      </c>
      <c r="E2350" s="1" t="s">
        <v>2252</v>
      </c>
      <c r="F2350">
        <v>8600</v>
      </c>
      <c r="G2350">
        <v>41.1</v>
      </c>
      <c r="H2350">
        <v>36</v>
      </c>
      <c r="I2350">
        <v>745</v>
      </c>
      <c r="J2350" s="11">
        <f t="shared" si="58"/>
        <v>4.9349999999999996</v>
      </c>
      <c r="K2350">
        <v>653</v>
      </c>
      <c r="L2350">
        <v>118.7</v>
      </c>
      <c r="M2350">
        <v>98.5</v>
      </c>
      <c r="N2350">
        <v>86.9</v>
      </c>
      <c r="O2350">
        <v>1.1100000000000001</v>
      </c>
      <c r="P2350">
        <v>4.1100000000000003</v>
      </c>
    </row>
    <row r="2351" spans="1:16">
      <c r="A2351" s="1" t="s">
        <v>16</v>
      </c>
      <c r="B2351" s="1" t="s">
        <v>2274</v>
      </c>
      <c r="C2351" s="1" t="s">
        <v>18</v>
      </c>
      <c r="D2351" s="1" t="s">
        <v>19</v>
      </c>
      <c r="E2351" s="1" t="s">
        <v>2252</v>
      </c>
      <c r="F2351">
        <v>7510</v>
      </c>
      <c r="G2351">
        <v>40.6</v>
      </c>
      <c r="H2351">
        <v>30.3</v>
      </c>
      <c r="I2351">
        <v>804</v>
      </c>
      <c r="J2351" s="11">
        <f t="shared" si="58"/>
        <v>4.9349999999999996</v>
      </c>
      <c r="K2351">
        <v>581</v>
      </c>
      <c r="L2351">
        <v>122</v>
      </c>
      <c r="M2351">
        <v>107.6</v>
      </c>
      <c r="N2351">
        <v>73</v>
      </c>
      <c r="O2351">
        <v>0.9</v>
      </c>
      <c r="P2351">
        <v>3.96</v>
      </c>
    </row>
    <row r="2352" spans="1:16">
      <c r="A2352" s="1" t="s">
        <v>16</v>
      </c>
      <c r="B2352" s="1" t="s">
        <v>2275</v>
      </c>
      <c r="C2352" s="1" t="s">
        <v>18</v>
      </c>
      <c r="D2352" s="1" t="s">
        <v>19</v>
      </c>
      <c r="E2352" s="1" t="s">
        <v>2252</v>
      </c>
      <c r="F2352">
        <v>6530</v>
      </c>
      <c r="G2352">
        <v>34.4</v>
      </c>
      <c r="H2352">
        <v>30.1</v>
      </c>
      <c r="I2352">
        <v>593</v>
      </c>
      <c r="J2352" s="11">
        <f t="shared" si="58"/>
        <v>4.9349999999999996</v>
      </c>
      <c r="K2352">
        <v>594</v>
      </c>
      <c r="L2352">
        <v>121.6</v>
      </c>
      <c r="M2352">
        <v>93.7</v>
      </c>
      <c r="N2352">
        <v>78</v>
      </c>
      <c r="O2352">
        <v>1.0900000000000001</v>
      </c>
      <c r="P2352">
        <v>3.8</v>
      </c>
    </row>
    <row r="2353" spans="1:16">
      <c r="A2353" s="1" t="s">
        <v>16</v>
      </c>
      <c r="B2353" s="1" t="s">
        <v>2276</v>
      </c>
      <c r="C2353" s="1" t="s">
        <v>18</v>
      </c>
      <c r="D2353" s="1" t="s">
        <v>19</v>
      </c>
      <c r="E2353" s="1" t="s">
        <v>2252</v>
      </c>
      <c r="F2353">
        <v>6860</v>
      </c>
      <c r="G2353">
        <v>27.1</v>
      </c>
      <c r="H2353">
        <v>25.3</v>
      </c>
      <c r="I2353">
        <v>542</v>
      </c>
      <c r="J2353" s="11">
        <f t="shared" si="58"/>
        <v>4.9349999999999996</v>
      </c>
      <c r="K2353">
        <v>724</v>
      </c>
      <c r="L2353">
        <v>121.5</v>
      </c>
      <c r="M2353">
        <v>84</v>
      </c>
      <c r="N2353">
        <v>101.7</v>
      </c>
      <c r="O2353">
        <v>0.79</v>
      </c>
      <c r="P2353">
        <v>4.3099999999999996</v>
      </c>
    </row>
    <row r="2354" spans="1:16">
      <c r="A2354" s="1" t="s">
        <v>16</v>
      </c>
      <c r="B2354" s="1" t="s">
        <v>2277</v>
      </c>
      <c r="C2354" s="1" t="s">
        <v>18</v>
      </c>
      <c r="D2354" s="1" t="s">
        <v>19</v>
      </c>
      <c r="E2354" s="1" t="s">
        <v>2252</v>
      </c>
      <c r="F2354">
        <v>7060</v>
      </c>
      <c r="G2354">
        <v>25</v>
      </c>
      <c r="H2354">
        <v>29.6</v>
      </c>
      <c r="I2354">
        <v>429</v>
      </c>
      <c r="J2354" s="11">
        <f t="shared" si="58"/>
        <v>4.9349999999999996</v>
      </c>
      <c r="K2354">
        <v>708</v>
      </c>
      <c r="L2354">
        <v>119.7</v>
      </c>
      <c r="M2354">
        <v>84.6</v>
      </c>
      <c r="N2354">
        <v>105.3</v>
      </c>
      <c r="O2354">
        <v>0.9</v>
      </c>
      <c r="P2354">
        <v>4.74</v>
      </c>
    </row>
    <row r="2355" spans="1:16">
      <c r="A2355" s="1" t="s">
        <v>16</v>
      </c>
      <c r="B2355" s="1" t="s">
        <v>2278</v>
      </c>
      <c r="C2355" s="1" t="s">
        <v>18</v>
      </c>
      <c r="D2355" s="1" t="s">
        <v>19</v>
      </c>
      <c r="E2355" s="1" t="s">
        <v>2252</v>
      </c>
      <c r="F2355">
        <v>6870</v>
      </c>
      <c r="G2355">
        <v>25.3</v>
      </c>
      <c r="H2355">
        <v>23.7</v>
      </c>
      <c r="I2355">
        <v>548</v>
      </c>
      <c r="J2355" s="11">
        <f t="shared" si="58"/>
        <v>4.9349999999999996</v>
      </c>
      <c r="K2355">
        <v>700</v>
      </c>
      <c r="L2355">
        <v>119.9</v>
      </c>
      <c r="M2355">
        <v>88.2</v>
      </c>
      <c r="N2355">
        <v>101.5</v>
      </c>
      <c r="O2355">
        <v>1.18</v>
      </c>
      <c r="P2355">
        <v>4.24</v>
      </c>
    </row>
    <row r="2356" spans="1:16">
      <c r="A2356" s="1" t="s">
        <v>16</v>
      </c>
      <c r="B2356" s="1" t="s">
        <v>2279</v>
      </c>
      <c r="C2356" s="1" t="s">
        <v>18</v>
      </c>
      <c r="D2356" s="1" t="s">
        <v>19</v>
      </c>
      <c r="E2356" s="1" t="s">
        <v>2252</v>
      </c>
      <c r="F2356">
        <v>6700</v>
      </c>
      <c r="G2356">
        <v>24.6</v>
      </c>
      <c r="H2356">
        <v>35.200000000000003</v>
      </c>
      <c r="I2356">
        <v>387</v>
      </c>
      <c r="J2356" s="11">
        <f t="shared" si="58"/>
        <v>4.9349999999999996</v>
      </c>
      <c r="K2356">
        <v>712</v>
      </c>
      <c r="L2356">
        <v>118.4</v>
      </c>
      <c r="M2356">
        <v>74.099999999999994</v>
      </c>
      <c r="N2356">
        <v>109.8</v>
      </c>
      <c r="O2356">
        <f>1.67/2</f>
        <v>0.83499999999999996</v>
      </c>
      <c r="P2356">
        <v>5.07</v>
      </c>
    </row>
    <row r="2357" spans="1:16">
      <c r="A2357" s="1" t="s">
        <v>16</v>
      </c>
      <c r="B2357" s="1" t="s">
        <v>2280</v>
      </c>
      <c r="C2357" s="1" t="s">
        <v>18</v>
      </c>
      <c r="D2357" s="1" t="s">
        <v>19</v>
      </c>
      <c r="E2357" s="1" t="s">
        <v>2252</v>
      </c>
      <c r="F2357">
        <v>7840</v>
      </c>
      <c r="G2357">
        <v>155</v>
      </c>
      <c r="H2357">
        <v>27.3</v>
      </c>
      <c r="I2357">
        <v>527</v>
      </c>
      <c r="J2357" s="11">
        <f t="shared" si="58"/>
        <v>4.9349999999999996</v>
      </c>
      <c r="K2357">
        <v>744</v>
      </c>
      <c r="L2357">
        <v>117.6</v>
      </c>
      <c r="M2357">
        <v>88.1</v>
      </c>
      <c r="N2357">
        <v>105.1</v>
      </c>
      <c r="O2357" s="11">
        <f t="shared" ref="O2357:O2358" si="59">1.67/2</f>
        <v>0.83499999999999996</v>
      </c>
      <c r="P2357">
        <v>4.62</v>
      </c>
    </row>
    <row r="2358" spans="1:16">
      <c r="A2358" s="1" t="s">
        <v>16</v>
      </c>
      <c r="B2358" s="1" t="s">
        <v>2281</v>
      </c>
      <c r="C2358" s="1" t="s">
        <v>18</v>
      </c>
      <c r="D2358" s="1" t="s">
        <v>19</v>
      </c>
      <c r="E2358" s="1" t="s">
        <v>2252</v>
      </c>
      <c r="F2358">
        <v>6720</v>
      </c>
      <c r="G2358">
        <v>650</v>
      </c>
      <c r="H2358">
        <v>31.8</v>
      </c>
      <c r="I2358">
        <v>632</v>
      </c>
      <c r="J2358" s="11">
        <f t="shared" si="58"/>
        <v>4.9349999999999996</v>
      </c>
      <c r="K2358">
        <v>637</v>
      </c>
      <c r="L2358">
        <v>113.1</v>
      </c>
      <c r="M2358">
        <v>84.5</v>
      </c>
      <c r="N2358">
        <v>105</v>
      </c>
      <c r="O2358" s="11">
        <f t="shared" si="59"/>
        <v>0.83499999999999996</v>
      </c>
      <c r="P2358">
        <v>6.17</v>
      </c>
    </row>
    <row r="2359" spans="1:16">
      <c r="A2359" s="1" t="s">
        <v>16</v>
      </c>
      <c r="B2359" s="1" t="s">
        <v>2282</v>
      </c>
      <c r="C2359" s="1" t="s">
        <v>18</v>
      </c>
      <c r="D2359" s="1" t="s">
        <v>19</v>
      </c>
      <c r="E2359" s="1" t="s">
        <v>2252</v>
      </c>
      <c r="F2359">
        <v>6330</v>
      </c>
      <c r="G2359">
        <v>97</v>
      </c>
      <c r="H2359">
        <v>20.2</v>
      </c>
      <c r="I2359">
        <v>633</v>
      </c>
      <c r="J2359" s="11">
        <f t="shared" si="58"/>
        <v>4.9349999999999996</v>
      </c>
      <c r="K2359">
        <v>655</v>
      </c>
      <c r="L2359">
        <v>105.2</v>
      </c>
      <c r="M2359">
        <v>78.900000000000006</v>
      </c>
      <c r="N2359">
        <v>106</v>
      </c>
      <c r="O2359">
        <v>1.02</v>
      </c>
      <c r="P2359">
        <v>4.22</v>
      </c>
    </row>
    <row r="2360" spans="1:16">
      <c r="A2360" s="1" t="s">
        <v>16</v>
      </c>
      <c r="B2360" s="1" t="s">
        <v>2283</v>
      </c>
      <c r="C2360" s="1" t="s">
        <v>18</v>
      </c>
      <c r="D2360" s="1" t="s">
        <v>19</v>
      </c>
      <c r="E2360" s="1" t="s">
        <v>2252</v>
      </c>
      <c r="F2360">
        <v>6850</v>
      </c>
      <c r="G2360">
        <v>81</v>
      </c>
      <c r="H2360">
        <v>23.4</v>
      </c>
      <c r="I2360">
        <v>658</v>
      </c>
      <c r="J2360" s="11">
        <f t="shared" si="58"/>
        <v>4.9349999999999996</v>
      </c>
      <c r="K2360">
        <v>721</v>
      </c>
      <c r="L2360">
        <v>123.1</v>
      </c>
      <c r="M2360">
        <v>81.8</v>
      </c>
      <c r="N2360">
        <v>108.6</v>
      </c>
      <c r="O2360">
        <v>0.74</v>
      </c>
      <c r="P2360">
        <v>4.38</v>
      </c>
    </row>
    <row r="2361" spans="1:16">
      <c r="A2361" s="1" t="s">
        <v>16</v>
      </c>
      <c r="B2361" s="1" t="s">
        <v>2284</v>
      </c>
      <c r="C2361" s="1" t="s">
        <v>18</v>
      </c>
      <c r="D2361" s="1" t="s">
        <v>19</v>
      </c>
      <c r="E2361" s="1" t="s">
        <v>2252</v>
      </c>
      <c r="F2361">
        <v>7150</v>
      </c>
      <c r="G2361">
        <v>42</v>
      </c>
      <c r="H2361">
        <v>26.5</v>
      </c>
      <c r="I2361">
        <v>809</v>
      </c>
      <c r="J2361" s="11">
        <f t="shared" si="58"/>
        <v>4.9349999999999996</v>
      </c>
      <c r="K2361">
        <v>613</v>
      </c>
      <c r="L2361">
        <v>130.5</v>
      </c>
      <c r="M2361">
        <v>104.9</v>
      </c>
      <c r="N2361">
        <v>81.3</v>
      </c>
      <c r="O2361">
        <v>1.18</v>
      </c>
      <c r="P2361">
        <v>4.47</v>
      </c>
    </row>
    <row r="2362" spans="1:16">
      <c r="A2362" s="1" t="s">
        <v>16</v>
      </c>
      <c r="B2362" s="1" t="s">
        <v>2285</v>
      </c>
      <c r="C2362" s="1" t="s">
        <v>18</v>
      </c>
      <c r="D2362" s="1" t="s">
        <v>19</v>
      </c>
      <c r="E2362" s="1" t="s">
        <v>2252</v>
      </c>
      <c r="F2362">
        <v>8450</v>
      </c>
      <c r="G2362">
        <v>44.1</v>
      </c>
      <c r="H2362">
        <v>33.200000000000003</v>
      </c>
      <c r="I2362">
        <v>749</v>
      </c>
      <c r="J2362" s="11">
        <f t="shared" si="58"/>
        <v>4.9349999999999996</v>
      </c>
      <c r="K2362">
        <v>622</v>
      </c>
      <c r="L2362">
        <v>118.6</v>
      </c>
      <c r="M2362">
        <v>112.1</v>
      </c>
      <c r="N2362">
        <v>80.099999999999994</v>
      </c>
      <c r="O2362">
        <v>0.97</v>
      </c>
      <c r="P2362">
        <v>4.07</v>
      </c>
    </row>
    <row r="2363" spans="1:16">
      <c r="A2363" s="1" t="s">
        <v>16</v>
      </c>
      <c r="B2363" s="1" t="s">
        <v>2286</v>
      </c>
      <c r="C2363" s="1" t="s">
        <v>18</v>
      </c>
      <c r="D2363" s="1" t="s">
        <v>19</v>
      </c>
      <c r="E2363" s="1" t="s">
        <v>2252</v>
      </c>
      <c r="F2363">
        <v>6860</v>
      </c>
      <c r="G2363">
        <v>43</v>
      </c>
      <c r="H2363">
        <v>32.299999999999997</v>
      </c>
      <c r="I2363">
        <v>809</v>
      </c>
      <c r="J2363" s="11">
        <f t="shared" si="58"/>
        <v>4.9349999999999996</v>
      </c>
      <c r="K2363">
        <v>558</v>
      </c>
      <c r="L2363">
        <v>123.6</v>
      </c>
      <c r="M2363">
        <v>117.8</v>
      </c>
      <c r="N2363">
        <v>78.900000000000006</v>
      </c>
      <c r="O2363">
        <v>0.93</v>
      </c>
      <c r="P2363">
        <v>3.95</v>
      </c>
    </row>
    <row r="2364" spans="1:16">
      <c r="A2364" s="1" t="s">
        <v>16</v>
      </c>
      <c r="B2364" s="1" t="s">
        <v>2287</v>
      </c>
      <c r="C2364" s="1" t="s">
        <v>18</v>
      </c>
      <c r="D2364" s="1" t="s">
        <v>19</v>
      </c>
      <c r="E2364" s="1" t="s">
        <v>2252</v>
      </c>
      <c r="F2364">
        <v>6660</v>
      </c>
      <c r="G2364">
        <v>40.200000000000003</v>
      </c>
      <c r="H2364">
        <v>30.1</v>
      </c>
      <c r="I2364">
        <v>820</v>
      </c>
      <c r="J2364" s="11">
        <f t="shared" si="58"/>
        <v>4.9349999999999996</v>
      </c>
      <c r="K2364">
        <v>593</v>
      </c>
      <c r="L2364">
        <v>125.4</v>
      </c>
      <c r="M2364">
        <v>105</v>
      </c>
      <c r="N2364">
        <v>78.599999999999994</v>
      </c>
      <c r="O2364">
        <v>1.21</v>
      </c>
      <c r="P2364">
        <v>3.97</v>
      </c>
    </row>
    <row r="2365" spans="1:16">
      <c r="A2365" s="1" t="s">
        <v>16</v>
      </c>
      <c r="B2365" s="1" t="s">
        <v>2288</v>
      </c>
      <c r="C2365" s="1" t="s">
        <v>18</v>
      </c>
      <c r="D2365" s="1" t="s">
        <v>19</v>
      </c>
      <c r="E2365" s="1" t="s">
        <v>2252</v>
      </c>
      <c r="F2365">
        <v>8600</v>
      </c>
      <c r="G2365">
        <v>41.1</v>
      </c>
      <c r="H2365">
        <v>36</v>
      </c>
      <c r="I2365">
        <v>745</v>
      </c>
      <c r="J2365" s="11">
        <f t="shared" si="58"/>
        <v>4.9349999999999996</v>
      </c>
      <c r="K2365">
        <v>653</v>
      </c>
      <c r="L2365">
        <v>118.7</v>
      </c>
      <c r="M2365">
        <v>98.5</v>
      </c>
      <c r="N2365">
        <v>86.9</v>
      </c>
      <c r="O2365">
        <v>1.1100000000000001</v>
      </c>
      <c r="P2365">
        <v>4.1100000000000003</v>
      </c>
    </row>
    <row r="2366" spans="1:16">
      <c r="A2366" s="1" t="s">
        <v>16</v>
      </c>
      <c r="B2366" s="1" t="s">
        <v>2289</v>
      </c>
      <c r="C2366" s="1" t="s">
        <v>18</v>
      </c>
      <c r="D2366" s="1" t="s">
        <v>19</v>
      </c>
      <c r="E2366" s="1" t="s">
        <v>2252</v>
      </c>
      <c r="F2366">
        <v>7510</v>
      </c>
      <c r="G2366">
        <v>40.6</v>
      </c>
      <c r="H2366">
        <v>30.3</v>
      </c>
      <c r="I2366">
        <v>804</v>
      </c>
      <c r="J2366" s="11">
        <f t="shared" si="58"/>
        <v>4.9349999999999996</v>
      </c>
      <c r="K2366">
        <v>581</v>
      </c>
      <c r="L2366">
        <v>122</v>
      </c>
      <c r="M2366">
        <v>107.6</v>
      </c>
      <c r="N2366">
        <v>73</v>
      </c>
      <c r="O2366">
        <v>0.9</v>
      </c>
      <c r="P2366">
        <v>3.96</v>
      </c>
    </row>
    <row r="2367" spans="1:16">
      <c r="A2367" s="1" t="s">
        <v>16</v>
      </c>
      <c r="B2367" s="1" t="s">
        <v>2290</v>
      </c>
      <c r="C2367" s="1" t="s">
        <v>18</v>
      </c>
      <c r="D2367" s="1" t="s">
        <v>19</v>
      </c>
      <c r="E2367" s="1" t="s">
        <v>2252</v>
      </c>
      <c r="F2367">
        <v>6530</v>
      </c>
      <c r="G2367">
        <v>34.4</v>
      </c>
      <c r="H2367">
        <v>30.1</v>
      </c>
      <c r="I2367">
        <v>593</v>
      </c>
      <c r="J2367" s="11">
        <f t="shared" si="58"/>
        <v>4.9349999999999996</v>
      </c>
      <c r="K2367">
        <v>594</v>
      </c>
      <c r="L2367">
        <v>121.6</v>
      </c>
      <c r="M2367">
        <v>93.7</v>
      </c>
      <c r="N2367">
        <v>78</v>
      </c>
      <c r="O2367">
        <v>1.0900000000000001</v>
      </c>
      <c r="P2367">
        <v>3.8</v>
      </c>
    </row>
    <row r="2368" spans="1:16">
      <c r="A2368" s="1" t="s">
        <v>16</v>
      </c>
      <c r="B2368" s="1" t="s">
        <v>2291</v>
      </c>
      <c r="C2368" s="1" t="s">
        <v>18</v>
      </c>
      <c r="D2368" s="1" t="s">
        <v>19</v>
      </c>
      <c r="E2368" s="1" t="s">
        <v>2252</v>
      </c>
      <c r="F2368">
        <v>6860</v>
      </c>
      <c r="G2368">
        <v>27.1</v>
      </c>
      <c r="H2368">
        <v>25.3</v>
      </c>
      <c r="I2368">
        <v>542</v>
      </c>
      <c r="J2368" s="11">
        <f t="shared" si="58"/>
        <v>4.9349999999999996</v>
      </c>
      <c r="K2368">
        <v>724</v>
      </c>
      <c r="L2368">
        <v>121.5</v>
      </c>
      <c r="M2368">
        <v>84</v>
      </c>
      <c r="N2368">
        <v>101.7</v>
      </c>
      <c r="O2368">
        <v>0.79</v>
      </c>
      <c r="P2368">
        <v>4.3099999999999996</v>
      </c>
    </row>
    <row r="2369" spans="1:16">
      <c r="A2369" s="1" t="s">
        <v>16</v>
      </c>
      <c r="B2369" s="1" t="s">
        <v>2292</v>
      </c>
      <c r="C2369" s="1" t="s">
        <v>18</v>
      </c>
      <c r="D2369" s="1" t="s">
        <v>19</v>
      </c>
      <c r="E2369" s="1" t="s">
        <v>2252</v>
      </c>
      <c r="F2369">
        <v>7060</v>
      </c>
      <c r="G2369">
        <v>25</v>
      </c>
      <c r="H2369">
        <v>29.6</v>
      </c>
      <c r="I2369">
        <v>429</v>
      </c>
      <c r="J2369" s="11">
        <f t="shared" si="58"/>
        <v>4.9349999999999996</v>
      </c>
      <c r="K2369">
        <v>708</v>
      </c>
      <c r="L2369">
        <v>119.7</v>
      </c>
      <c r="M2369">
        <v>84.6</v>
      </c>
      <c r="N2369">
        <v>105.3</v>
      </c>
      <c r="O2369">
        <v>0.9</v>
      </c>
      <c r="P2369">
        <v>4.74</v>
      </c>
    </row>
    <row r="2370" spans="1:16">
      <c r="A2370" s="1" t="s">
        <v>16</v>
      </c>
      <c r="B2370" s="1" t="s">
        <v>2293</v>
      </c>
      <c r="C2370" s="1" t="s">
        <v>18</v>
      </c>
      <c r="D2370" s="1" t="s">
        <v>19</v>
      </c>
      <c r="E2370" s="1" t="s">
        <v>2252</v>
      </c>
      <c r="F2370">
        <v>6870</v>
      </c>
      <c r="G2370">
        <v>25.3</v>
      </c>
      <c r="H2370">
        <v>23.7</v>
      </c>
      <c r="I2370">
        <v>548</v>
      </c>
      <c r="J2370" s="11">
        <f t="shared" si="58"/>
        <v>4.9349999999999996</v>
      </c>
      <c r="K2370">
        <v>700</v>
      </c>
      <c r="L2370">
        <v>119.9</v>
      </c>
      <c r="M2370">
        <v>88.2</v>
      </c>
      <c r="N2370">
        <v>101.5</v>
      </c>
      <c r="O2370">
        <v>1.18</v>
      </c>
      <c r="P2370">
        <v>4.24</v>
      </c>
    </row>
    <row r="2371" spans="1:16">
      <c r="A2371" s="1" t="s">
        <v>16</v>
      </c>
      <c r="B2371" s="1" t="s">
        <v>2294</v>
      </c>
      <c r="C2371" s="1" t="s">
        <v>18</v>
      </c>
      <c r="D2371" s="1" t="s">
        <v>19</v>
      </c>
      <c r="E2371" s="1" t="s">
        <v>2252</v>
      </c>
      <c r="F2371">
        <v>6700</v>
      </c>
      <c r="G2371">
        <v>24.6</v>
      </c>
      <c r="H2371">
        <v>35.200000000000003</v>
      </c>
      <c r="I2371">
        <v>387</v>
      </c>
      <c r="J2371" s="11">
        <f t="shared" si="58"/>
        <v>4.9349999999999996</v>
      </c>
      <c r="K2371">
        <v>712</v>
      </c>
      <c r="L2371">
        <v>118.4</v>
      </c>
      <c r="M2371">
        <v>74.099999999999994</v>
      </c>
      <c r="N2371">
        <v>109.8</v>
      </c>
      <c r="O2371">
        <v>0.90000000000000013</v>
      </c>
      <c r="P2371">
        <v>5.07</v>
      </c>
    </row>
    <row r="2372" spans="1:16">
      <c r="A2372" s="1" t="s">
        <v>16</v>
      </c>
      <c r="B2372" s="1" t="s">
        <v>2295</v>
      </c>
      <c r="C2372" s="1" t="s">
        <v>18</v>
      </c>
      <c r="D2372" s="1" t="s">
        <v>19</v>
      </c>
      <c r="E2372" s="1" t="s">
        <v>2252</v>
      </c>
      <c r="F2372">
        <v>7840</v>
      </c>
      <c r="G2372">
        <v>155</v>
      </c>
      <c r="H2372">
        <v>27.3</v>
      </c>
      <c r="I2372">
        <v>527</v>
      </c>
      <c r="J2372" s="11">
        <f t="shared" si="58"/>
        <v>4.9349999999999996</v>
      </c>
      <c r="K2372">
        <v>744</v>
      </c>
      <c r="L2372">
        <v>117.6</v>
      </c>
      <c r="M2372">
        <v>88.1</v>
      </c>
      <c r="N2372">
        <v>105.1</v>
      </c>
      <c r="O2372">
        <v>0.90000000000000013</v>
      </c>
      <c r="P2372">
        <v>4.62</v>
      </c>
    </row>
    <row r="2373" spans="1:16">
      <c r="A2373" s="1" t="s">
        <v>16</v>
      </c>
      <c r="B2373" s="1" t="s">
        <v>2296</v>
      </c>
      <c r="C2373" s="1" t="s">
        <v>18</v>
      </c>
      <c r="D2373" s="1" t="s">
        <v>19</v>
      </c>
      <c r="E2373" s="1" t="s">
        <v>2252</v>
      </c>
      <c r="F2373">
        <v>6720</v>
      </c>
      <c r="G2373">
        <v>650</v>
      </c>
      <c r="H2373">
        <v>31.8</v>
      </c>
      <c r="I2373">
        <v>632</v>
      </c>
      <c r="J2373" s="11">
        <f t="shared" si="58"/>
        <v>4.9349999999999996</v>
      </c>
      <c r="K2373">
        <v>637</v>
      </c>
      <c r="L2373">
        <v>113.1</v>
      </c>
      <c r="M2373">
        <v>84.5</v>
      </c>
      <c r="N2373">
        <v>105</v>
      </c>
      <c r="O2373">
        <v>0.90000000000000013</v>
      </c>
      <c r="P2373">
        <v>6.17</v>
      </c>
    </row>
    <row r="2374" spans="1:16">
      <c r="A2374" s="1" t="s">
        <v>16</v>
      </c>
      <c r="B2374" s="1" t="s">
        <v>2297</v>
      </c>
      <c r="C2374" s="1" t="s">
        <v>18</v>
      </c>
      <c r="D2374" s="1" t="s">
        <v>19</v>
      </c>
      <c r="E2374" s="1" t="s">
        <v>2252</v>
      </c>
      <c r="F2374">
        <v>6330</v>
      </c>
      <c r="G2374">
        <v>97</v>
      </c>
      <c r="H2374">
        <v>20.2</v>
      </c>
      <c r="I2374">
        <v>633</v>
      </c>
      <c r="J2374" s="11">
        <f t="shared" si="58"/>
        <v>4.9349999999999996</v>
      </c>
      <c r="K2374">
        <v>655</v>
      </c>
      <c r="L2374">
        <v>105.2</v>
      </c>
      <c r="M2374">
        <v>78.900000000000006</v>
      </c>
      <c r="N2374">
        <v>106</v>
      </c>
      <c r="O2374">
        <v>1.02</v>
      </c>
      <c r="P2374">
        <v>4.22</v>
      </c>
    </row>
    <row r="2375" spans="1:16">
      <c r="A2375" s="1" t="s">
        <v>16</v>
      </c>
      <c r="B2375" s="1" t="s">
        <v>2312</v>
      </c>
      <c r="C2375" s="1" t="s">
        <v>18</v>
      </c>
      <c r="D2375" s="1" t="s">
        <v>19</v>
      </c>
      <c r="E2375" s="1" t="s">
        <v>2249</v>
      </c>
      <c r="F2375">
        <v>5030</v>
      </c>
      <c r="G2375">
        <v>4676</v>
      </c>
      <c r="H2375">
        <v>2908</v>
      </c>
      <c r="I2375">
        <v>2530</v>
      </c>
      <c r="J2375">
        <v>12.2</v>
      </c>
      <c r="K2375">
        <v>776</v>
      </c>
      <c r="L2375">
        <v>95.9</v>
      </c>
      <c r="M2375">
        <v>282</v>
      </c>
      <c r="N2375">
        <v>106.7</v>
      </c>
      <c r="O2375">
        <v>23.6</v>
      </c>
      <c r="P2375">
        <v>3.12</v>
      </c>
    </row>
    <row r="2376" spans="1:16">
      <c r="A2376" s="1" t="s">
        <v>16</v>
      </c>
      <c r="B2376" s="1" t="s">
        <v>2313</v>
      </c>
      <c r="C2376" s="1" t="s">
        <v>18</v>
      </c>
      <c r="D2376" s="1" t="s">
        <v>19</v>
      </c>
      <c r="E2376" s="1" t="s">
        <v>2249</v>
      </c>
      <c r="F2376">
        <v>5770</v>
      </c>
      <c r="G2376">
        <v>5650</v>
      </c>
      <c r="H2376">
        <v>3162</v>
      </c>
      <c r="I2376">
        <v>2514</v>
      </c>
      <c r="J2376">
        <v>32.1</v>
      </c>
      <c r="K2376">
        <v>741</v>
      </c>
      <c r="L2376">
        <v>113.8</v>
      </c>
      <c r="M2376">
        <v>319</v>
      </c>
      <c r="N2376">
        <v>106.1</v>
      </c>
      <c r="O2376">
        <v>25</v>
      </c>
      <c r="P2376">
        <v>2.88</v>
      </c>
    </row>
    <row r="2377" spans="1:16">
      <c r="A2377" s="1" t="s">
        <v>16</v>
      </c>
      <c r="B2377" s="1" t="s">
        <v>2314</v>
      </c>
      <c r="C2377" s="1" t="s">
        <v>18</v>
      </c>
      <c r="D2377" s="1" t="s">
        <v>19</v>
      </c>
      <c r="E2377" s="1" t="s">
        <v>2252</v>
      </c>
      <c r="F2377">
        <v>6440</v>
      </c>
      <c r="G2377">
        <v>5325</v>
      </c>
      <c r="H2377">
        <v>3062</v>
      </c>
      <c r="I2377">
        <v>2568</v>
      </c>
      <c r="J2377">
        <v>21.7</v>
      </c>
      <c r="K2377">
        <v>1043</v>
      </c>
      <c r="L2377">
        <v>134.69999999999999</v>
      </c>
      <c r="M2377">
        <v>304</v>
      </c>
      <c r="N2377">
        <v>141.6</v>
      </c>
      <c r="O2377">
        <v>25.17</v>
      </c>
      <c r="P2377">
        <v>3.01</v>
      </c>
    </row>
    <row r="2378" spans="1:16">
      <c r="A2378" s="1" t="s">
        <v>16</v>
      </c>
      <c r="B2378" s="1" t="s">
        <v>2315</v>
      </c>
      <c r="C2378" s="1" t="s">
        <v>18</v>
      </c>
      <c r="D2378" s="1" t="s">
        <v>19</v>
      </c>
      <c r="E2378" s="1" t="s">
        <v>2252</v>
      </c>
      <c r="F2378">
        <v>4020</v>
      </c>
      <c r="G2378">
        <v>5024</v>
      </c>
      <c r="H2378">
        <v>3091</v>
      </c>
      <c r="I2378">
        <v>2492</v>
      </c>
      <c r="J2378">
        <v>11.9</v>
      </c>
      <c r="K2378">
        <v>425</v>
      </c>
      <c r="L2378">
        <v>65.3</v>
      </c>
      <c r="M2378">
        <v>323</v>
      </c>
      <c r="N2378">
        <v>100.1</v>
      </c>
      <c r="O2378">
        <v>24.31</v>
      </c>
      <c r="P2378">
        <v>3.39</v>
      </c>
    </row>
    <row r="2379" spans="1:16">
      <c r="A2379" s="1" t="s">
        <v>16</v>
      </c>
      <c r="B2379" s="1" t="s">
        <v>2316</v>
      </c>
      <c r="C2379" s="1" t="s">
        <v>18</v>
      </c>
      <c r="D2379" s="1" t="s">
        <v>19</v>
      </c>
      <c r="E2379" s="1" t="s">
        <v>2252</v>
      </c>
      <c r="F2379">
        <v>6490</v>
      </c>
      <c r="G2379">
        <v>5235</v>
      </c>
      <c r="H2379">
        <v>3074</v>
      </c>
      <c r="I2379">
        <v>2604</v>
      </c>
      <c r="J2379">
        <v>20.7</v>
      </c>
      <c r="K2379">
        <v>1074</v>
      </c>
      <c r="L2379">
        <v>136.6</v>
      </c>
      <c r="M2379">
        <v>306</v>
      </c>
      <c r="N2379">
        <v>131.1</v>
      </c>
      <c r="O2379">
        <v>24.42</v>
      </c>
      <c r="P2379">
        <v>3.27</v>
      </c>
    </row>
    <row r="2380" spans="1:16">
      <c r="A2380" s="1" t="s">
        <v>16</v>
      </c>
      <c r="B2380" s="1" t="s">
        <v>2317</v>
      </c>
      <c r="C2380" s="1" t="s">
        <v>18</v>
      </c>
      <c r="D2380" s="1" t="s">
        <v>19</v>
      </c>
      <c r="E2380" s="1" t="s">
        <v>2252</v>
      </c>
      <c r="F2380">
        <v>6540</v>
      </c>
      <c r="G2380">
        <v>5485</v>
      </c>
      <c r="H2380">
        <v>3081</v>
      </c>
      <c r="I2380">
        <v>2521</v>
      </c>
      <c r="J2380">
        <v>28.9</v>
      </c>
      <c r="K2380">
        <v>1011</v>
      </c>
      <c r="L2380">
        <v>140.4</v>
      </c>
      <c r="M2380">
        <v>316</v>
      </c>
      <c r="N2380">
        <v>111.4</v>
      </c>
      <c r="O2380">
        <v>25.25</v>
      </c>
      <c r="P2380">
        <v>2.98</v>
      </c>
    </row>
    <row r="2381" spans="1:16">
      <c r="A2381" s="1" t="s">
        <v>16</v>
      </c>
      <c r="B2381" s="1" t="s">
        <v>2318</v>
      </c>
      <c r="C2381" s="1" t="s">
        <v>18</v>
      </c>
      <c r="D2381" s="1" t="s">
        <v>19</v>
      </c>
      <c r="E2381" s="1" t="s">
        <v>2252</v>
      </c>
      <c r="F2381">
        <v>6520</v>
      </c>
      <c r="G2381">
        <v>5892</v>
      </c>
      <c r="H2381">
        <v>3196</v>
      </c>
      <c r="I2381">
        <v>2427</v>
      </c>
      <c r="J2381">
        <v>3.1187499999999995</v>
      </c>
      <c r="K2381">
        <v>898</v>
      </c>
      <c r="L2381">
        <v>136.9</v>
      </c>
      <c r="M2381">
        <v>302.7</v>
      </c>
      <c r="N2381">
        <v>102.6</v>
      </c>
      <c r="O2381">
        <v>24.93</v>
      </c>
      <c r="P2381">
        <v>3.08</v>
      </c>
    </row>
    <row r="2382" spans="1:16">
      <c r="A2382" s="1" t="s">
        <v>16</v>
      </c>
      <c r="B2382" s="1" t="s">
        <v>2319</v>
      </c>
      <c r="C2382" s="1" t="s">
        <v>18</v>
      </c>
      <c r="D2382" s="1" t="s">
        <v>19</v>
      </c>
      <c r="E2382" s="1" t="s">
        <v>2252</v>
      </c>
      <c r="F2382">
        <v>7730</v>
      </c>
      <c r="G2382">
        <v>5880</v>
      </c>
      <c r="H2382">
        <v>3310</v>
      </c>
      <c r="I2382">
        <v>2508</v>
      </c>
      <c r="J2382">
        <v>14.4</v>
      </c>
      <c r="K2382">
        <v>1032</v>
      </c>
      <c r="L2382">
        <v>142.80000000000001</v>
      </c>
      <c r="M2382">
        <v>305</v>
      </c>
      <c r="N2382">
        <v>110.8</v>
      </c>
      <c r="O2382">
        <v>26.1</v>
      </c>
      <c r="P2382">
        <v>3.14</v>
      </c>
    </row>
    <row r="2383" spans="1:16">
      <c r="A2383" s="1" t="s">
        <v>16</v>
      </c>
      <c r="B2383" s="1" t="s">
        <v>2320</v>
      </c>
      <c r="C2383" s="1" t="s">
        <v>18</v>
      </c>
      <c r="D2383" s="1" t="s">
        <v>19</v>
      </c>
      <c r="E2383" s="1" t="s">
        <v>2252</v>
      </c>
      <c r="F2383">
        <v>6129</v>
      </c>
      <c r="G2383">
        <v>5618</v>
      </c>
      <c r="H2383">
        <v>3175</v>
      </c>
      <c r="I2383">
        <v>2535</v>
      </c>
      <c r="J2383">
        <v>12.5</v>
      </c>
      <c r="K2383">
        <v>896</v>
      </c>
      <c r="L2383">
        <v>130.4</v>
      </c>
      <c r="M2383">
        <v>310</v>
      </c>
      <c r="N2383">
        <v>127.2</v>
      </c>
      <c r="O2383">
        <v>25.01</v>
      </c>
      <c r="P2383">
        <v>3.3</v>
      </c>
    </row>
    <row r="2384" spans="1:16">
      <c r="A2384" s="1" t="s">
        <v>16</v>
      </c>
      <c r="B2384" s="1" t="s">
        <v>2321</v>
      </c>
      <c r="C2384" s="1" t="s">
        <v>18</v>
      </c>
      <c r="D2384" s="1" t="s">
        <v>19</v>
      </c>
      <c r="E2384" s="1" t="s">
        <v>2252</v>
      </c>
      <c r="F2384">
        <v>5810</v>
      </c>
      <c r="G2384">
        <v>4990</v>
      </c>
      <c r="H2384">
        <v>2857</v>
      </c>
      <c r="I2384">
        <v>2518</v>
      </c>
      <c r="J2384">
        <v>3.1187499999999995</v>
      </c>
      <c r="K2384">
        <v>765</v>
      </c>
      <c r="L2384">
        <v>116.8</v>
      </c>
      <c r="M2384">
        <v>283.89999999999998</v>
      </c>
      <c r="N2384">
        <v>126.1</v>
      </c>
      <c r="O2384">
        <v>25.09</v>
      </c>
      <c r="P2384">
        <v>3.34</v>
      </c>
    </row>
    <row r="2385" spans="1:16">
      <c r="A2385" s="1" t="s">
        <v>16</v>
      </c>
      <c r="B2385" s="1" t="s">
        <v>2322</v>
      </c>
      <c r="C2385" s="1" t="s">
        <v>18</v>
      </c>
      <c r="D2385" s="1" t="s">
        <v>19</v>
      </c>
      <c r="E2385" s="1" t="s">
        <v>2252</v>
      </c>
      <c r="F2385">
        <v>6350</v>
      </c>
      <c r="G2385">
        <v>5221</v>
      </c>
      <c r="H2385">
        <v>3051</v>
      </c>
      <c r="I2385">
        <v>2574</v>
      </c>
      <c r="J2385">
        <v>17.399999999999999</v>
      </c>
      <c r="K2385">
        <v>1034</v>
      </c>
      <c r="L2385">
        <v>140.80000000000001</v>
      </c>
      <c r="M2385">
        <v>312.2</v>
      </c>
      <c r="N2385">
        <v>122.9</v>
      </c>
      <c r="O2385">
        <v>25.37</v>
      </c>
      <c r="P2385">
        <v>3.38</v>
      </c>
    </row>
    <row r="2386" spans="1:16">
      <c r="A2386" s="1" t="s">
        <v>16</v>
      </c>
      <c r="B2386" s="1" t="s">
        <v>2323</v>
      </c>
      <c r="C2386" s="1" t="s">
        <v>18</v>
      </c>
      <c r="D2386" s="1" t="s">
        <v>19</v>
      </c>
      <c r="E2386" s="1" t="s">
        <v>2252</v>
      </c>
      <c r="F2386">
        <v>6200</v>
      </c>
      <c r="G2386">
        <v>5548</v>
      </c>
      <c r="H2386">
        <v>3127</v>
      </c>
      <c r="I2386">
        <v>2507</v>
      </c>
      <c r="J2386">
        <v>16.3</v>
      </c>
      <c r="K2386">
        <v>949</v>
      </c>
      <c r="L2386">
        <v>135.80000000000001</v>
      </c>
      <c r="M2386">
        <v>302.5</v>
      </c>
      <c r="N2386">
        <v>106.8</v>
      </c>
      <c r="O2386">
        <v>23.99</v>
      </c>
      <c r="P2386">
        <v>3.19</v>
      </c>
    </row>
    <row r="2387" spans="1:16">
      <c r="A2387" s="1" t="s">
        <v>16</v>
      </c>
      <c r="B2387" s="1" t="s">
        <v>2324</v>
      </c>
      <c r="C2387" s="1" t="s">
        <v>18</v>
      </c>
      <c r="D2387" s="1" t="s">
        <v>19</v>
      </c>
      <c r="E2387" s="1" t="s">
        <v>2252</v>
      </c>
      <c r="F2387">
        <v>6554</v>
      </c>
      <c r="G2387">
        <v>5779</v>
      </c>
      <c r="H2387">
        <v>3187</v>
      </c>
      <c r="I2387">
        <v>2517</v>
      </c>
      <c r="J2387">
        <v>20.3</v>
      </c>
      <c r="K2387">
        <v>966</v>
      </c>
      <c r="L2387">
        <v>145.19999999999999</v>
      </c>
      <c r="M2387">
        <v>310</v>
      </c>
      <c r="N2387">
        <v>101.3</v>
      </c>
      <c r="O2387">
        <v>23.87</v>
      </c>
      <c r="P2387">
        <v>3.49</v>
      </c>
    </row>
    <row r="2388" spans="1:16">
      <c r="A2388" s="1" t="s">
        <v>16</v>
      </c>
      <c r="B2388" s="1" t="s">
        <v>2325</v>
      </c>
      <c r="C2388" s="1" t="s">
        <v>18</v>
      </c>
      <c r="D2388" s="1" t="s">
        <v>19</v>
      </c>
      <c r="E2388" s="1" t="s">
        <v>2252</v>
      </c>
      <c r="F2388">
        <v>5790</v>
      </c>
      <c r="G2388">
        <v>4627</v>
      </c>
      <c r="H2388">
        <v>2824</v>
      </c>
      <c r="I2388">
        <v>2590</v>
      </c>
      <c r="J2388">
        <v>3.1187499999999995</v>
      </c>
      <c r="K2388">
        <v>900</v>
      </c>
      <c r="L2388">
        <v>134</v>
      </c>
      <c r="M2388">
        <v>293.5</v>
      </c>
      <c r="N2388">
        <v>130.30000000000001</v>
      </c>
      <c r="O2388">
        <v>24.13</v>
      </c>
      <c r="P2388">
        <v>3.35</v>
      </c>
    </row>
    <row r="2389" spans="1:16">
      <c r="A2389" s="1" t="s">
        <v>16</v>
      </c>
      <c r="B2389" s="1" t="s">
        <v>2326</v>
      </c>
      <c r="C2389" s="1" t="s">
        <v>18</v>
      </c>
      <c r="D2389" s="1" t="s">
        <v>19</v>
      </c>
      <c r="E2389" s="1" t="s">
        <v>2252</v>
      </c>
      <c r="F2389">
        <v>6488</v>
      </c>
      <c r="G2389">
        <v>5662</v>
      </c>
      <c r="H2389">
        <v>3204</v>
      </c>
      <c r="I2389">
        <v>2564</v>
      </c>
      <c r="J2389">
        <v>20.8</v>
      </c>
      <c r="K2389">
        <v>1063</v>
      </c>
      <c r="L2389">
        <v>145.80000000000001</v>
      </c>
      <c r="M2389">
        <v>315</v>
      </c>
      <c r="N2389">
        <v>117</v>
      </c>
      <c r="O2389">
        <v>25.08</v>
      </c>
      <c r="P2389">
        <v>3.4</v>
      </c>
    </row>
    <row r="2390" spans="1:16">
      <c r="A2390" s="1" t="s">
        <v>16</v>
      </c>
      <c r="B2390" s="1" t="s">
        <v>2327</v>
      </c>
      <c r="C2390" s="1" t="s">
        <v>18</v>
      </c>
      <c r="D2390" s="1" t="s">
        <v>19</v>
      </c>
      <c r="E2390" s="1" t="s">
        <v>2252</v>
      </c>
      <c r="F2390">
        <v>6161</v>
      </c>
      <c r="G2390">
        <v>5741</v>
      </c>
      <c r="H2390">
        <v>3222</v>
      </c>
      <c r="I2390">
        <v>2569</v>
      </c>
      <c r="J2390">
        <v>19.100000000000001</v>
      </c>
      <c r="K2390">
        <v>841</v>
      </c>
      <c r="L2390">
        <v>127.6</v>
      </c>
      <c r="M2390">
        <v>308</v>
      </c>
      <c r="N2390">
        <v>140</v>
      </c>
      <c r="O2390">
        <v>24.82</v>
      </c>
      <c r="P2390">
        <v>3.11</v>
      </c>
    </row>
    <row r="2391" spans="1:16">
      <c r="A2391" s="1" t="s">
        <v>16</v>
      </c>
      <c r="B2391" s="1" t="s">
        <v>2349</v>
      </c>
      <c r="C2391" s="1" t="s">
        <v>18</v>
      </c>
      <c r="D2391" s="1" t="s">
        <v>19</v>
      </c>
      <c r="E2391" s="1" t="s">
        <v>2249</v>
      </c>
      <c r="F2391">
        <v>2630</v>
      </c>
      <c r="G2391">
        <v>4530</v>
      </c>
      <c r="H2391">
        <v>2830</v>
      </c>
      <c r="I2391">
        <v>1752</v>
      </c>
      <c r="J2391">
        <v>70.8</v>
      </c>
      <c r="K2391">
        <v>470</v>
      </c>
      <c r="L2391">
        <v>175.7</v>
      </c>
      <c r="M2391">
        <v>289</v>
      </c>
      <c r="N2391">
        <v>402</v>
      </c>
      <c r="O2391">
        <v>18.03</v>
      </c>
      <c r="P2391">
        <v>1.94</v>
      </c>
    </row>
    <row r="2392" spans="1:16">
      <c r="A2392" s="1" t="s">
        <v>16</v>
      </c>
      <c r="B2392" s="1" t="s">
        <v>2350</v>
      </c>
      <c r="C2392" s="1" t="s">
        <v>18</v>
      </c>
      <c r="D2392" s="1" t="s">
        <v>19</v>
      </c>
      <c r="E2392" s="1" t="s">
        <v>2249</v>
      </c>
      <c r="F2392">
        <v>2460</v>
      </c>
      <c r="G2392">
        <v>3660</v>
      </c>
      <c r="H2392">
        <v>16900</v>
      </c>
      <c r="I2392">
        <v>1641</v>
      </c>
      <c r="J2392" s="11">
        <f>9.87/2</f>
        <v>4.9349999999999996</v>
      </c>
      <c r="K2392">
        <v>1250</v>
      </c>
      <c r="L2392">
        <v>182</v>
      </c>
      <c r="M2392">
        <v>277</v>
      </c>
      <c r="N2392">
        <v>252</v>
      </c>
      <c r="O2392">
        <v>17.2</v>
      </c>
      <c r="P2392">
        <v>2.59</v>
      </c>
    </row>
    <row r="2393" spans="1:16">
      <c r="A2393" s="1" t="s">
        <v>16</v>
      </c>
      <c r="B2393" s="1" t="s">
        <v>2351</v>
      </c>
      <c r="C2393" s="1" t="s">
        <v>18</v>
      </c>
      <c r="D2393" s="1" t="s">
        <v>19</v>
      </c>
      <c r="E2393" s="1" t="s">
        <v>2252</v>
      </c>
      <c r="F2393">
        <v>1998</v>
      </c>
      <c r="G2393">
        <v>4110</v>
      </c>
      <c r="H2393">
        <v>2860</v>
      </c>
      <c r="I2393">
        <v>1645</v>
      </c>
      <c r="J2393">
        <v>27.1</v>
      </c>
      <c r="K2393">
        <v>463</v>
      </c>
      <c r="L2393">
        <v>169.8</v>
      </c>
      <c r="M2393">
        <v>282</v>
      </c>
      <c r="N2393">
        <v>336</v>
      </c>
      <c r="O2393">
        <v>17.899999999999999</v>
      </c>
      <c r="P2393">
        <v>2.75</v>
      </c>
    </row>
    <row r="2394" spans="1:16">
      <c r="A2394" s="1" t="s">
        <v>16</v>
      </c>
      <c r="B2394" s="1" t="s">
        <v>2352</v>
      </c>
      <c r="C2394" s="1" t="s">
        <v>18</v>
      </c>
      <c r="D2394" s="1" t="s">
        <v>19</v>
      </c>
      <c r="E2394" s="1" t="s">
        <v>2252</v>
      </c>
      <c r="F2394">
        <v>2820</v>
      </c>
      <c r="G2394">
        <v>4630</v>
      </c>
      <c r="H2394">
        <v>14500</v>
      </c>
      <c r="I2394">
        <v>1878</v>
      </c>
      <c r="J2394">
        <v>72</v>
      </c>
      <c r="K2394">
        <v>1120</v>
      </c>
      <c r="L2394">
        <v>192</v>
      </c>
      <c r="M2394">
        <v>276</v>
      </c>
      <c r="N2394">
        <v>445</v>
      </c>
      <c r="O2394">
        <v>20.100000000000001</v>
      </c>
      <c r="P2394">
        <v>3.1</v>
      </c>
    </row>
    <row r="2395" spans="1:16">
      <c r="A2395" s="1" t="s">
        <v>16</v>
      </c>
      <c r="B2395" s="1" t="s">
        <v>2353</v>
      </c>
      <c r="C2395" s="1" t="s">
        <v>18</v>
      </c>
      <c r="D2395" s="1" t="s">
        <v>19</v>
      </c>
      <c r="E2395" s="1" t="s">
        <v>2252</v>
      </c>
      <c r="F2395">
        <v>3000</v>
      </c>
      <c r="G2395">
        <v>4590</v>
      </c>
      <c r="H2395">
        <v>14800</v>
      </c>
      <c r="I2395">
        <v>1843</v>
      </c>
      <c r="J2395">
        <v>74</v>
      </c>
      <c r="K2395">
        <v>1110</v>
      </c>
      <c r="L2395">
        <v>180</v>
      </c>
      <c r="M2395">
        <v>283</v>
      </c>
      <c r="N2395">
        <v>427</v>
      </c>
      <c r="O2395">
        <v>18.600000000000001</v>
      </c>
      <c r="P2395">
        <v>4.4000000000000004</v>
      </c>
    </row>
    <row r="2396" spans="1:16">
      <c r="A2396" s="1" t="s">
        <v>16</v>
      </c>
      <c r="B2396" s="1" t="s">
        <v>2354</v>
      </c>
      <c r="C2396" s="1" t="s">
        <v>18</v>
      </c>
      <c r="D2396" s="1" t="s">
        <v>19</v>
      </c>
      <c r="E2396" s="1" t="s">
        <v>2252</v>
      </c>
      <c r="F2396">
        <v>2490</v>
      </c>
      <c r="G2396">
        <v>4510</v>
      </c>
      <c r="H2396">
        <v>11700</v>
      </c>
      <c r="I2396">
        <v>2099</v>
      </c>
      <c r="J2396">
        <v>144</v>
      </c>
      <c r="K2396">
        <v>890</v>
      </c>
      <c r="L2396">
        <v>175.5</v>
      </c>
      <c r="M2396">
        <v>283</v>
      </c>
      <c r="N2396">
        <v>405</v>
      </c>
      <c r="O2396">
        <v>18.399999999999999</v>
      </c>
      <c r="P2396">
        <v>2.98</v>
      </c>
    </row>
    <row r="2397" spans="1:16">
      <c r="A2397" s="1" t="s">
        <v>16</v>
      </c>
      <c r="B2397" s="1" t="s">
        <v>2355</v>
      </c>
      <c r="C2397" s="1" t="s">
        <v>18</v>
      </c>
      <c r="D2397" s="1" t="s">
        <v>19</v>
      </c>
      <c r="E2397" s="1" t="s">
        <v>2252</v>
      </c>
      <c r="F2397">
        <v>3070</v>
      </c>
      <c r="G2397">
        <v>4880</v>
      </c>
      <c r="H2397">
        <v>25500</v>
      </c>
      <c r="I2397">
        <v>2102</v>
      </c>
      <c r="J2397">
        <v>35</v>
      </c>
      <c r="K2397">
        <v>1820</v>
      </c>
      <c r="L2397">
        <v>187.8</v>
      </c>
      <c r="M2397">
        <v>272</v>
      </c>
      <c r="N2397">
        <v>622</v>
      </c>
      <c r="O2397">
        <v>19</v>
      </c>
      <c r="P2397">
        <v>4.41</v>
      </c>
    </row>
    <row r="2398" spans="1:16">
      <c r="A2398" s="1" t="s">
        <v>16</v>
      </c>
      <c r="B2398" s="1" t="s">
        <v>2356</v>
      </c>
      <c r="C2398" s="1" t="s">
        <v>18</v>
      </c>
      <c r="D2398" s="1" t="s">
        <v>19</v>
      </c>
      <c r="E2398" s="1" t="s">
        <v>2252</v>
      </c>
      <c r="F2398">
        <v>3460</v>
      </c>
      <c r="G2398">
        <v>3520</v>
      </c>
      <c r="H2398">
        <v>30400</v>
      </c>
      <c r="I2398">
        <v>1971</v>
      </c>
      <c r="J2398">
        <v>415</v>
      </c>
      <c r="K2398">
        <v>2000</v>
      </c>
      <c r="L2398">
        <v>172.8</v>
      </c>
      <c r="M2398">
        <v>251</v>
      </c>
      <c r="N2398">
        <v>315</v>
      </c>
      <c r="O2398">
        <v>14.8</v>
      </c>
      <c r="P2398">
        <v>3.71</v>
      </c>
    </row>
    <row r="2399" spans="1:16">
      <c r="A2399" s="1" t="s">
        <v>16</v>
      </c>
      <c r="B2399" s="1" t="s">
        <v>2357</v>
      </c>
      <c r="C2399" s="1" t="s">
        <v>18</v>
      </c>
      <c r="D2399" s="1" t="s">
        <v>19</v>
      </c>
      <c r="E2399" s="1" t="s">
        <v>2252</v>
      </c>
      <c r="F2399">
        <v>2410</v>
      </c>
      <c r="G2399">
        <v>3090</v>
      </c>
      <c r="H2399">
        <v>15300</v>
      </c>
      <c r="I2399">
        <v>1925</v>
      </c>
      <c r="J2399">
        <v>183</v>
      </c>
      <c r="K2399">
        <v>1140</v>
      </c>
      <c r="L2399">
        <v>172.9</v>
      </c>
      <c r="M2399">
        <v>267</v>
      </c>
      <c r="N2399">
        <v>245</v>
      </c>
      <c r="O2399">
        <v>17.100000000000001</v>
      </c>
      <c r="P2399">
        <v>2.25</v>
      </c>
    </row>
    <row r="2400" spans="1:16">
      <c r="A2400" s="1" t="s">
        <v>16</v>
      </c>
      <c r="B2400" s="1" t="s">
        <v>2358</v>
      </c>
      <c r="C2400" s="1" t="s">
        <v>18</v>
      </c>
      <c r="D2400" s="1" t="s">
        <v>19</v>
      </c>
      <c r="E2400" s="1" t="s">
        <v>2252</v>
      </c>
      <c r="F2400">
        <v>1410</v>
      </c>
      <c r="G2400">
        <v>3976</v>
      </c>
      <c r="H2400">
        <v>2200</v>
      </c>
      <c r="I2400">
        <v>1199</v>
      </c>
      <c r="J2400" s="11">
        <f>9.87/2</f>
        <v>4.9349999999999996</v>
      </c>
      <c r="K2400">
        <v>227.3</v>
      </c>
      <c r="L2400">
        <v>176.1</v>
      </c>
      <c r="M2400">
        <v>292</v>
      </c>
      <c r="N2400">
        <v>274</v>
      </c>
      <c r="O2400">
        <v>16.18</v>
      </c>
      <c r="P2400">
        <v>2.42</v>
      </c>
    </row>
    <row r="2401" spans="1:16">
      <c r="A2401" s="1" t="s">
        <v>16</v>
      </c>
      <c r="B2401" s="1" t="s">
        <v>2359</v>
      </c>
      <c r="C2401" s="1" t="s">
        <v>18</v>
      </c>
      <c r="D2401" s="1" t="s">
        <v>19</v>
      </c>
      <c r="E2401" s="1" t="s">
        <v>2252</v>
      </c>
      <c r="F2401">
        <v>5180</v>
      </c>
      <c r="G2401">
        <v>13200</v>
      </c>
      <c r="H2401">
        <v>9250</v>
      </c>
      <c r="I2401">
        <v>2360</v>
      </c>
      <c r="J2401">
        <v>216</v>
      </c>
      <c r="K2401">
        <v>786</v>
      </c>
      <c r="L2401">
        <v>147.9</v>
      </c>
      <c r="M2401">
        <v>334</v>
      </c>
      <c r="N2401">
        <v>159</v>
      </c>
      <c r="O2401">
        <v>51.7</v>
      </c>
      <c r="P2401">
        <v>2.5499999999999998</v>
      </c>
    </row>
    <row r="2402" spans="1:16">
      <c r="A2402" s="1" t="s">
        <v>16</v>
      </c>
      <c r="B2402" s="1" t="s">
        <v>2360</v>
      </c>
      <c r="C2402" s="1" t="s">
        <v>18</v>
      </c>
      <c r="D2402" s="1" t="s">
        <v>19</v>
      </c>
      <c r="E2402" s="1" t="s">
        <v>2252</v>
      </c>
      <c r="F2402">
        <v>5870</v>
      </c>
      <c r="G2402">
        <v>4800</v>
      </c>
      <c r="H2402">
        <v>10030</v>
      </c>
      <c r="I2402">
        <v>2329</v>
      </c>
      <c r="J2402" s="11">
        <f t="shared" ref="J2402:J2405" si="60">9.87/2</f>
        <v>4.9349999999999996</v>
      </c>
      <c r="K2402">
        <v>900</v>
      </c>
      <c r="L2402">
        <v>164.5</v>
      </c>
      <c r="M2402">
        <v>302</v>
      </c>
      <c r="N2402">
        <v>146.4</v>
      </c>
      <c r="O2402">
        <v>45.8</v>
      </c>
      <c r="P2402">
        <v>2.38</v>
      </c>
    </row>
    <row r="2403" spans="1:16">
      <c r="A2403" s="1" t="s">
        <v>16</v>
      </c>
      <c r="B2403" s="1" t="s">
        <v>2361</v>
      </c>
      <c r="C2403" s="1" t="s">
        <v>18</v>
      </c>
      <c r="D2403" s="1" t="s">
        <v>19</v>
      </c>
      <c r="E2403" s="1" t="s">
        <v>2252</v>
      </c>
      <c r="F2403">
        <v>6180</v>
      </c>
      <c r="G2403">
        <v>4710</v>
      </c>
      <c r="H2403">
        <v>10160</v>
      </c>
      <c r="I2403">
        <v>2316</v>
      </c>
      <c r="J2403" s="11">
        <f t="shared" si="60"/>
        <v>4.9349999999999996</v>
      </c>
      <c r="K2403">
        <v>1055</v>
      </c>
      <c r="L2403">
        <v>158.6</v>
      </c>
      <c r="M2403">
        <v>305</v>
      </c>
      <c r="N2403">
        <v>137</v>
      </c>
      <c r="O2403">
        <v>45.5</v>
      </c>
      <c r="P2403">
        <v>2.13</v>
      </c>
    </row>
    <row r="2404" spans="1:16">
      <c r="A2404" s="1" t="s">
        <v>16</v>
      </c>
      <c r="B2404" s="1" t="s">
        <v>2362</v>
      </c>
      <c r="C2404" s="1" t="s">
        <v>18</v>
      </c>
      <c r="D2404" s="1" t="s">
        <v>19</v>
      </c>
      <c r="E2404" s="1" t="s">
        <v>2252</v>
      </c>
      <c r="F2404">
        <v>6320</v>
      </c>
      <c r="G2404">
        <v>5420</v>
      </c>
      <c r="H2404">
        <v>10090</v>
      </c>
      <c r="I2404">
        <v>2334</v>
      </c>
      <c r="J2404" s="11">
        <f t="shared" si="60"/>
        <v>4.9349999999999996</v>
      </c>
      <c r="K2404">
        <v>918</v>
      </c>
      <c r="L2404">
        <v>166.8</v>
      </c>
      <c r="M2404">
        <v>328</v>
      </c>
      <c r="N2404">
        <v>142</v>
      </c>
      <c r="O2404">
        <v>46.1</v>
      </c>
      <c r="P2404">
        <v>2.48</v>
      </c>
    </row>
    <row r="2405" spans="1:16">
      <c r="A2405" s="1" t="s">
        <v>16</v>
      </c>
      <c r="B2405" s="1" t="s">
        <v>2363</v>
      </c>
      <c r="C2405" s="1" t="s">
        <v>18</v>
      </c>
      <c r="D2405" s="1" t="s">
        <v>19</v>
      </c>
      <c r="E2405" s="1" t="s">
        <v>2252</v>
      </c>
      <c r="F2405">
        <v>6190</v>
      </c>
      <c r="G2405">
        <v>5010</v>
      </c>
      <c r="H2405">
        <v>9720</v>
      </c>
      <c r="I2405">
        <v>2308</v>
      </c>
      <c r="J2405" s="11">
        <f t="shared" si="60"/>
        <v>4.9349999999999996</v>
      </c>
      <c r="K2405">
        <v>927</v>
      </c>
      <c r="L2405">
        <v>160.5</v>
      </c>
      <c r="M2405">
        <v>306</v>
      </c>
      <c r="N2405">
        <v>121.9</v>
      </c>
      <c r="O2405">
        <v>45.9</v>
      </c>
      <c r="P2405">
        <v>2.16</v>
      </c>
    </row>
    <row r="2406" spans="1:16">
      <c r="A2406" s="1" t="s">
        <v>16</v>
      </c>
      <c r="B2406" s="1" t="s">
        <v>2364</v>
      </c>
      <c r="C2406" s="1" t="s">
        <v>18</v>
      </c>
      <c r="D2406" s="1" t="s">
        <v>19</v>
      </c>
      <c r="E2406" s="1" t="s">
        <v>2252</v>
      </c>
      <c r="F2406">
        <v>6520</v>
      </c>
      <c r="G2406">
        <v>4870</v>
      </c>
      <c r="H2406">
        <v>11380</v>
      </c>
      <c r="I2406">
        <v>2247</v>
      </c>
      <c r="J2406">
        <v>23.7</v>
      </c>
      <c r="K2406">
        <v>1043</v>
      </c>
      <c r="L2406">
        <v>165.1</v>
      </c>
      <c r="M2406">
        <v>313</v>
      </c>
      <c r="N2406">
        <v>122.9</v>
      </c>
      <c r="O2406">
        <v>44.3</v>
      </c>
      <c r="P2406">
        <v>2.2400000000000002</v>
      </c>
    </row>
    <row r="2407" spans="1:16">
      <c r="A2407" s="1" t="s">
        <v>16</v>
      </c>
      <c r="B2407" s="1" t="s">
        <v>2365</v>
      </c>
      <c r="C2407" s="1" t="s">
        <v>18</v>
      </c>
      <c r="D2407" s="1" t="s">
        <v>19</v>
      </c>
      <c r="E2407" s="1" t="s">
        <v>2252</v>
      </c>
      <c r="F2407">
        <v>6450</v>
      </c>
      <c r="G2407">
        <v>4960</v>
      </c>
      <c r="H2407">
        <v>10660</v>
      </c>
      <c r="I2407">
        <v>2275</v>
      </c>
      <c r="J2407">
        <v>77</v>
      </c>
      <c r="K2407">
        <v>1025</v>
      </c>
      <c r="L2407">
        <v>162.80000000000001</v>
      </c>
      <c r="M2407">
        <v>313</v>
      </c>
      <c r="N2407">
        <v>128.19999999999999</v>
      </c>
      <c r="O2407">
        <v>44.6</v>
      </c>
      <c r="P2407">
        <v>2.25</v>
      </c>
    </row>
    <row r="2408" spans="1:16">
      <c r="A2408" s="1" t="s">
        <v>16</v>
      </c>
      <c r="B2408" s="1" t="s">
        <v>2366</v>
      </c>
      <c r="C2408" s="1" t="s">
        <v>18</v>
      </c>
      <c r="D2408" s="1" t="s">
        <v>19</v>
      </c>
      <c r="E2408" s="1" t="s">
        <v>2252</v>
      </c>
      <c r="F2408">
        <v>6210</v>
      </c>
      <c r="G2408">
        <v>4950</v>
      </c>
      <c r="H2408">
        <v>10720</v>
      </c>
      <c r="I2408">
        <v>2285</v>
      </c>
      <c r="J2408">
        <v>103</v>
      </c>
      <c r="K2408">
        <v>923</v>
      </c>
      <c r="L2408">
        <v>166</v>
      </c>
      <c r="M2408">
        <v>315</v>
      </c>
      <c r="N2408">
        <v>132.1</v>
      </c>
      <c r="O2408">
        <v>44.8</v>
      </c>
      <c r="P2408">
        <v>2.44</v>
      </c>
    </row>
    <row r="2409" spans="1:16">
      <c r="A2409" s="1" t="s">
        <v>16</v>
      </c>
      <c r="B2409" s="1" t="s">
        <v>2367</v>
      </c>
      <c r="C2409" s="1" t="s">
        <v>18</v>
      </c>
      <c r="D2409" s="1" t="s">
        <v>19</v>
      </c>
      <c r="E2409" s="1" t="s">
        <v>2252</v>
      </c>
      <c r="F2409">
        <v>6000</v>
      </c>
      <c r="G2409">
        <v>4760</v>
      </c>
      <c r="H2409">
        <v>9510</v>
      </c>
      <c r="I2409">
        <v>2329</v>
      </c>
      <c r="J2409">
        <v>9.3000000000000007</v>
      </c>
      <c r="K2409">
        <v>961</v>
      </c>
      <c r="L2409">
        <v>161.1</v>
      </c>
      <c r="M2409">
        <v>310</v>
      </c>
      <c r="N2409">
        <v>147</v>
      </c>
      <c r="O2409">
        <v>46.1</v>
      </c>
      <c r="P2409">
        <v>2.15</v>
      </c>
    </row>
    <row r="2410" spans="1:16">
      <c r="A2410" s="1" t="s">
        <v>16</v>
      </c>
      <c r="B2410" s="1" t="s">
        <v>2368</v>
      </c>
      <c r="C2410" s="1" t="s">
        <v>18</v>
      </c>
      <c r="D2410" s="1" t="s">
        <v>19</v>
      </c>
      <c r="E2410" s="1" t="s">
        <v>2252</v>
      </c>
      <c r="F2410">
        <v>5860</v>
      </c>
      <c r="G2410">
        <v>4980</v>
      </c>
      <c r="H2410">
        <v>14150</v>
      </c>
      <c r="I2410">
        <v>2271</v>
      </c>
      <c r="J2410">
        <v>61.1</v>
      </c>
      <c r="K2410">
        <v>816</v>
      </c>
      <c r="L2410">
        <v>170.9</v>
      </c>
      <c r="M2410">
        <v>321</v>
      </c>
      <c r="N2410">
        <v>169</v>
      </c>
      <c r="O2410">
        <v>49.2</v>
      </c>
      <c r="P2410">
        <v>2.2400000000000002</v>
      </c>
    </row>
    <row r="2411" spans="1:16">
      <c r="A2411" s="1" t="s">
        <v>16</v>
      </c>
      <c r="B2411" s="1" t="s">
        <v>2369</v>
      </c>
      <c r="C2411" s="1" t="s">
        <v>18</v>
      </c>
      <c r="D2411" s="1" t="s">
        <v>19</v>
      </c>
      <c r="E2411" s="1" t="s">
        <v>2252</v>
      </c>
      <c r="F2411">
        <v>6770</v>
      </c>
      <c r="G2411">
        <v>5020</v>
      </c>
      <c r="H2411">
        <v>15840</v>
      </c>
      <c r="I2411">
        <v>2275</v>
      </c>
      <c r="J2411" s="11">
        <f t="shared" ref="J2411:J2413" si="61">9.87/2</f>
        <v>4.9349999999999996</v>
      </c>
      <c r="K2411">
        <v>1140</v>
      </c>
      <c r="L2411">
        <v>167.4</v>
      </c>
      <c r="M2411">
        <v>327</v>
      </c>
      <c r="N2411">
        <v>128</v>
      </c>
      <c r="O2411">
        <v>47.3</v>
      </c>
      <c r="P2411">
        <v>2.5299999999999998</v>
      </c>
    </row>
    <row r="2412" spans="1:16">
      <c r="A2412" s="1" t="s">
        <v>16</v>
      </c>
      <c r="B2412" s="1" t="s">
        <v>2370</v>
      </c>
      <c r="C2412" s="1" t="s">
        <v>18</v>
      </c>
      <c r="D2412" s="1" t="s">
        <v>19</v>
      </c>
      <c r="E2412" s="1" t="s">
        <v>2252</v>
      </c>
      <c r="F2412">
        <v>6150</v>
      </c>
      <c r="G2412">
        <v>4700</v>
      </c>
      <c r="H2412">
        <v>14400</v>
      </c>
      <c r="I2412">
        <v>2247</v>
      </c>
      <c r="J2412" s="11">
        <f t="shared" si="61"/>
        <v>4.9349999999999996</v>
      </c>
      <c r="K2412">
        <v>1022</v>
      </c>
      <c r="L2412">
        <v>177.8</v>
      </c>
      <c r="M2412">
        <v>322</v>
      </c>
      <c r="N2412">
        <v>137</v>
      </c>
      <c r="O2412">
        <v>45.4</v>
      </c>
      <c r="P2412">
        <v>2.15</v>
      </c>
    </row>
    <row r="2413" spans="1:16">
      <c r="A2413" s="1" t="s">
        <v>16</v>
      </c>
      <c r="B2413" s="1" t="s">
        <v>2371</v>
      </c>
      <c r="C2413" s="1" t="s">
        <v>18</v>
      </c>
      <c r="D2413" s="1" t="s">
        <v>19</v>
      </c>
      <c r="E2413" s="1" t="s">
        <v>2252</v>
      </c>
      <c r="F2413">
        <v>5560</v>
      </c>
      <c r="G2413">
        <v>5420</v>
      </c>
      <c r="H2413">
        <v>11270</v>
      </c>
      <c r="I2413">
        <v>2326</v>
      </c>
      <c r="J2413" s="11">
        <f t="shared" si="61"/>
        <v>4.9349999999999996</v>
      </c>
      <c r="K2413">
        <v>622</v>
      </c>
      <c r="L2413">
        <v>170.3</v>
      </c>
      <c r="M2413">
        <v>322</v>
      </c>
      <c r="N2413">
        <v>169</v>
      </c>
      <c r="O2413">
        <v>46.1</v>
      </c>
      <c r="P2413">
        <v>2.0499999999999998</v>
      </c>
    </row>
    <row r="2414" spans="1:16">
      <c r="A2414" s="1" t="s">
        <v>16</v>
      </c>
      <c r="B2414" s="1" t="s">
        <v>2372</v>
      </c>
      <c r="C2414" s="1" t="s">
        <v>18</v>
      </c>
      <c r="D2414" s="1" t="s">
        <v>19</v>
      </c>
      <c r="E2414" s="1" t="s">
        <v>2252</v>
      </c>
      <c r="F2414">
        <v>3303</v>
      </c>
      <c r="G2414">
        <v>5380</v>
      </c>
      <c r="H2414">
        <v>10880</v>
      </c>
      <c r="I2414">
        <v>2382</v>
      </c>
      <c r="J2414">
        <v>21.5</v>
      </c>
      <c r="K2414">
        <v>389</v>
      </c>
      <c r="L2414">
        <v>104.1</v>
      </c>
      <c r="M2414">
        <v>331</v>
      </c>
      <c r="N2414">
        <v>257</v>
      </c>
      <c r="O2414">
        <v>80.5</v>
      </c>
      <c r="P2414">
        <v>1.41</v>
      </c>
    </row>
    <row r="2415" spans="1:16">
      <c r="A2415" s="1" t="s">
        <v>16</v>
      </c>
      <c r="B2415" s="1" t="s">
        <v>2373</v>
      </c>
      <c r="C2415" s="1" t="s">
        <v>18</v>
      </c>
      <c r="D2415" s="1" t="s">
        <v>19</v>
      </c>
      <c r="E2415" s="1" t="s">
        <v>2252</v>
      </c>
      <c r="F2415">
        <v>3874</v>
      </c>
      <c r="G2415">
        <v>5310</v>
      </c>
      <c r="H2415">
        <v>13730</v>
      </c>
      <c r="I2415">
        <v>2361</v>
      </c>
      <c r="J2415">
        <v>23.2</v>
      </c>
      <c r="K2415">
        <v>629</v>
      </c>
      <c r="L2415">
        <v>108.8</v>
      </c>
      <c r="M2415">
        <v>333</v>
      </c>
      <c r="N2415">
        <v>290</v>
      </c>
      <c r="O2415">
        <v>78.2</v>
      </c>
      <c r="P2415">
        <v>1.74</v>
      </c>
    </row>
    <row r="2416" spans="1:16">
      <c r="A2416" s="1" t="s">
        <v>16</v>
      </c>
      <c r="B2416" s="1" t="s">
        <v>2374</v>
      </c>
      <c r="C2416" s="1" t="s">
        <v>18</v>
      </c>
      <c r="D2416" s="1" t="s">
        <v>19</v>
      </c>
      <c r="E2416" s="1" t="s">
        <v>2252</v>
      </c>
      <c r="F2416">
        <v>3158</v>
      </c>
      <c r="G2416">
        <v>5430</v>
      </c>
      <c r="H2416">
        <v>9690</v>
      </c>
      <c r="I2416">
        <v>2439</v>
      </c>
      <c r="J2416">
        <v>17.8</v>
      </c>
      <c r="K2416">
        <v>397</v>
      </c>
      <c r="L2416">
        <v>106.2</v>
      </c>
      <c r="M2416">
        <v>357</v>
      </c>
      <c r="N2416">
        <v>223</v>
      </c>
      <c r="O2416">
        <v>83.2</v>
      </c>
      <c r="P2416">
        <v>1.69</v>
      </c>
    </row>
    <row r="2417" spans="1:16">
      <c r="A2417" s="1" t="s">
        <v>16</v>
      </c>
      <c r="B2417" s="1" t="s">
        <v>2375</v>
      </c>
      <c r="C2417" s="1" t="s">
        <v>18</v>
      </c>
      <c r="D2417" s="1" t="s">
        <v>19</v>
      </c>
      <c r="E2417" s="1" t="s">
        <v>2252</v>
      </c>
      <c r="F2417">
        <v>2196</v>
      </c>
      <c r="G2417">
        <v>4920</v>
      </c>
      <c r="H2417">
        <v>9290</v>
      </c>
      <c r="I2417">
        <v>2498</v>
      </c>
      <c r="J2417">
        <v>18.899999999999999</v>
      </c>
      <c r="K2417">
        <v>217</v>
      </c>
      <c r="L2417">
        <v>89</v>
      </c>
      <c r="M2417">
        <v>362</v>
      </c>
      <c r="N2417">
        <v>132</v>
      </c>
      <c r="O2417">
        <v>80.599999999999994</v>
      </c>
      <c r="P2417">
        <v>1.94</v>
      </c>
    </row>
    <row r="2418" spans="1:16">
      <c r="A2418" s="1" t="s">
        <v>16</v>
      </c>
      <c r="B2418" s="1" t="s">
        <v>2376</v>
      </c>
      <c r="C2418" s="1" t="s">
        <v>18</v>
      </c>
      <c r="D2418" s="1" t="s">
        <v>19</v>
      </c>
      <c r="E2418" s="1" t="s">
        <v>2252</v>
      </c>
      <c r="F2418">
        <v>3960</v>
      </c>
      <c r="G2418">
        <v>6830</v>
      </c>
      <c r="H2418">
        <v>10810</v>
      </c>
      <c r="I2418">
        <v>2362</v>
      </c>
      <c r="J2418">
        <v>13.5</v>
      </c>
      <c r="K2418">
        <v>227</v>
      </c>
      <c r="L2418">
        <v>79.7</v>
      </c>
      <c r="M2418">
        <v>390</v>
      </c>
      <c r="N2418">
        <v>43.3</v>
      </c>
      <c r="O2418">
        <v>80.099999999999994</v>
      </c>
      <c r="P2418">
        <v>2.82</v>
      </c>
    </row>
    <row r="2419" spans="1:16">
      <c r="A2419" s="1" t="s">
        <v>16</v>
      </c>
      <c r="B2419" s="1" t="s">
        <v>2377</v>
      </c>
      <c r="C2419" s="1" t="s">
        <v>18</v>
      </c>
      <c r="D2419" s="1" t="s">
        <v>19</v>
      </c>
      <c r="E2419" s="1" t="s">
        <v>2252</v>
      </c>
      <c r="F2419">
        <v>6530</v>
      </c>
      <c r="G2419">
        <v>5230</v>
      </c>
      <c r="H2419">
        <v>17590</v>
      </c>
      <c r="I2419">
        <v>2474</v>
      </c>
      <c r="J2419">
        <v>10.6</v>
      </c>
      <c r="K2419">
        <v>1329</v>
      </c>
      <c r="L2419">
        <v>162.1</v>
      </c>
      <c r="M2419">
        <v>347</v>
      </c>
      <c r="N2419">
        <v>267</v>
      </c>
      <c r="O2419">
        <v>77.599999999999994</v>
      </c>
      <c r="P2419">
        <v>1.96</v>
      </c>
    </row>
    <row r="2420" spans="1:16">
      <c r="A2420" s="1" t="s">
        <v>16</v>
      </c>
      <c r="B2420" s="1" t="s">
        <v>2378</v>
      </c>
      <c r="C2420" s="1" t="s">
        <v>18</v>
      </c>
      <c r="D2420" s="1" t="s">
        <v>19</v>
      </c>
      <c r="E2420" s="1" t="s">
        <v>2252</v>
      </c>
      <c r="F2420">
        <v>6200</v>
      </c>
      <c r="G2420">
        <v>5140</v>
      </c>
      <c r="H2420">
        <v>14660</v>
      </c>
      <c r="I2420">
        <v>2471</v>
      </c>
      <c r="J2420">
        <v>6.5</v>
      </c>
      <c r="K2420">
        <v>1200</v>
      </c>
      <c r="L2420">
        <v>160.6</v>
      </c>
      <c r="M2420">
        <v>335</v>
      </c>
      <c r="N2420">
        <v>218</v>
      </c>
      <c r="O2420">
        <v>75.900000000000006</v>
      </c>
      <c r="P2420">
        <v>1.59</v>
      </c>
    </row>
    <row r="2421" spans="1:16">
      <c r="A2421" s="1" t="s">
        <v>16</v>
      </c>
      <c r="B2421" s="1" t="s">
        <v>2379</v>
      </c>
      <c r="C2421" s="1" t="s">
        <v>18</v>
      </c>
      <c r="D2421" s="1" t="s">
        <v>19</v>
      </c>
      <c r="E2421" s="1" t="s">
        <v>2252</v>
      </c>
      <c r="F2421">
        <v>6840</v>
      </c>
      <c r="G2421">
        <v>5220</v>
      </c>
      <c r="H2421">
        <v>18600</v>
      </c>
      <c r="I2421">
        <v>2580</v>
      </c>
      <c r="J2421">
        <v>223</v>
      </c>
      <c r="K2421">
        <v>1420</v>
      </c>
      <c r="L2421">
        <v>164.3</v>
      </c>
      <c r="M2421">
        <v>360</v>
      </c>
      <c r="N2421">
        <v>208</v>
      </c>
      <c r="O2421">
        <v>79.3</v>
      </c>
      <c r="P2421">
        <v>2.4900000000000002</v>
      </c>
    </row>
    <row r="2422" spans="1:16">
      <c r="A2422" s="1" t="s">
        <v>16</v>
      </c>
      <c r="B2422" s="1" t="s">
        <v>2380</v>
      </c>
      <c r="C2422" s="1" t="s">
        <v>18</v>
      </c>
      <c r="D2422" s="1" t="s">
        <v>19</v>
      </c>
      <c r="E2422" s="1" t="s">
        <v>2252</v>
      </c>
      <c r="F2422">
        <v>6610</v>
      </c>
      <c r="G2422">
        <v>5270</v>
      </c>
      <c r="H2422">
        <v>16160</v>
      </c>
      <c r="I2422">
        <v>2500</v>
      </c>
      <c r="J2422">
        <v>9.6</v>
      </c>
      <c r="K2422">
        <v>1185</v>
      </c>
      <c r="L2422">
        <v>159.1</v>
      </c>
      <c r="M2422">
        <v>342</v>
      </c>
      <c r="N2422">
        <v>244</v>
      </c>
      <c r="O2422">
        <v>77.8</v>
      </c>
      <c r="P2422">
        <v>2.36</v>
      </c>
    </row>
    <row r="2423" spans="1:16">
      <c r="A2423" s="1" t="s">
        <v>16</v>
      </c>
      <c r="B2423" s="1" t="s">
        <v>2381</v>
      </c>
      <c r="C2423" s="1" t="s">
        <v>18</v>
      </c>
      <c r="D2423" s="1" t="s">
        <v>19</v>
      </c>
      <c r="E2423" s="1" t="s">
        <v>2252</v>
      </c>
      <c r="F2423">
        <v>1450</v>
      </c>
      <c r="G2423">
        <v>9060</v>
      </c>
      <c r="H2423">
        <v>15860</v>
      </c>
      <c r="I2423">
        <v>2646</v>
      </c>
      <c r="J2423" s="11">
        <f t="shared" ref="J2423:J2429" si="62">9.87/2</f>
        <v>4.9349999999999996</v>
      </c>
      <c r="K2423">
        <v>341</v>
      </c>
      <c r="L2423">
        <v>86.6</v>
      </c>
      <c r="M2423">
        <v>389</v>
      </c>
      <c r="N2423">
        <f>7.52/2</f>
        <v>3.76</v>
      </c>
      <c r="O2423">
        <v>79</v>
      </c>
      <c r="P2423">
        <v>1.76</v>
      </c>
    </row>
    <row r="2424" spans="1:16">
      <c r="A2424" s="1" t="s">
        <v>16</v>
      </c>
      <c r="B2424" s="1" t="s">
        <v>2382</v>
      </c>
      <c r="C2424" s="1" t="s">
        <v>18</v>
      </c>
      <c r="D2424" s="1" t="s">
        <v>19</v>
      </c>
      <c r="E2424" s="1" t="s">
        <v>2252</v>
      </c>
      <c r="F2424">
        <v>1612</v>
      </c>
      <c r="G2424">
        <v>8460</v>
      </c>
      <c r="H2424">
        <v>13870</v>
      </c>
      <c r="I2424">
        <v>2746</v>
      </c>
      <c r="J2424" s="11">
        <f t="shared" si="62"/>
        <v>4.9349999999999996</v>
      </c>
      <c r="K2424">
        <v>322</v>
      </c>
      <c r="L2424">
        <v>47.9</v>
      </c>
      <c r="M2424">
        <v>299</v>
      </c>
      <c r="N2424">
        <v>17.2</v>
      </c>
      <c r="O2424">
        <v>63.8</v>
      </c>
      <c r="P2424">
        <v>3.1</v>
      </c>
    </row>
    <row r="2425" spans="1:16">
      <c r="A2425" s="1" t="s">
        <v>16</v>
      </c>
      <c r="B2425" s="1" t="s">
        <v>2383</v>
      </c>
      <c r="C2425" s="1" t="s">
        <v>18</v>
      </c>
      <c r="D2425" s="1" t="s">
        <v>19</v>
      </c>
      <c r="E2425" s="1" t="s">
        <v>2252</v>
      </c>
      <c r="F2425">
        <v>1326</v>
      </c>
      <c r="G2425">
        <v>3400</v>
      </c>
      <c r="H2425">
        <v>12100</v>
      </c>
      <c r="I2425">
        <v>2734</v>
      </c>
      <c r="J2425" s="11">
        <f t="shared" si="62"/>
        <v>4.9349999999999996</v>
      </c>
      <c r="K2425">
        <v>156.19999999999999</v>
      </c>
      <c r="L2425">
        <v>46.4</v>
      </c>
      <c r="M2425">
        <v>325</v>
      </c>
      <c r="N2425">
        <v>37.299999999999997</v>
      </c>
      <c r="O2425">
        <v>63.1</v>
      </c>
      <c r="P2425">
        <v>3.95</v>
      </c>
    </row>
    <row r="2426" spans="1:16">
      <c r="A2426" s="1" t="s">
        <v>16</v>
      </c>
      <c r="B2426" s="1" t="s">
        <v>2384</v>
      </c>
      <c r="C2426" s="1" t="s">
        <v>18</v>
      </c>
      <c r="D2426" s="1" t="s">
        <v>19</v>
      </c>
      <c r="E2426" s="1" t="s">
        <v>2252</v>
      </c>
      <c r="F2426">
        <v>2540</v>
      </c>
      <c r="G2426">
        <v>5630</v>
      </c>
      <c r="H2426">
        <v>11260</v>
      </c>
      <c r="I2426">
        <v>2750</v>
      </c>
      <c r="J2426" s="11">
        <f t="shared" si="62"/>
        <v>4.9349999999999996</v>
      </c>
      <c r="K2426">
        <v>285</v>
      </c>
      <c r="L2426">
        <v>41.5</v>
      </c>
      <c r="M2426">
        <v>317</v>
      </c>
      <c r="N2426">
        <v>22.4</v>
      </c>
      <c r="O2426">
        <v>66</v>
      </c>
      <c r="P2426">
        <v>3.3</v>
      </c>
    </row>
    <row r="2427" spans="1:16">
      <c r="A2427" s="1" t="s">
        <v>16</v>
      </c>
      <c r="B2427" s="1" t="s">
        <v>2385</v>
      </c>
      <c r="C2427" s="1" t="s">
        <v>18</v>
      </c>
      <c r="D2427" s="1" t="s">
        <v>19</v>
      </c>
      <c r="E2427" s="1" t="s">
        <v>2252</v>
      </c>
      <c r="F2427">
        <v>6240</v>
      </c>
      <c r="G2427">
        <v>4860</v>
      </c>
      <c r="H2427">
        <v>5540</v>
      </c>
      <c r="I2427">
        <v>2458</v>
      </c>
      <c r="J2427" s="11">
        <f t="shared" si="62"/>
        <v>4.9349999999999996</v>
      </c>
      <c r="K2427">
        <v>1970</v>
      </c>
      <c r="L2427">
        <v>168.4</v>
      </c>
      <c r="M2427">
        <v>343</v>
      </c>
      <c r="N2427">
        <v>298</v>
      </c>
      <c r="O2427">
        <v>41.7</v>
      </c>
      <c r="P2427">
        <v>2.29</v>
      </c>
    </row>
    <row r="2428" spans="1:16">
      <c r="A2428" s="1" t="s">
        <v>16</v>
      </c>
      <c r="B2428" s="1" t="s">
        <v>2386</v>
      </c>
      <c r="C2428" s="1" t="s">
        <v>18</v>
      </c>
      <c r="D2428" s="1" t="s">
        <v>19</v>
      </c>
      <c r="E2428" s="1" t="s">
        <v>2252</v>
      </c>
      <c r="F2428">
        <v>6040</v>
      </c>
      <c r="G2428">
        <v>5080</v>
      </c>
      <c r="H2428">
        <v>5730</v>
      </c>
      <c r="I2428">
        <v>2377</v>
      </c>
      <c r="J2428" s="11">
        <f t="shared" si="62"/>
        <v>4.9349999999999996</v>
      </c>
      <c r="K2428">
        <v>1325</v>
      </c>
      <c r="L2428">
        <v>175.3</v>
      </c>
      <c r="M2428">
        <v>303</v>
      </c>
      <c r="N2428">
        <v>275</v>
      </c>
      <c r="O2428">
        <v>40.6</v>
      </c>
      <c r="P2428">
        <v>1.82</v>
      </c>
    </row>
    <row r="2429" spans="1:16">
      <c r="A2429" s="1" t="s">
        <v>16</v>
      </c>
      <c r="B2429" s="1" t="s">
        <v>2387</v>
      </c>
      <c r="C2429" s="1" t="s">
        <v>18</v>
      </c>
      <c r="D2429" s="1" t="s">
        <v>19</v>
      </c>
      <c r="E2429" s="1" t="s">
        <v>2252</v>
      </c>
      <c r="F2429">
        <v>6400</v>
      </c>
      <c r="G2429">
        <v>5260</v>
      </c>
      <c r="H2429">
        <v>6790</v>
      </c>
      <c r="I2429">
        <v>2277</v>
      </c>
      <c r="J2429" s="11">
        <f t="shared" si="62"/>
        <v>4.9349999999999996</v>
      </c>
      <c r="K2429">
        <v>1786</v>
      </c>
      <c r="L2429">
        <v>173</v>
      </c>
      <c r="M2429">
        <v>314</v>
      </c>
      <c r="N2429">
        <v>267</v>
      </c>
      <c r="O2429">
        <v>43.6</v>
      </c>
      <c r="P2429">
        <v>2.38</v>
      </c>
    </row>
    <row r="2430" spans="1:16">
      <c r="A2430" s="1" t="s">
        <v>16</v>
      </c>
      <c r="B2430" s="1" t="s">
        <v>2388</v>
      </c>
      <c r="C2430" s="1" t="s">
        <v>18</v>
      </c>
      <c r="D2430" s="1" t="s">
        <v>19</v>
      </c>
      <c r="E2430" s="1" t="s">
        <v>2252</v>
      </c>
      <c r="F2430">
        <v>6410</v>
      </c>
      <c r="G2430">
        <v>5300</v>
      </c>
      <c r="H2430">
        <v>7000</v>
      </c>
      <c r="I2430">
        <v>2251</v>
      </c>
      <c r="J2430">
        <v>25.8</v>
      </c>
      <c r="K2430">
        <v>1995</v>
      </c>
      <c r="L2430">
        <v>170.3</v>
      </c>
      <c r="M2430">
        <v>313</v>
      </c>
      <c r="N2430">
        <v>286</v>
      </c>
      <c r="O2430">
        <v>44</v>
      </c>
      <c r="P2430">
        <v>1.8</v>
      </c>
    </row>
    <row r="2431" spans="1:16">
      <c r="A2431" s="1" t="s">
        <v>16</v>
      </c>
      <c r="B2431" s="1" t="s">
        <v>2389</v>
      </c>
      <c r="C2431" s="1" t="s">
        <v>18</v>
      </c>
      <c r="D2431" s="1" t="s">
        <v>19</v>
      </c>
      <c r="E2431" s="1" t="s">
        <v>2252</v>
      </c>
      <c r="F2431">
        <v>6000</v>
      </c>
      <c r="G2431">
        <v>5390</v>
      </c>
      <c r="H2431">
        <v>7180</v>
      </c>
      <c r="I2431">
        <v>2262</v>
      </c>
      <c r="J2431">
        <v>201</v>
      </c>
      <c r="K2431">
        <v>1184</v>
      </c>
      <c r="L2431">
        <v>175.1</v>
      </c>
      <c r="M2431">
        <v>336</v>
      </c>
      <c r="N2431">
        <v>287</v>
      </c>
      <c r="O2431">
        <v>48.1</v>
      </c>
      <c r="P2431">
        <v>2.5</v>
      </c>
    </row>
    <row r="2432" spans="1:16">
      <c r="A2432" s="1" t="s">
        <v>16</v>
      </c>
      <c r="B2432" s="1" t="s">
        <v>2390</v>
      </c>
      <c r="C2432" s="1" t="s">
        <v>18</v>
      </c>
      <c r="D2432" s="1" t="s">
        <v>19</v>
      </c>
      <c r="E2432" s="1" t="s">
        <v>2252</v>
      </c>
      <c r="F2432">
        <v>5950</v>
      </c>
      <c r="G2432">
        <v>5270</v>
      </c>
      <c r="H2432">
        <v>6950</v>
      </c>
      <c r="I2432">
        <v>2234</v>
      </c>
      <c r="J2432" s="11">
        <f t="shared" ref="J2432:J2448" si="63">9.87/2</f>
        <v>4.9349999999999996</v>
      </c>
      <c r="K2432">
        <v>1517</v>
      </c>
      <c r="L2432">
        <v>175.8</v>
      </c>
      <c r="M2432">
        <v>321</v>
      </c>
      <c r="N2432">
        <v>257</v>
      </c>
      <c r="O2432">
        <v>42.5</v>
      </c>
      <c r="P2432">
        <v>1.95</v>
      </c>
    </row>
    <row r="2433" spans="1:16">
      <c r="A2433" s="1" t="s">
        <v>16</v>
      </c>
      <c r="B2433" s="1" t="s">
        <v>2391</v>
      </c>
      <c r="C2433" s="1" t="s">
        <v>18</v>
      </c>
      <c r="D2433" s="1" t="s">
        <v>19</v>
      </c>
      <c r="E2433" s="1" t="s">
        <v>2252</v>
      </c>
      <c r="F2433">
        <v>5820</v>
      </c>
      <c r="G2433">
        <v>5220</v>
      </c>
      <c r="H2433">
        <v>7130</v>
      </c>
      <c r="I2433">
        <v>2215</v>
      </c>
      <c r="J2433" s="11">
        <f t="shared" si="63"/>
        <v>4.9349999999999996</v>
      </c>
      <c r="K2433">
        <v>1698</v>
      </c>
      <c r="L2433">
        <v>166.8</v>
      </c>
      <c r="M2433">
        <v>317</v>
      </c>
      <c r="N2433">
        <v>246</v>
      </c>
      <c r="O2433">
        <v>45.3</v>
      </c>
      <c r="P2433">
        <v>1.75</v>
      </c>
    </row>
    <row r="2434" spans="1:16">
      <c r="A2434" s="1" t="s">
        <v>16</v>
      </c>
      <c r="B2434" s="1" t="s">
        <v>2392</v>
      </c>
      <c r="C2434" s="1" t="s">
        <v>18</v>
      </c>
      <c r="D2434" s="1" t="s">
        <v>19</v>
      </c>
      <c r="E2434" s="1" t="s">
        <v>2252</v>
      </c>
      <c r="F2434">
        <v>5810</v>
      </c>
      <c r="G2434">
        <v>5190</v>
      </c>
      <c r="H2434">
        <v>7390</v>
      </c>
      <c r="I2434">
        <v>2316</v>
      </c>
      <c r="J2434" s="11">
        <f t="shared" si="63"/>
        <v>4.9349999999999996</v>
      </c>
      <c r="K2434">
        <v>1426</v>
      </c>
      <c r="L2434">
        <v>174.6</v>
      </c>
      <c r="M2434">
        <v>326</v>
      </c>
      <c r="N2434">
        <v>236</v>
      </c>
      <c r="O2434">
        <v>45.9</v>
      </c>
      <c r="P2434">
        <v>2.71</v>
      </c>
    </row>
    <row r="2435" spans="1:16">
      <c r="A2435" s="1" t="s">
        <v>16</v>
      </c>
      <c r="B2435" s="1" t="s">
        <v>2393</v>
      </c>
      <c r="C2435" s="1" t="s">
        <v>18</v>
      </c>
      <c r="D2435" s="1" t="s">
        <v>19</v>
      </c>
      <c r="E2435" s="1" t="s">
        <v>2252</v>
      </c>
      <c r="F2435">
        <v>7130</v>
      </c>
      <c r="G2435">
        <v>5720</v>
      </c>
      <c r="H2435">
        <v>17290</v>
      </c>
      <c r="I2435">
        <v>2059</v>
      </c>
      <c r="J2435" s="11">
        <f t="shared" si="63"/>
        <v>4.9349999999999996</v>
      </c>
      <c r="K2435">
        <v>2040</v>
      </c>
      <c r="L2435">
        <v>175.1</v>
      </c>
      <c r="M2435">
        <v>338</v>
      </c>
      <c r="N2435">
        <v>289</v>
      </c>
      <c r="O2435">
        <v>57.1</v>
      </c>
      <c r="P2435">
        <v>3.19</v>
      </c>
    </row>
    <row r="2436" spans="1:16">
      <c r="A2436" s="1" t="s">
        <v>16</v>
      </c>
      <c r="B2436" s="1" t="s">
        <v>2394</v>
      </c>
      <c r="C2436" s="1" t="s">
        <v>18</v>
      </c>
      <c r="D2436" s="1" t="s">
        <v>19</v>
      </c>
      <c r="E2436" s="1" t="s">
        <v>2252</v>
      </c>
      <c r="F2436">
        <v>6700</v>
      </c>
      <c r="G2436">
        <v>5780</v>
      </c>
      <c r="H2436">
        <v>16170</v>
      </c>
      <c r="I2436">
        <v>2092</v>
      </c>
      <c r="J2436" s="11">
        <f t="shared" si="63"/>
        <v>4.9349999999999996</v>
      </c>
      <c r="K2436">
        <v>1505</v>
      </c>
      <c r="L2436">
        <v>178</v>
      </c>
      <c r="M2436">
        <v>346</v>
      </c>
      <c r="N2436">
        <v>257</v>
      </c>
      <c r="O2436">
        <v>54</v>
      </c>
      <c r="P2436">
        <v>2.79</v>
      </c>
    </row>
    <row r="2437" spans="1:16">
      <c r="A2437" s="1" t="s">
        <v>16</v>
      </c>
      <c r="B2437" s="1" t="s">
        <v>2395</v>
      </c>
      <c r="C2437" s="1" t="s">
        <v>18</v>
      </c>
      <c r="D2437" s="1" t="s">
        <v>19</v>
      </c>
      <c r="E2437" s="1" t="s">
        <v>2252</v>
      </c>
      <c r="F2437">
        <v>6880</v>
      </c>
      <c r="G2437">
        <v>5980</v>
      </c>
      <c r="H2437">
        <v>14670</v>
      </c>
      <c r="I2437">
        <v>2052</v>
      </c>
      <c r="J2437" s="11">
        <f t="shared" si="63"/>
        <v>4.9349999999999996</v>
      </c>
      <c r="K2437">
        <v>1519</v>
      </c>
      <c r="L2437">
        <v>180.9</v>
      </c>
      <c r="M2437">
        <v>333</v>
      </c>
      <c r="N2437">
        <v>240</v>
      </c>
      <c r="O2437">
        <v>55.5</v>
      </c>
      <c r="P2437">
        <v>2.42</v>
      </c>
    </row>
    <row r="2438" spans="1:16">
      <c r="A2438" s="1" t="s">
        <v>16</v>
      </c>
      <c r="B2438" s="1" t="s">
        <v>2396</v>
      </c>
      <c r="C2438" s="1" t="s">
        <v>18</v>
      </c>
      <c r="D2438" s="1" t="s">
        <v>19</v>
      </c>
      <c r="E2438" s="1" t="s">
        <v>2252</v>
      </c>
      <c r="F2438">
        <v>5380</v>
      </c>
      <c r="G2438">
        <v>5250</v>
      </c>
      <c r="H2438">
        <v>12610</v>
      </c>
      <c r="I2438">
        <v>2118</v>
      </c>
      <c r="J2438" s="11">
        <f t="shared" si="63"/>
        <v>4.9349999999999996</v>
      </c>
      <c r="K2438">
        <v>1529</v>
      </c>
      <c r="L2438">
        <v>180</v>
      </c>
      <c r="M2438">
        <v>322</v>
      </c>
      <c r="N2438">
        <v>331</v>
      </c>
      <c r="O2438">
        <v>52</v>
      </c>
      <c r="P2438">
        <v>3.02</v>
      </c>
    </row>
    <row r="2439" spans="1:16">
      <c r="A2439" s="1" t="s">
        <v>16</v>
      </c>
      <c r="B2439" s="1" t="s">
        <v>2397</v>
      </c>
      <c r="C2439" s="1" t="s">
        <v>18</v>
      </c>
      <c r="D2439" s="1" t="s">
        <v>19</v>
      </c>
      <c r="E2439" s="1" t="s">
        <v>2252</v>
      </c>
      <c r="F2439">
        <v>5060</v>
      </c>
      <c r="G2439">
        <v>5060</v>
      </c>
      <c r="H2439">
        <v>11600</v>
      </c>
      <c r="I2439">
        <v>2163</v>
      </c>
      <c r="J2439" s="11">
        <f t="shared" si="63"/>
        <v>4.9349999999999996</v>
      </c>
      <c r="K2439">
        <v>1417</v>
      </c>
      <c r="L2439">
        <v>174</v>
      </c>
      <c r="M2439">
        <v>331</v>
      </c>
      <c r="N2439">
        <v>301</v>
      </c>
      <c r="O2439">
        <v>50.9</v>
      </c>
      <c r="P2439">
        <v>2.87</v>
      </c>
    </row>
    <row r="2440" spans="1:16">
      <c r="A2440" s="1" t="s">
        <v>16</v>
      </c>
      <c r="B2440" s="1" t="s">
        <v>2398</v>
      </c>
      <c r="C2440" s="1" t="s">
        <v>18</v>
      </c>
      <c r="D2440" s="1" t="s">
        <v>19</v>
      </c>
      <c r="E2440" s="1" t="s">
        <v>2252</v>
      </c>
      <c r="F2440">
        <v>6290</v>
      </c>
      <c r="G2440">
        <v>5830</v>
      </c>
      <c r="H2440">
        <v>9390</v>
      </c>
      <c r="I2440">
        <v>2278</v>
      </c>
      <c r="J2440" s="11">
        <f t="shared" si="63"/>
        <v>4.9349999999999996</v>
      </c>
      <c r="K2440">
        <v>1626</v>
      </c>
      <c r="L2440">
        <v>177.3</v>
      </c>
      <c r="M2440">
        <v>329</v>
      </c>
      <c r="N2440">
        <v>248</v>
      </c>
      <c r="O2440">
        <v>51.5</v>
      </c>
      <c r="P2440">
        <v>2.14</v>
      </c>
    </row>
    <row r="2441" spans="1:16">
      <c r="A2441" s="1" t="s">
        <v>16</v>
      </c>
      <c r="B2441" s="1" t="s">
        <v>2399</v>
      </c>
      <c r="C2441" s="1" t="s">
        <v>18</v>
      </c>
      <c r="D2441" s="1" t="s">
        <v>19</v>
      </c>
      <c r="E2441" s="1" t="s">
        <v>2252</v>
      </c>
      <c r="F2441">
        <v>6630</v>
      </c>
      <c r="G2441">
        <v>5690</v>
      </c>
      <c r="H2441">
        <v>9090</v>
      </c>
      <c r="I2441">
        <v>2226</v>
      </c>
      <c r="J2441" s="11">
        <f t="shared" si="63"/>
        <v>4.9349999999999996</v>
      </c>
      <c r="K2441">
        <v>1544</v>
      </c>
      <c r="L2441">
        <v>174</v>
      </c>
      <c r="M2441">
        <v>312</v>
      </c>
      <c r="N2441">
        <v>199</v>
      </c>
      <c r="O2441">
        <v>50.4</v>
      </c>
      <c r="P2441">
        <v>2.42</v>
      </c>
    </row>
    <row r="2442" spans="1:16">
      <c r="A2442" s="1" t="s">
        <v>16</v>
      </c>
      <c r="B2442" s="1" t="s">
        <v>2400</v>
      </c>
      <c r="C2442" s="1" t="s">
        <v>18</v>
      </c>
      <c r="D2442" s="1" t="s">
        <v>19</v>
      </c>
      <c r="E2442" s="1" t="s">
        <v>2252</v>
      </c>
      <c r="F2442">
        <v>6920</v>
      </c>
      <c r="G2442">
        <v>5820</v>
      </c>
      <c r="H2442">
        <v>10020</v>
      </c>
      <c r="I2442">
        <v>2162</v>
      </c>
      <c r="J2442" s="11">
        <f t="shared" si="63"/>
        <v>4.9349999999999996</v>
      </c>
      <c r="K2442">
        <v>1604</v>
      </c>
      <c r="L2442">
        <v>170.1</v>
      </c>
      <c r="M2442">
        <v>315</v>
      </c>
      <c r="N2442">
        <v>161</v>
      </c>
      <c r="O2442">
        <v>51.1</v>
      </c>
      <c r="P2442">
        <v>2.27</v>
      </c>
    </row>
    <row r="2443" spans="1:16">
      <c r="A2443" s="1" t="s">
        <v>16</v>
      </c>
      <c r="B2443" s="1" t="s">
        <v>2401</v>
      </c>
      <c r="C2443" s="1" t="s">
        <v>18</v>
      </c>
      <c r="D2443" s="1" t="s">
        <v>19</v>
      </c>
      <c r="E2443" s="1" t="s">
        <v>2252</v>
      </c>
      <c r="F2443">
        <v>6730</v>
      </c>
      <c r="G2443">
        <v>5680</v>
      </c>
      <c r="H2443">
        <v>10720</v>
      </c>
      <c r="I2443">
        <v>2119</v>
      </c>
      <c r="J2443" s="11">
        <f t="shared" si="63"/>
        <v>4.9349999999999996</v>
      </c>
      <c r="K2443">
        <v>1635</v>
      </c>
      <c r="L2443">
        <v>169.4</v>
      </c>
      <c r="M2443">
        <v>329</v>
      </c>
      <c r="N2443">
        <v>177</v>
      </c>
      <c r="O2443">
        <v>51.6</v>
      </c>
      <c r="P2443">
        <v>2.3199999999999998</v>
      </c>
    </row>
    <row r="2444" spans="1:16">
      <c r="A2444" s="1" t="s">
        <v>16</v>
      </c>
      <c r="B2444" s="1" t="s">
        <v>2402</v>
      </c>
      <c r="C2444" s="1" t="s">
        <v>18</v>
      </c>
      <c r="D2444" s="1" t="s">
        <v>19</v>
      </c>
      <c r="E2444" s="1" t="s">
        <v>2252</v>
      </c>
      <c r="F2444">
        <v>6700</v>
      </c>
      <c r="G2444">
        <v>5530</v>
      </c>
      <c r="H2444">
        <v>10070</v>
      </c>
      <c r="I2444">
        <v>2162</v>
      </c>
      <c r="J2444" s="11">
        <f t="shared" si="63"/>
        <v>4.9349999999999996</v>
      </c>
      <c r="K2444">
        <v>1585</v>
      </c>
      <c r="L2444">
        <v>170.3</v>
      </c>
      <c r="M2444">
        <v>315</v>
      </c>
      <c r="N2444">
        <v>166</v>
      </c>
      <c r="O2444">
        <v>51.3</v>
      </c>
      <c r="P2444">
        <v>2.12</v>
      </c>
    </row>
    <row r="2445" spans="1:16">
      <c r="A2445" s="1" t="s">
        <v>16</v>
      </c>
      <c r="B2445" s="1" t="s">
        <v>2403</v>
      </c>
      <c r="C2445" s="1" t="s">
        <v>18</v>
      </c>
      <c r="D2445" s="1" t="s">
        <v>19</v>
      </c>
      <c r="E2445" s="1" t="s">
        <v>2252</v>
      </c>
      <c r="F2445">
        <v>6600</v>
      </c>
      <c r="G2445">
        <v>5450</v>
      </c>
      <c r="H2445">
        <v>8570</v>
      </c>
      <c r="I2445">
        <v>2252</v>
      </c>
      <c r="J2445" s="11">
        <f t="shared" si="63"/>
        <v>4.9349999999999996</v>
      </c>
      <c r="K2445">
        <v>1664</v>
      </c>
      <c r="L2445">
        <v>174.9</v>
      </c>
      <c r="M2445">
        <v>318</v>
      </c>
      <c r="N2445">
        <v>206</v>
      </c>
      <c r="O2445">
        <v>48.6</v>
      </c>
      <c r="P2445">
        <v>1.97</v>
      </c>
    </row>
    <row r="2446" spans="1:16">
      <c r="A2446" s="1" t="s">
        <v>16</v>
      </c>
      <c r="B2446" s="1" t="s">
        <v>2404</v>
      </c>
      <c r="C2446" s="1" t="s">
        <v>18</v>
      </c>
      <c r="D2446" s="1" t="s">
        <v>19</v>
      </c>
      <c r="E2446" s="1" t="s">
        <v>2252</v>
      </c>
      <c r="F2446">
        <v>5990</v>
      </c>
      <c r="G2446">
        <v>5210</v>
      </c>
      <c r="H2446">
        <v>7580</v>
      </c>
      <c r="I2446">
        <v>2249</v>
      </c>
      <c r="J2446" s="11">
        <f t="shared" si="63"/>
        <v>4.9349999999999996</v>
      </c>
      <c r="K2446">
        <v>1383</v>
      </c>
      <c r="L2446">
        <v>157</v>
      </c>
      <c r="M2446">
        <v>291</v>
      </c>
      <c r="N2446">
        <v>205</v>
      </c>
      <c r="O2446">
        <v>46.6</v>
      </c>
      <c r="P2446">
        <v>2.82</v>
      </c>
    </row>
    <row r="2447" spans="1:16">
      <c r="A2447" s="1" t="s">
        <v>16</v>
      </c>
      <c r="B2447" s="1" t="s">
        <v>2405</v>
      </c>
      <c r="C2447" s="1" t="s">
        <v>18</v>
      </c>
      <c r="D2447" s="1" t="s">
        <v>19</v>
      </c>
      <c r="E2447" s="1" t="s">
        <v>2252</v>
      </c>
      <c r="F2447">
        <v>6300</v>
      </c>
      <c r="G2447">
        <v>5440</v>
      </c>
      <c r="H2447">
        <v>9360</v>
      </c>
      <c r="I2447">
        <v>2149</v>
      </c>
      <c r="J2447" s="11">
        <f t="shared" si="63"/>
        <v>4.9349999999999996</v>
      </c>
      <c r="K2447">
        <v>1162</v>
      </c>
      <c r="L2447">
        <v>167.8</v>
      </c>
      <c r="M2447">
        <v>304</v>
      </c>
      <c r="N2447">
        <v>184</v>
      </c>
      <c r="O2447">
        <v>49.6</v>
      </c>
      <c r="P2447">
        <v>2.39</v>
      </c>
    </row>
    <row r="2448" spans="1:16">
      <c r="A2448" s="1" t="s">
        <v>16</v>
      </c>
      <c r="B2448" s="1" t="s">
        <v>2418</v>
      </c>
      <c r="C2448" s="1" t="s">
        <v>18</v>
      </c>
      <c r="D2448" s="1" t="s">
        <v>19</v>
      </c>
      <c r="E2448" s="1" t="s">
        <v>2249</v>
      </c>
      <c r="F2448">
        <v>2450</v>
      </c>
      <c r="G2448">
        <v>3660</v>
      </c>
      <c r="H2448">
        <v>5100</v>
      </c>
      <c r="I2448">
        <v>802</v>
      </c>
      <c r="J2448" s="11">
        <f t="shared" si="63"/>
        <v>4.9349999999999996</v>
      </c>
      <c r="K2448">
        <v>1360</v>
      </c>
      <c r="L2448">
        <v>171</v>
      </c>
      <c r="M2448">
        <v>98</v>
      </c>
      <c r="N2448">
        <v>283</v>
      </c>
      <c r="O2448">
        <v>23.7</v>
      </c>
      <c r="P2448">
        <v>3.1</v>
      </c>
    </row>
    <row r="2449" spans="1:16">
      <c r="A2449" s="1" t="s">
        <v>16</v>
      </c>
      <c r="B2449" s="1" t="s">
        <v>2419</v>
      </c>
      <c r="C2449" s="1" t="s">
        <v>18</v>
      </c>
      <c r="D2449" s="1" t="s">
        <v>19</v>
      </c>
      <c r="E2449" s="1" t="s">
        <v>2249</v>
      </c>
      <c r="F2449">
        <v>2390</v>
      </c>
      <c r="G2449">
        <v>3610</v>
      </c>
      <c r="H2449">
        <v>11200</v>
      </c>
      <c r="I2449">
        <v>890</v>
      </c>
      <c r="J2449">
        <v>14.3</v>
      </c>
      <c r="K2449">
        <v>2250</v>
      </c>
      <c r="L2449">
        <v>158.80000000000001</v>
      </c>
      <c r="M2449">
        <v>81.5</v>
      </c>
      <c r="N2449">
        <v>541</v>
      </c>
      <c r="O2449">
        <v>23.4</v>
      </c>
      <c r="P2449">
        <v>4.54</v>
      </c>
    </row>
    <row r="2450" spans="1:16">
      <c r="A2450" s="1" t="s">
        <v>16</v>
      </c>
      <c r="B2450" s="1" t="s">
        <v>2420</v>
      </c>
      <c r="C2450" s="1" t="s">
        <v>18</v>
      </c>
      <c r="D2450" s="1" t="s">
        <v>19</v>
      </c>
      <c r="E2450" s="1" t="s">
        <v>2252</v>
      </c>
      <c r="F2450">
        <v>2476</v>
      </c>
      <c r="G2450">
        <v>3900</v>
      </c>
      <c r="H2450">
        <v>3400</v>
      </c>
      <c r="I2450">
        <v>914</v>
      </c>
      <c r="J2450">
        <v>12.1</v>
      </c>
      <c r="K2450">
        <v>977</v>
      </c>
      <c r="L2450">
        <v>175.8</v>
      </c>
      <c r="M2450">
        <v>98.9</v>
      </c>
      <c r="N2450">
        <v>666</v>
      </c>
      <c r="O2450">
        <v>24.6</v>
      </c>
      <c r="P2450">
        <v>3.92</v>
      </c>
    </row>
    <row r="2451" spans="1:16">
      <c r="A2451" s="1" t="s">
        <v>16</v>
      </c>
      <c r="B2451" s="1" t="s">
        <v>2421</v>
      </c>
      <c r="C2451" s="1" t="s">
        <v>18</v>
      </c>
      <c r="D2451" s="1" t="s">
        <v>19</v>
      </c>
      <c r="E2451" s="1" t="s">
        <v>2252</v>
      </c>
      <c r="F2451">
        <v>1829</v>
      </c>
      <c r="G2451">
        <v>3290</v>
      </c>
      <c r="H2451">
        <v>1970</v>
      </c>
      <c r="I2451">
        <v>930</v>
      </c>
      <c r="J2451" s="11">
        <f t="shared" ref="J2451:J2464" si="64">9.87/2</f>
        <v>4.9349999999999996</v>
      </c>
      <c r="K2451">
        <v>755</v>
      </c>
      <c r="L2451">
        <v>166.5</v>
      </c>
      <c r="M2451">
        <v>111</v>
      </c>
      <c r="N2451">
        <v>416</v>
      </c>
      <c r="O2451">
        <v>23.4</v>
      </c>
      <c r="P2451">
        <v>3.2</v>
      </c>
    </row>
    <row r="2452" spans="1:16">
      <c r="A2452" s="1" t="s">
        <v>16</v>
      </c>
      <c r="B2452" s="1" t="s">
        <v>2422</v>
      </c>
      <c r="C2452" s="1" t="s">
        <v>18</v>
      </c>
      <c r="D2452" s="1" t="s">
        <v>19</v>
      </c>
      <c r="E2452" s="1" t="s">
        <v>2252</v>
      </c>
      <c r="F2452">
        <v>2630</v>
      </c>
      <c r="G2452">
        <v>3490</v>
      </c>
      <c r="H2452">
        <v>2000</v>
      </c>
      <c r="I2452">
        <v>880</v>
      </c>
      <c r="J2452" s="11">
        <f t="shared" si="64"/>
        <v>4.9349999999999996</v>
      </c>
      <c r="K2452">
        <v>994</v>
      </c>
      <c r="L2452">
        <v>178</v>
      </c>
      <c r="M2452">
        <v>110.1</v>
      </c>
      <c r="N2452">
        <v>571</v>
      </c>
      <c r="O2452">
        <v>24.1</v>
      </c>
      <c r="P2452">
        <v>2.88</v>
      </c>
    </row>
    <row r="2453" spans="1:16">
      <c r="A2453" s="1" t="s">
        <v>16</v>
      </c>
      <c r="B2453" s="1" t="s">
        <v>2423</v>
      </c>
      <c r="C2453" s="1" t="s">
        <v>18</v>
      </c>
      <c r="D2453" s="1" t="s">
        <v>19</v>
      </c>
      <c r="E2453" s="1" t="s">
        <v>2252</v>
      </c>
      <c r="F2453">
        <v>2920</v>
      </c>
      <c r="G2453">
        <v>3930</v>
      </c>
      <c r="H2453">
        <v>1830</v>
      </c>
      <c r="I2453">
        <v>916</v>
      </c>
      <c r="J2453" s="11">
        <f t="shared" si="64"/>
        <v>4.9349999999999996</v>
      </c>
      <c r="K2453">
        <v>815</v>
      </c>
      <c r="L2453">
        <v>185.6</v>
      </c>
      <c r="M2453">
        <v>108</v>
      </c>
      <c r="N2453">
        <v>459</v>
      </c>
      <c r="O2453">
        <v>23.6</v>
      </c>
      <c r="P2453">
        <v>3</v>
      </c>
    </row>
    <row r="2454" spans="1:16">
      <c r="A2454" s="1" t="s">
        <v>16</v>
      </c>
      <c r="B2454" s="1" t="s">
        <v>2424</v>
      </c>
      <c r="C2454" s="1" t="s">
        <v>18</v>
      </c>
      <c r="D2454" s="1" t="s">
        <v>19</v>
      </c>
      <c r="E2454" s="1" t="s">
        <v>2252</v>
      </c>
      <c r="F2454">
        <v>2950</v>
      </c>
      <c r="G2454">
        <v>3600</v>
      </c>
      <c r="H2454">
        <v>3830</v>
      </c>
      <c r="I2454">
        <v>863</v>
      </c>
      <c r="J2454" s="11">
        <f t="shared" si="64"/>
        <v>4.9349999999999996</v>
      </c>
      <c r="K2454">
        <v>1044</v>
      </c>
      <c r="L2454">
        <v>189</v>
      </c>
      <c r="M2454">
        <v>105.2</v>
      </c>
      <c r="N2454">
        <v>546</v>
      </c>
      <c r="O2454">
        <v>23</v>
      </c>
      <c r="P2454">
        <v>3.18</v>
      </c>
    </row>
    <row r="2455" spans="1:16">
      <c r="A2455" s="1" t="s">
        <v>16</v>
      </c>
      <c r="B2455" s="1" t="s">
        <v>2425</v>
      </c>
      <c r="C2455" s="1" t="s">
        <v>18</v>
      </c>
      <c r="D2455" s="1" t="s">
        <v>19</v>
      </c>
      <c r="E2455" s="1" t="s">
        <v>2252</v>
      </c>
      <c r="F2455">
        <v>2740</v>
      </c>
      <c r="G2455">
        <v>3770</v>
      </c>
      <c r="H2455">
        <v>2230</v>
      </c>
      <c r="I2455">
        <v>928</v>
      </c>
      <c r="J2455" s="11">
        <f t="shared" si="64"/>
        <v>4.9349999999999996</v>
      </c>
      <c r="K2455">
        <v>895</v>
      </c>
      <c r="L2455">
        <v>175.4</v>
      </c>
      <c r="M2455">
        <v>110</v>
      </c>
      <c r="N2455">
        <v>689</v>
      </c>
      <c r="O2455">
        <v>24.6</v>
      </c>
      <c r="P2455">
        <v>4.3</v>
      </c>
    </row>
    <row r="2456" spans="1:16">
      <c r="A2456" s="1" t="s">
        <v>16</v>
      </c>
      <c r="B2456" s="1" t="s">
        <v>2426</v>
      </c>
      <c r="C2456" s="1" t="s">
        <v>18</v>
      </c>
      <c r="D2456" s="1" t="s">
        <v>19</v>
      </c>
      <c r="E2456" s="1" t="s">
        <v>2252</v>
      </c>
      <c r="F2456">
        <v>1720</v>
      </c>
      <c r="G2456">
        <v>2300</v>
      </c>
      <c r="H2456">
        <v>940</v>
      </c>
      <c r="I2456">
        <v>682</v>
      </c>
      <c r="J2456" s="11">
        <f t="shared" si="64"/>
        <v>4.9349999999999996</v>
      </c>
      <c r="K2456">
        <v>1205</v>
      </c>
      <c r="L2456">
        <v>100.9</v>
      </c>
      <c r="M2456">
        <v>103.6</v>
      </c>
      <c r="N2456">
        <v>82</v>
      </c>
      <c r="O2456">
        <v>21.7</v>
      </c>
      <c r="P2456">
        <v>1.83</v>
      </c>
    </row>
    <row r="2457" spans="1:16">
      <c r="A2457" s="1" t="s">
        <v>16</v>
      </c>
      <c r="B2457" s="1" t="s">
        <v>2427</v>
      </c>
      <c r="C2457" s="1" t="s">
        <v>18</v>
      </c>
      <c r="D2457" s="1" t="s">
        <v>19</v>
      </c>
      <c r="E2457" s="1" t="s">
        <v>2252</v>
      </c>
      <c r="F2457">
        <v>1990</v>
      </c>
      <c r="G2457">
        <v>3020</v>
      </c>
      <c r="H2457">
        <v>1760</v>
      </c>
      <c r="I2457">
        <v>690</v>
      </c>
      <c r="J2457" s="11">
        <f t="shared" si="64"/>
        <v>4.9349999999999996</v>
      </c>
      <c r="K2457">
        <v>1099</v>
      </c>
      <c r="L2457">
        <v>113.8</v>
      </c>
      <c r="M2457">
        <v>98</v>
      </c>
      <c r="N2457">
        <v>351</v>
      </c>
      <c r="O2457">
        <v>23.2</v>
      </c>
      <c r="P2457">
        <v>2.12</v>
      </c>
    </row>
    <row r="2458" spans="1:16">
      <c r="A2458" s="1" t="s">
        <v>16</v>
      </c>
      <c r="B2458" s="1" t="s">
        <v>2428</v>
      </c>
      <c r="C2458" s="1" t="s">
        <v>18</v>
      </c>
      <c r="D2458" s="1" t="s">
        <v>19</v>
      </c>
      <c r="E2458" s="1" t="s">
        <v>2252</v>
      </c>
      <c r="F2458">
        <v>2510</v>
      </c>
      <c r="G2458">
        <v>3150</v>
      </c>
      <c r="H2458">
        <v>4000</v>
      </c>
      <c r="I2458">
        <v>640</v>
      </c>
      <c r="J2458" s="11">
        <f t="shared" si="64"/>
        <v>4.9349999999999996</v>
      </c>
      <c r="K2458">
        <v>1280</v>
      </c>
      <c r="L2458">
        <v>126</v>
      </c>
      <c r="M2458">
        <v>100</v>
      </c>
      <c r="N2458">
        <v>413</v>
      </c>
      <c r="O2458">
        <v>25.4</v>
      </c>
      <c r="P2458">
        <v>4.2</v>
      </c>
    </row>
    <row r="2459" spans="1:16">
      <c r="A2459" s="1" t="s">
        <v>16</v>
      </c>
      <c r="B2459" s="1" t="s">
        <v>2429</v>
      </c>
      <c r="C2459" s="1" t="s">
        <v>18</v>
      </c>
      <c r="D2459" s="1" t="s">
        <v>19</v>
      </c>
      <c r="E2459" s="1" t="s">
        <v>2252</v>
      </c>
      <c r="F2459">
        <v>2540</v>
      </c>
      <c r="G2459">
        <v>3120</v>
      </c>
      <c r="H2459">
        <v>5390</v>
      </c>
      <c r="I2459">
        <v>666</v>
      </c>
      <c r="J2459" s="11">
        <f t="shared" si="64"/>
        <v>4.9349999999999996</v>
      </c>
      <c r="K2459">
        <v>1800</v>
      </c>
      <c r="L2459">
        <v>124</v>
      </c>
      <c r="M2459">
        <v>102</v>
      </c>
      <c r="N2459">
        <v>473</v>
      </c>
      <c r="O2459">
        <v>25.3</v>
      </c>
      <c r="P2459">
        <v>4.1900000000000004</v>
      </c>
    </row>
    <row r="2460" spans="1:16">
      <c r="A2460" s="1" t="s">
        <v>16</v>
      </c>
      <c r="B2460" s="1" t="s">
        <v>2430</v>
      </c>
      <c r="C2460" s="1" t="s">
        <v>18</v>
      </c>
      <c r="D2460" s="1" t="s">
        <v>19</v>
      </c>
      <c r="E2460" s="1" t="s">
        <v>2252</v>
      </c>
      <c r="F2460">
        <v>4690</v>
      </c>
      <c r="G2460">
        <v>3960</v>
      </c>
      <c r="H2460">
        <v>35100</v>
      </c>
      <c r="I2460">
        <v>633</v>
      </c>
      <c r="J2460" s="11">
        <f t="shared" si="64"/>
        <v>4.9349999999999996</v>
      </c>
      <c r="K2460">
        <v>4990</v>
      </c>
      <c r="L2460">
        <v>127.7</v>
      </c>
      <c r="M2460">
        <v>108</v>
      </c>
      <c r="N2460">
        <v>580</v>
      </c>
      <c r="O2460">
        <v>23.2</v>
      </c>
      <c r="P2460">
        <v>7.9</v>
      </c>
    </row>
    <row r="2461" spans="1:16">
      <c r="A2461" s="1" t="s">
        <v>16</v>
      </c>
      <c r="B2461" s="1" t="s">
        <v>2431</v>
      </c>
      <c r="C2461" s="1" t="s">
        <v>18</v>
      </c>
      <c r="D2461" s="1" t="s">
        <v>19</v>
      </c>
      <c r="E2461" s="1" t="s">
        <v>2252</v>
      </c>
      <c r="F2461">
        <v>2310</v>
      </c>
      <c r="G2461">
        <v>3430</v>
      </c>
      <c r="H2461">
        <v>1690</v>
      </c>
      <c r="I2461">
        <v>634</v>
      </c>
      <c r="J2461" s="11">
        <f t="shared" si="64"/>
        <v>4.9349999999999996</v>
      </c>
      <c r="K2461">
        <v>998</v>
      </c>
      <c r="L2461">
        <v>116.5</v>
      </c>
      <c r="M2461">
        <v>110</v>
      </c>
      <c r="N2461">
        <v>502</v>
      </c>
      <c r="O2461">
        <v>24.1</v>
      </c>
      <c r="P2461">
        <v>2.79</v>
      </c>
    </row>
    <row r="2462" spans="1:16">
      <c r="A2462" s="1" t="s">
        <v>16</v>
      </c>
      <c r="B2462" s="1" t="s">
        <v>2432</v>
      </c>
      <c r="C2462" s="1" t="s">
        <v>18</v>
      </c>
      <c r="D2462" s="1" t="s">
        <v>19</v>
      </c>
      <c r="E2462" s="1" t="s">
        <v>2252</v>
      </c>
      <c r="F2462">
        <v>2280</v>
      </c>
      <c r="G2462">
        <v>3690</v>
      </c>
      <c r="H2462">
        <v>1530</v>
      </c>
      <c r="I2462">
        <v>693</v>
      </c>
      <c r="J2462" s="11">
        <f t="shared" si="64"/>
        <v>4.9349999999999996</v>
      </c>
      <c r="K2462">
        <v>1064</v>
      </c>
      <c r="L2462">
        <v>118.4</v>
      </c>
      <c r="M2462">
        <v>95</v>
      </c>
      <c r="N2462">
        <v>477</v>
      </c>
      <c r="O2462">
        <v>23.1</v>
      </c>
      <c r="P2462">
        <v>2.9</v>
      </c>
    </row>
    <row r="2463" spans="1:16">
      <c r="A2463" s="1" t="s">
        <v>16</v>
      </c>
      <c r="B2463" s="1" t="s">
        <v>2433</v>
      </c>
      <c r="C2463" s="1" t="s">
        <v>18</v>
      </c>
      <c r="D2463" s="1" t="s">
        <v>19</v>
      </c>
      <c r="E2463" s="1" t="s">
        <v>2252</v>
      </c>
      <c r="F2463">
        <v>2572</v>
      </c>
      <c r="G2463">
        <v>3750</v>
      </c>
      <c r="H2463">
        <v>7950</v>
      </c>
      <c r="I2463">
        <v>682</v>
      </c>
      <c r="J2463" s="11">
        <f t="shared" si="64"/>
        <v>4.9349999999999996</v>
      </c>
      <c r="K2463">
        <v>1567</v>
      </c>
      <c r="L2463">
        <v>125.8</v>
      </c>
      <c r="M2463">
        <v>104</v>
      </c>
      <c r="N2463">
        <v>706</v>
      </c>
      <c r="O2463">
        <v>23.2</v>
      </c>
      <c r="P2463">
        <v>6.12</v>
      </c>
    </row>
    <row r="2464" spans="1:16">
      <c r="A2464" s="1" t="s">
        <v>16</v>
      </c>
      <c r="B2464" s="1" t="s">
        <v>2434</v>
      </c>
      <c r="C2464" s="1" t="s">
        <v>18</v>
      </c>
      <c r="D2464" s="1" t="s">
        <v>19</v>
      </c>
      <c r="E2464" s="1" t="s">
        <v>2252</v>
      </c>
      <c r="F2464">
        <v>1830</v>
      </c>
      <c r="G2464">
        <v>2450</v>
      </c>
      <c r="H2464">
        <v>760</v>
      </c>
      <c r="I2464">
        <v>754</v>
      </c>
      <c r="J2464" s="11">
        <f t="shared" si="64"/>
        <v>4.9349999999999996</v>
      </c>
      <c r="K2464">
        <v>1250</v>
      </c>
      <c r="L2464">
        <v>113.9</v>
      </c>
      <c r="M2464">
        <v>105</v>
      </c>
      <c r="N2464">
        <v>182</v>
      </c>
      <c r="O2464">
        <v>21.6</v>
      </c>
      <c r="P2464">
        <v>0.91</v>
      </c>
    </row>
    <row r="2465" spans="1:16">
      <c r="A2465" s="1" t="s">
        <v>16</v>
      </c>
      <c r="B2465" s="1" t="s">
        <v>2435</v>
      </c>
      <c r="C2465" s="1" t="s">
        <v>18</v>
      </c>
      <c r="D2465" s="1" t="s">
        <v>19</v>
      </c>
      <c r="E2465" s="1" t="s">
        <v>2252</v>
      </c>
      <c r="F2465">
        <v>2783</v>
      </c>
      <c r="G2465">
        <v>3220</v>
      </c>
      <c r="H2465">
        <v>5370</v>
      </c>
      <c r="I2465">
        <v>885</v>
      </c>
      <c r="J2465">
        <v>40.4</v>
      </c>
      <c r="K2465">
        <v>942</v>
      </c>
      <c r="L2465">
        <v>128.80000000000001</v>
      </c>
      <c r="M2465">
        <v>160</v>
      </c>
      <c r="N2465">
        <v>194</v>
      </c>
      <c r="O2465">
        <v>20.399999999999999</v>
      </c>
      <c r="P2465">
        <v>4.12</v>
      </c>
    </row>
    <row r="2466" spans="1:16">
      <c r="A2466" s="1" t="s">
        <v>16</v>
      </c>
      <c r="B2466" s="1" t="s">
        <v>2436</v>
      </c>
      <c r="C2466" s="1" t="s">
        <v>18</v>
      </c>
      <c r="D2466" s="1" t="s">
        <v>19</v>
      </c>
      <c r="E2466" s="1" t="s">
        <v>2252</v>
      </c>
      <c r="F2466">
        <v>2710</v>
      </c>
      <c r="G2466">
        <v>3120</v>
      </c>
      <c r="H2466">
        <v>4300</v>
      </c>
      <c r="I2466">
        <v>876</v>
      </c>
      <c r="J2466">
        <v>34</v>
      </c>
      <c r="K2466">
        <v>810</v>
      </c>
      <c r="L2466">
        <v>123</v>
      </c>
      <c r="M2466">
        <v>155.4</v>
      </c>
      <c r="N2466">
        <v>182</v>
      </c>
      <c r="O2466">
        <v>19.2</v>
      </c>
      <c r="P2466">
        <v>3.48</v>
      </c>
    </row>
    <row r="2467" spans="1:16">
      <c r="A2467" s="1" t="s">
        <v>16</v>
      </c>
      <c r="B2467" s="1" t="s">
        <v>2437</v>
      </c>
      <c r="C2467" s="1" t="s">
        <v>18</v>
      </c>
      <c r="D2467" s="1" t="s">
        <v>19</v>
      </c>
      <c r="E2467" s="1" t="s">
        <v>2252</v>
      </c>
      <c r="F2467">
        <v>2656</v>
      </c>
      <c r="G2467">
        <v>3132</v>
      </c>
      <c r="H2467">
        <v>3504</v>
      </c>
      <c r="I2467">
        <v>902</v>
      </c>
      <c r="J2467">
        <v>41</v>
      </c>
      <c r="K2467">
        <v>786</v>
      </c>
      <c r="L2467">
        <v>128.30000000000001</v>
      </c>
      <c r="M2467">
        <v>155.80000000000001</v>
      </c>
      <c r="N2467">
        <v>164</v>
      </c>
      <c r="O2467">
        <v>19.98</v>
      </c>
      <c r="P2467">
        <v>3.74</v>
      </c>
    </row>
    <row r="2468" spans="1:16">
      <c r="A2468" s="1" t="s">
        <v>16</v>
      </c>
      <c r="B2468" s="1" t="s">
        <v>2438</v>
      </c>
      <c r="C2468" s="1" t="s">
        <v>18</v>
      </c>
      <c r="D2468" s="1" t="s">
        <v>19</v>
      </c>
      <c r="E2468" s="1" t="s">
        <v>2252</v>
      </c>
      <c r="F2468">
        <v>2805</v>
      </c>
      <c r="G2468">
        <v>3261</v>
      </c>
      <c r="H2468">
        <v>4940</v>
      </c>
      <c r="I2468">
        <v>885</v>
      </c>
      <c r="J2468">
        <v>35.700000000000003</v>
      </c>
      <c r="K2468">
        <v>897</v>
      </c>
      <c r="L2468">
        <v>124.2</v>
      </c>
      <c r="M2468">
        <v>158.4</v>
      </c>
      <c r="N2468">
        <v>197</v>
      </c>
      <c r="O2468">
        <v>20.76</v>
      </c>
      <c r="P2468">
        <v>3.51</v>
      </c>
    </row>
    <row r="2469" spans="1:16">
      <c r="A2469" s="1" t="s">
        <v>16</v>
      </c>
      <c r="B2469" s="1" t="s">
        <v>2439</v>
      </c>
      <c r="C2469" s="1" t="s">
        <v>18</v>
      </c>
      <c r="D2469" s="1" t="s">
        <v>19</v>
      </c>
      <c r="E2469" s="1" t="s">
        <v>2252</v>
      </c>
      <c r="F2469">
        <v>2846</v>
      </c>
      <c r="G2469">
        <v>3166</v>
      </c>
      <c r="H2469">
        <v>3510</v>
      </c>
      <c r="I2469">
        <v>918</v>
      </c>
      <c r="J2469">
        <v>33.6</v>
      </c>
      <c r="K2469">
        <v>739</v>
      </c>
      <c r="L2469">
        <v>117</v>
      </c>
      <c r="M2469">
        <v>139.5</v>
      </c>
      <c r="N2469">
        <v>158</v>
      </c>
      <c r="O2469">
        <v>20.43</v>
      </c>
      <c r="P2469">
        <v>3.8</v>
      </c>
    </row>
    <row r="2470" spans="1:16">
      <c r="A2470" s="1" t="s">
        <v>16</v>
      </c>
      <c r="B2470" s="1" t="s">
        <v>2440</v>
      </c>
      <c r="C2470" s="1" t="s">
        <v>18</v>
      </c>
      <c r="D2470" s="1" t="s">
        <v>19</v>
      </c>
      <c r="E2470" s="1" t="s">
        <v>2252</v>
      </c>
      <c r="F2470">
        <v>2890</v>
      </c>
      <c r="G2470">
        <v>3085</v>
      </c>
      <c r="H2470">
        <v>4210</v>
      </c>
      <c r="I2470">
        <v>920</v>
      </c>
      <c r="J2470">
        <v>29.6</v>
      </c>
      <c r="K2470">
        <v>791</v>
      </c>
      <c r="L2470">
        <v>118.5</v>
      </c>
      <c r="M2470">
        <v>121.9</v>
      </c>
      <c r="N2470">
        <v>148.80000000000001</v>
      </c>
      <c r="O2470">
        <v>19.22</v>
      </c>
      <c r="P2470">
        <v>3.71</v>
      </c>
    </row>
    <row r="2471" spans="1:16">
      <c r="A2471" s="1" t="s">
        <v>16</v>
      </c>
      <c r="B2471" s="1" t="s">
        <v>2441</v>
      </c>
      <c r="C2471" s="1" t="s">
        <v>18</v>
      </c>
      <c r="D2471" s="1" t="s">
        <v>19</v>
      </c>
      <c r="E2471" s="1" t="s">
        <v>2252</v>
      </c>
      <c r="F2471">
        <v>2880</v>
      </c>
      <c r="G2471">
        <v>3044</v>
      </c>
      <c r="H2471">
        <v>4510</v>
      </c>
      <c r="I2471">
        <v>929</v>
      </c>
      <c r="J2471">
        <v>29.3</v>
      </c>
      <c r="K2471">
        <v>874</v>
      </c>
      <c r="L2471">
        <v>124.6</v>
      </c>
      <c r="M2471">
        <v>146.5</v>
      </c>
      <c r="N2471">
        <v>185</v>
      </c>
      <c r="O2471">
        <v>20.5</v>
      </c>
      <c r="P2471">
        <v>3.82</v>
      </c>
    </row>
    <row r="2472" spans="1:16">
      <c r="A2472" s="1" t="s">
        <v>16</v>
      </c>
      <c r="B2472" s="1" t="s">
        <v>2442</v>
      </c>
      <c r="C2472" s="1" t="s">
        <v>18</v>
      </c>
      <c r="D2472" s="1" t="s">
        <v>19</v>
      </c>
      <c r="E2472" s="1" t="s">
        <v>2252</v>
      </c>
      <c r="F2472">
        <v>2875</v>
      </c>
      <c r="G2472">
        <v>3066</v>
      </c>
      <c r="H2472">
        <v>4500</v>
      </c>
      <c r="I2472">
        <v>919</v>
      </c>
      <c r="J2472">
        <v>25.3</v>
      </c>
      <c r="K2472">
        <v>813</v>
      </c>
      <c r="L2472">
        <v>123.8</v>
      </c>
      <c r="M2472">
        <v>151.69999999999999</v>
      </c>
      <c r="N2472">
        <v>167</v>
      </c>
      <c r="O2472">
        <v>20.059999999999999</v>
      </c>
      <c r="P2472">
        <v>3.98</v>
      </c>
    </row>
    <row r="2473" spans="1:16">
      <c r="A2473" s="1" t="s">
        <v>16</v>
      </c>
      <c r="B2473" s="1" t="s">
        <v>2443</v>
      </c>
      <c r="C2473" s="1" t="s">
        <v>18</v>
      </c>
      <c r="D2473" s="1" t="s">
        <v>19</v>
      </c>
      <c r="E2473" s="1" t="s">
        <v>2252</v>
      </c>
      <c r="F2473">
        <v>3113</v>
      </c>
      <c r="G2473">
        <v>3376</v>
      </c>
      <c r="H2473">
        <v>5910</v>
      </c>
      <c r="I2473">
        <v>899</v>
      </c>
      <c r="J2473">
        <v>19.2</v>
      </c>
      <c r="K2473">
        <v>871</v>
      </c>
      <c r="L2473">
        <v>116</v>
      </c>
      <c r="M2473">
        <v>132.9</v>
      </c>
      <c r="N2473">
        <v>220</v>
      </c>
      <c r="O2473">
        <v>20.2</v>
      </c>
      <c r="P2473">
        <v>4.16</v>
      </c>
    </row>
    <row r="2474" spans="1:16">
      <c r="A2474" s="1" t="s">
        <v>16</v>
      </c>
      <c r="B2474" s="1" t="s">
        <v>2444</v>
      </c>
      <c r="C2474" s="1" t="s">
        <v>18</v>
      </c>
      <c r="D2474" s="1" t="s">
        <v>19</v>
      </c>
      <c r="E2474" s="1" t="s">
        <v>2252</v>
      </c>
      <c r="F2474">
        <v>5380</v>
      </c>
      <c r="G2474">
        <v>3160</v>
      </c>
      <c r="H2474">
        <v>30420</v>
      </c>
      <c r="I2474">
        <v>885</v>
      </c>
      <c r="J2474">
        <v>37.799999999999997</v>
      </c>
      <c r="K2474">
        <v>2014</v>
      </c>
      <c r="L2474">
        <v>116.4</v>
      </c>
      <c r="M2474">
        <v>139</v>
      </c>
      <c r="N2474">
        <v>160</v>
      </c>
      <c r="O2474">
        <v>17.8</v>
      </c>
      <c r="P2474">
        <v>6.57</v>
      </c>
    </row>
    <row r="2475" spans="1:16">
      <c r="A2475" s="1" t="s">
        <v>16</v>
      </c>
      <c r="B2475" s="1" t="s">
        <v>2445</v>
      </c>
      <c r="C2475" s="1" t="s">
        <v>18</v>
      </c>
      <c r="D2475" s="1" t="s">
        <v>19</v>
      </c>
      <c r="E2475" s="1" t="s">
        <v>2252</v>
      </c>
      <c r="F2475">
        <v>3000</v>
      </c>
      <c r="G2475">
        <v>3335</v>
      </c>
      <c r="H2475">
        <v>3950</v>
      </c>
      <c r="I2475">
        <v>918</v>
      </c>
      <c r="J2475">
        <v>76.400000000000006</v>
      </c>
      <c r="K2475">
        <v>679</v>
      </c>
      <c r="L2475">
        <v>112.4</v>
      </c>
      <c r="M2475">
        <v>151.19999999999999</v>
      </c>
      <c r="N2475">
        <v>155</v>
      </c>
      <c r="O2475">
        <v>19.8</v>
      </c>
      <c r="P2475">
        <v>3.56</v>
      </c>
    </row>
    <row r="2476" spans="1:16">
      <c r="A2476" s="1" t="s">
        <v>16</v>
      </c>
      <c r="B2476" s="1" t="s">
        <v>2446</v>
      </c>
      <c r="C2476" s="1" t="s">
        <v>18</v>
      </c>
      <c r="D2476" s="1" t="s">
        <v>19</v>
      </c>
      <c r="E2476" s="1" t="s">
        <v>2252</v>
      </c>
      <c r="F2476">
        <v>2976</v>
      </c>
      <c r="G2476">
        <v>3571</v>
      </c>
      <c r="H2476">
        <v>5280</v>
      </c>
      <c r="I2476">
        <v>956</v>
      </c>
      <c r="J2476">
        <v>13.6</v>
      </c>
      <c r="K2476">
        <v>948</v>
      </c>
      <c r="L2476">
        <v>127.4</v>
      </c>
      <c r="M2476">
        <v>162.6</v>
      </c>
      <c r="N2476">
        <v>192</v>
      </c>
      <c r="O2476">
        <v>21.2</v>
      </c>
      <c r="P2476">
        <v>3.99</v>
      </c>
    </row>
    <row r="2477" spans="1:16">
      <c r="A2477" s="1" t="s">
        <v>16</v>
      </c>
      <c r="B2477" s="1" t="s">
        <v>2447</v>
      </c>
      <c r="C2477" s="1" t="s">
        <v>18</v>
      </c>
      <c r="D2477" s="1" t="s">
        <v>19</v>
      </c>
      <c r="E2477" s="1" t="s">
        <v>2252</v>
      </c>
      <c r="F2477">
        <v>2868</v>
      </c>
      <c r="G2477">
        <v>3530</v>
      </c>
      <c r="H2477">
        <v>3950</v>
      </c>
      <c r="I2477">
        <v>976</v>
      </c>
      <c r="J2477" s="11">
        <f>9.87/2</f>
        <v>4.9349999999999996</v>
      </c>
      <c r="K2477">
        <v>822</v>
      </c>
      <c r="L2477">
        <v>126.7</v>
      </c>
      <c r="M2477">
        <v>158.1</v>
      </c>
      <c r="N2477">
        <v>194</v>
      </c>
      <c r="O2477">
        <v>21.03</v>
      </c>
      <c r="P2477">
        <v>3.78</v>
      </c>
    </row>
    <row r="2478" spans="1:16">
      <c r="A2478" s="1" t="s">
        <v>16</v>
      </c>
      <c r="B2478" s="1" t="s">
        <v>2448</v>
      </c>
      <c r="C2478" s="1" t="s">
        <v>18</v>
      </c>
      <c r="D2478" s="1" t="s">
        <v>19</v>
      </c>
      <c r="E2478" s="1" t="s">
        <v>2252</v>
      </c>
      <c r="F2478">
        <v>2901</v>
      </c>
      <c r="G2478">
        <v>3570</v>
      </c>
      <c r="H2478">
        <v>4341</v>
      </c>
      <c r="I2478">
        <v>992</v>
      </c>
      <c r="J2478">
        <v>12.3</v>
      </c>
      <c r="K2478">
        <v>855</v>
      </c>
      <c r="L2478">
        <v>128.1</v>
      </c>
      <c r="M2478">
        <v>163.5</v>
      </c>
      <c r="N2478">
        <v>186</v>
      </c>
      <c r="O2478">
        <v>20.93</v>
      </c>
      <c r="P2478">
        <v>3.73</v>
      </c>
    </row>
    <row r="2479" spans="1:16">
      <c r="A2479" s="1" t="s">
        <v>16</v>
      </c>
      <c r="B2479" s="1" t="s">
        <v>2449</v>
      </c>
      <c r="C2479" s="1" t="s">
        <v>18</v>
      </c>
      <c r="D2479" s="1" t="s">
        <v>19</v>
      </c>
      <c r="E2479" s="1" t="s">
        <v>2252</v>
      </c>
      <c r="F2479">
        <v>2832</v>
      </c>
      <c r="G2479">
        <v>3488</v>
      </c>
      <c r="H2479">
        <v>3790</v>
      </c>
      <c r="I2479">
        <v>979</v>
      </c>
      <c r="J2479">
        <v>16.5</v>
      </c>
      <c r="K2479">
        <v>775</v>
      </c>
      <c r="L2479">
        <v>122.5</v>
      </c>
      <c r="M2479">
        <v>168</v>
      </c>
      <c r="N2479">
        <v>176</v>
      </c>
      <c r="O2479">
        <v>21.1</v>
      </c>
      <c r="P2479">
        <v>3.61</v>
      </c>
    </row>
    <row r="2480" spans="1:16">
      <c r="A2480" s="1" t="s">
        <v>16</v>
      </c>
      <c r="B2480" s="1" t="s">
        <v>2450</v>
      </c>
      <c r="C2480" s="1" t="s">
        <v>18</v>
      </c>
      <c r="D2480" s="1" t="s">
        <v>19</v>
      </c>
      <c r="E2480" s="1" t="s">
        <v>2252</v>
      </c>
      <c r="F2480">
        <v>3155</v>
      </c>
      <c r="G2480">
        <v>3161</v>
      </c>
      <c r="H2480">
        <v>5720</v>
      </c>
      <c r="I2480">
        <v>1007</v>
      </c>
      <c r="J2480">
        <v>8.8000000000000007</v>
      </c>
      <c r="K2480">
        <v>834</v>
      </c>
      <c r="L2480">
        <v>122</v>
      </c>
      <c r="M2480">
        <v>146.4</v>
      </c>
      <c r="N2480">
        <v>182</v>
      </c>
      <c r="O2480">
        <v>20.3</v>
      </c>
      <c r="P2480">
        <v>4.13</v>
      </c>
    </row>
    <row r="2481" spans="1:16">
      <c r="A2481" s="1" t="s">
        <v>16</v>
      </c>
      <c r="B2481" s="1" t="s">
        <v>2451</v>
      </c>
      <c r="C2481" s="1" t="s">
        <v>18</v>
      </c>
      <c r="D2481" s="1" t="s">
        <v>19</v>
      </c>
      <c r="E2481" s="1" t="s">
        <v>2252</v>
      </c>
      <c r="F2481">
        <v>3123</v>
      </c>
      <c r="G2481">
        <v>3155</v>
      </c>
      <c r="H2481">
        <v>5450</v>
      </c>
      <c r="I2481">
        <v>1013</v>
      </c>
      <c r="J2481">
        <v>5.8</v>
      </c>
      <c r="K2481">
        <v>822</v>
      </c>
      <c r="L2481">
        <v>122.1</v>
      </c>
      <c r="M2481">
        <v>143.80000000000001</v>
      </c>
      <c r="N2481">
        <v>180</v>
      </c>
      <c r="O2481">
        <v>20.059999999999999</v>
      </c>
      <c r="P2481">
        <v>4.49</v>
      </c>
    </row>
    <row r="2482" spans="1:16">
      <c r="A2482" s="1" t="s">
        <v>16</v>
      </c>
      <c r="B2482" s="1" t="s">
        <v>2452</v>
      </c>
      <c r="C2482" s="1" t="s">
        <v>18</v>
      </c>
      <c r="D2482" s="1" t="s">
        <v>19</v>
      </c>
      <c r="E2482" s="1" t="s">
        <v>2252</v>
      </c>
      <c r="F2482">
        <v>2960</v>
      </c>
      <c r="G2482">
        <v>3160</v>
      </c>
      <c r="H2482">
        <v>3788</v>
      </c>
      <c r="I2482">
        <v>1017</v>
      </c>
      <c r="J2482">
        <v>9.5</v>
      </c>
      <c r="K2482">
        <v>704</v>
      </c>
      <c r="L2482">
        <v>121.9</v>
      </c>
      <c r="M2482">
        <v>135.4</v>
      </c>
      <c r="N2482">
        <v>155.19999999999999</v>
      </c>
      <c r="O2482">
        <v>20.100000000000001</v>
      </c>
      <c r="P2482">
        <v>3.84</v>
      </c>
    </row>
    <row r="2483" spans="1:16">
      <c r="A2483" s="1" t="s">
        <v>16</v>
      </c>
      <c r="B2483" s="1" t="s">
        <v>2453</v>
      </c>
      <c r="C2483" s="1" t="s">
        <v>18</v>
      </c>
      <c r="D2483" s="1" t="s">
        <v>19</v>
      </c>
      <c r="E2483" s="1" t="s">
        <v>2252</v>
      </c>
      <c r="F2483">
        <v>3010</v>
      </c>
      <c r="G2483">
        <v>2952</v>
      </c>
      <c r="H2483">
        <v>4110</v>
      </c>
      <c r="I2483">
        <v>1025</v>
      </c>
      <c r="J2483">
        <v>9.9</v>
      </c>
      <c r="K2483">
        <v>737</v>
      </c>
      <c r="L2483">
        <v>121.2</v>
      </c>
      <c r="M2483">
        <v>138.30000000000001</v>
      </c>
      <c r="N2483">
        <v>163</v>
      </c>
      <c r="O2483">
        <v>20.6</v>
      </c>
      <c r="P2483">
        <v>3.97</v>
      </c>
    </row>
    <row r="2484" spans="1:16">
      <c r="A2484" s="1" t="s">
        <v>16</v>
      </c>
      <c r="B2484" s="1" t="s">
        <v>2475</v>
      </c>
      <c r="C2484" s="1" t="s">
        <v>18</v>
      </c>
      <c r="D2484" s="1" t="s">
        <v>19</v>
      </c>
      <c r="E2484" s="1" t="s">
        <v>2249</v>
      </c>
      <c r="F2484">
        <v>988</v>
      </c>
      <c r="G2484">
        <v>3260</v>
      </c>
      <c r="H2484">
        <v>1463</v>
      </c>
      <c r="I2484">
        <v>2062</v>
      </c>
      <c r="J2484" s="11">
        <f t="shared" ref="J2484:J2487" si="65">9.87/2</f>
        <v>4.9349999999999996</v>
      </c>
      <c r="K2484">
        <v>108.1</v>
      </c>
      <c r="L2484">
        <v>79.5</v>
      </c>
      <c r="M2484">
        <v>222.3</v>
      </c>
      <c r="N2484">
        <v>130</v>
      </c>
      <c r="O2484">
        <v>4.5</v>
      </c>
      <c r="P2484">
        <v>0.96</v>
      </c>
    </row>
    <row r="2485" spans="1:16">
      <c r="A2485" s="1" t="s">
        <v>16</v>
      </c>
      <c r="B2485" s="1" t="s">
        <v>2476</v>
      </c>
      <c r="C2485" s="1" t="s">
        <v>18</v>
      </c>
      <c r="D2485" s="1" t="s">
        <v>19</v>
      </c>
      <c r="E2485" s="1" t="s">
        <v>2249</v>
      </c>
      <c r="F2485">
        <v>959</v>
      </c>
      <c r="G2485">
        <v>3076</v>
      </c>
      <c r="H2485">
        <v>1113</v>
      </c>
      <c r="I2485">
        <v>2023</v>
      </c>
      <c r="J2485" s="11">
        <f t="shared" si="65"/>
        <v>4.9349999999999996</v>
      </c>
      <c r="K2485">
        <v>115.8</v>
      </c>
      <c r="L2485">
        <v>81.7</v>
      </c>
      <c r="M2485">
        <v>218.5</v>
      </c>
      <c r="N2485">
        <v>109</v>
      </c>
      <c r="O2485">
        <v>4.37</v>
      </c>
      <c r="P2485">
        <v>0.79</v>
      </c>
    </row>
    <row r="2486" spans="1:16">
      <c r="A2486" s="1" t="s">
        <v>16</v>
      </c>
      <c r="B2486" s="1" t="s">
        <v>2477</v>
      </c>
      <c r="C2486" s="1" t="s">
        <v>18</v>
      </c>
      <c r="D2486" s="1" t="s">
        <v>19</v>
      </c>
      <c r="E2486" s="1" t="s">
        <v>2252</v>
      </c>
      <c r="F2486">
        <v>1096</v>
      </c>
      <c r="G2486">
        <v>3310</v>
      </c>
      <c r="H2486">
        <v>1440</v>
      </c>
      <c r="I2486">
        <v>1971</v>
      </c>
      <c r="J2486" s="11">
        <f t="shared" si="65"/>
        <v>4.9349999999999996</v>
      </c>
      <c r="K2486">
        <v>136.9</v>
      </c>
      <c r="L2486">
        <v>92.1</v>
      </c>
      <c r="M2486">
        <v>225</v>
      </c>
      <c r="N2486">
        <v>200</v>
      </c>
      <c r="O2486">
        <v>3.99</v>
      </c>
      <c r="P2486">
        <v>0.85</v>
      </c>
    </row>
    <row r="2487" spans="1:16">
      <c r="A2487" s="1" t="s">
        <v>16</v>
      </c>
      <c r="B2487" s="1" t="s">
        <v>2478</v>
      </c>
      <c r="C2487" s="1" t="s">
        <v>18</v>
      </c>
      <c r="D2487" s="1" t="s">
        <v>19</v>
      </c>
      <c r="E2487" s="1" t="s">
        <v>2252</v>
      </c>
      <c r="F2487">
        <v>1038</v>
      </c>
      <c r="G2487">
        <v>3511</v>
      </c>
      <c r="H2487">
        <v>1363</v>
      </c>
      <c r="I2487">
        <v>2050</v>
      </c>
      <c r="J2487" s="11">
        <f t="shared" si="65"/>
        <v>4.9349999999999996</v>
      </c>
      <c r="K2487">
        <v>121.8</v>
      </c>
      <c r="L2487">
        <v>82.3</v>
      </c>
      <c r="M2487">
        <v>216.7</v>
      </c>
      <c r="N2487">
        <v>180</v>
      </c>
      <c r="O2487">
        <v>4.16</v>
      </c>
      <c r="P2487">
        <v>0.86</v>
      </c>
    </row>
    <row r="2488" spans="1:16">
      <c r="A2488" s="1" t="s">
        <v>16</v>
      </c>
      <c r="B2488" s="1" t="s">
        <v>2479</v>
      </c>
      <c r="C2488" s="1" t="s">
        <v>18</v>
      </c>
      <c r="D2488" s="1" t="s">
        <v>19</v>
      </c>
      <c r="E2488" s="1" t="s">
        <v>2252</v>
      </c>
      <c r="F2488">
        <v>786</v>
      </c>
      <c r="G2488">
        <v>2950</v>
      </c>
      <c r="H2488">
        <v>1750</v>
      </c>
      <c r="I2488">
        <v>2061</v>
      </c>
      <c r="J2488">
        <v>12.2</v>
      </c>
      <c r="K2488">
        <v>154</v>
      </c>
      <c r="L2488">
        <v>75.2</v>
      </c>
      <c r="M2488">
        <v>211</v>
      </c>
      <c r="N2488">
        <v>99</v>
      </c>
      <c r="O2488">
        <v>4.38</v>
      </c>
      <c r="P2488">
        <v>0.62</v>
      </c>
    </row>
    <row r="2489" spans="1:16">
      <c r="A2489" s="1" t="s">
        <v>16</v>
      </c>
      <c r="B2489" s="1" t="s">
        <v>2480</v>
      </c>
      <c r="C2489" s="1" t="s">
        <v>18</v>
      </c>
      <c r="D2489" s="1" t="s">
        <v>19</v>
      </c>
      <c r="E2489" s="1" t="s">
        <v>2252</v>
      </c>
      <c r="F2489">
        <v>1077</v>
      </c>
      <c r="G2489">
        <v>3240</v>
      </c>
      <c r="H2489">
        <v>2190</v>
      </c>
      <c r="I2489">
        <v>1991</v>
      </c>
      <c r="J2489" s="11">
        <f>9.87/2</f>
        <v>4.9349999999999996</v>
      </c>
      <c r="K2489">
        <v>123</v>
      </c>
      <c r="L2489">
        <v>73.599999999999994</v>
      </c>
      <c r="M2489">
        <v>214</v>
      </c>
      <c r="N2489">
        <v>148</v>
      </c>
      <c r="O2489">
        <v>4.03</v>
      </c>
      <c r="P2489">
        <v>0.78</v>
      </c>
    </row>
    <row r="2490" spans="1:16">
      <c r="A2490" s="1" t="s">
        <v>16</v>
      </c>
      <c r="B2490" s="1" t="s">
        <v>2481</v>
      </c>
      <c r="C2490" s="1" t="s">
        <v>18</v>
      </c>
      <c r="D2490" s="1" t="s">
        <v>19</v>
      </c>
      <c r="E2490" s="1" t="s">
        <v>2252</v>
      </c>
      <c r="F2490">
        <v>1143</v>
      </c>
      <c r="G2490">
        <v>3055</v>
      </c>
      <c r="H2490">
        <v>1790</v>
      </c>
      <c r="I2490">
        <v>1972</v>
      </c>
      <c r="J2490">
        <v>12.1</v>
      </c>
      <c r="K2490">
        <v>157</v>
      </c>
      <c r="L2490">
        <v>73.2</v>
      </c>
      <c r="M2490">
        <v>208</v>
      </c>
      <c r="N2490">
        <v>99.8</v>
      </c>
      <c r="O2490">
        <v>4.71</v>
      </c>
      <c r="P2490">
        <v>0.62</v>
      </c>
    </row>
    <row r="2491" spans="1:16">
      <c r="A2491" s="1" t="s">
        <v>16</v>
      </c>
      <c r="B2491" s="1" t="s">
        <v>2482</v>
      </c>
      <c r="C2491" s="1" t="s">
        <v>18</v>
      </c>
      <c r="D2491" s="1" t="s">
        <v>19</v>
      </c>
      <c r="E2491" s="1" t="s">
        <v>2252</v>
      </c>
      <c r="F2491">
        <v>1231</v>
      </c>
      <c r="G2491">
        <v>3590</v>
      </c>
      <c r="H2491">
        <v>1850</v>
      </c>
      <c r="I2491">
        <v>1435</v>
      </c>
      <c r="J2491">
        <v>26.9</v>
      </c>
      <c r="K2491">
        <v>161</v>
      </c>
      <c r="L2491">
        <v>76.3</v>
      </c>
      <c r="M2491">
        <v>218</v>
      </c>
      <c r="N2491">
        <v>228</v>
      </c>
      <c r="O2491">
        <v>4.3099999999999996</v>
      </c>
      <c r="P2491">
        <v>0.99</v>
      </c>
    </row>
    <row r="2492" spans="1:16">
      <c r="A2492" s="1" t="s">
        <v>16</v>
      </c>
      <c r="B2492" s="1" t="s">
        <v>2483</v>
      </c>
      <c r="C2492" s="1" t="s">
        <v>18</v>
      </c>
      <c r="D2492" s="1" t="s">
        <v>19</v>
      </c>
      <c r="E2492" s="1" t="s">
        <v>2252</v>
      </c>
      <c r="F2492">
        <v>1073</v>
      </c>
      <c r="G2492">
        <v>3500</v>
      </c>
      <c r="H2492">
        <v>1408</v>
      </c>
      <c r="I2492">
        <v>1532</v>
      </c>
      <c r="J2492">
        <v>47.5</v>
      </c>
      <c r="K2492">
        <v>191.5</v>
      </c>
      <c r="L2492">
        <v>70</v>
      </c>
      <c r="M2492">
        <v>219</v>
      </c>
      <c r="N2492">
        <v>222</v>
      </c>
      <c r="O2492">
        <v>3.7</v>
      </c>
      <c r="P2492">
        <v>1.04</v>
      </c>
    </row>
    <row r="2493" spans="1:16">
      <c r="A2493" s="1" t="s">
        <v>16</v>
      </c>
      <c r="B2493" s="1" t="s">
        <v>2484</v>
      </c>
      <c r="C2493" s="1" t="s">
        <v>18</v>
      </c>
      <c r="D2493" s="1" t="s">
        <v>19</v>
      </c>
      <c r="E2493" s="1" t="s">
        <v>2252</v>
      </c>
      <c r="F2493">
        <v>612</v>
      </c>
      <c r="G2493">
        <v>2438</v>
      </c>
      <c r="H2493">
        <v>1890</v>
      </c>
      <c r="I2493">
        <v>1711</v>
      </c>
      <c r="J2493">
        <v>52.2</v>
      </c>
      <c r="K2493">
        <v>198</v>
      </c>
      <c r="L2493">
        <v>55.5</v>
      </c>
      <c r="M2493">
        <v>218</v>
      </c>
      <c r="N2493">
        <v>50</v>
      </c>
      <c r="O2493">
        <v>5.15</v>
      </c>
      <c r="P2493">
        <v>0.47</v>
      </c>
    </row>
    <row r="2494" spans="1:16">
      <c r="A2494" s="1" t="s">
        <v>16</v>
      </c>
      <c r="B2494" s="1" t="s">
        <v>2485</v>
      </c>
      <c r="C2494" s="1" t="s">
        <v>18</v>
      </c>
      <c r="D2494" s="1" t="s">
        <v>19</v>
      </c>
      <c r="E2494" s="1" t="s">
        <v>2252</v>
      </c>
      <c r="F2494">
        <v>647</v>
      </c>
      <c r="G2494">
        <v>3290</v>
      </c>
      <c r="H2494">
        <v>1525</v>
      </c>
      <c r="I2494">
        <v>1726</v>
      </c>
      <c r="J2494">
        <v>64.8</v>
      </c>
      <c r="K2494">
        <v>210.7</v>
      </c>
      <c r="L2494">
        <v>42.2</v>
      </c>
      <c r="M2494">
        <v>225</v>
      </c>
      <c r="N2494">
        <v>174</v>
      </c>
      <c r="O2494">
        <v>5.32</v>
      </c>
      <c r="P2494">
        <v>1.03</v>
      </c>
    </row>
    <row r="2495" spans="1:16">
      <c r="A2495" s="1" t="s">
        <v>16</v>
      </c>
      <c r="B2495" s="1" t="s">
        <v>2486</v>
      </c>
      <c r="C2495" s="1" t="s">
        <v>18</v>
      </c>
      <c r="D2495" s="1" t="s">
        <v>19</v>
      </c>
      <c r="E2495" s="1" t="s">
        <v>2252</v>
      </c>
      <c r="F2495">
        <v>601</v>
      </c>
      <c r="G2495">
        <v>2743</v>
      </c>
      <c r="H2495">
        <v>739</v>
      </c>
      <c r="I2495">
        <v>1700</v>
      </c>
      <c r="J2495">
        <v>49</v>
      </c>
      <c r="K2495">
        <v>144.4</v>
      </c>
      <c r="L2495">
        <v>50.6</v>
      </c>
      <c r="M2495">
        <v>218</v>
      </c>
      <c r="N2495">
        <v>74.099999999999994</v>
      </c>
      <c r="O2495">
        <v>5</v>
      </c>
      <c r="P2495">
        <f>0.55/2</f>
        <v>0.27500000000000002</v>
      </c>
    </row>
    <row r="2496" spans="1:16">
      <c r="A2496" s="1" t="s">
        <v>16</v>
      </c>
      <c r="B2496" s="1" t="s">
        <v>2487</v>
      </c>
      <c r="C2496" s="1" t="s">
        <v>18</v>
      </c>
      <c r="D2496" s="1" t="s">
        <v>19</v>
      </c>
      <c r="E2496" s="1" t="s">
        <v>2252</v>
      </c>
      <c r="F2496">
        <v>613</v>
      </c>
      <c r="G2496">
        <v>2795</v>
      </c>
      <c r="H2496">
        <v>7790</v>
      </c>
      <c r="I2496">
        <v>1965</v>
      </c>
      <c r="J2496">
        <v>75.2</v>
      </c>
      <c r="K2496">
        <v>415</v>
      </c>
      <c r="L2496">
        <v>48.3</v>
      </c>
      <c r="M2496">
        <v>220</v>
      </c>
      <c r="N2496">
        <v>70.900000000000006</v>
      </c>
      <c r="O2496">
        <v>6.47</v>
      </c>
      <c r="P2496">
        <v>0.84</v>
      </c>
    </row>
    <row r="2497" spans="1:16">
      <c r="A2497" s="1" t="s">
        <v>16</v>
      </c>
      <c r="B2497" s="1" t="s">
        <v>2488</v>
      </c>
      <c r="C2497" s="1" t="s">
        <v>18</v>
      </c>
      <c r="D2497" s="1" t="s">
        <v>19</v>
      </c>
      <c r="E2497" s="1" t="s">
        <v>2252</v>
      </c>
      <c r="F2497">
        <v>608</v>
      </c>
      <c r="G2497">
        <v>2830</v>
      </c>
      <c r="H2497">
        <v>1790</v>
      </c>
      <c r="I2497">
        <v>1891</v>
      </c>
      <c r="J2497">
        <v>42.2</v>
      </c>
      <c r="K2497">
        <v>220</v>
      </c>
      <c r="L2497">
        <v>45.9</v>
      </c>
      <c r="M2497">
        <v>223</v>
      </c>
      <c r="N2497">
        <v>102</v>
      </c>
      <c r="O2497">
        <v>5.49</v>
      </c>
      <c r="P2497">
        <v>0.94</v>
      </c>
    </row>
    <row r="2498" spans="1:16">
      <c r="A2498" s="1" t="s">
        <v>16</v>
      </c>
      <c r="B2498" s="1" t="s">
        <v>2489</v>
      </c>
      <c r="C2498" s="1" t="s">
        <v>18</v>
      </c>
      <c r="D2498" s="1" t="s">
        <v>19</v>
      </c>
      <c r="E2498" s="1" t="s">
        <v>2252</v>
      </c>
      <c r="F2498">
        <v>1067</v>
      </c>
      <c r="G2498">
        <v>3080</v>
      </c>
      <c r="H2498">
        <v>11000</v>
      </c>
      <c r="I2498">
        <v>1925</v>
      </c>
      <c r="J2498">
        <v>44.1</v>
      </c>
      <c r="K2498">
        <v>622</v>
      </c>
      <c r="L2498">
        <v>55.1</v>
      </c>
      <c r="M2498">
        <v>222</v>
      </c>
      <c r="N2498">
        <v>228</v>
      </c>
      <c r="O2498">
        <v>4.8499999999999996</v>
      </c>
      <c r="P2498">
        <v>1.31</v>
      </c>
    </row>
    <row r="2499" spans="1:16">
      <c r="A2499" s="1" t="s">
        <v>16</v>
      </c>
      <c r="B2499" s="1" t="s">
        <v>2490</v>
      </c>
      <c r="C2499" s="1" t="s">
        <v>18</v>
      </c>
      <c r="D2499" s="1" t="s">
        <v>19</v>
      </c>
      <c r="E2499" s="1" t="s">
        <v>2252</v>
      </c>
      <c r="F2499">
        <v>994</v>
      </c>
      <c r="G2499">
        <v>3260</v>
      </c>
      <c r="H2499">
        <v>14950</v>
      </c>
      <c r="I2499">
        <v>1954</v>
      </c>
      <c r="J2499">
        <v>51.6</v>
      </c>
      <c r="K2499">
        <v>510</v>
      </c>
      <c r="L2499">
        <v>59.2</v>
      </c>
      <c r="M2499">
        <v>210</v>
      </c>
      <c r="N2499">
        <v>159</v>
      </c>
      <c r="O2499">
        <v>4.75</v>
      </c>
      <c r="P2499">
        <v>1.45</v>
      </c>
    </row>
    <row r="2500" spans="1:16">
      <c r="A2500" s="1" t="s">
        <v>16</v>
      </c>
      <c r="B2500" s="1" t="s">
        <v>2491</v>
      </c>
      <c r="C2500" s="1" t="s">
        <v>18</v>
      </c>
      <c r="D2500" s="1" t="s">
        <v>19</v>
      </c>
      <c r="E2500" s="1" t="s">
        <v>2252</v>
      </c>
      <c r="F2500">
        <v>783</v>
      </c>
      <c r="G2500">
        <v>2829</v>
      </c>
      <c r="H2500">
        <v>16960</v>
      </c>
      <c r="I2500">
        <v>1913</v>
      </c>
      <c r="J2500">
        <v>39.4</v>
      </c>
      <c r="K2500">
        <v>804</v>
      </c>
      <c r="L2500">
        <v>48</v>
      </c>
      <c r="M2500">
        <v>210</v>
      </c>
      <c r="N2500">
        <v>113</v>
      </c>
      <c r="O2500">
        <v>6.25</v>
      </c>
      <c r="P2500">
        <v>1.44</v>
      </c>
    </row>
    <row r="2501" spans="1:16">
      <c r="A2501" s="1" t="s">
        <v>16</v>
      </c>
      <c r="B2501" s="1" t="s">
        <v>2492</v>
      </c>
      <c r="C2501" s="1" t="s">
        <v>18</v>
      </c>
      <c r="D2501" s="1" t="s">
        <v>19</v>
      </c>
      <c r="E2501" s="1" t="s">
        <v>2252</v>
      </c>
      <c r="F2501">
        <v>468</v>
      </c>
      <c r="G2501">
        <v>2682</v>
      </c>
      <c r="H2501">
        <v>1047</v>
      </c>
      <c r="I2501">
        <v>1970</v>
      </c>
      <c r="J2501">
        <v>47.5</v>
      </c>
      <c r="K2501">
        <v>146</v>
      </c>
      <c r="L2501">
        <v>47.2</v>
      </c>
      <c r="M2501">
        <v>214</v>
      </c>
      <c r="N2501">
        <v>32</v>
      </c>
      <c r="O2501">
        <v>6.35</v>
      </c>
      <c r="P2501">
        <v>0.71</v>
      </c>
    </row>
    <row r="2502" spans="1:16">
      <c r="A2502" s="1" t="s">
        <v>16</v>
      </c>
      <c r="B2502" s="1" t="s">
        <v>2493</v>
      </c>
      <c r="C2502" s="1" t="s">
        <v>18</v>
      </c>
      <c r="D2502" s="1" t="s">
        <v>19</v>
      </c>
      <c r="E2502" s="1" t="s">
        <v>2252</v>
      </c>
      <c r="F2502">
        <v>1080</v>
      </c>
      <c r="G2502">
        <v>2740</v>
      </c>
      <c r="H2502">
        <v>1020</v>
      </c>
      <c r="I2502">
        <v>1826</v>
      </c>
      <c r="J2502">
        <v>41</v>
      </c>
      <c r="K2502">
        <v>156</v>
      </c>
      <c r="L2502">
        <v>53.5</v>
      </c>
      <c r="M2502">
        <v>210</v>
      </c>
      <c r="N2502">
        <v>27.9</v>
      </c>
      <c r="O2502">
        <v>6.38</v>
      </c>
      <c r="P2502">
        <v>0.47</v>
      </c>
    </row>
    <row r="2503" spans="1:16">
      <c r="A2503" s="1" t="s">
        <v>16</v>
      </c>
      <c r="B2503" s="1" t="s">
        <v>2523</v>
      </c>
      <c r="C2503" s="1" t="s">
        <v>38</v>
      </c>
      <c r="D2503" s="1" t="s">
        <v>5503</v>
      </c>
      <c r="E2503" s="1" t="s">
        <v>2249</v>
      </c>
      <c r="F2503">
        <v>18190</v>
      </c>
      <c r="G2503">
        <v>17980</v>
      </c>
      <c r="H2503">
        <v>57300</v>
      </c>
      <c r="I2503">
        <v>3553</v>
      </c>
      <c r="J2503">
        <v>815</v>
      </c>
      <c r="K2503">
        <v>2929</v>
      </c>
      <c r="L2503">
        <v>228.5</v>
      </c>
      <c r="M2503">
        <v>499</v>
      </c>
      <c r="N2503">
        <v>851</v>
      </c>
      <c r="O2503">
        <v>52.7</v>
      </c>
      <c r="P2503">
        <v>5.03</v>
      </c>
    </row>
    <row r="2504" spans="1:16">
      <c r="A2504" s="1" t="s">
        <v>16</v>
      </c>
      <c r="B2504" s="1" t="s">
        <v>2524</v>
      </c>
      <c r="C2504" s="1" t="s">
        <v>38</v>
      </c>
      <c r="D2504" s="1" t="s">
        <v>5503</v>
      </c>
      <c r="E2504" s="1" t="s">
        <v>2249</v>
      </c>
      <c r="F2504">
        <v>18330</v>
      </c>
      <c r="G2504">
        <v>17760</v>
      </c>
      <c r="H2504">
        <v>57600</v>
      </c>
      <c r="I2504">
        <v>3392</v>
      </c>
      <c r="J2504">
        <v>789</v>
      </c>
      <c r="K2504">
        <v>2980</v>
      </c>
      <c r="L2504">
        <v>225.7</v>
      </c>
      <c r="M2504">
        <v>488</v>
      </c>
      <c r="N2504">
        <v>637</v>
      </c>
      <c r="O2504">
        <v>47.7</v>
      </c>
      <c r="P2504">
        <v>3.91</v>
      </c>
    </row>
    <row r="2505" spans="1:16">
      <c r="A2505" s="1" t="s">
        <v>16</v>
      </c>
      <c r="B2505" s="1" t="s">
        <v>2525</v>
      </c>
      <c r="C2505" s="1" t="s">
        <v>38</v>
      </c>
      <c r="D2505" s="1" t="s">
        <v>5503</v>
      </c>
      <c r="E2505" s="1" t="s">
        <v>2252</v>
      </c>
      <c r="F2505">
        <v>18440</v>
      </c>
      <c r="G2505">
        <v>17550</v>
      </c>
      <c r="H2505">
        <v>57800</v>
      </c>
      <c r="I2505">
        <v>3490</v>
      </c>
      <c r="J2505">
        <v>761</v>
      </c>
      <c r="K2505">
        <v>3017</v>
      </c>
      <c r="L2505">
        <v>220.6</v>
      </c>
      <c r="M2505">
        <v>507</v>
      </c>
      <c r="N2505">
        <v>614</v>
      </c>
      <c r="O2505">
        <v>47.6</v>
      </c>
      <c r="P2505">
        <v>4.21</v>
      </c>
    </row>
    <row r="2506" spans="1:16">
      <c r="A2506" s="1" t="s">
        <v>16</v>
      </c>
      <c r="B2506" s="1" t="s">
        <v>2526</v>
      </c>
      <c r="C2506" s="1" t="s">
        <v>38</v>
      </c>
      <c r="D2506" s="1" t="s">
        <v>5503</v>
      </c>
      <c r="E2506" s="1" t="s">
        <v>2252</v>
      </c>
      <c r="F2506">
        <v>17450</v>
      </c>
      <c r="G2506">
        <v>16150</v>
      </c>
      <c r="H2506">
        <v>57200</v>
      </c>
      <c r="I2506">
        <v>3438</v>
      </c>
      <c r="J2506">
        <v>764</v>
      </c>
      <c r="K2506">
        <v>3021</v>
      </c>
      <c r="L2506">
        <v>225.1</v>
      </c>
      <c r="M2506">
        <v>472</v>
      </c>
      <c r="N2506">
        <v>645</v>
      </c>
      <c r="O2506">
        <v>46.6</v>
      </c>
      <c r="P2506">
        <v>4.29</v>
      </c>
    </row>
    <row r="2507" spans="1:16">
      <c r="A2507" s="1" t="s">
        <v>16</v>
      </c>
      <c r="B2507" s="1" t="s">
        <v>2527</v>
      </c>
      <c r="C2507" s="1" t="s">
        <v>38</v>
      </c>
      <c r="D2507" s="1" t="s">
        <v>5503</v>
      </c>
      <c r="E2507" s="1" t="s">
        <v>2252</v>
      </c>
      <c r="F2507">
        <v>17270</v>
      </c>
      <c r="G2507">
        <v>15700</v>
      </c>
      <c r="H2507">
        <v>58100</v>
      </c>
      <c r="I2507">
        <v>3442</v>
      </c>
      <c r="J2507">
        <v>587</v>
      </c>
      <c r="K2507">
        <v>2936</v>
      </c>
      <c r="L2507">
        <v>226.5</v>
      </c>
      <c r="M2507">
        <v>480</v>
      </c>
      <c r="N2507">
        <v>642</v>
      </c>
      <c r="O2507">
        <v>48</v>
      </c>
      <c r="P2507">
        <v>4.78</v>
      </c>
    </row>
    <row r="2508" spans="1:16">
      <c r="A2508" s="1" t="s">
        <v>16</v>
      </c>
      <c r="B2508" s="1" t="s">
        <v>2528</v>
      </c>
      <c r="C2508" s="1" t="s">
        <v>38</v>
      </c>
      <c r="D2508" s="1" t="s">
        <v>5503</v>
      </c>
      <c r="E2508" s="1" t="s">
        <v>2252</v>
      </c>
      <c r="F2508">
        <v>17900</v>
      </c>
      <c r="G2508">
        <v>17500</v>
      </c>
      <c r="H2508">
        <v>60500</v>
      </c>
      <c r="I2508">
        <v>3601</v>
      </c>
      <c r="J2508">
        <v>867</v>
      </c>
      <c r="K2508">
        <v>3150</v>
      </c>
      <c r="L2508">
        <v>235.9</v>
      </c>
      <c r="M2508">
        <v>465</v>
      </c>
      <c r="N2508">
        <v>691</v>
      </c>
      <c r="O2508">
        <v>49.6</v>
      </c>
      <c r="P2508">
        <v>4.3</v>
      </c>
    </row>
    <row r="2509" spans="1:16">
      <c r="A2509" s="1" t="s">
        <v>16</v>
      </c>
      <c r="B2509" s="1" t="s">
        <v>2529</v>
      </c>
      <c r="C2509" s="1" t="s">
        <v>38</v>
      </c>
      <c r="D2509" s="1" t="s">
        <v>5503</v>
      </c>
      <c r="E2509" s="1" t="s">
        <v>2252</v>
      </c>
      <c r="F2509">
        <v>17620</v>
      </c>
      <c r="G2509">
        <v>16100</v>
      </c>
      <c r="H2509">
        <v>62800</v>
      </c>
      <c r="I2509">
        <v>4043</v>
      </c>
      <c r="J2509">
        <v>754</v>
      </c>
      <c r="K2509">
        <v>3236</v>
      </c>
      <c r="L2509">
        <v>245.1</v>
      </c>
      <c r="M2509">
        <v>722</v>
      </c>
      <c r="N2509">
        <v>699</v>
      </c>
      <c r="O2509">
        <v>51.1</v>
      </c>
      <c r="P2509">
        <v>5.08</v>
      </c>
    </row>
    <row r="2510" spans="1:16">
      <c r="A2510" s="1" t="s">
        <v>16</v>
      </c>
      <c r="B2510" s="1" t="s">
        <v>2530</v>
      </c>
      <c r="C2510" s="1" t="s">
        <v>38</v>
      </c>
      <c r="D2510" s="1" t="s">
        <v>5503</v>
      </c>
      <c r="E2510" s="1" t="s">
        <v>2252</v>
      </c>
      <c r="F2510">
        <v>16910</v>
      </c>
      <c r="G2510">
        <v>15570</v>
      </c>
      <c r="H2510">
        <v>61000</v>
      </c>
      <c r="I2510">
        <v>3830</v>
      </c>
      <c r="J2510">
        <v>702</v>
      </c>
      <c r="K2510">
        <v>3180</v>
      </c>
      <c r="L2510">
        <v>235.9</v>
      </c>
      <c r="M2510">
        <v>722</v>
      </c>
      <c r="N2510">
        <v>671</v>
      </c>
      <c r="O2510">
        <v>48.6</v>
      </c>
      <c r="P2510">
        <v>4.84</v>
      </c>
    </row>
    <row r="2511" spans="1:16">
      <c r="A2511" s="1" t="s">
        <v>16</v>
      </c>
      <c r="B2511" s="1" t="s">
        <v>2531</v>
      </c>
      <c r="C2511" s="1" t="s">
        <v>38</v>
      </c>
      <c r="D2511" s="1" t="s">
        <v>5503</v>
      </c>
      <c r="E2511" s="1" t="s">
        <v>2252</v>
      </c>
      <c r="F2511">
        <v>17020</v>
      </c>
      <c r="G2511">
        <v>15430</v>
      </c>
      <c r="H2511">
        <v>61800</v>
      </c>
      <c r="I2511">
        <v>3962</v>
      </c>
      <c r="J2511">
        <v>691</v>
      </c>
      <c r="K2511">
        <v>3192</v>
      </c>
      <c r="L2511">
        <v>239.6</v>
      </c>
      <c r="M2511">
        <v>721</v>
      </c>
      <c r="N2511">
        <v>728</v>
      </c>
      <c r="O2511">
        <v>51.5</v>
      </c>
      <c r="P2511">
        <v>4.75</v>
      </c>
    </row>
    <row r="2512" spans="1:16">
      <c r="A2512" s="1" t="s">
        <v>16</v>
      </c>
      <c r="B2512" s="1" t="s">
        <v>2532</v>
      </c>
      <c r="C2512" s="1" t="s">
        <v>38</v>
      </c>
      <c r="D2512" s="1" t="s">
        <v>5503</v>
      </c>
      <c r="E2512" s="1" t="s">
        <v>2252</v>
      </c>
      <c r="F2512">
        <v>17810</v>
      </c>
      <c r="G2512">
        <v>15800</v>
      </c>
      <c r="H2512">
        <v>65200</v>
      </c>
      <c r="I2512">
        <v>4095</v>
      </c>
      <c r="J2512">
        <v>729</v>
      </c>
      <c r="K2512">
        <v>3270</v>
      </c>
      <c r="L2512">
        <v>248.3</v>
      </c>
      <c r="M2512">
        <v>737</v>
      </c>
      <c r="N2512">
        <v>741</v>
      </c>
      <c r="O2512">
        <v>52</v>
      </c>
      <c r="P2512">
        <v>4.74</v>
      </c>
    </row>
    <row r="2513" spans="1:16">
      <c r="A2513" s="1" t="s">
        <v>16</v>
      </c>
      <c r="B2513" s="1" t="s">
        <v>2533</v>
      </c>
      <c r="C2513" s="1" t="s">
        <v>38</v>
      </c>
      <c r="D2513" s="1" t="s">
        <v>5503</v>
      </c>
      <c r="E2513" s="1" t="s">
        <v>2252</v>
      </c>
      <c r="F2513">
        <v>14940</v>
      </c>
      <c r="G2513">
        <v>11370</v>
      </c>
      <c r="H2513">
        <v>62800</v>
      </c>
      <c r="I2513">
        <v>3480</v>
      </c>
      <c r="J2513">
        <v>941</v>
      </c>
      <c r="K2513">
        <v>3240</v>
      </c>
      <c r="L2513">
        <v>204</v>
      </c>
      <c r="M2513">
        <v>372</v>
      </c>
      <c r="N2513">
        <v>716</v>
      </c>
      <c r="O2513">
        <v>44.1</v>
      </c>
      <c r="P2513">
        <v>4.72</v>
      </c>
    </row>
    <row r="2514" spans="1:16">
      <c r="A2514" s="1" t="s">
        <v>16</v>
      </c>
      <c r="B2514" s="1" t="s">
        <v>2534</v>
      </c>
      <c r="C2514" s="1" t="s">
        <v>38</v>
      </c>
      <c r="D2514" s="1" t="s">
        <v>5503</v>
      </c>
      <c r="E2514" s="1" t="s">
        <v>2252</v>
      </c>
      <c r="F2514">
        <v>15340</v>
      </c>
      <c r="G2514">
        <v>22100</v>
      </c>
      <c r="H2514">
        <v>65800</v>
      </c>
      <c r="I2514">
        <v>3577</v>
      </c>
      <c r="J2514">
        <v>1023</v>
      </c>
      <c r="K2514">
        <v>3260</v>
      </c>
      <c r="L2514">
        <v>213.2</v>
      </c>
      <c r="M2514">
        <v>386</v>
      </c>
      <c r="N2514">
        <v>703</v>
      </c>
      <c r="O2514">
        <v>50</v>
      </c>
      <c r="P2514">
        <v>5.26</v>
      </c>
    </row>
    <row r="2515" spans="1:16">
      <c r="A2515" s="1" t="s">
        <v>16</v>
      </c>
      <c r="B2515" s="1" t="s">
        <v>2535</v>
      </c>
      <c r="C2515" s="1" t="s">
        <v>38</v>
      </c>
      <c r="D2515" s="1" t="s">
        <v>5503</v>
      </c>
      <c r="E2515" s="1" t="s">
        <v>2252</v>
      </c>
      <c r="F2515">
        <v>14280</v>
      </c>
      <c r="G2515">
        <v>11100</v>
      </c>
      <c r="H2515">
        <v>65400</v>
      </c>
      <c r="I2515">
        <v>3584</v>
      </c>
      <c r="J2515">
        <v>953</v>
      </c>
      <c r="K2515">
        <v>3209</v>
      </c>
      <c r="L2515">
        <v>214</v>
      </c>
      <c r="M2515">
        <v>372</v>
      </c>
      <c r="N2515">
        <v>683</v>
      </c>
      <c r="O2515">
        <v>46.6</v>
      </c>
      <c r="P2515">
        <v>5.63</v>
      </c>
    </row>
    <row r="2516" spans="1:16">
      <c r="A2516" s="1" t="s">
        <v>16</v>
      </c>
      <c r="B2516" s="1" t="s">
        <v>2536</v>
      </c>
      <c r="C2516" s="1" t="s">
        <v>38</v>
      </c>
      <c r="D2516" s="1" t="s">
        <v>5503</v>
      </c>
      <c r="E2516" s="1" t="s">
        <v>2252</v>
      </c>
      <c r="F2516">
        <v>16340</v>
      </c>
      <c r="G2516">
        <v>12410</v>
      </c>
      <c r="H2516">
        <v>70000</v>
      </c>
      <c r="I2516">
        <v>3557</v>
      </c>
      <c r="J2516">
        <v>712</v>
      </c>
      <c r="K2516">
        <v>2681</v>
      </c>
      <c r="L2516">
        <v>231.1</v>
      </c>
      <c r="M2516">
        <v>463</v>
      </c>
      <c r="N2516">
        <v>640</v>
      </c>
      <c r="O2516">
        <v>48.2</v>
      </c>
      <c r="P2516">
        <v>5.56</v>
      </c>
    </row>
    <row r="2517" spans="1:16">
      <c r="A2517" s="1" t="s">
        <v>16</v>
      </c>
      <c r="B2517" s="1" t="s">
        <v>2537</v>
      </c>
      <c r="C2517" s="1" t="s">
        <v>38</v>
      </c>
      <c r="D2517" s="1" t="s">
        <v>5503</v>
      </c>
      <c r="E2517" s="1" t="s">
        <v>2252</v>
      </c>
      <c r="F2517">
        <v>17230</v>
      </c>
      <c r="G2517">
        <v>12650</v>
      </c>
      <c r="H2517">
        <v>79600</v>
      </c>
      <c r="I2517">
        <v>3310</v>
      </c>
      <c r="J2517">
        <v>188</v>
      </c>
      <c r="K2517">
        <v>3170</v>
      </c>
      <c r="L2517">
        <v>236</v>
      </c>
      <c r="M2517">
        <v>471</v>
      </c>
      <c r="N2517">
        <v>1074</v>
      </c>
      <c r="O2517">
        <v>49.3</v>
      </c>
      <c r="P2517">
        <v>6.1</v>
      </c>
    </row>
    <row r="2518" spans="1:16">
      <c r="A2518" s="1" t="s">
        <v>16</v>
      </c>
      <c r="B2518" s="1" t="s">
        <v>2538</v>
      </c>
      <c r="C2518" s="1" t="s">
        <v>38</v>
      </c>
      <c r="D2518" s="1" t="s">
        <v>5503</v>
      </c>
      <c r="E2518" s="1" t="s">
        <v>2252</v>
      </c>
      <c r="F2518">
        <v>14830</v>
      </c>
      <c r="G2518">
        <v>13460</v>
      </c>
      <c r="H2518">
        <v>88200</v>
      </c>
      <c r="I2518">
        <v>3680</v>
      </c>
      <c r="J2518">
        <v>278</v>
      </c>
      <c r="K2518">
        <v>3010</v>
      </c>
      <c r="L2518">
        <v>235.2</v>
      </c>
      <c r="M2518">
        <v>503</v>
      </c>
      <c r="N2518">
        <v>805</v>
      </c>
      <c r="O2518">
        <v>50.2</v>
      </c>
      <c r="P2518">
        <v>6.52</v>
      </c>
    </row>
    <row r="2519" spans="1:16">
      <c r="A2519" s="1" t="s">
        <v>16</v>
      </c>
      <c r="B2519" s="1" t="s">
        <v>2539</v>
      </c>
      <c r="C2519" s="1" t="s">
        <v>38</v>
      </c>
      <c r="D2519" s="1" t="s">
        <v>5503</v>
      </c>
      <c r="E2519" s="1" t="s">
        <v>2252</v>
      </c>
      <c r="F2519">
        <v>14530</v>
      </c>
      <c r="G2519">
        <v>13200</v>
      </c>
      <c r="H2519">
        <v>60000</v>
      </c>
      <c r="I2519">
        <v>3420</v>
      </c>
      <c r="J2519">
        <v>280</v>
      </c>
      <c r="K2519">
        <v>2672</v>
      </c>
      <c r="L2519">
        <v>215.8</v>
      </c>
      <c r="M2519">
        <v>429</v>
      </c>
      <c r="N2519">
        <v>609</v>
      </c>
      <c r="O2519">
        <v>46.9</v>
      </c>
      <c r="P2519">
        <v>5.33</v>
      </c>
    </row>
    <row r="2520" spans="1:16">
      <c r="A2520" s="1" t="s">
        <v>16</v>
      </c>
      <c r="B2520" s="1" t="s">
        <v>2540</v>
      </c>
      <c r="C2520" s="1" t="s">
        <v>38</v>
      </c>
      <c r="D2520" s="1" t="s">
        <v>5503</v>
      </c>
      <c r="E2520" s="1" t="s">
        <v>2252</v>
      </c>
      <c r="F2520">
        <v>15530</v>
      </c>
      <c r="G2520">
        <v>14440</v>
      </c>
      <c r="H2520">
        <v>63200</v>
      </c>
      <c r="I2520">
        <v>3582</v>
      </c>
      <c r="J2520">
        <v>285</v>
      </c>
      <c r="K2520">
        <v>2847</v>
      </c>
      <c r="L2520">
        <v>234.2</v>
      </c>
      <c r="M2520">
        <v>488</v>
      </c>
      <c r="N2520">
        <v>638</v>
      </c>
      <c r="O2520">
        <v>50.5</v>
      </c>
      <c r="P2520">
        <v>4.67</v>
      </c>
    </row>
    <row r="2521" spans="1:16">
      <c r="A2521" s="1" t="s">
        <v>16</v>
      </c>
      <c r="B2521" s="1" t="s">
        <v>2541</v>
      </c>
      <c r="C2521" s="1" t="s">
        <v>38</v>
      </c>
      <c r="D2521" s="1" t="s">
        <v>5503</v>
      </c>
      <c r="E2521" s="1" t="s">
        <v>2252</v>
      </c>
      <c r="F2521">
        <v>15110</v>
      </c>
      <c r="G2521">
        <v>14090</v>
      </c>
      <c r="H2521">
        <v>59100</v>
      </c>
      <c r="I2521">
        <v>3510</v>
      </c>
      <c r="J2521">
        <v>316</v>
      </c>
      <c r="K2521">
        <v>2690</v>
      </c>
      <c r="L2521">
        <v>220</v>
      </c>
      <c r="M2521">
        <v>474</v>
      </c>
      <c r="N2521">
        <v>723</v>
      </c>
      <c r="O2521">
        <v>48.4</v>
      </c>
      <c r="P2521">
        <v>4.95</v>
      </c>
    </row>
    <row r="2522" spans="1:16">
      <c r="A2522" s="1" t="s">
        <v>16</v>
      </c>
      <c r="B2522" s="1" t="s">
        <v>2542</v>
      </c>
      <c r="C2522" s="1" t="s">
        <v>38</v>
      </c>
      <c r="D2522" s="1" t="s">
        <v>5503</v>
      </c>
      <c r="E2522" s="1" t="s">
        <v>2252</v>
      </c>
      <c r="F2522">
        <v>16490</v>
      </c>
      <c r="G2522">
        <v>15690</v>
      </c>
      <c r="H2522">
        <v>70100</v>
      </c>
      <c r="I2522">
        <v>3500</v>
      </c>
      <c r="J2522">
        <v>487</v>
      </c>
      <c r="K2522">
        <v>3588</v>
      </c>
      <c r="L2522">
        <v>224.4</v>
      </c>
      <c r="M2522">
        <v>441</v>
      </c>
      <c r="N2522">
        <v>701</v>
      </c>
      <c r="O2522">
        <v>49.1</v>
      </c>
      <c r="P2522">
        <v>4.99</v>
      </c>
    </row>
    <row r="2523" spans="1:16">
      <c r="A2523" s="1" t="s">
        <v>16</v>
      </c>
      <c r="B2523" s="1" t="s">
        <v>2543</v>
      </c>
      <c r="C2523" s="1" t="s">
        <v>38</v>
      </c>
      <c r="D2523" s="1" t="s">
        <v>5503</v>
      </c>
      <c r="E2523" s="1" t="s">
        <v>2252</v>
      </c>
      <c r="F2523">
        <v>14730</v>
      </c>
      <c r="G2523">
        <v>14390</v>
      </c>
      <c r="H2523">
        <v>61800</v>
      </c>
      <c r="I2523">
        <v>2982</v>
      </c>
      <c r="J2523">
        <v>135.6</v>
      </c>
      <c r="K2523">
        <v>3120</v>
      </c>
      <c r="L2523">
        <v>204.4</v>
      </c>
      <c r="M2523">
        <v>408</v>
      </c>
      <c r="N2523">
        <v>615</v>
      </c>
      <c r="O2523">
        <v>42.7</v>
      </c>
      <c r="P2523">
        <v>4.21</v>
      </c>
    </row>
    <row r="2524" spans="1:16">
      <c r="A2524" s="1" t="s">
        <v>16</v>
      </c>
      <c r="B2524" s="1" t="s">
        <v>2544</v>
      </c>
      <c r="C2524" s="1" t="s">
        <v>38</v>
      </c>
      <c r="D2524" s="1" t="s">
        <v>5503</v>
      </c>
      <c r="E2524" s="1" t="s">
        <v>2252</v>
      </c>
      <c r="F2524">
        <v>15730</v>
      </c>
      <c r="G2524">
        <v>15590</v>
      </c>
      <c r="H2524">
        <v>66700</v>
      </c>
      <c r="I2524">
        <v>3296</v>
      </c>
      <c r="J2524">
        <v>486</v>
      </c>
      <c r="K2524">
        <v>3414</v>
      </c>
      <c r="L2524">
        <v>218.9</v>
      </c>
      <c r="M2524">
        <v>454</v>
      </c>
      <c r="N2524">
        <v>702</v>
      </c>
      <c r="O2524">
        <v>46.6</v>
      </c>
      <c r="P2524">
        <v>4.79</v>
      </c>
    </row>
    <row r="2525" spans="1:16">
      <c r="A2525" s="1" t="s">
        <v>16</v>
      </c>
      <c r="B2525" s="1" t="s">
        <v>2545</v>
      </c>
      <c r="C2525" s="1" t="s">
        <v>38</v>
      </c>
      <c r="D2525" s="1" t="s">
        <v>5503</v>
      </c>
      <c r="E2525" s="1" t="s">
        <v>2252</v>
      </c>
      <c r="F2525">
        <v>15770</v>
      </c>
      <c r="G2525">
        <v>14960</v>
      </c>
      <c r="H2525">
        <v>66400</v>
      </c>
      <c r="I2525">
        <v>3372</v>
      </c>
      <c r="J2525">
        <v>443</v>
      </c>
      <c r="K2525">
        <v>3371</v>
      </c>
      <c r="L2525">
        <v>219.5</v>
      </c>
      <c r="M2525">
        <v>449</v>
      </c>
      <c r="N2525">
        <v>669</v>
      </c>
      <c r="O2525">
        <v>49.4</v>
      </c>
      <c r="P2525">
        <v>4.74</v>
      </c>
    </row>
    <row r="2526" spans="1:16">
      <c r="A2526" s="1" t="s">
        <v>16</v>
      </c>
      <c r="B2526" s="1" t="s">
        <v>2546</v>
      </c>
      <c r="C2526" s="1" t="s">
        <v>38</v>
      </c>
      <c r="D2526" s="1" t="s">
        <v>5503</v>
      </c>
      <c r="E2526" s="1" t="s">
        <v>2252</v>
      </c>
      <c r="F2526">
        <v>15770</v>
      </c>
      <c r="G2526">
        <v>15130</v>
      </c>
      <c r="H2526">
        <v>65100</v>
      </c>
      <c r="I2526">
        <v>3281</v>
      </c>
      <c r="J2526">
        <v>354</v>
      </c>
      <c r="K2526">
        <v>3334</v>
      </c>
      <c r="L2526">
        <v>223.9</v>
      </c>
      <c r="M2526">
        <v>426</v>
      </c>
      <c r="N2526">
        <v>652</v>
      </c>
      <c r="O2526">
        <v>48.3</v>
      </c>
      <c r="P2526">
        <v>5.01</v>
      </c>
    </row>
    <row r="2527" spans="1:16">
      <c r="A2527" s="1" t="s">
        <v>16</v>
      </c>
      <c r="B2527" s="1" t="s">
        <v>2547</v>
      </c>
      <c r="C2527" s="1" t="s">
        <v>38</v>
      </c>
      <c r="D2527" s="1" t="s">
        <v>5503</v>
      </c>
      <c r="E2527" s="1" t="s">
        <v>2252</v>
      </c>
      <c r="F2527">
        <v>222000</v>
      </c>
      <c r="G2527">
        <v>26800</v>
      </c>
      <c r="H2527">
        <v>172000</v>
      </c>
      <c r="I2527">
        <v>3840</v>
      </c>
      <c r="J2527">
        <v>396</v>
      </c>
      <c r="K2527">
        <v>7180</v>
      </c>
      <c r="L2527">
        <v>228</v>
      </c>
      <c r="M2527">
        <v>299</v>
      </c>
      <c r="N2527">
        <v>700</v>
      </c>
      <c r="O2527">
        <v>33.4</v>
      </c>
      <c r="P2527">
        <v>8.5</v>
      </c>
    </row>
    <row r="2528" spans="1:16">
      <c r="A2528" s="1" t="s">
        <v>16</v>
      </c>
      <c r="B2528" s="1" t="s">
        <v>2548</v>
      </c>
      <c r="C2528" s="1" t="s">
        <v>38</v>
      </c>
      <c r="D2528" s="1" t="s">
        <v>5503</v>
      </c>
      <c r="E2528" s="1" t="s">
        <v>2252</v>
      </c>
      <c r="F2528">
        <v>17750</v>
      </c>
      <c r="G2528">
        <v>16800</v>
      </c>
      <c r="H2528">
        <v>55600</v>
      </c>
      <c r="I2528">
        <v>3810</v>
      </c>
      <c r="J2528">
        <v>827</v>
      </c>
      <c r="K2528">
        <v>2710</v>
      </c>
      <c r="L2528">
        <v>243</v>
      </c>
      <c r="M2528">
        <v>503</v>
      </c>
      <c r="N2528">
        <v>890</v>
      </c>
      <c r="O2528">
        <v>57.3</v>
      </c>
      <c r="P2528">
        <v>3.7</v>
      </c>
    </row>
    <row r="2529" spans="1:16">
      <c r="A2529" s="1" t="s">
        <v>16</v>
      </c>
      <c r="B2529" s="1" t="s">
        <v>2549</v>
      </c>
      <c r="C2529" s="1" t="s">
        <v>38</v>
      </c>
      <c r="D2529" s="1" t="s">
        <v>5503</v>
      </c>
      <c r="E2529" s="1" t="s">
        <v>2252</v>
      </c>
      <c r="F2529">
        <v>21570</v>
      </c>
      <c r="G2529">
        <v>16490</v>
      </c>
      <c r="H2529">
        <v>72400</v>
      </c>
      <c r="I2529">
        <v>4192</v>
      </c>
      <c r="J2529">
        <v>1357</v>
      </c>
      <c r="K2529">
        <v>3105</v>
      </c>
      <c r="L2529">
        <v>221</v>
      </c>
      <c r="M2529">
        <v>386</v>
      </c>
      <c r="N2529">
        <v>875</v>
      </c>
      <c r="O2529">
        <v>52.2</v>
      </c>
      <c r="P2529">
        <v>6.8</v>
      </c>
    </row>
    <row r="2530" spans="1:16">
      <c r="A2530" s="1" t="s">
        <v>16</v>
      </c>
      <c r="B2530" s="1" t="s">
        <v>2550</v>
      </c>
      <c r="C2530" s="1" t="s">
        <v>38</v>
      </c>
      <c r="D2530" s="1" t="s">
        <v>5503</v>
      </c>
      <c r="E2530" s="1" t="s">
        <v>2252</v>
      </c>
      <c r="F2530">
        <v>22250</v>
      </c>
      <c r="G2530">
        <v>18630</v>
      </c>
      <c r="H2530">
        <v>62000</v>
      </c>
      <c r="I2530">
        <v>3730</v>
      </c>
      <c r="J2530">
        <v>818</v>
      </c>
      <c r="K2530">
        <v>3037</v>
      </c>
      <c r="L2530">
        <v>231</v>
      </c>
      <c r="M2530">
        <v>491</v>
      </c>
      <c r="N2530">
        <v>1090</v>
      </c>
      <c r="O2530">
        <v>54.1</v>
      </c>
      <c r="P2530">
        <v>8.1</v>
      </c>
    </row>
    <row r="2531" spans="1:16">
      <c r="A2531" s="1" t="s">
        <v>16</v>
      </c>
      <c r="B2531" s="1" t="s">
        <v>2551</v>
      </c>
      <c r="C2531" s="1" t="s">
        <v>38</v>
      </c>
      <c r="D2531" s="1" t="s">
        <v>5503</v>
      </c>
      <c r="E2531" s="1" t="s">
        <v>2252</v>
      </c>
      <c r="F2531">
        <v>18260</v>
      </c>
      <c r="G2531">
        <v>18310</v>
      </c>
      <c r="H2531">
        <v>60300</v>
      </c>
      <c r="I2531">
        <v>3400</v>
      </c>
      <c r="J2531">
        <v>960</v>
      </c>
      <c r="K2531">
        <v>3360</v>
      </c>
      <c r="L2531">
        <v>231</v>
      </c>
      <c r="M2531">
        <v>398</v>
      </c>
      <c r="N2531">
        <v>888</v>
      </c>
      <c r="O2531">
        <v>55.8</v>
      </c>
      <c r="P2531">
        <v>5.8</v>
      </c>
    </row>
    <row r="2532" spans="1:16">
      <c r="A2532" s="1" t="s">
        <v>16</v>
      </c>
      <c r="B2532" s="1" t="s">
        <v>2552</v>
      </c>
      <c r="C2532" s="1" t="s">
        <v>38</v>
      </c>
      <c r="D2532" s="1" t="s">
        <v>5503</v>
      </c>
      <c r="E2532" s="1" t="s">
        <v>2252</v>
      </c>
      <c r="F2532">
        <v>515000</v>
      </c>
      <c r="G2532">
        <v>100600</v>
      </c>
      <c r="H2532">
        <v>55600</v>
      </c>
      <c r="I2532">
        <v>2770</v>
      </c>
      <c r="J2532">
        <v>529</v>
      </c>
      <c r="K2532">
        <v>13600</v>
      </c>
      <c r="L2532">
        <v>303</v>
      </c>
      <c r="M2532">
        <v>551</v>
      </c>
      <c r="N2532">
        <v>1030</v>
      </c>
      <c r="O2532">
        <v>68.3</v>
      </c>
      <c r="P2532">
        <v>7</v>
      </c>
    </row>
    <row r="2533" spans="1:16">
      <c r="A2533" s="1" t="s">
        <v>16</v>
      </c>
      <c r="B2533" s="1" t="s">
        <v>2553</v>
      </c>
      <c r="C2533" s="1" t="s">
        <v>38</v>
      </c>
      <c r="D2533" s="1" t="s">
        <v>5503</v>
      </c>
      <c r="E2533" s="1" t="s">
        <v>2252</v>
      </c>
      <c r="F2533">
        <v>16370</v>
      </c>
      <c r="G2533">
        <v>15130</v>
      </c>
      <c r="H2533">
        <v>68300</v>
      </c>
      <c r="I2533">
        <v>3643</v>
      </c>
      <c r="J2533">
        <v>1341</v>
      </c>
      <c r="K2533">
        <v>3640</v>
      </c>
      <c r="L2533">
        <v>207.6</v>
      </c>
      <c r="M2533">
        <v>337</v>
      </c>
      <c r="N2533">
        <v>800</v>
      </c>
      <c r="O2533">
        <v>50.3</v>
      </c>
      <c r="P2533">
        <v>5.6</v>
      </c>
    </row>
    <row r="2534" spans="1:16">
      <c r="A2534" s="1" t="s">
        <v>16</v>
      </c>
      <c r="B2534" s="1" t="s">
        <v>2554</v>
      </c>
      <c r="C2534" s="1" t="s">
        <v>38</v>
      </c>
      <c r="D2534" s="1" t="s">
        <v>5503</v>
      </c>
      <c r="E2534" s="1" t="s">
        <v>2252</v>
      </c>
      <c r="F2534">
        <v>15650</v>
      </c>
      <c r="G2534">
        <v>14320</v>
      </c>
      <c r="H2534">
        <v>68600</v>
      </c>
      <c r="I2534">
        <v>3620</v>
      </c>
      <c r="J2534">
        <v>907</v>
      </c>
      <c r="K2534">
        <v>3670</v>
      </c>
      <c r="L2534">
        <v>201.8</v>
      </c>
      <c r="M2534">
        <v>331</v>
      </c>
      <c r="N2534">
        <v>716</v>
      </c>
      <c r="O2534">
        <v>45.7</v>
      </c>
      <c r="P2534">
        <v>4.26</v>
      </c>
    </row>
    <row r="2535" spans="1:16">
      <c r="A2535" s="1" t="s">
        <v>16</v>
      </c>
      <c r="B2535" s="1" t="s">
        <v>2555</v>
      </c>
      <c r="C2535" s="1" t="s">
        <v>38</v>
      </c>
      <c r="D2535" s="1" t="s">
        <v>5503</v>
      </c>
      <c r="E2535" s="1" t="s">
        <v>2252</v>
      </c>
      <c r="F2535">
        <v>8120</v>
      </c>
      <c r="G2535">
        <v>10820</v>
      </c>
      <c r="H2535">
        <v>75800</v>
      </c>
      <c r="I2535">
        <v>4260</v>
      </c>
      <c r="J2535">
        <v>2730</v>
      </c>
      <c r="K2535">
        <v>3160</v>
      </c>
      <c r="L2535">
        <v>274</v>
      </c>
      <c r="M2535">
        <v>565</v>
      </c>
      <c r="N2535">
        <v>870</v>
      </c>
      <c r="O2535">
        <v>60.4</v>
      </c>
      <c r="P2535">
        <v>6.7</v>
      </c>
    </row>
    <row r="2536" spans="1:16">
      <c r="A2536" s="1" t="s">
        <v>16</v>
      </c>
      <c r="B2536" s="1" t="s">
        <v>2556</v>
      </c>
      <c r="C2536" s="1" t="s">
        <v>38</v>
      </c>
      <c r="D2536" s="1" t="s">
        <v>5503</v>
      </c>
      <c r="E2536" s="1" t="s">
        <v>2252</v>
      </c>
      <c r="F2536">
        <v>16900</v>
      </c>
      <c r="G2536">
        <v>14330</v>
      </c>
      <c r="H2536">
        <v>73200</v>
      </c>
      <c r="I2536">
        <v>4270</v>
      </c>
      <c r="J2536">
        <v>2790</v>
      </c>
      <c r="K2536">
        <v>3280</v>
      </c>
      <c r="L2536">
        <v>274</v>
      </c>
      <c r="M2536">
        <v>615</v>
      </c>
      <c r="N2536">
        <v>1100</v>
      </c>
      <c r="O2536">
        <v>67.599999999999994</v>
      </c>
      <c r="P2536">
        <v>9</v>
      </c>
    </row>
    <row r="2537" spans="1:16">
      <c r="A2537" s="1" t="s">
        <v>16</v>
      </c>
      <c r="B2537" s="1" t="s">
        <v>2557</v>
      </c>
      <c r="C2537" s="1" t="s">
        <v>38</v>
      </c>
      <c r="D2537" s="1" t="s">
        <v>5503</v>
      </c>
      <c r="E2537" s="1" t="s">
        <v>2252</v>
      </c>
      <c r="F2537">
        <v>14900</v>
      </c>
      <c r="G2537">
        <v>13520</v>
      </c>
      <c r="H2537">
        <v>72600</v>
      </c>
      <c r="I2537">
        <v>4090</v>
      </c>
      <c r="J2537">
        <v>3032</v>
      </c>
      <c r="K2537">
        <v>3005</v>
      </c>
      <c r="L2537">
        <v>263</v>
      </c>
      <c r="M2537">
        <v>542</v>
      </c>
      <c r="N2537">
        <v>744</v>
      </c>
      <c r="O2537">
        <v>56.2</v>
      </c>
      <c r="P2537">
        <v>5.58</v>
      </c>
    </row>
    <row r="2538" spans="1:16">
      <c r="A2538" s="1" t="s">
        <v>16</v>
      </c>
      <c r="B2538" s="1" t="s">
        <v>2558</v>
      </c>
      <c r="C2538" s="1" t="s">
        <v>38</v>
      </c>
      <c r="D2538" s="1" t="s">
        <v>5503</v>
      </c>
      <c r="E2538" s="1" t="s">
        <v>2252</v>
      </c>
      <c r="F2538">
        <v>9310</v>
      </c>
      <c r="G2538">
        <v>10710</v>
      </c>
      <c r="H2538">
        <v>75200</v>
      </c>
      <c r="I2538">
        <v>4090</v>
      </c>
      <c r="J2538">
        <v>2670</v>
      </c>
      <c r="K2538">
        <v>2840</v>
      </c>
      <c r="L2538">
        <v>266</v>
      </c>
      <c r="M2538">
        <v>546</v>
      </c>
      <c r="N2538">
        <v>785</v>
      </c>
      <c r="O2538">
        <v>54.8</v>
      </c>
      <c r="P2538">
        <v>5.6</v>
      </c>
    </row>
    <row r="2539" spans="1:16">
      <c r="A2539" s="1" t="s">
        <v>16</v>
      </c>
      <c r="B2539" s="1" t="s">
        <v>2559</v>
      </c>
      <c r="C2539" s="1" t="s">
        <v>38</v>
      </c>
      <c r="D2539" s="1" t="s">
        <v>5503</v>
      </c>
      <c r="E2539" s="1" t="s">
        <v>2252</v>
      </c>
      <c r="F2539">
        <v>17500</v>
      </c>
      <c r="G2539">
        <v>16480</v>
      </c>
      <c r="H2539">
        <v>77200</v>
      </c>
      <c r="I2539">
        <v>4490</v>
      </c>
      <c r="J2539">
        <v>2970</v>
      </c>
      <c r="K2539">
        <v>2800</v>
      </c>
      <c r="L2539">
        <v>282</v>
      </c>
      <c r="M2539">
        <v>601</v>
      </c>
      <c r="N2539">
        <v>976</v>
      </c>
      <c r="O2539">
        <v>60</v>
      </c>
      <c r="P2539">
        <v>5.2</v>
      </c>
    </row>
    <row r="2540" spans="1:16">
      <c r="A2540" s="1" t="s">
        <v>16</v>
      </c>
      <c r="B2540" s="1" t="s">
        <v>2560</v>
      </c>
      <c r="C2540" s="1" t="s">
        <v>38</v>
      </c>
      <c r="D2540" s="1" t="s">
        <v>5503</v>
      </c>
      <c r="E2540" s="1" t="s">
        <v>2252</v>
      </c>
      <c r="F2540">
        <v>45900</v>
      </c>
      <c r="G2540">
        <v>19900</v>
      </c>
      <c r="H2540">
        <v>78600</v>
      </c>
      <c r="I2540">
        <v>4850</v>
      </c>
      <c r="J2540">
        <v>2930</v>
      </c>
      <c r="K2540">
        <v>3170</v>
      </c>
      <c r="L2540">
        <v>260</v>
      </c>
      <c r="M2540">
        <v>588</v>
      </c>
      <c r="N2540">
        <v>1060</v>
      </c>
      <c r="O2540">
        <v>66.5</v>
      </c>
      <c r="P2540">
        <v>6.7</v>
      </c>
    </row>
    <row r="2541" spans="1:16">
      <c r="A2541" s="1" t="s">
        <v>16</v>
      </c>
      <c r="B2541" s="1" t="s">
        <v>2561</v>
      </c>
      <c r="C2541" s="1" t="s">
        <v>38</v>
      </c>
      <c r="D2541" s="1" t="s">
        <v>5503</v>
      </c>
      <c r="E2541" s="1" t="s">
        <v>2252</v>
      </c>
      <c r="F2541">
        <v>7300</v>
      </c>
      <c r="G2541">
        <v>195000</v>
      </c>
      <c r="H2541">
        <v>75500</v>
      </c>
      <c r="I2541">
        <v>4300</v>
      </c>
      <c r="J2541">
        <v>3120</v>
      </c>
      <c r="K2541">
        <v>1730</v>
      </c>
      <c r="L2541">
        <v>246</v>
      </c>
      <c r="M2541">
        <v>588</v>
      </c>
      <c r="N2541">
        <v>986</v>
      </c>
      <c r="O2541">
        <v>106</v>
      </c>
      <c r="P2541">
        <v>11.9</v>
      </c>
    </row>
    <row r="2542" spans="1:16">
      <c r="A2542" s="1" t="s">
        <v>16</v>
      </c>
      <c r="B2542" s="1" t="s">
        <v>2562</v>
      </c>
      <c r="C2542" s="1" t="s">
        <v>38</v>
      </c>
      <c r="D2542" s="1" t="s">
        <v>5503</v>
      </c>
      <c r="E2542" s="1" t="s">
        <v>2252</v>
      </c>
      <c r="F2542">
        <v>16110</v>
      </c>
      <c r="G2542">
        <v>23200</v>
      </c>
      <c r="H2542">
        <v>74000</v>
      </c>
      <c r="I2542">
        <v>4300</v>
      </c>
      <c r="J2542">
        <v>3140</v>
      </c>
      <c r="K2542">
        <v>3200</v>
      </c>
      <c r="L2542">
        <v>259</v>
      </c>
      <c r="M2542">
        <v>608</v>
      </c>
      <c r="N2542">
        <v>961</v>
      </c>
      <c r="O2542">
        <v>61.2</v>
      </c>
      <c r="P2542">
        <v>4.5</v>
      </c>
    </row>
    <row r="2543" spans="1:16">
      <c r="A2543" s="1" t="s">
        <v>16</v>
      </c>
      <c r="B2543" s="1" t="s">
        <v>2563</v>
      </c>
      <c r="C2543" s="1" t="s">
        <v>38</v>
      </c>
      <c r="D2543" s="1" t="s">
        <v>5503</v>
      </c>
      <c r="E2543" s="1" t="s">
        <v>2252</v>
      </c>
      <c r="F2543">
        <v>12990</v>
      </c>
      <c r="G2543">
        <v>11300</v>
      </c>
      <c r="H2543">
        <v>65800</v>
      </c>
      <c r="I2543">
        <v>3688</v>
      </c>
      <c r="J2543">
        <v>1063</v>
      </c>
      <c r="K2543">
        <v>3318</v>
      </c>
      <c r="L2543">
        <v>206.4</v>
      </c>
      <c r="M2543">
        <v>345</v>
      </c>
      <c r="N2543">
        <v>678</v>
      </c>
      <c r="O2543">
        <v>48.6</v>
      </c>
      <c r="P2543">
        <v>5.34</v>
      </c>
    </row>
    <row r="2544" spans="1:16">
      <c r="A2544" s="1" t="s">
        <v>16</v>
      </c>
      <c r="B2544" s="1" t="s">
        <v>2564</v>
      </c>
      <c r="C2544" s="1" t="s">
        <v>38</v>
      </c>
      <c r="D2544" s="1" t="s">
        <v>5503</v>
      </c>
      <c r="E2544" s="1" t="s">
        <v>2252</v>
      </c>
      <c r="F2544">
        <v>11100</v>
      </c>
      <c r="G2544">
        <v>17780</v>
      </c>
      <c r="H2544">
        <v>59500</v>
      </c>
      <c r="I2544">
        <v>3570</v>
      </c>
      <c r="J2544">
        <v>692</v>
      </c>
      <c r="K2544">
        <v>817</v>
      </c>
      <c r="L2544">
        <v>156.19999999999999</v>
      </c>
      <c r="M2544">
        <v>489</v>
      </c>
      <c r="N2544">
        <v>966</v>
      </c>
      <c r="O2544">
        <v>49.5</v>
      </c>
      <c r="P2544">
        <v>4.1900000000000004</v>
      </c>
    </row>
    <row r="2545" spans="1:16">
      <c r="A2545" s="1" t="s">
        <v>16</v>
      </c>
      <c r="B2545" s="1" t="s">
        <v>2565</v>
      </c>
      <c r="C2545" s="1" t="s">
        <v>38</v>
      </c>
      <c r="D2545" s="1" t="s">
        <v>5503</v>
      </c>
      <c r="E2545" s="1" t="s">
        <v>2252</v>
      </c>
      <c r="F2545">
        <v>11680</v>
      </c>
      <c r="G2545">
        <v>18560</v>
      </c>
      <c r="H2545">
        <v>62600</v>
      </c>
      <c r="I2545">
        <v>3580</v>
      </c>
      <c r="J2545">
        <v>665</v>
      </c>
      <c r="K2545">
        <v>826</v>
      </c>
      <c r="L2545">
        <v>165.3</v>
      </c>
      <c r="M2545">
        <v>508</v>
      </c>
      <c r="N2545">
        <v>838</v>
      </c>
      <c r="O2545">
        <v>51.7</v>
      </c>
      <c r="P2545">
        <v>3.89</v>
      </c>
    </row>
    <row r="2546" spans="1:16">
      <c r="A2546" s="1" t="s">
        <v>16</v>
      </c>
      <c r="B2546" s="1" t="s">
        <v>2566</v>
      </c>
      <c r="C2546" s="1" t="s">
        <v>38</v>
      </c>
      <c r="D2546" s="1" t="s">
        <v>5503</v>
      </c>
      <c r="E2546" s="1" t="s">
        <v>2252</v>
      </c>
      <c r="F2546">
        <v>12150</v>
      </c>
      <c r="G2546">
        <v>18430</v>
      </c>
      <c r="H2546">
        <v>61100</v>
      </c>
      <c r="I2546">
        <v>3516</v>
      </c>
      <c r="J2546">
        <v>690</v>
      </c>
      <c r="K2546">
        <v>841</v>
      </c>
      <c r="L2546">
        <v>170.9</v>
      </c>
      <c r="M2546">
        <v>508</v>
      </c>
      <c r="N2546">
        <v>816</v>
      </c>
      <c r="O2546">
        <v>54</v>
      </c>
      <c r="P2546">
        <v>4.03</v>
      </c>
    </row>
    <row r="2547" spans="1:16">
      <c r="A2547" s="1" t="s">
        <v>16</v>
      </c>
      <c r="B2547" s="1" t="s">
        <v>2567</v>
      </c>
      <c r="C2547" s="1" t="s">
        <v>38</v>
      </c>
      <c r="D2547" s="1" t="s">
        <v>5503</v>
      </c>
      <c r="E2547" s="1" t="s">
        <v>2252</v>
      </c>
      <c r="F2547">
        <v>8490</v>
      </c>
      <c r="G2547">
        <v>18450</v>
      </c>
      <c r="H2547">
        <v>60800</v>
      </c>
      <c r="I2547">
        <v>3630</v>
      </c>
      <c r="J2547">
        <v>657</v>
      </c>
      <c r="K2547">
        <v>845</v>
      </c>
      <c r="L2547">
        <v>158.69999999999999</v>
      </c>
      <c r="M2547">
        <v>506</v>
      </c>
      <c r="N2547">
        <v>966</v>
      </c>
      <c r="O2547">
        <v>51.8</v>
      </c>
      <c r="P2547">
        <v>3.6</v>
      </c>
    </row>
    <row r="2548" spans="1:16">
      <c r="A2548" s="1" t="s">
        <v>16</v>
      </c>
      <c r="B2548" s="1" t="s">
        <v>2568</v>
      </c>
      <c r="C2548" s="1" t="s">
        <v>38</v>
      </c>
      <c r="D2548" s="1" t="s">
        <v>5503</v>
      </c>
      <c r="E2548" s="1" t="s">
        <v>2252</v>
      </c>
      <c r="F2548">
        <v>9670</v>
      </c>
      <c r="G2548">
        <v>18910</v>
      </c>
      <c r="H2548">
        <v>63900</v>
      </c>
      <c r="I2548">
        <v>3720</v>
      </c>
      <c r="J2548">
        <v>663</v>
      </c>
      <c r="K2548">
        <v>852</v>
      </c>
      <c r="L2548">
        <v>158.80000000000001</v>
      </c>
      <c r="M2548">
        <v>525</v>
      </c>
      <c r="N2548">
        <v>1044</v>
      </c>
      <c r="O2548">
        <v>52</v>
      </c>
      <c r="P2548">
        <v>3.96</v>
      </c>
    </row>
    <row r="2549" spans="1:16">
      <c r="A2549" s="1" t="s">
        <v>16</v>
      </c>
      <c r="B2549" s="1" t="s">
        <v>2569</v>
      </c>
      <c r="C2549" s="1" t="s">
        <v>38</v>
      </c>
      <c r="D2549" s="1" t="s">
        <v>5503</v>
      </c>
      <c r="E2549" s="1" t="s">
        <v>2252</v>
      </c>
      <c r="F2549">
        <v>11370</v>
      </c>
      <c r="G2549">
        <v>17130</v>
      </c>
      <c r="H2549">
        <v>64800</v>
      </c>
      <c r="I2549">
        <v>3990</v>
      </c>
      <c r="J2549">
        <v>881</v>
      </c>
      <c r="K2549">
        <v>823</v>
      </c>
      <c r="L2549">
        <v>154.5</v>
      </c>
      <c r="M2549">
        <v>362</v>
      </c>
      <c r="N2549">
        <v>1086</v>
      </c>
      <c r="O2549">
        <v>50.5</v>
      </c>
      <c r="P2549">
        <v>4.47</v>
      </c>
    </row>
    <row r="2550" spans="1:16">
      <c r="A2550" s="1" t="s">
        <v>16</v>
      </c>
      <c r="B2550" s="1" t="s">
        <v>2570</v>
      </c>
      <c r="C2550" s="1" t="s">
        <v>38</v>
      </c>
      <c r="D2550" s="1" t="s">
        <v>5503</v>
      </c>
      <c r="E2550" s="1" t="s">
        <v>2252</v>
      </c>
      <c r="F2550">
        <v>11280</v>
      </c>
      <c r="G2550">
        <v>16900</v>
      </c>
      <c r="H2550">
        <v>64200</v>
      </c>
      <c r="I2550">
        <v>3980</v>
      </c>
      <c r="J2550">
        <v>924</v>
      </c>
      <c r="K2550">
        <v>939</v>
      </c>
      <c r="L2550">
        <v>157.80000000000001</v>
      </c>
      <c r="M2550">
        <v>364</v>
      </c>
      <c r="N2550">
        <v>1014</v>
      </c>
      <c r="O2550">
        <v>50.8</v>
      </c>
      <c r="P2550">
        <v>4.6399999999999997</v>
      </c>
    </row>
    <row r="2551" spans="1:16">
      <c r="A2551" s="1" t="s">
        <v>16</v>
      </c>
      <c r="B2551" s="1" t="s">
        <v>2571</v>
      </c>
      <c r="C2551" s="1" t="s">
        <v>38</v>
      </c>
      <c r="D2551" s="1" t="s">
        <v>5503</v>
      </c>
      <c r="E2551" s="1" t="s">
        <v>2252</v>
      </c>
      <c r="F2551">
        <v>8900</v>
      </c>
      <c r="G2551">
        <v>17130</v>
      </c>
      <c r="H2551">
        <v>67400</v>
      </c>
      <c r="I2551">
        <v>4094</v>
      </c>
      <c r="J2551">
        <v>931</v>
      </c>
      <c r="K2551">
        <v>906</v>
      </c>
      <c r="L2551">
        <v>153.6</v>
      </c>
      <c r="M2551">
        <v>363</v>
      </c>
      <c r="N2551">
        <v>1092</v>
      </c>
      <c r="O2551">
        <v>52.7</v>
      </c>
      <c r="P2551">
        <v>4.75</v>
      </c>
    </row>
    <row r="2552" spans="1:16">
      <c r="A2552" s="1" t="s">
        <v>16</v>
      </c>
      <c r="B2552" s="1" t="s">
        <v>2572</v>
      </c>
      <c r="C2552" s="1" t="s">
        <v>38</v>
      </c>
      <c r="D2552" s="1" t="s">
        <v>5503</v>
      </c>
      <c r="E2552" s="1" t="s">
        <v>2252</v>
      </c>
      <c r="F2552">
        <v>6810</v>
      </c>
      <c r="G2552">
        <v>16420</v>
      </c>
      <c r="H2552">
        <v>63400</v>
      </c>
      <c r="I2552">
        <v>3916</v>
      </c>
      <c r="J2552">
        <v>947</v>
      </c>
      <c r="K2552">
        <v>925</v>
      </c>
      <c r="L2552">
        <v>153.9</v>
      </c>
      <c r="M2552">
        <v>337</v>
      </c>
      <c r="N2552">
        <v>1177</v>
      </c>
      <c r="O2552">
        <v>50.3</v>
      </c>
      <c r="P2552">
        <v>4.63</v>
      </c>
    </row>
    <row r="2553" spans="1:16">
      <c r="A2553" s="1" t="s">
        <v>16</v>
      </c>
      <c r="B2553" s="1" t="s">
        <v>2573</v>
      </c>
      <c r="C2553" s="1" t="s">
        <v>38</v>
      </c>
      <c r="D2553" s="1" t="s">
        <v>5503</v>
      </c>
      <c r="E2553" s="1" t="s">
        <v>2252</v>
      </c>
      <c r="F2553">
        <v>5840</v>
      </c>
      <c r="G2553">
        <v>16620</v>
      </c>
      <c r="H2553">
        <v>66000</v>
      </c>
      <c r="I2553">
        <v>3980</v>
      </c>
      <c r="J2553">
        <v>892</v>
      </c>
      <c r="K2553">
        <v>934</v>
      </c>
      <c r="L2553">
        <v>149.6</v>
      </c>
      <c r="M2553">
        <v>361</v>
      </c>
      <c r="N2553">
        <v>1500</v>
      </c>
      <c r="O2553">
        <v>52.8</v>
      </c>
      <c r="P2553">
        <v>4.6900000000000004</v>
      </c>
    </row>
    <row r="2554" spans="1:16">
      <c r="A2554" s="1" t="s">
        <v>16</v>
      </c>
      <c r="B2554" s="1" t="s">
        <v>2574</v>
      </c>
      <c r="C2554" s="1" t="s">
        <v>38</v>
      </c>
      <c r="D2554" s="1" t="s">
        <v>5503</v>
      </c>
      <c r="E2554" s="1" t="s">
        <v>2252</v>
      </c>
      <c r="F2554">
        <v>3130</v>
      </c>
      <c r="G2554">
        <v>15510</v>
      </c>
      <c r="H2554">
        <v>59400</v>
      </c>
      <c r="I2554">
        <v>3910</v>
      </c>
      <c r="J2554">
        <v>795</v>
      </c>
      <c r="K2554">
        <v>783</v>
      </c>
      <c r="L2554">
        <v>158.19999999999999</v>
      </c>
      <c r="M2554">
        <v>354</v>
      </c>
      <c r="N2554">
        <v>1614</v>
      </c>
      <c r="O2554">
        <v>53.6</v>
      </c>
      <c r="P2554">
        <v>5.55</v>
      </c>
    </row>
    <row r="2555" spans="1:16">
      <c r="A2555" s="1" t="s">
        <v>16</v>
      </c>
      <c r="B2555" s="1" t="s">
        <v>2575</v>
      </c>
      <c r="C2555" s="1" t="s">
        <v>38</v>
      </c>
      <c r="D2555" s="1" t="s">
        <v>5503</v>
      </c>
      <c r="E2555" s="1" t="s">
        <v>2252</v>
      </c>
      <c r="F2555">
        <v>839</v>
      </c>
      <c r="G2555">
        <v>9620</v>
      </c>
      <c r="H2555">
        <v>76600</v>
      </c>
      <c r="I2555">
        <v>4530</v>
      </c>
      <c r="J2555">
        <v>1058</v>
      </c>
      <c r="K2555">
        <v>872</v>
      </c>
      <c r="L2555">
        <v>141.30000000000001</v>
      </c>
      <c r="M2555">
        <v>355</v>
      </c>
      <c r="N2555">
        <v>2182</v>
      </c>
      <c r="O2555">
        <v>52.1</v>
      </c>
      <c r="P2555">
        <v>6.19</v>
      </c>
    </row>
    <row r="2556" spans="1:16">
      <c r="A2556" s="1" t="s">
        <v>16</v>
      </c>
      <c r="B2556" s="1" t="s">
        <v>2576</v>
      </c>
      <c r="C2556" s="1" t="s">
        <v>38</v>
      </c>
      <c r="D2556" s="1" t="s">
        <v>5503</v>
      </c>
      <c r="E2556" s="1" t="s">
        <v>2252</v>
      </c>
      <c r="F2556">
        <v>2287</v>
      </c>
      <c r="G2556">
        <v>15490</v>
      </c>
      <c r="H2556">
        <v>63900</v>
      </c>
      <c r="I2556">
        <v>3465</v>
      </c>
      <c r="J2556">
        <v>304</v>
      </c>
      <c r="K2556">
        <v>842</v>
      </c>
      <c r="L2556">
        <v>175.8</v>
      </c>
      <c r="M2556">
        <v>422</v>
      </c>
      <c r="N2556">
        <v>1473</v>
      </c>
      <c r="O2556">
        <v>52.1</v>
      </c>
      <c r="P2556">
        <v>5.8</v>
      </c>
    </row>
    <row r="2557" spans="1:16">
      <c r="A2557" s="1" t="s">
        <v>16</v>
      </c>
      <c r="B2557" s="1" t="s">
        <v>2577</v>
      </c>
      <c r="C2557" s="1" t="s">
        <v>38</v>
      </c>
      <c r="D2557" s="1" t="s">
        <v>5503</v>
      </c>
      <c r="E2557" s="1" t="s">
        <v>2252</v>
      </c>
      <c r="F2557">
        <v>2480</v>
      </c>
      <c r="G2557">
        <v>16430</v>
      </c>
      <c r="H2557">
        <v>60800</v>
      </c>
      <c r="I2557">
        <v>3540</v>
      </c>
      <c r="J2557">
        <v>93</v>
      </c>
      <c r="K2557">
        <v>511</v>
      </c>
      <c r="L2557">
        <v>197</v>
      </c>
      <c r="M2557">
        <v>421</v>
      </c>
      <c r="N2557">
        <v>2560</v>
      </c>
      <c r="O2557">
        <v>62.3</v>
      </c>
      <c r="P2557">
        <v>6.1</v>
      </c>
    </row>
    <row r="2558" spans="1:16">
      <c r="A2558" s="1" t="s">
        <v>16</v>
      </c>
      <c r="B2558" s="1" t="s">
        <v>2578</v>
      </c>
      <c r="C2558" s="1" t="s">
        <v>38</v>
      </c>
      <c r="D2558" s="1" t="s">
        <v>5503</v>
      </c>
      <c r="E2558" s="1" t="s">
        <v>2252</v>
      </c>
      <c r="F2558">
        <v>2073</v>
      </c>
      <c r="G2558">
        <v>16200</v>
      </c>
      <c r="H2558">
        <v>63000</v>
      </c>
      <c r="I2558">
        <v>3496</v>
      </c>
      <c r="J2558">
        <v>225</v>
      </c>
      <c r="K2558">
        <v>611</v>
      </c>
      <c r="L2558">
        <v>176.8</v>
      </c>
      <c r="M2558">
        <v>429</v>
      </c>
      <c r="N2558">
        <v>1874</v>
      </c>
      <c r="O2558">
        <v>53.9</v>
      </c>
      <c r="P2558">
        <v>5.7</v>
      </c>
    </row>
    <row r="2559" spans="1:16">
      <c r="A2559" s="1" t="s">
        <v>16</v>
      </c>
      <c r="B2559" s="1" t="s">
        <v>2579</v>
      </c>
      <c r="C2559" s="1" t="s">
        <v>38</v>
      </c>
      <c r="D2559" s="1" t="s">
        <v>5503</v>
      </c>
      <c r="E2559" s="1" t="s">
        <v>2252</v>
      </c>
      <c r="F2559">
        <v>3270</v>
      </c>
      <c r="G2559">
        <v>16610</v>
      </c>
      <c r="H2559">
        <v>64100</v>
      </c>
      <c r="I2559">
        <v>3515</v>
      </c>
      <c r="J2559">
        <v>64.8</v>
      </c>
      <c r="K2559">
        <v>1118</v>
      </c>
      <c r="L2559">
        <v>186.7</v>
      </c>
      <c r="M2559">
        <v>445</v>
      </c>
      <c r="N2559">
        <v>1108</v>
      </c>
      <c r="O2559">
        <v>51.9</v>
      </c>
      <c r="P2559">
        <v>5.51</v>
      </c>
    </row>
    <row r="2560" spans="1:16">
      <c r="A2560" s="1" t="s">
        <v>16</v>
      </c>
      <c r="B2560" s="1" t="s">
        <v>2580</v>
      </c>
      <c r="C2560" s="1" t="s">
        <v>38</v>
      </c>
      <c r="D2560" s="1" t="s">
        <v>5503</v>
      </c>
      <c r="E2560" s="1" t="s">
        <v>2252</v>
      </c>
      <c r="F2560">
        <v>7250</v>
      </c>
      <c r="G2560">
        <v>14360</v>
      </c>
      <c r="H2560">
        <v>55900</v>
      </c>
      <c r="I2560">
        <v>3252</v>
      </c>
      <c r="J2560" s="11">
        <f t="shared" ref="J2560:J2565" si="66">9.87/2</f>
        <v>4.9349999999999996</v>
      </c>
      <c r="K2560">
        <v>1110</v>
      </c>
      <c r="L2560">
        <v>175.7</v>
      </c>
      <c r="M2560">
        <v>381</v>
      </c>
      <c r="N2560">
        <v>915</v>
      </c>
      <c r="O2560">
        <v>51.5</v>
      </c>
      <c r="P2560">
        <v>5.0999999999999996</v>
      </c>
    </row>
    <row r="2561" spans="1:16">
      <c r="A2561" s="1" t="s">
        <v>16</v>
      </c>
      <c r="B2561" s="1" t="s">
        <v>2581</v>
      </c>
      <c r="C2561" s="1" t="s">
        <v>38</v>
      </c>
      <c r="D2561" s="1" t="s">
        <v>5503</v>
      </c>
      <c r="E2561" s="1" t="s">
        <v>2252</v>
      </c>
      <c r="F2561">
        <v>6210</v>
      </c>
      <c r="G2561">
        <v>16030</v>
      </c>
      <c r="H2561">
        <v>53800</v>
      </c>
      <c r="I2561">
        <v>3261</v>
      </c>
      <c r="J2561" s="11">
        <f t="shared" si="66"/>
        <v>4.9349999999999996</v>
      </c>
      <c r="K2561">
        <v>827</v>
      </c>
      <c r="L2561">
        <v>165.6</v>
      </c>
      <c r="M2561">
        <v>390</v>
      </c>
      <c r="N2561">
        <v>1047</v>
      </c>
      <c r="O2561">
        <v>52.9</v>
      </c>
      <c r="P2561">
        <v>4.55</v>
      </c>
    </row>
    <row r="2562" spans="1:16">
      <c r="A2562" s="1" t="s">
        <v>16</v>
      </c>
      <c r="B2562" s="1" t="s">
        <v>2582</v>
      </c>
      <c r="C2562" s="1" t="s">
        <v>38</v>
      </c>
      <c r="D2562" s="1" t="s">
        <v>5503</v>
      </c>
      <c r="E2562" s="1" t="s">
        <v>2252</v>
      </c>
      <c r="F2562">
        <v>4920</v>
      </c>
      <c r="G2562">
        <v>14220</v>
      </c>
      <c r="H2562">
        <v>42270</v>
      </c>
      <c r="I2562">
        <v>2709</v>
      </c>
      <c r="J2562" s="11">
        <f t="shared" si="66"/>
        <v>4.9349999999999996</v>
      </c>
      <c r="K2562">
        <v>509</v>
      </c>
      <c r="L2562">
        <v>143.4</v>
      </c>
      <c r="M2562">
        <v>311</v>
      </c>
      <c r="N2562">
        <v>850</v>
      </c>
      <c r="O2562">
        <v>45.9</v>
      </c>
      <c r="P2562">
        <v>3.82</v>
      </c>
    </row>
    <row r="2563" spans="1:16">
      <c r="A2563" s="1" t="s">
        <v>16</v>
      </c>
      <c r="B2563" s="1" t="s">
        <v>2583</v>
      </c>
      <c r="C2563" s="1" t="s">
        <v>38</v>
      </c>
      <c r="D2563" s="1" t="s">
        <v>5503</v>
      </c>
      <c r="E2563" s="1" t="s">
        <v>2252</v>
      </c>
      <c r="F2563">
        <v>12840</v>
      </c>
      <c r="G2563">
        <v>17000</v>
      </c>
      <c r="H2563">
        <v>49500</v>
      </c>
      <c r="I2563">
        <v>3244</v>
      </c>
      <c r="J2563" s="11">
        <f t="shared" si="66"/>
        <v>4.9349999999999996</v>
      </c>
      <c r="K2563">
        <v>1061</v>
      </c>
      <c r="L2563">
        <v>196.8</v>
      </c>
      <c r="M2563">
        <v>362</v>
      </c>
      <c r="N2563">
        <v>586</v>
      </c>
      <c r="O2563">
        <v>54</v>
      </c>
      <c r="P2563">
        <v>3.94</v>
      </c>
    </row>
    <row r="2564" spans="1:16">
      <c r="A2564" s="1" t="s">
        <v>16</v>
      </c>
      <c r="B2564" s="1" t="s">
        <v>2584</v>
      </c>
      <c r="C2564" s="1" t="s">
        <v>38</v>
      </c>
      <c r="D2564" s="1" t="s">
        <v>5503</v>
      </c>
      <c r="E2564" s="1" t="s">
        <v>2252</v>
      </c>
      <c r="F2564">
        <v>15060</v>
      </c>
      <c r="G2564">
        <v>16630</v>
      </c>
      <c r="H2564">
        <v>39700</v>
      </c>
      <c r="I2564">
        <v>3084</v>
      </c>
      <c r="J2564" s="11">
        <f t="shared" si="66"/>
        <v>4.9349999999999996</v>
      </c>
      <c r="K2564">
        <v>1226</v>
      </c>
      <c r="L2564">
        <v>187.7</v>
      </c>
      <c r="M2564">
        <v>329</v>
      </c>
      <c r="N2564">
        <v>584</v>
      </c>
      <c r="O2564">
        <v>53.6</v>
      </c>
      <c r="P2564">
        <v>4.5999999999999996</v>
      </c>
    </row>
    <row r="2565" spans="1:16">
      <c r="A2565" s="1" t="s">
        <v>16</v>
      </c>
      <c r="B2565" s="1" t="s">
        <v>2585</v>
      </c>
      <c r="C2565" s="1" t="s">
        <v>38</v>
      </c>
      <c r="D2565" s="1" t="s">
        <v>5503</v>
      </c>
      <c r="E2565" s="1" t="s">
        <v>2252</v>
      </c>
      <c r="F2565">
        <v>11230</v>
      </c>
      <c r="G2565">
        <v>17570</v>
      </c>
      <c r="H2565">
        <v>27300</v>
      </c>
      <c r="I2565">
        <v>2638</v>
      </c>
      <c r="J2565" s="11">
        <f t="shared" si="66"/>
        <v>4.9349999999999996</v>
      </c>
      <c r="K2565">
        <v>1711</v>
      </c>
      <c r="L2565">
        <v>156.9</v>
      </c>
      <c r="M2565">
        <v>272</v>
      </c>
      <c r="N2565">
        <v>488</v>
      </c>
      <c r="O2565">
        <v>50.2</v>
      </c>
      <c r="P2565">
        <v>3.96</v>
      </c>
    </row>
    <row r="2566" spans="1:16">
      <c r="A2566" s="1" t="s">
        <v>16</v>
      </c>
      <c r="B2566" s="1" t="s">
        <v>2586</v>
      </c>
      <c r="C2566" s="1" t="s">
        <v>38</v>
      </c>
      <c r="D2566" s="1" t="s">
        <v>5503</v>
      </c>
      <c r="E2566" s="1" t="s">
        <v>2252</v>
      </c>
      <c r="F2566">
        <v>14260</v>
      </c>
      <c r="G2566">
        <v>18510</v>
      </c>
      <c r="H2566">
        <v>28600</v>
      </c>
      <c r="I2566">
        <v>2815</v>
      </c>
      <c r="J2566">
        <v>23.5</v>
      </c>
      <c r="K2566">
        <v>2030</v>
      </c>
      <c r="L2566">
        <v>173.5</v>
      </c>
      <c r="M2566">
        <v>270</v>
      </c>
      <c r="N2566">
        <v>483</v>
      </c>
      <c r="O2566">
        <v>50.7</v>
      </c>
      <c r="P2566">
        <v>5.15</v>
      </c>
    </row>
    <row r="2567" spans="1:16">
      <c r="A2567" s="1" t="s">
        <v>16</v>
      </c>
      <c r="B2567" s="1" t="s">
        <v>2587</v>
      </c>
      <c r="C2567" s="1" t="s">
        <v>38</v>
      </c>
      <c r="D2567" s="1" t="s">
        <v>5503</v>
      </c>
      <c r="E2567" s="1" t="s">
        <v>2252</v>
      </c>
      <c r="F2567">
        <v>13520</v>
      </c>
      <c r="G2567">
        <v>17170</v>
      </c>
      <c r="H2567">
        <v>23910</v>
      </c>
      <c r="I2567">
        <v>2671</v>
      </c>
      <c r="J2567" s="11">
        <f t="shared" ref="J2567:J2569" si="67">9.87/2</f>
        <v>4.9349999999999996</v>
      </c>
      <c r="K2567">
        <v>1871</v>
      </c>
      <c r="L2567">
        <v>167.1</v>
      </c>
      <c r="M2567">
        <v>269</v>
      </c>
      <c r="N2567">
        <v>413</v>
      </c>
      <c r="O2567">
        <v>47.6</v>
      </c>
      <c r="P2567">
        <v>4.28</v>
      </c>
    </row>
    <row r="2568" spans="1:16">
      <c r="A2568" s="1" t="s">
        <v>16</v>
      </c>
      <c r="B2568" s="1" t="s">
        <v>2588</v>
      </c>
      <c r="C2568" s="1" t="s">
        <v>38</v>
      </c>
      <c r="D2568" s="1" t="s">
        <v>5503</v>
      </c>
      <c r="E2568" s="1" t="s">
        <v>2252</v>
      </c>
      <c r="F2568">
        <v>11800</v>
      </c>
      <c r="G2568">
        <v>16900</v>
      </c>
      <c r="H2568">
        <v>20920</v>
      </c>
      <c r="I2568">
        <v>2593</v>
      </c>
      <c r="J2568" s="11">
        <f t="shared" si="67"/>
        <v>4.9349999999999996</v>
      </c>
      <c r="K2568">
        <v>1669</v>
      </c>
      <c r="L2568">
        <v>148.69999999999999</v>
      </c>
      <c r="M2568">
        <v>260</v>
      </c>
      <c r="N2568">
        <v>413</v>
      </c>
      <c r="O2568">
        <v>48.6</v>
      </c>
      <c r="P2568">
        <v>4.3</v>
      </c>
    </row>
    <row r="2569" spans="1:16">
      <c r="A2569" s="1" t="s">
        <v>16</v>
      </c>
      <c r="B2569" s="1" t="s">
        <v>2589</v>
      </c>
      <c r="C2569" s="1" t="s">
        <v>38</v>
      </c>
      <c r="D2569" s="1" t="s">
        <v>5503</v>
      </c>
      <c r="E2569" s="1" t="s">
        <v>2252</v>
      </c>
      <c r="F2569">
        <v>14030</v>
      </c>
      <c r="G2569">
        <v>17840</v>
      </c>
      <c r="H2569">
        <v>27980</v>
      </c>
      <c r="I2569">
        <v>2611</v>
      </c>
      <c r="J2569" s="11">
        <f t="shared" si="67"/>
        <v>4.9349999999999996</v>
      </c>
      <c r="K2569">
        <v>1956</v>
      </c>
      <c r="L2569">
        <v>168.8</v>
      </c>
      <c r="M2569">
        <v>277</v>
      </c>
      <c r="N2569">
        <v>483</v>
      </c>
      <c r="O2569">
        <v>47.5</v>
      </c>
      <c r="P2569">
        <v>4.58</v>
      </c>
    </row>
    <row r="2570" spans="1:16">
      <c r="A2570" s="1" t="s">
        <v>16</v>
      </c>
      <c r="B2570" s="1" t="s">
        <v>2590</v>
      </c>
      <c r="C2570" s="1" t="s">
        <v>38</v>
      </c>
      <c r="D2570" s="1" t="s">
        <v>5503</v>
      </c>
      <c r="E2570" s="1" t="s">
        <v>2252</v>
      </c>
      <c r="F2570">
        <v>9960</v>
      </c>
      <c r="G2570">
        <v>8380</v>
      </c>
      <c r="H2570">
        <v>5660</v>
      </c>
      <c r="I2570">
        <v>1987</v>
      </c>
      <c r="J2570">
        <v>8.5</v>
      </c>
      <c r="K2570">
        <v>1268</v>
      </c>
      <c r="L2570">
        <v>130.9</v>
      </c>
      <c r="M2570">
        <v>228</v>
      </c>
      <c r="N2570">
        <v>221</v>
      </c>
      <c r="O2570">
        <v>33.6</v>
      </c>
      <c r="P2570">
        <v>4.45</v>
      </c>
    </row>
    <row r="2571" spans="1:16">
      <c r="A2571" s="1" t="s">
        <v>16</v>
      </c>
      <c r="B2571" s="1" t="s">
        <v>2591</v>
      </c>
      <c r="C2571" s="1" t="s">
        <v>38</v>
      </c>
      <c r="D2571" s="1" t="s">
        <v>5503</v>
      </c>
      <c r="E2571" s="1" t="s">
        <v>2252</v>
      </c>
      <c r="F2571">
        <v>9740</v>
      </c>
      <c r="G2571">
        <v>9680</v>
      </c>
      <c r="H2571">
        <v>6840</v>
      </c>
      <c r="I2571">
        <v>2165</v>
      </c>
      <c r="J2571">
        <v>7.3</v>
      </c>
      <c r="K2571">
        <v>1363</v>
      </c>
      <c r="L2571">
        <v>135.1</v>
      </c>
      <c r="M2571">
        <v>223</v>
      </c>
      <c r="N2571">
        <v>241</v>
      </c>
      <c r="O2571">
        <v>35.299999999999997</v>
      </c>
      <c r="P2571">
        <v>4.3600000000000003</v>
      </c>
    </row>
    <row r="2572" spans="1:16">
      <c r="A2572" s="1" t="s">
        <v>16</v>
      </c>
      <c r="B2572" s="1" t="s">
        <v>2592</v>
      </c>
      <c r="C2572" s="1" t="s">
        <v>38</v>
      </c>
      <c r="D2572" s="1" t="s">
        <v>5503</v>
      </c>
      <c r="E2572" s="1" t="s">
        <v>2252</v>
      </c>
      <c r="F2572">
        <v>9480</v>
      </c>
      <c r="G2572">
        <v>7660</v>
      </c>
      <c r="H2572">
        <v>4780</v>
      </c>
      <c r="I2572">
        <v>1879</v>
      </c>
      <c r="J2572">
        <v>7.1</v>
      </c>
      <c r="K2572">
        <v>1269</v>
      </c>
      <c r="L2572">
        <v>129.1</v>
      </c>
      <c r="M2572">
        <v>218</v>
      </c>
      <c r="N2572">
        <v>200</v>
      </c>
      <c r="O2572">
        <v>32.5</v>
      </c>
      <c r="P2572">
        <v>4.55</v>
      </c>
    </row>
    <row r="2573" spans="1:16">
      <c r="A2573" s="1" t="s">
        <v>16</v>
      </c>
      <c r="B2573" s="1" t="s">
        <v>2593</v>
      </c>
      <c r="C2573" s="1" t="s">
        <v>38</v>
      </c>
      <c r="D2573" s="1" t="s">
        <v>5503</v>
      </c>
      <c r="E2573" s="1" t="s">
        <v>2252</v>
      </c>
      <c r="F2573">
        <v>9450</v>
      </c>
      <c r="G2573">
        <v>7530</v>
      </c>
      <c r="H2573">
        <v>4920</v>
      </c>
      <c r="I2573">
        <v>1840</v>
      </c>
      <c r="J2573" s="11">
        <f t="shared" ref="J2573:J2574" si="68">9.87/2</f>
        <v>4.9349999999999996</v>
      </c>
      <c r="K2573">
        <v>1258</v>
      </c>
      <c r="L2573">
        <v>128.4</v>
      </c>
      <c r="M2573">
        <v>230</v>
      </c>
      <c r="N2573">
        <v>216</v>
      </c>
      <c r="O2573">
        <v>33.5</v>
      </c>
      <c r="P2573">
        <v>4.46</v>
      </c>
    </row>
    <row r="2574" spans="1:16">
      <c r="A2574" s="1" t="s">
        <v>16</v>
      </c>
      <c r="B2574" s="1" t="s">
        <v>2594</v>
      </c>
      <c r="C2574" s="1" t="s">
        <v>38</v>
      </c>
      <c r="D2574" s="1" t="s">
        <v>5503</v>
      </c>
      <c r="E2574" s="1" t="s">
        <v>2252</v>
      </c>
      <c r="F2574">
        <v>9020</v>
      </c>
      <c r="G2574">
        <v>6820</v>
      </c>
      <c r="H2574">
        <v>4230</v>
      </c>
      <c r="I2574">
        <v>1838</v>
      </c>
      <c r="J2574" s="11">
        <f t="shared" si="68"/>
        <v>4.9349999999999996</v>
      </c>
      <c r="K2574">
        <v>1225</v>
      </c>
      <c r="L2574">
        <v>127.7</v>
      </c>
      <c r="M2574">
        <v>224</v>
      </c>
      <c r="N2574">
        <v>206</v>
      </c>
      <c r="O2574">
        <v>31.9</v>
      </c>
      <c r="P2574">
        <v>4.2300000000000004</v>
      </c>
    </row>
    <row r="2575" spans="1:16">
      <c r="A2575" s="1" t="s">
        <v>2595</v>
      </c>
      <c r="B2575" s="1" t="s">
        <v>2596</v>
      </c>
      <c r="C2575" s="1" t="s">
        <v>38</v>
      </c>
      <c r="D2575" s="1" t="s">
        <v>5561</v>
      </c>
      <c r="E2575" s="1" t="s">
        <v>2597</v>
      </c>
      <c r="F2575">
        <v>1197.79</v>
      </c>
      <c r="G2575">
        <v>99.43</v>
      </c>
      <c r="H2575">
        <v>22114.04</v>
      </c>
      <c r="I2575">
        <v>1779.42</v>
      </c>
      <c r="J2575">
        <v>74.150000000000006</v>
      </c>
      <c r="K2575">
        <v>1479.81</v>
      </c>
      <c r="L2575">
        <v>140.54</v>
      </c>
      <c r="M2575">
        <v>261.11</v>
      </c>
      <c r="N2575">
        <v>443.01</v>
      </c>
      <c r="O2575">
        <v>1.4</v>
      </c>
      <c r="P2575">
        <v>44.7</v>
      </c>
    </row>
    <row r="2576" spans="1:16">
      <c r="A2576" s="1" t="s">
        <v>2595</v>
      </c>
      <c r="B2576" s="1" t="s">
        <v>2598</v>
      </c>
      <c r="C2576" s="1" t="s">
        <v>38</v>
      </c>
      <c r="D2576" s="1" t="s">
        <v>5561</v>
      </c>
      <c r="E2576" s="1" t="s">
        <v>2597</v>
      </c>
      <c r="F2576">
        <v>1005.73</v>
      </c>
      <c r="G2576">
        <v>69.13</v>
      </c>
      <c r="H2576">
        <v>17062.77</v>
      </c>
      <c r="I2576">
        <v>945.68</v>
      </c>
      <c r="J2576">
        <v>16.8</v>
      </c>
      <c r="K2576">
        <v>1106.3399999999999</v>
      </c>
      <c r="L2576">
        <v>131.59</v>
      </c>
      <c r="M2576">
        <v>247.73</v>
      </c>
      <c r="N2576">
        <v>268.58</v>
      </c>
      <c r="O2576">
        <v>1.1200000000000001</v>
      </c>
      <c r="P2576">
        <v>34.630000000000003</v>
      </c>
    </row>
    <row r="2577" spans="1:16">
      <c r="A2577" s="1" t="s">
        <v>2595</v>
      </c>
      <c r="B2577" s="1" t="s">
        <v>2599</v>
      </c>
      <c r="C2577" s="1" t="s">
        <v>38</v>
      </c>
      <c r="D2577" s="1" t="s">
        <v>5561</v>
      </c>
      <c r="E2577" s="1" t="s">
        <v>2597</v>
      </c>
      <c r="F2577">
        <v>1238.25</v>
      </c>
      <c r="G2577">
        <v>97.92</v>
      </c>
      <c r="H2577">
        <v>25523.31</v>
      </c>
      <c r="I2577">
        <v>2118.44</v>
      </c>
      <c r="J2577">
        <v>95.59</v>
      </c>
      <c r="K2577">
        <v>1647.01</v>
      </c>
      <c r="L2577">
        <v>129.77000000000001</v>
      </c>
      <c r="M2577">
        <v>277.22000000000003</v>
      </c>
      <c r="N2577">
        <v>205.21</v>
      </c>
      <c r="O2577">
        <v>1.44</v>
      </c>
      <c r="P2577">
        <v>54.86</v>
      </c>
    </row>
    <row r="2578" spans="1:16">
      <c r="A2578" s="1" t="s">
        <v>2595</v>
      </c>
      <c r="B2578" s="1" t="s">
        <v>2600</v>
      </c>
      <c r="C2578" s="1" t="s">
        <v>38</v>
      </c>
      <c r="D2578" s="1" t="s">
        <v>5561</v>
      </c>
      <c r="E2578" s="1" t="s">
        <v>2597</v>
      </c>
      <c r="F2578">
        <v>940.28</v>
      </c>
      <c r="G2578">
        <v>45.29</v>
      </c>
      <c r="H2578">
        <v>27516.58</v>
      </c>
      <c r="I2578">
        <v>1618.48</v>
      </c>
      <c r="J2578">
        <f>2.67/2</f>
        <v>1.335</v>
      </c>
      <c r="K2578">
        <v>2129.91</v>
      </c>
      <c r="L2578">
        <v>144.07</v>
      </c>
      <c r="M2578">
        <v>214.86</v>
      </c>
      <c r="N2578">
        <v>399.96</v>
      </c>
      <c r="O2578">
        <v>0.73</v>
      </c>
      <c r="P2578">
        <v>41.26</v>
      </c>
    </row>
    <row r="2579" spans="1:16">
      <c r="A2579" s="1" t="s">
        <v>2595</v>
      </c>
      <c r="B2579" s="1" t="s">
        <v>2601</v>
      </c>
      <c r="C2579" s="1" t="s">
        <v>38</v>
      </c>
      <c r="D2579" s="1" t="s">
        <v>5561</v>
      </c>
      <c r="E2579" s="1" t="s">
        <v>2597</v>
      </c>
      <c r="F2579">
        <v>571.48</v>
      </c>
      <c r="G2579">
        <v>45.87</v>
      </c>
      <c r="H2579">
        <v>14241.08</v>
      </c>
      <c r="I2579">
        <v>1381.9</v>
      </c>
      <c r="J2579">
        <v>50.73</v>
      </c>
      <c r="K2579">
        <v>799.62</v>
      </c>
      <c r="L2579">
        <v>116.29</v>
      </c>
      <c r="M2579">
        <v>230.69</v>
      </c>
      <c r="N2579">
        <v>101.71</v>
      </c>
      <c r="O2579">
        <v>0.76</v>
      </c>
      <c r="P2579">
        <v>42.31</v>
      </c>
    </row>
    <row r="2580" spans="1:16">
      <c r="A2580" s="1" t="s">
        <v>2595</v>
      </c>
      <c r="B2580" s="1" t="s">
        <v>2602</v>
      </c>
      <c r="C2580" s="1" t="s">
        <v>38</v>
      </c>
      <c r="D2580" s="1" t="s">
        <v>5561</v>
      </c>
      <c r="E2580" s="1" t="s">
        <v>2597</v>
      </c>
      <c r="F2580">
        <v>1320.75</v>
      </c>
      <c r="G2580">
        <v>91.14</v>
      </c>
      <c r="H2580">
        <v>25757.48</v>
      </c>
      <c r="I2580">
        <v>1429.66</v>
      </c>
      <c r="J2580">
        <v>43.58</v>
      </c>
      <c r="K2580">
        <v>1753.36</v>
      </c>
      <c r="L2580">
        <v>140.76</v>
      </c>
      <c r="M2580">
        <v>262.52</v>
      </c>
      <c r="N2580">
        <v>492.9</v>
      </c>
      <c r="O2580">
        <v>1.41</v>
      </c>
      <c r="P2580">
        <v>40.83</v>
      </c>
    </row>
    <row r="2581" spans="1:16">
      <c r="A2581" s="1" t="s">
        <v>2595</v>
      </c>
      <c r="B2581" s="1" t="s">
        <v>2603</v>
      </c>
      <c r="C2581" s="1" t="s">
        <v>38</v>
      </c>
      <c r="D2581" s="1" t="s">
        <v>5561</v>
      </c>
      <c r="E2581" s="1" t="s">
        <v>2597</v>
      </c>
      <c r="F2581">
        <v>1486.98</v>
      </c>
      <c r="G2581">
        <v>116.5</v>
      </c>
      <c r="H2581">
        <v>27786.560000000001</v>
      </c>
      <c r="I2581">
        <v>1721.5</v>
      </c>
      <c r="J2581">
        <v>35.26</v>
      </c>
      <c r="K2581">
        <v>2102.27</v>
      </c>
      <c r="L2581">
        <v>153.46</v>
      </c>
      <c r="M2581">
        <v>270.27</v>
      </c>
      <c r="N2581">
        <v>706.52</v>
      </c>
      <c r="O2581">
        <v>1.66</v>
      </c>
      <c r="P2581">
        <v>51.54</v>
      </c>
    </row>
    <row r="2582" spans="1:16">
      <c r="A2582" s="1" t="s">
        <v>2595</v>
      </c>
      <c r="B2582" s="1" t="s">
        <v>2604</v>
      </c>
      <c r="C2582" s="1" t="s">
        <v>38</v>
      </c>
      <c r="D2582" s="1" t="s">
        <v>5561</v>
      </c>
      <c r="E2582" s="1" t="s">
        <v>2597</v>
      </c>
      <c r="F2582">
        <v>637.44000000000005</v>
      </c>
      <c r="G2582">
        <v>41.66</v>
      </c>
      <c r="H2582">
        <v>17423.21</v>
      </c>
      <c r="I2582">
        <v>873.35</v>
      </c>
      <c r="J2582">
        <f>2.58/2</f>
        <v>1.29</v>
      </c>
      <c r="K2582">
        <v>1056.4100000000001</v>
      </c>
      <c r="L2582">
        <v>132.97999999999999</v>
      </c>
      <c r="M2582">
        <v>262.64999999999998</v>
      </c>
      <c r="N2582">
        <v>105.08</v>
      </c>
      <c r="O2582">
        <v>1.1100000000000001</v>
      </c>
      <c r="P2582">
        <v>33.770000000000003</v>
      </c>
    </row>
    <row r="2583" spans="1:16">
      <c r="A2583" s="1" t="s">
        <v>2595</v>
      </c>
      <c r="B2583" s="1" t="s">
        <v>2605</v>
      </c>
      <c r="C2583" s="1" t="s">
        <v>38</v>
      </c>
      <c r="D2583" s="1" t="s">
        <v>5561</v>
      </c>
      <c r="E2583" s="1" t="s">
        <v>2597</v>
      </c>
      <c r="F2583">
        <v>857.76</v>
      </c>
      <c r="G2583">
        <v>79.8</v>
      </c>
      <c r="H2583">
        <v>15520.53</v>
      </c>
      <c r="I2583">
        <v>1451.96</v>
      </c>
      <c r="J2583">
        <f>2.68/2</f>
        <v>1.34</v>
      </c>
      <c r="K2583">
        <v>1158.6099999999999</v>
      </c>
      <c r="L2583">
        <v>131.12</v>
      </c>
      <c r="M2583">
        <v>238.19</v>
      </c>
      <c r="N2583">
        <v>329.67</v>
      </c>
      <c r="O2583">
        <v>1.21</v>
      </c>
      <c r="P2583">
        <v>53.67</v>
      </c>
    </row>
    <row r="2584" spans="1:16">
      <c r="A2584" s="1" t="s">
        <v>2595</v>
      </c>
      <c r="B2584" s="1" t="s">
        <v>2606</v>
      </c>
      <c r="C2584" s="1" t="s">
        <v>38</v>
      </c>
      <c r="D2584" s="1" t="s">
        <v>5561</v>
      </c>
      <c r="E2584" s="1" t="s">
        <v>2597</v>
      </c>
      <c r="F2584">
        <v>20219.38</v>
      </c>
      <c r="G2584">
        <v>3188.26</v>
      </c>
      <c r="H2584">
        <v>16736.7</v>
      </c>
      <c r="I2584">
        <v>974.39</v>
      </c>
      <c r="J2584">
        <f>4.68/2</f>
        <v>2.34</v>
      </c>
      <c r="K2584">
        <v>2616.23</v>
      </c>
      <c r="L2584">
        <v>282.27999999999997</v>
      </c>
      <c r="M2584">
        <v>733.08</v>
      </c>
      <c r="N2584">
        <v>396.54</v>
      </c>
      <c r="O2584">
        <v>14.26</v>
      </c>
      <c r="P2584">
        <v>71.59</v>
      </c>
    </row>
    <row r="2585" spans="1:16">
      <c r="A2585" s="1" t="s">
        <v>2595</v>
      </c>
      <c r="B2585" s="1" t="s">
        <v>2607</v>
      </c>
      <c r="C2585" s="1" t="s">
        <v>38</v>
      </c>
      <c r="D2585" s="1" t="s">
        <v>5561</v>
      </c>
      <c r="E2585" s="1" t="s">
        <v>2597</v>
      </c>
      <c r="F2585">
        <v>8825.35</v>
      </c>
      <c r="G2585">
        <v>1193.6400000000001</v>
      </c>
      <c r="H2585">
        <v>7796.17</v>
      </c>
      <c r="I2585">
        <v>471.48</v>
      </c>
      <c r="J2585">
        <f>1.27/2</f>
        <v>0.63500000000000001</v>
      </c>
      <c r="K2585">
        <v>1292.7</v>
      </c>
      <c r="L2585">
        <v>130.35</v>
      </c>
      <c r="M2585">
        <v>346.66</v>
      </c>
      <c r="N2585">
        <v>196.92</v>
      </c>
      <c r="O2585">
        <v>6.29</v>
      </c>
      <c r="P2585">
        <v>33.31</v>
      </c>
    </row>
    <row r="2586" spans="1:16">
      <c r="A2586" s="1" t="s">
        <v>2595</v>
      </c>
      <c r="B2586" s="1" t="s">
        <v>2608</v>
      </c>
      <c r="C2586" s="1" t="s">
        <v>38</v>
      </c>
      <c r="D2586" s="1" t="s">
        <v>5561</v>
      </c>
      <c r="E2586" s="1" t="s">
        <v>2597</v>
      </c>
      <c r="F2586">
        <v>19897.810000000001</v>
      </c>
      <c r="G2586">
        <v>2475.15</v>
      </c>
      <c r="H2586">
        <v>17450.490000000002</v>
      </c>
      <c r="I2586">
        <v>998.07</v>
      </c>
      <c r="J2586">
        <f>2.49/2</f>
        <v>1.2450000000000001</v>
      </c>
      <c r="K2586">
        <v>2506.9499999999998</v>
      </c>
      <c r="L2586">
        <v>268.74</v>
      </c>
      <c r="M2586">
        <v>737.32</v>
      </c>
      <c r="N2586">
        <v>409.93</v>
      </c>
      <c r="O2586">
        <v>14.71</v>
      </c>
      <c r="P2586">
        <v>73</v>
      </c>
    </row>
    <row r="2587" spans="1:16">
      <c r="A2587" s="1" t="s">
        <v>2595</v>
      </c>
      <c r="B2587" s="1" t="s">
        <v>2609</v>
      </c>
      <c r="C2587" s="1" t="s">
        <v>38</v>
      </c>
      <c r="D2587" s="1" t="s">
        <v>5561</v>
      </c>
      <c r="E2587" s="1" t="s">
        <v>2597</v>
      </c>
      <c r="F2587">
        <v>18268.169999999998</v>
      </c>
      <c r="G2587">
        <v>2347.2199999999998</v>
      </c>
      <c r="H2587">
        <v>15300.56</v>
      </c>
      <c r="I2587">
        <v>990.36</v>
      </c>
      <c r="J2587">
        <f>2.87/2</f>
        <v>1.4350000000000001</v>
      </c>
      <c r="K2587">
        <v>2634.1</v>
      </c>
      <c r="L2587">
        <v>266.02999999999997</v>
      </c>
      <c r="M2587">
        <v>733.04</v>
      </c>
      <c r="N2587">
        <v>422.21</v>
      </c>
      <c r="O2587">
        <v>14.73</v>
      </c>
      <c r="P2587">
        <v>70.8</v>
      </c>
    </row>
    <row r="2588" spans="1:16">
      <c r="A2588" s="1" t="s">
        <v>2595</v>
      </c>
      <c r="B2588" s="1" t="s">
        <v>2610</v>
      </c>
      <c r="C2588" s="1" t="s">
        <v>38</v>
      </c>
      <c r="D2588" s="1" t="s">
        <v>5561</v>
      </c>
      <c r="E2588" s="1" t="s">
        <v>2597</v>
      </c>
      <c r="F2588">
        <v>19945.150000000001</v>
      </c>
      <c r="G2588">
        <v>2780.48</v>
      </c>
      <c r="H2588">
        <v>16538.23</v>
      </c>
      <c r="I2588">
        <v>991.57</v>
      </c>
      <c r="J2588">
        <f>2.87/2</f>
        <v>1.4350000000000001</v>
      </c>
      <c r="K2588">
        <v>2576.67</v>
      </c>
      <c r="L2588">
        <v>265.93</v>
      </c>
      <c r="M2588">
        <v>687.31</v>
      </c>
      <c r="N2588">
        <v>411.56</v>
      </c>
      <c r="O2588">
        <v>14.55</v>
      </c>
      <c r="P2588">
        <v>68.77</v>
      </c>
    </row>
    <row r="2589" spans="1:16">
      <c r="A2589" s="1" t="s">
        <v>2595</v>
      </c>
      <c r="B2589" s="1" t="s">
        <v>2611</v>
      </c>
      <c r="C2589" s="1" t="s">
        <v>38</v>
      </c>
      <c r="D2589" s="1" t="s">
        <v>5561</v>
      </c>
      <c r="E2589" s="1" t="s">
        <v>2597</v>
      </c>
      <c r="F2589">
        <v>17194.490000000002</v>
      </c>
      <c r="G2589">
        <v>2070.66</v>
      </c>
      <c r="H2589">
        <v>13907.6</v>
      </c>
      <c r="I2589">
        <v>1025.28</v>
      </c>
      <c r="J2589">
        <v>4.0999999999999996</v>
      </c>
      <c r="K2589">
        <v>2212.4499999999998</v>
      </c>
      <c r="L2589">
        <v>265.32</v>
      </c>
      <c r="M2589">
        <v>761.77</v>
      </c>
      <c r="N2589">
        <v>378.18</v>
      </c>
      <c r="O2589">
        <v>14.04</v>
      </c>
      <c r="P2589">
        <v>72.34</v>
      </c>
    </row>
    <row r="2590" spans="1:16">
      <c r="A2590" s="1" t="s">
        <v>2595</v>
      </c>
      <c r="B2590" s="1" t="s">
        <v>2612</v>
      </c>
      <c r="C2590" s="1" t="s">
        <v>38</v>
      </c>
      <c r="D2590" s="1" t="s">
        <v>5561</v>
      </c>
      <c r="E2590" s="1" t="s">
        <v>2597</v>
      </c>
      <c r="F2590">
        <v>21094.14</v>
      </c>
      <c r="G2590">
        <v>2863.36</v>
      </c>
      <c r="H2590">
        <v>16178.42</v>
      </c>
      <c r="I2590">
        <v>1007.33</v>
      </c>
      <c r="J2590">
        <f>2.83/2</f>
        <v>1.415</v>
      </c>
      <c r="K2590">
        <v>2505.44</v>
      </c>
      <c r="L2590">
        <v>267.3</v>
      </c>
      <c r="M2590">
        <v>685.34</v>
      </c>
      <c r="N2590">
        <v>405.08</v>
      </c>
      <c r="O2590">
        <v>13.95</v>
      </c>
      <c r="P2590">
        <v>73.73</v>
      </c>
    </row>
    <row r="2591" spans="1:16">
      <c r="A2591" s="1" t="s">
        <v>2595</v>
      </c>
      <c r="B2591" s="1" t="s">
        <v>2613</v>
      </c>
      <c r="C2591" s="1" t="s">
        <v>38</v>
      </c>
      <c r="D2591" s="1" t="s">
        <v>5561</v>
      </c>
      <c r="E2591" s="1" t="s">
        <v>2597</v>
      </c>
      <c r="F2591">
        <v>11830.63</v>
      </c>
      <c r="G2591">
        <v>851.85</v>
      </c>
      <c r="H2591">
        <v>14327.23</v>
      </c>
      <c r="I2591">
        <v>981.49</v>
      </c>
      <c r="J2591">
        <f>2.88/2</f>
        <v>1.44</v>
      </c>
      <c r="K2591">
        <v>2065.59</v>
      </c>
      <c r="L2591">
        <v>258.16000000000003</v>
      </c>
      <c r="M2591">
        <v>689.44</v>
      </c>
      <c r="N2591">
        <v>381.97</v>
      </c>
      <c r="O2591">
        <v>11.78</v>
      </c>
      <c r="P2591">
        <v>67.959999999999994</v>
      </c>
    </row>
    <row r="2592" spans="1:16">
      <c r="A2592" s="1" t="s">
        <v>2595</v>
      </c>
      <c r="B2592" s="1" t="s">
        <v>2614</v>
      </c>
      <c r="C2592" s="1" t="s">
        <v>38</v>
      </c>
      <c r="D2592" s="1" t="s">
        <v>5561</v>
      </c>
      <c r="E2592" s="1" t="s">
        <v>2597</v>
      </c>
      <c r="F2592">
        <v>19715.54</v>
      </c>
      <c r="G2592">
        <v>2705.67</v>
      </c>
      <c r="H2592">
        <v>17618.28</v>
      </c>
      <c r="I2592">
        <v>1109.8800000000001</v>
      </c>
      <c r="J2592">
        <f>3.03/2</f>
        <v>1.5149999999999999</v>
      </c>
      <c r="K2592">
        <v>2328.44</v>
      </c>
      <c r="L2592">
        <v>256.45</v>
      </c>
      <c r="M2592">
        <v>744.1</v>
      </c>
      <c r="N2592">
        <v>388.53</v>
      </c>
      <c r="O2592">
        <v>13.77</v>
      </c>
      <c r="P2592">
        <v>76.680000000000007</v>
      </c>
    </row>
    <row r="2593" spans="1:16">
      <c r="A2593" s="1" t="s">
        <v>2595</v>
      </c>
      <c r="B2593" s="1" t="s">
        <v>2615</v>
      </c>
      <c r="C2593" s="1" t="s">
        <v>38</v>
      </c>
      <c r="D2593" s="1" t="s">
        <v>5561</v>
      </c>
      <c r="E2593" s="1" t="s">
        <v>2616</v>
      </c>
      <c r="F2593">
        <v>18691.38</v>
      </c>
      <c r="G2593">
        <v>4737.46</v>
      </c>
      <c r="H2593">
        <v>4823.18</v>
      </c>
      <c r="I2593">
        <v>574.14</v>
      </c>
      <c r="J2593">
        <f>2.56/2</f>
        <v>1.28</v>
      </c>
      <c r="K2593">
        <v>2004.47</v>
      </c>
      <c r="L2593">
        <v>246.27</v>
      </c>
      <c r="M2593">
        <v>251.51</v>
      </c>
      <c r="N2593">
        <v>168.3</v>
      </c>
      <c r="O2593">
        <v>12.78</v>
      </c>
      <c r="P2593">
        <v>43.61</v>
      </c>
    </row>
    <row r="2594" spans="1:16">
      <c r="A2594" s="1" t="s">
        <v>2595</v>
      </c>
      <c r="B2594" s="1" t="s">
        <v>2617</v>
      </c>
      <c r="C2594" s="1" t="s">
        <v>38</v>
      </c>
      <c r="D2594" s="1" t="s">
        <v>5561</v>
      </c>
      <c r="E2594" s="1" t="s">
        <v>2616</v>
      </c>
      <c r="F2594">
        <v>18670.259999999998</v>
      </c>
      <c r="G2594">
        <v>4001.19</v>
      </c>
      <c r="H2594">
        <v>6326.59</v>
      </c>
      <c r="I2594">
        <v>611.69000000000005</v>
      </c>
      <c r="J2594">
        <f>2.25/2</f>
        <v>1.125</v>
      </c>
      <c r="K2594">
        <v>2115.46</v>
      </c>
      <c r="L2594">
        <v>249.07</v>
      </c>
      <c r="M2594">
        <v>261.63</v>
      </c>
      <c r="N2594">
        <v>118.89</v>
      </c>
      <c r="O2594">
        <v>12.19</v>
      </c>
      <c r="P2594">
        <v>46.35</v>
      </c>
    </row>
    <row r="2595" spans="1:16">
      <c r="A2595" s="1" t="s">
        <v>2595</v>
      </c>
      <c r="B2595" s="1" t="s">
        <v>2618</v>
      </c>
      <c r="C2595" s="1" t="s">
        <v>38</v>
      </c>
      <c r="D2595" s="1" t="s">
        <v>5561</v>
      </c>
      <c r="E2595" s="1" t="s">
        <v>2616</v>
      </c>
      <c r="F2595">
        <v>19748.78</v>
      </c>
      <c r="G2595">
        <v>4004.43</v>
      </c>
      <c r="H2595">
        <v>8902.94</v>
      </c>
      <c r="I2595">
        <v>699.5</v>
      </c>
      <c r="J2595">
        <f>2.74/2</f>
        <v>1.37</v>
      </c>
      <c r="K2595">
        <v>2199.7600000000002</v>
      </c>
      <c r="L2595">
        <v>268.62</v>
      </c>
      <c r="M2595">
        <v>286.29000000000002</v>
      </c>
      <c r="N2595">
        <v>164.67</v>
      </c>
      <c r="O2595">
        <v>13.19</v>
      </c>
      <c r="P2595">
        <v>50.76</v>
      </c>
    </row>
    <row r="2596" spans="1:16">
      <c r="A2596" s="1" t="s">
        <v>2595</v>
      </c>
      <c r="B2596" s="1" t="s">
        <v>2619</v>
      </c>
      <c r="C2596" s="1" t="s">
        <v>38</v>
      </c>
      <c r="D2596" s="1" t="s">
        <v>5561</v>
      </c>
      <c r="E2596" s="1" t="s">
        <v>2616</v>
      </c>
      <c r="F2596">
        <v>20467.11</v>
      </c>
      <c r="G2596">
        <v>4487.8999999999996</v>
      </c>
      <c r="H2596">
        <v>9862.65</v>
      </c>
      <c r="I2596">
        <v>730.05</v>
      </c>
      <c r="J2596">
        <f>2.42/2</f>
        <v>1.21</v>
      </c>
      <c r="K2596">
        <v>2276.29</v>
      </c>
      <c r="L2596">
        <v>267.77</v>
      </c>
      <c r="M2596">
        <v>294.85000000000002</v>
      </c>
      <c r="N2596">
        <v>250.09</v>
      </c>
      <c r="O2596">
        <v>13.43</v>
      </c>
      <c r="P2596">
        <v>52.35</v>
      </c>
    </row>
    <row r="2597" spans="1:16">
      <c r="A2597" s="1" t="s">
        <v>2595</v>
      </c>
      <c r="B2597" s="1" t="s">
        <v>2620</v>
      </c>
      <c r="C2597" s="1" t="s">
        <v>38</v>
      </c>
      <c r="D2597" s="1" t="s">
        <v>5561</v>
      </c>
      <c r="E2597" s="1" t="s">
        <v>2616</v>
      </c>
      <c r="F2597">
        <v>21510.81</v>
      </c>
      <c r="G2597">
        <v>4952.21</v>
      </c>
      <c r="H2597">
        <v>12308.05</v>
      </c>
      <c r="I2597">
        <v>790.87</v>
      </c>
      <c r="J2597">
        <f>2.17/2</f>
        <v>1.085</v>
      </c>
      <c r="K2597">
        <v>2346.34</v>
      </c>
      <c r="L2597">
        <v>272.17</v>
      </c>
      <c r="M2597">
        <v>309.20999999999998</v>
      </c>
      <c r="N2597">
        <v>337.8</v>
      </c>
      <c r="O2597">
        <v>13.32</v>
      </c>
      <c r="P2597">
        <v>53.14</v>
      </c>
    </row>
    <row r="2598" spans="1:16">
      <c r="A2598" s="1" t="s">
        <v>2595</v>
      </c>
      <c r="B2598" s="1" t="s">
        <v>2621</v>
      </c>
      <c r="C2598" s="1" t="s">
        <v>38</v>
      </c>
      <c r="D2598" s="1" t="s">
        <v>5562</v>
      </c>
      <c r="E2598" s="1" t="s">
        <v>2616</v>
      </c>
      <c r="F2598">
        <v>6064.87</v>
      </c>
      <c r="G2598">
        <v>1081.22</v>
      </c>
      <c r="H2598">
        <v>8210.57</v>
      </c>
      <c r="I2598">
        <v>1115.21</v>
      </c>
      <c r="J2598">
        <f>2.73/2</f>
        <v>1.365</v>
      </c>
      <c r="K2598">
        <v>1164.92</v>
      </c>
      <c r="L2598">
        <v>196.04</v>
      </c>
      <c r="M2598">
        <v>228.67</v>
      </c>
      <c r="N2598">
        <v>196.87</v>
      </c>
      <c r="O2598">
        <v>13.58</v>
      </c>
      <c r="P2598">
        <v>41.24</v>
      </c>
    </row>
    <row r="2599" spans="1:16">
      <c r="A2599" s="1" t="s">
        <v>2595</v>
      </c>
      <c r="B2599" s="1" t="s">
        <v>2622</v>
      </c>
      <c r="C2599" s="1" t="s">
        <v>38</v>
      </c>
      <c r="D2599" s="1" t="s">
        <v>5562</v>
      </c>
      <c r="E2599" s="1" t="s">
        <v>2616</v>
      </c>
      <c r="F2599">
        <v>6085.05</v>
      </c>
      <c r="G2599">
        <v>1203.42</v>
      </c>
      <c r="H2599">
        <v>8167.09</v>
      </c>
      <c r="I2599">
        <v>1144.58</v>
      </c>
      <c r="J2599">
        <f>2.66/2</f>
        <v>1.33</v>
      </c>
      <c r="K2599">
        <v>1289.26</v>
      </c>
      <c r="L2599">
        <v>195.52</v>
      </c>
      <c r="M2599">
        <v>232.03</v>
      </c>
      <c r="N2599">
        <v>219.07</v>
      </c>
      <c r="O2599">
        <v>13.72</v>
      </c>
      <c r="P2599">
        <v>41.09</v>
      </c>
    </row>
    <row r="2600" spans="1:16">
      <c r="A2600" s="1" t="s">
        <v>2595</v>
      </c>
      <c r="B2600" s="1" t="s">
        <v>2623</v>
      </c>
      <c r="C2600" s="1" t="s">
        <v>38</v>
      </c>
      <c r="D2600" s="1" t="s">
        <v>5562</v>
      </c>
      <c r="E2600" s="1" t="s">
        <v>2616</v>
      </c>
      <c r="F2600">
        <v>4032.37</v>
      </c>
      <c r="G2600">
        <v>287.27</v>
      </c>
      <c r="H2600">
        <v>8920.52</v>
      </c>
      <c r="I2600">
        <v>1161.08</v>
      </c>
      <c r="J2600">
        <f>2.08/2</f>
        <v>1.04</v>
      </c>
      <c r="K2600">
        <v>1023.23</v>
      </c>
      <c r="L2600">
        <v>128.61000000000001</v>
      </c>
      <c r="M2600">
        <v>239.18</v>
      </c>
      <c r="N2600">
        <v>129.81</v>
      </c>
      <c r="O2600">
        <v>13.37</v>
      </c>
      <c r="P2600">
        <v>39.44</v>
      </c>
    </row>
    <row r="2601" spans="1:16">
      <c r="A2601" s="1" t="s">
        <v>2595</v>
      </c>
      <c r="B2601" s="1" t="s">
        <v>2624</v>
      </c>
      <c r="C2601" s="1" t="s">
        <v>38</v>
      </c>
      <c r="D2601" s="1" t="s">
        <v>5562</v>
      </c>
      <c r="E2601" s="1" t="s">
        <v>2616</v>
      </c>
      <c r="F2601">
        <v>4653.32</v>
      </c>
      <c r="G2601">
        <v>350.23</v>
      </c>
      <c r="H2601">
        <v>8581.5499999999993</v>
      </c>
      <c r="I2601">
        <v>1102.8599999999999</v>
      </c>
      <c r="J2601">
        <f>2.24/2</f>
        <v>1.1200000000000001</v>
      </c>
      <c r="K2601">
        <v>1025.46</v>
      </c>
      <c r="L2601">
        <v>189.3</v>
      </c>
      <c r="M2601">
        <v>340.03</v>
      </c>
      <c r="N2601">
        <v>269.52999999999997</v>
      </c>
      <c r="O2601">
        <v>13.56</v>
      </c>
      <c r="P2601">
        <v>50.47</v>
      </c>
    </row>
    <row r="2602" spans="1:16">
      <c r="A2602" s="1" t="s">
        <v>2595</v>
      </c>
      <c r="B2602" s="1" t="s">
        <v>2625</v>
      </c>
      <c r="C2602" s="1" t="s">
        <v>38</v>
      </c>
      <c r="D2602" s="1" t="s">
        <v>5562</v>
      </c>
      <c r="E2602" s="1" t="s">
        <v>2616</v>
      </c>
      <c r="F2602">
        <v>4075.65</v>
      </c>
      <c r="G2602">
        <v>437.29</v>
      </c>
      <c r="H2602">
        <v>5925.02</v>
      </c>
      <c r="I2602">
        <v>327.58999999999997</v>
      </c>
      <c r="J2602">
        <f>1.93/2</f>
        <v>0.96499999999999997</v>
      </c>
      <c r="K2602">
        <v>871.02</v>
      </c>
      <c r="L2602">
        <v>225.91</v>
      </c>
      <c r="M2602">
        <v>224.45</v>
      </c>
      <c r="N2602">
        <v>286.93</v>
      </c>
      <c r="O2602">
        <v>12.54</v>
      </c>
      <c r="P2602">
        <v>32.92</v>
      </c>
    </row>
    <row r="2603" spans="1:16">
      <c r="A2603" s="1" t="s">
        <v>2595</v>
      </c>
      <c r="B2603" s="1" t="s">
        <v>2626</v>
      </c>
      <c r="C2603" s="1" t="s">
        <v>38</v>
      </c>
      <c r="D2603" s="1" t="s">
        <v>5562</v>
      </c>
      <c r="E2603" s="1" t="s">
        <v>2616</v>
      </c>
      <c r="F2603">
        <v>4301.9799999999996</v>
      </c>
      <c r="G2603">
        <v>345.12</v>
      </c>
      <c r="H2603">
        <v>7530.41</v>
      </c>
      <c r="I2603">
        <v>944.94</v>
      </c>
      <c r="J2603">
        <f>2.6/2</f>
        <v>1.3</v>
      </c>
      <c r="K2603">
        <v>878.17</v>
      </c>
      <c r="L2603">
        <v>220.5</v>
      </c>
      <c r="M2603">
        <v>245.65</v>
      </c>
      <c r="N2603">
        <v>275.97000000000003</v>
      </c>
      <c r="O2603">
        <v>12.16</v>
      </c>
      <c r="P2603">
        <v>42.86</v>
      </c>
    </row>
    <row r="2604" spans="1:16">
      <c r="A2604" s="1" t="s">
        <v>2595</v>
      </c>
      <c r="B2604" s="1" t="s">
        <v>2627</v>
      </c>
      <c r="C2604" s="1" t="s">
        <v>38</v>
      </c>
      <c r="D2604" s="1" t="s">
        <v>5562</v>
      </c>
      <c r="E2604" s="1" t="s">
        <v>2616</v>
      </c>
      <c r="F2604">
        <v>4017.55</v>
      </c>
      <c r="G2604">
        <v>160.44</v>
      </c>
      <c r="H2604">
        <v>8729.92</v>
      </c>
      <c r="I2604">
        <v>1077.47</v>
      </c>
      <c r="J2604">
        <f>1.58/2</f>
        <v>0.79</v>
      </c>
      <c r="K2604">
        <v>942.29</v>
      </c>
      <c r="L2604">
        <v>246.75</v>
      </c>
      <c r="M2604">
        <v>257.02999999999997</v>
      </c>
      <c r="N2604">
        <v>339.65</v>
      </c>
      <c r="O2604">
        <v>10.51</v>
      </c>
      <c r="P2604">
        <v>45.5</v>
      </c>
    </row>
    <row r="2605" spans="1:16">
      <c r="A2605" s="1" t="s">
        <v>2595</v>
      </c>
      <c r="B2605" s="1" t="s">
        <v>2628</v>
      </c>
      <c r="C2605" s="1" t="s">
        <v>38</v>
      </c>
      <c r="D2605" s="1" t="s">
        <v>5562</v>
      </c>
      <c r="E2605" s="1" t="s">
        <v>2616</v>
      </c>
      <c r="F2605">
        <v>4247.07</v>
      </c>
      <c r="G2605">
        <v>207.77</v>
      </c>
      <c r="H2605">
        <v>8259.16</v>
      </c>
      <c r="I2605">
        <v>1021.28</v>
      </c>
      <c r="J2605">
        <f>2.29/2</f>
        <v>1.145</v>
      </c>
      <c r="K2605">
        <v>936.82</v>
      </c>
      <c r="L2605">
        <v>243.23</v>
      </c>
      <c r="M2605">
        <v>240.3</v>
      </c>
      <c r="N2605">
        <v>332.76</v>
      </c>
      <c r="O2605">
        <v>11.29</v>
      </c>
      <c r="P2605">
        <v>45.81</v>
      </c>
    </row>
    <row r="2606" spans="1:16">
      <c r="A2606" s="1" t="s">
        <v>2595</v>
      </c>
      <c r="B2606" s="1" t="s">
        <v>2629</v>
      </c>
      <c r="C2606" s="1" t="s">
        <v>38</v>
      </c>
      <c r="D2606" s="1" t="s">
        <v>5562</v>
      </c>
      <c r="E2606" s="1" t="s">
        <v>2616</v>
      </c>
      <c r="F2606">
        <v>4335.38</v>
      </c>
      <c r="G2606">
        <v>455.12</v>
      </c>
      <c r="H2606">
        <v>8159.14</v>
      </c>
      <c r="I2606">
        <v>974.21</v>
      </c>
      <c r="J2606">
        <f>2.13/2</f>
        <v>1.0649999999999999</v>
      </c>
      <c r="K2606">
        <v>895.29</v>
      </c>
      <c r="L2606">
        <v>229.28</v>
      </c>
      <c r="M2606">
        <v>306.5</v>
      </c>
      <c r="N2606">
        <v>272.7</v>
      </c>
      <c r="O2606">
        <v>12.2</v>
      </c>
      <c r="P2606">
        <v>43.76</v>
      </c>
    </row>
    <row r="2607" spans="1:16">
      <c r="A2607" s="1" t="s">
        <v>2595</v>
      </c>
      <c r="B2607" s="1" t="s">
        <v>2630</v>
      </c>
      <c r="C2607" s="1" t="s">
        <v>38</v>
      </c>
      <c r="D2607" s="1" t="s">
        <v>5562</v>
      </c>
      <c r="E2607" s="1" t="s">
        <v>2616</v>
      </c>
      <c r="F2607">
        <v>4450.8900000000003</v>
      </c>
      <c r="G2607">
        <v>419.76</v>
      </c>
      <c r="H2607">
        <v>8143.23</v>
      </c>
      <c r="I2607">
        <v>1193.8599999999999</v>
      </c>
      <c r="J2607">
        <f>2.8/2</f>
        <v>1.4</v>
      </c>
      <c r="K2607">
        <v>1056.51</v>
      </c>
      <c r="L2607">
        <v>235.17</v>
      </c>
      <c r="M2607">
        <v>273.11</v>
      </c>
      <c r="N2607">
        <v>372.23</v>
      </c>
      <c r="O2607">
        <v>13.44</v>
      </c>
      <c r="P2607">
        <v>48.49</v>
      </c>
    </row>
    <row r="2608" spans="1:16">
      <c r="A2608" s="1" t="s">
        <v>2595</v>
      </c>
      <c r="B2608" s="1" t="s">
        <v>2631</v>
      </c>
      <c r="C2608" s="1" t="s">
        <v>38</v>
      </c>
      <c r="D2608" s="1" t="s">
        <v>5562</v>
      </c>
      <c r="E2608" s="1" t="s">
        <v>2616</v>
      </c>
      <c r="F2608">
        <v>5208.88</v>
      </c>
      <c r="G2608">
        <v>1205.3399999999999</v>
      </c>
      <c r="H2608">
        <v>10127.32</v>
      </c>
      <c r="I2608">
        <v>1495.54</v>
      </c>
      <c r="J2608">
        <f>2.73/2</f>
        <v>1.365</v>
      </c>
      <c r="K2608">
        <v>1255.72</v>
      </c>
      <c r="L2608">
        <v>250.45</v>
      </c>
      <c r="M2608">
        <v>339.83</v>
      </c>
      <c r="N2608">
        <v>397.09</v>
      </c>
      <c r="O2608">
        <v>16.239999999999998</v>
      </c>
      <c r="P2608">
        <v>61</v>
      </c>
    </row>
    <row r="2609" spans="1:16">
      <c r="A2609" s="1" t="s">
        <v>2595</v>
      </c>
      <c r="B2609" s="1" t="s">
        <v>2632</v>
      </c>
      <c r="C2609" s="1" t="s">
        <v>38</v>
      </c>
      <c r="D2609" s="1" t="s">
        <v>5562</v>
      </c>
      <c r="E2609" s="1" t="s">
        <v>2616</v>
      </c>
      <c r="F2609">
        <v>5052.8</v>
      </c>
      <c r="G2609">
        <v>831.18</v>
      </c>
      <c r="H2609">
        <v>5827.84</v>
      </c>
      <c r="I2609">
        <v>642.1</v>
      </c>
      <c r="J2609">
        <f>1.9/2</f>
        <v>0.95</v>
      </c>
      <c r="K2609">
        <v>977.94</v>
      </c>
      <c r="L2609">
        <v>233.23</v>
      </c>
      <c r="M2609">
        <v>215.11</v>
      </c>
      <c r="N2609">
        <v>243.68</v>
      </c>
      <c r="O2609">
        <v>12.9</v>
      </c>
      <c r="P2609">
        <v>34.86</v>
      </c>
    </row>
    <row r="2610" spans="1:16">
      <c r="A2610" s="1" t="s">
        <v>2595</v>
      </c>
      <c r="B2610" s="1" t="s">
        <v>2633</v>
      </c>
      <c r="C2610" s="1" t="s">
        <v>38</v>
      </c>
      <c r="D2610" s="1" t="s">
        <v>5562</v>
      </c>
      <c r="E2610" s="1" t="s">
        <v>2616</v>
      </c>
      <c r="F2610">
        <v>5264.32</v>
      </c>
      <c r="G2610">
        <v>697.66</v>
      </c>
      <c r="H2610">
        <v>8996.0300000000007</v>
      </c>
      <c r="I2610">
        <v>1155.99</v>
      </c>
      <c r="J2610">
        <f>1.9/2</f>
        <v>0.95</v>
      </c>
      <c r="K2610">
        <v>1091.17</v>
      </c>
      <c r="L2610">
        <v>212.8</v>
      </c>
      <c r="M2610">
        <v>379.43</v>
      </c>
      <c r="N2610">
        <v>275.76</v>
      </c>
      <c r="O2610">
        <v>14.81</v>
      </c>
      <c r="P2610">
        <v>47.95</v>
      </c>
    </row>
    <row r="2611" spans="1:16">
      <c r="A2611" s="1" t="s">
        <v>2595</v>
      </c>
      <c r="B2611" s="1" t="s">
        <v>2634</v>
      </c>
      <c r="C2611" s="1" t="s">
        <v>38</v>
      </c>
      <c r="D2611" s="1" t="s">
        <v>5562</v>
      </c>
      <c r="E2611" s="1" t="s">
        <v>2616</v>
      </c>
      <c r="F2611">
        <v>4113.96</v>
      </c>
      <c r="G2611">
        <v>617.02</v>
      </c>
      <c r="H2611">
        <v>6189.77</v>
      </c>
      <c r="I2611">
        <v>618.57000000000005</v>
      </c>
      <c r="J2611">
        <f>2.73/2</f>
        <v>1.365</v>
      </c>
      <c r="K2611">
        <v>911.34</v>
      </c>
      <c r="L2611">
        <v>230.15</v>
      </c>
      <c r="M2611">
        <v>212.24</v>
      </c>
      <c r="N2611">
        <v>306.33999999999997</v>
      </c>
      <c r="O2611">
        <v>12.94</v>
      </c>
      <c r="P2611">
        <v>36.22</v>
      </c>
    </row>
    <row r="2612" spans="1:16">
      <c r="A2612" s="1" t="s">
        <v>2595</v>
      </c>
      <c r="B2612" s="1" t="s">
        <v>2635</v>
      </c>
      <c r="C2612" s="1" t="s">
        <v>38</v>
      </c>
      <c r="D2612" s="1" t="s">
        <v>5562</v>
      </c>
      <c r="E2612" s="1" t="s">
        <v>2616</v>
      </c>
      <c r="F2612">
        <v>6063.03</v>
      </c>
      <c r="G2612">
        <v>1338.28</v>
      </c>
      <c r="H2612">
        <v>8586.76</v>
      </c>
      <c r="I2612">
        <v>1151.1199999999999</v>
      </c>
      <c r="J2612">
        <f>2.19/2</f>
        <v>1.095</v>
      </c>
      <c r="K2612">
        <v>1214.5899999999999</v>
      </c>
      <c r="L2612">
        <v>246.94</v>
      </c>
      <c r="M2612">
        <v>283.63</v>
      </c>
      <c r="N2612">
        <v>309.91000000000003</v>
      </c>
      <c r="O2612">
        <v>14.31</v>
      </c>
      <c r="P2612">
        <v>52.27</v>
      </c>
    </row>
    <row r="2613" spans="1:16">
      <c r="A2613" s="1" t="s">
        <v>2595</v>
      </c>
      <c r="B2613" s="1" t="s">
        <v>2636</v>
      </c>
      <c r="C2613" s="1" t="s">
        <v>38</v>
      </c>
      <c r="D2613" s="1" t="s">
        <v>5562</v>
      </c>
      <c r="E2613" s="1" t="s">
        <v>2616</v>
      </c>
      <c r="F2613">
        <v>5742.93</v>
      </c>
      <c r="G2613">
        <v>169.15</v>
      </c>
      <c r="H2613">
        <v>10481.89</v>
      </c>
      <c r="I2613">
        <v>1246.5899999999999</v>
      </c>
      <c r="J2613">
        <f>2.59/2</f>
        <v>1.2949999999999999</v>
      </c>
      <c r="K2613">
        <v>1197.8699999999999</v>
      </c>
      <c r="L2613">
        <v>258.14</v>
      </c>
      <c r="M2613">
        <v>287.60000000000002</v>
      </c>
      <c r="N2613">
        <v>354.91</v>
      </c>
      <c r="O2613">
        <v>10.78</v>
      </c>
      <c r="P2613">
        <v>49.89</v>
      </c>
    </row>
    <row r="2614" spans="1:16">
      <c r="A2614" s="1" t="s">
        <v>2595</v>
      </c>
      <c r="B2614" s="1" t="s">
        <v>2637</v>
      </c>
      <c r="C2614" s="1" t="s">
        <v>38</v>
      </c>
      <c r="D2614" s="1" t="s">
        <v>5562</v>
      </c>
      <c r="E2614" s="1" t="s">
        <v>2616</v>
      </c>
      <c r="F2614">
        <v>5985.71</v>
      </c>
      <c r="G2614">
        <v>368.01</v>
      </c>
      <c r="H2614">
        <v>11900.25</v>
      </c>
      <c r="I2614">
        <v>1106.1199999999999</v>
      </c>
      <c r="J2614">
        <f>2.24/2</f>
        <v>1.1200000000000001</v>
      </c>
      <c r="K2614">
        <v>1224.22</v>
      </c>
      <c r="L2614">
        <v>237.16</v>
      </c>
      <c r="M2614">
        <v>312.18</v>
      </c>
      <c r="N2614">
        <v>348.95</v>
      </c>
      <c r="O2614">
        <v>8.44</v>
      </c>
      <c r="P2614">
        <v>48.52</v>
      </c>
    </row>
    <row r="2615" spans="1:16">
      <c r="A2615" s="1" t="s">
        <v>2595</v>
      </c>
      <c r="B2615" s="1" t="s">
        <v>2638</v>
      </c>
      <c r="C2615" s="1" t="s">
        <v>38</v>
      </c>
      <c r="D2615" s="1" t="s">
        <v>5562</v>
      </c>
      <c r="E2615" s="1" t="s">
        <v>2616</v>
      </c>
      <c r="F2615">
        <v>10650.39</v>
      </c>
      <c r="G2615">
        <v>3743.53</v>
      </c>
      <c r="H2615">
        <v>1375.53</v>
      </c>
      <c r="I2615">
        <v>429.28</v>
      </c>
      <c r="J2615">
        <f>2.3/2</f>
        <v>1.1499999999999999</v>
      </c>
      <c r="K2615">
        <v>1395.09</v>
      </c>
      <c r="L2615">
        <v>162</v>
      </c>
      <c r="M2615">
        <v>391.9</v>
      </c>
      <c r="N2615">
        <v>46.02</v>
      </c>
      <c r="O2615">
        <v>18.23</v>
      </c>
      <c r="P2615">
        <v>13.05</v>
      </c>
    </row>
    <row r="2616" spans="1:16">
      <c r="A2616" s="1" t="s">
        <v>2595</v>
      </c>
      <c r="B2616" s="1" t="s">
        <v>2639</v>
      </c>
      <c r="C2616" s="1" t="s">
        <v>38</v>
      </c>
      <c r="D2616" s="1" t="s">
        <v>5562</v>
      </c>
      <c r="E2616" s="1" t="s">
        <v>2597</v>
      </c>
      <c r="F2616">
        <v>8705.8799999999992</v>
      </c>
      <c r="G2616">
        <v>2784.82</v>
      </c>
      <c r="H2616">
        <v>2047.46</v>
      </c>
      <c r="I2616">
        <v>523.29</v>
      </c>
      <c r="J2616">
        <v>3.45</v>
      </c>
      <c r="K2616">
        <v>1224.97</v>
      </c>
      <c r="L2616">
        <v>141.28</v>
      </c>
      <c r="M2616">
        <v>352.5</v>
      </c>
      <c r="N2616">
        <v>153.41</v>
      </c>
      <c r="O2616">
        <v>19.079999999999998</v>
      </c>
      <c r="P2616">
        <v>9.33</v>
      </c>
    </row>
    <row r="2617" spans="1:16">
      <c r="A2617" s="1" t="s">
        <v>2595</v>
      </c>
      <c r="B2617" s="1" t="s">
        <v>2640</v>
      </c>
      <c r="C2617" s="1" t="s">
        <v>38</v>
      </c>
      <c r="D2617" s="1" t="s">
        <v>5562</v>
      </c>
      <c r="E2617" s="1" t="s">
        <v>2597</v>
      </c>
      <c r="F2617">
        <v>8543.66</v>
      </c>
      <c r="G2617">
        <v>2905.55</v>
      </c>
      <c r="H2617">
        <v>2121.4</v>
      </c>
      <c r="I2617">
        <v>647.95000000000005</v>
      </c>
      <c r="J2617">
        <f>2.12/2</f>
        <v>1.06</v>
      </c>
      <c r="K2617">
        <v>1167.94</v>
      </c>
      <c r="L2617">
        <v>126.52</v>
      </c>
      <c r="M2617">
        <v>354.98</v>
      </c>
      <c r="N2617">
        <v>100.92</v>
      </c>
      <c r="O2617">
        <v>21.46</v>
      </c>
      <c r="P2617">
        <v>6.81</v>
      </c>
    </row>
    <row r="2618" spans="1:16">
      <c r="A2618" s="1" t="s">
        <v>2595</v>
      </c>
      <c r="B2618" s="1" t="s">
        <v>2641</v>
      </c>
      <c r="C2618" s="1" t="s">
        <v>38</v>
      </c>
      <c r="D2618" s="1" t="s">
        <v>5562</v>
      </c>
      <c r="E2618" s="1" t="s">
        <v>2616</v>
      </c>
      <c r="F2618">
        <v>7678.08</v>
      </c>
      <c r="G2618">
        <v>3106.37</v>
      </c>
      <c r="H2618">
        <v>1851.06</v>
      </c>
      <c r="I2618">
        <v>449.25</v>
      </c>
      <c r="J2618">
        <v>8.6199999999999992</v>
      </c>
      <c r="K2618">
        <v>1468.26</v>
      </c>
      <c r="L2618">
        <v>219</v>
      </c>
      <c r="M2618">
        <v>360.8</v>
      </c>
      <c r="N2618">
        <v>58.1</v>
      </c>
      <c r="O2618">
        <v>18.41</v>
      </c>
      <c r="P2618">
        <v>13.19</v>
      </c>
    </row>
    <row r="2619" spans="1:16">
      <c r="A2619" s="1" t="s">
        <v>2595</v>
      </c>
      <c r="B2619" s="1" t="s">
        <v>2642</v>
      </c>
      <c r="C2619" s="1" t="s">
        <v>38</v>
      </c>
      <c r="D2619" s="1" t="s">
        <v>5562</v>
      </c>
      <c r="E2619" s="1" t="s">
        <v>2616</v>
      </c>
      <c r="F2619">
        <v>7858.14</v>
      </c>
      <c r="G2619">
        <v>2785.73</v>
      </c>
      <c r="H2619">
        <v>2112.2800000000002</v>
      </c>
      <c r="I2619">
        <v>671.7</v>
      </c>
      <c r="J2619">
        <f>2.92/2</f>
        <v>1.46</v>
      </c>
      <c r="K2619">
        <v>1419.23</v>
      </c>
      <c r="L2619">
        <v>176.56</v>
      </c>
      <c r="M2619">
        <v>355.59</v>
      </c>
      <c r="N2619">
        <v>17.36</v>
      </c>
      <c r="O2619">
        <v>19.18</v>
      </c>
      <c r="P2619">
        <v>5.46</v>
      </c>
    </row>
    <row r="2620" spans="1:16">
      <c r="A2620" s="1" t="s">
        <v>2595</v>
      </c>
      <c r="B2620" s="1" t="s">
        <v>2643</v>
      </c>
      <c r="C2620" s="1" t="s">
        <v>38</v>
      </c>
      <c r="D2620" s="1" t="s">
        <v>5562</v>
      </c>
      <c r="E2620" s="1" t="s">
        <v>2616</v>
      </c>
      <c r="F2620">
        <v>7222.37</v>
      </c>
      <c r="G2620">
        <v>2898.52</v>
      </c>
      <c r="H2620">
        <v>1845.6</v>
      </c>
      <c r="I2620">
        <v>438.96</v>
      </c>
      <c r="J2620">
        <f>2.86/2</f>
        <v>1.43</v>
      </c>
      <c r="K2620">
        <v>1443.02</v>
      </c>
      <c r="L2620">
        <v>198.7</v>
      </c>
      <c r="M2620">
        <v>323.39</v>
      </c>
      <c r="N2620">
        <v>104.33</v>
      </c>
      <c r="O2620">
        <v>12.86</v>
      </c>
      <c r="P2620">
        <v>3.04</v>
      </c>
    </row>
    <row r="2621" spans="1:16">
      <c r="A2621" s="1" t="s">
        <v>2595</v>
      </c>
      <c r="B2621" s="1" t="s">
        <v>2644</v>
      </c>
      <c r="C2621" s="1" t="s">
        <v>38</v>
      </c>
      <c r="D2621" s="1" t="s">
        <v>5562</v>
      </c>
      <c r="E2621" s="1" t="s">
        <v>2616</v>
      </c>
      <c r="F2621">
        <v>9079.27</v>
      </c>
      <c r="G2621">
        <v>3729.42</v>
      </c>
      <c r="H2621">
        <v>1929.75</v>
      </c>
      <c r="I2621">
        <v>606</v>
      </c>
      <c r="J2621">
        <f>1.7/2</f>
        <v>0.85</v>
      </c>
      <c r="K2621">
        <v>1246.55</v>
      </c>
      <c r="L2621">
        <v>154.37</v>
      </c>
      <c r="M2621">
        <v>345.62</v>
      </c>
      <c r="N2621">
        <v>125.68</v>
      </c>
      <c r="O2621">
        <v>20.2</v>
      </c>
      <c r="P2621">
        <v>6.3</v>
      </c>
    </row>
    <row r="2622" spans="1:16">
      <c r="A2622" s="1" t="s">
        <v>2595</v>
      </c>
      <c r="B2622" s="1" t="s">
        <v>2645</v>
      </c>
      <c r="C2622" s="1" t="s">
        <v>18</v>
      </c>
      <c r="D2622" s="1" t="s">
        <v>5562</v>
      </c>
      <c r="E2622" s="1" t="s">
        <v>2597</v>
      </c>
      <c r="F2622">
        <v>2791.31</v>
      </c>
      <c r="G2622">
        <v>710.01</v>
      </c>
      <c r="H2622">
        <v>18.7</v>
      </c>
      <c r="I2622">
        <v>4.59</v>
      </c>
      <c r="J2622">
        <f>4.29/2</f>
        <v>2.145</v>
      </c>
      <c r="K2622">
        <v>611.98</v>
      </c>
      <c r="L2622">
        <v>211.55</v>
      </c>
      <c r="M2622">
        <v>78.209999999999994</v>
      </c>
      <c r="N2622">
        <v>102.29</v>
      </c>
      <c r="O2622">
        <f>0.198/2</f>
        <v>9.9000000000000005E-2</v>
      </c>
      <c r="P2622">
        <v>2.14</v>
      </c>
    </row>
    <row r="2623" spans="1:16">
      <c r="A2623" s="1" t="s">
        <v>2595</v>
      </c>
      <c r="B2623" s="1" t="s">
        <v>2647</v>
      </c>
      <c r="C2623" s="1" t="s">
        <v>18</v>
      </c>
      <c r="D2623" s="1" t="s">
        <v>5562</v>
      </c>
      <c r="E2623" s="1" t="s">
        <v>2597</v>
      </c>
      <c r="F2623">
        <v>2234.21</v>
      </c>
      <c r="G2623">
        <v>277.54000000000002</v>
      </c>
      <c r="H2623">
        <v>7.7</v>
      </c>
      <c r="I2623">
        <v>1.89</v>
      </c>
      <c r="J2623">
        <f>2.33/2</f>
        <v>1.165</v>
      </c>
      <c r="K2623">
        <v>549.15</v>
      </c>
      <c r="L2623">
        <v>237.07</v>
      </c>
      <c r="M2623">
        <v>97.56</v>
      </c>
      <c r="N2623">
        <v>114.54</v>
      </c>
      <c r="O2623">
        <f>0.135/2</f>
        <v>6.7500000000000004E-2</v>
      </c>
      <c r="P2623">
        <v>3.57</v>
      </c>
    </row>
    <row r="2624" spans="1:16">
      <c r="A2624" s="1" t="s">
        <v>2595</v>
      </c>
      <c r="B2624" s="1" t="s">
        <v>2648</v>
      </c>
      <c r="C2624" s="1" t="s">
        <v>18</v>
      </c>
      <c r="D2624" s="1" t="s">
        <v>5562</v>
      </c>
      <c r="E2624" s="1" t="s">
        <v>2597</v>
      </c>
      <c r="F2624">
        <v>4053.78</v>
      </c>
      <c r="G2624">
        <v>512.49</v>
      </c>
      <c r="H2624">
        <v>32.24</v>
      </c>
      <c r="I2624">
        <v>6.06</v>
      </c>
      <c r="J2624">
        <f>3.13/2</f>
        <v>1.5649999999999999</v>
      </c>
      <c r="K2624">
        <v>875.11</v>
      </c>
      <c r="L2624">
        <v>228.75</v>
      </c>
      <c r="M2624">
        <v>128.08000000000001</v>
      </c>
      <c r="N2624">
        <v>116.33</v>
      </c>
      <c r="O2624">
        <v>0.35699999999999998</v>
      </c>
      <c r="P2624">
        <v>5.64</v>
      </c>
    </row>
    <row r="2625" spans="1:16">
      <c r="A2625" s="1" t="s">
        <v>2595</v>
      </c>
      <c r="B2625" s="1" t="s">
        <v>2649</v>
      </c>
      <c r="C2625" s="1" t="s">
        <v>18</v>
      </c>
      <c r="D2625" s="1" t="s">
        <v>5562</v>
      </c>
      <c r="E2625" s="1" t="s">
        <v>2597</v>
      </c>
      <c r="F2625">
        <v>87.42</v>
      </c>
      <c r="G2625">
        <f>1.26/2</f>
        <v>0.63</v>
      </c>
      <c r="H2625">
        <f>4.27/2</f>
        <v>2.1349999999999998</v>
      </c>
      <c r="I2625">
        <v>0.21099999999999999</v>
      </c>
      <c r="J2625">
        <f>2.36/2</f>
        <v>1.18</v>
      </c>
      <c r="K2625">
        <v>627.07000000000005</v>
      </c>
      <c r="L2625">
        <v>69.02</v>
      </c>
      <c r="M2625">
        <v>69.11</v>
      </c>
      <c r="N2625">
        <v>2.83</v>
      </c>
      <c r="O2625">
        <f>0.124/2</f>
        <v>6.2E-2</v>
      </c>
      <c r="P2625">
        <v>0.24</v>
      </c>
    </row>
    <row r="2626" spans="1:16">
      <c r="A2626" s="1" t="s">
        <v>2595</v>
      </c>
      <c r="B2626" s="1" t="s">
        <v>2650</v>
      </c>
      <c r="C2626" s="1" t="s">
        <v>18</v>
      </c>
      <c r="D2626" s="1" t="s">
        <v>5562</v>
      </c>
      <c r="E2626" s="1" t="s">
        <v>2597</v>
      </c>
      <c r="F2626">
        <v>2084.2199999999998</v>
      </c>
      <c r="G2626">
        <f>1.12/2</f>
        <v>0.56000000000000005</v>
      </c>
      <c r="H2626">
        <f>4.16/2</f>
        <v>2.08</v>
      </c>
      <c r="I2626">
        <f>0.26/2</f>
        <v>0.13</v>
      </c>
      <c r="J2626">
        <f>2.73/2</f>
        <v>1.365</v>
      </c>
      <c r="K2626">
        <v>1102.25</v>
      </c>
      <c r="L2626">
        <v>193.43</v>
      </c>
      <c r="M2626">
        <v>142.27000000000001</v>
      </c>
      <c r="N2626">
        <v>10.38</v>
      </c>
      <c r="O2626">
        <v>5.04</v>
      </c>
      <c r="P2626">
        <v>2.96</v>
      </c>
    </row>
    <row r="2627" spans="1:16">
      <c r="A2627" s="1" t="s">
        <v>2595</v>
      </c>
      <c r="B2627" s="1" t="s">
        <v>2651</v>
      </c>
      <c r="C2627" s="1" t="s">
        <v>18</v>
      </c>
      <c r="D2627" s="1" t="s">
        <v>5562</v>
      </c>
      <c r="E2627" s="1" t="s">
        <v>2616</v>
      </c>
      <c r="F2627">
        <v>4355.95</v>
      </c>
      <c r="G2627">
        <v>1.22</v>
      </c>
      <c r="H2627">
        <f>5.11/2</f>
        <v>2.5550000000000002</v>
      </c>
      <c r="I2627">
        <f>0.255/2</f>
        <v>0.1275</v>
      </c>
      <c r="J2627">
        <f>3/2</f>
        <v>1.5</v>
      </c>
      <c r="K2627">
        <v>1372.15</v>
      </c>
      <c r="L2627">
        <v>286.81</v>
      </c>
      <c r="M2627">
        <v>147.74</v>
      </c>
      <c r="N2627">
        <v>21.4</v>
      </c>
      <c r="O2627">
        <v>3.77</v>
      </c>
      <c r="P2627">
        <v>5.14</v>
      </c>
    </row>
    <row r="2628" spans="1:16">
      <c r="A2628" s="1" t="s">
        <v>2595</v>
      </c>
      <c r="B2628" s="1" t="s">
        <v>2652</v>
      </c>
      <c r="C2628" s="1" t="s">
        <v>18</v>
      </c>
      <c r="D2628" s="1" t="s">
        <v>5562</v>
      </c>
      <c r="E2628" s="1" t="s">
        <v>2616</v>
      </c>
      <c r="F2628">
        <v>5010.17</v>
      </c>
      <c r="G2628">
        <v>2.29</v>
      </c>
      <c r="H2628">
        <f>9.07/2</f>
        <v>4.5350000000000001</v>
      </c>
      <c r="I2628">
        <f>0.39/2</f>
        <v>0.19500000000000001</v>
      </c>
      <c r="J2628">
        <v>3.48</v>
      </c>
      <c r="K2628">
        <v>1470.93</v>
      </c>
      <c r="L2628">
        <v>337.37</v>
      </c>
      <c r="M2628">
        <v>142.94999999999999</v>
      </c>
      <c r="N2628">
        <v>33.369999999999997</v>
      </c>
      <c r="O2628">
        <v>1.38</v>
      </c>
      <c r="P2628">
        <v>6.94</v>
      </c>
    </row>
    <row r="2629" spans="1:16" s="11" customFormat="1">
      <c r="A2629" s="1" t="s">
        <v>2595</v>
      </c>
      <c r="B2629" s="1" t="s">
        <v>5563</v>
      </c>
      <c r="C2629" s="1" t="s">
        <v>18</v>
      </c>
      <c r="D2629" s="1" t="s">
        <v>5562</v>
      </c>
      <c r="E2629" s="1" t="s">
        <v>2616</v>
      </c>
      <c r="F2629" s="11">
        <v>14069.69</v>
      </c>
      <c r="G2629" s="11">
        <v>2903.04</v>
      </c>
      <c r="H2629" s="11">
        <v>3520.63</v>
      </c>
      <c r="I2629" s="11">
        <v>646.22</v>
      </c>
      <c r="J2629" s="11">
        <f>2.6/2</f>
        <v>1.3</v>
      </c>
      <c r="K2629" s="11">
        <v>1824.04</v>
      </c>
      <c r="L2629" s="11">
        <v>214.49</v>
      </c>
      <c r="M2629" s="11">
        <v>309.64</v>
      </c>
      <c r="N2629" s="11">
        <v>162.78</v>
      </c>
      <c r="O2629" s="11">
        <v>14.58</v>
      </c>
      <c r="P2629" s="11">
        <v>27.36</v>
      </c>
    </row>
    <row r="2630" spans="1:16">
      <c r="A2630" s="1" t="s">
        <v>2595</v>
      </c>
      <c r="B2630" s="1" t="s">
        <v>2653</v>
      </c>
      <c r="C2630" s="1" t="s">
        <v>38</v>
      </c>
      <c r="D2630" s="1" t="s">
        <v>5561</v>
      </c>
      <c r="E2630" s="1" t="s">
        <v>2597</v>
      </c>
      <c r="F2630">
        <v>862.55</v>
      </c>
      <c r="G2630">
        <v>60.8</v>
      </c>
      <c r="H2630">
        <v>20133.98</v>
      </c>
      <c r="I2630">
        <v>1100.96</v>
      </c>
      <c r="J2630">
        <v>10.33</v>
      </c>
      <c r="K2630">
        <v>1431.49</v>
      </c>
      <c r="L2630">
        <v>127.38</v>
      </c>
      <c r="M2630">
        <v>189.74</v>
      </c>
      <c r="N2630">
        <v>237.97</v>
      </c>
      <c r="O2630">
        <v>1.24</v>
      </c>
      <c r="P2630">
        <v>41.17</v>
      </c>
    </row>
    <row r="2631" spans="1:16">
      <c r="A2631" s="1" t="s">
        <v>2595</v>
      </c>
      <c r="B2631" s="1" t="s">
        <v>2654</v>
      </c>
      <c r="C2631" s="1" t="s">
        <v>38</v>
      </c>
      <c r="D2631" s="1" t="s">
        <v>5561</v>
      </c>
      <c r="E2631" s="1" t="s">
        <v>2597</v>
      </c>
      <c r="F2631">
        <v>9459.51</v>
      </c>
      <c r="G2631">
        <v>29.54</v>
      </c>
      <c r="H2631">
        <v>45869.120000000003</v>
      </c>
      <c r="I2631">
        <v>1822.86</v>
      </c>
      <c r="J2631">
        <v>10.16</v>
      </c>
      <c r="K2631">
        <v>3532.48</v>
      </c>
      <c r="L2631">
        <v>115.79</v>
      </c>
      <c r="M2631">
        <v>76.84</v>
      </c>
      <c r="N2631">
        <v>175.59</v>
      </c>
      <c r="O2631">
        <v>2.95</v>
      </c>
      <c r="P2631">
        <v>218.96</v>
      </c>
    </row>
    <row r="2632" spans="1:16">
      <c r="A2632" s="1" t="s">
        <v>2595</v>
      </c>
      <c r="B2632" s="1" t="s">
        <v>2655</v>
      </c>
      <c r="C2632" s="1" t="s">
        <v>38</v>
      </c>
      <c r="D2632" s="1" t="s">
        <v>5561</v>
      </c>
      <c r="E2632" s="1" t="s">
        <v>2616</v>
      </c>
      <c r="F2632">
        <v>9215.26</v>
      </c>
      <c r="G2632">
        <v>10.61</v>
      </c>
      <c r="H2632">
        <v>51672.32</v>
      </c>
      <c r="I2632">
        <v>1867.55</v>
      </c>
      <c r="J2632">
        <v>22.63</v>
      </c>
      <c r="K2632">
        <v>3788.83</v>
      </c>
      <c r="L2632">
        <v>93.41</v>
      </c>
      <c r="M2632">
        <v>77.739999999999995</v>
      </c>
      <c r="N2632">
        <v>25.25</v>
      </c>
      <c r="O2632">
        <v>2.19</v>
      </c>
      <c r="P2632">
        <v>109.39</v>
      </c>
    </row>
    <row r="2633" spans="1:16">
      <c r="A2633" s="1" t="s">
        <v>2595</v>
      </c>
      <c r="B2633" s="1" t="s">
        <v>2656</v>
      </c>
      <c r="C2633" s="1" t="s">
        <v>38</v>
      </c>
      <c r="D2633" s="1" t="s">
        <v>5561</v>
      </c>
      <c r="E2633" s="1" t="s">
        <v>2616</v>
      </c>
      <c r="F2633">
        <v>7142.81</v>
      </c>
      <c r="G2633">
        <v>26.82</v>
      </c>
      <c r="H2633">
        <v>33533.22</v>
      </c>
      <c r="I2633">
        <v>2121.9299999999998</v>
      </c>
      <c r="J2633">
        <v>24.29</v>
      </c>
      <c r="K2633">
        <v>2659.36</v>
      </c>
      <c r="L2633">
        <v>110.33</v>
      </c>
      <c r="M2633">
        <v>81.430000000000007</v>
      </c>
      <c r="N2633">
        <v>54.41</v>
      </c>
      <c r="O2633">
        <v>2.5499999999999998</v>
      </c>
      <c r="P2633">
        <v>135.80000000000001</v>
      </c>
    </row>
    <row r="2634" spans="1:16">
      <c r="A2634" s="1" t="s">
        <v>2595</v>
      </c>
      <c r="B2634" s="1" t="s">
        <v>2657</v>
      </c>
      <c r="C2634" s="1" t="s">
        <v>38</v>
      </c>
      <c r="D2634" s="1" t="s">
        <v>5561</v>
      </c>
      <c r="E2634" s="1" t="s">
        <v>2616</v>
      </c>
      <c r="F2634">
        <v>11820.26</v>
      </c>
      <c r="G2634">
        <v>33.53</v>
      </c>
      <c r="H2634">
        <v>59249.279999999999</v>
      </c>
      <c r="I2634">
        <v>1581.24</v>
      </c>
      <c r="J2634">
        <v>9.7799999999999994</v>
      </c>
      <c r="K2634">
        <v>4290.58</v>
      </c>
      <c r="L2634">
        <v>118.03</v>
      </c>
      <c r="M2634">
        <v>79.430000000000007</v>
      </c>
      <c r="N2634">
        <v>87.12</v>
      </c>
      <c r="O2634">
        <v>2.37</v>
      </c>
      <c r="P2634">
        <v>112.51</v>
      </c>
    </row>
    <row r="2635" spans="1:16">
      <c r="A2635" s="1" t="s">
        <v>2595</v>
      </c>
      <c r="B2635" s="1" t="s">
        <v>2658</v>
      </c>
      <c r="C2635" s="1" t="s">
        <v>38</v>
      </c>
      <c r="D2635" s="1" t="s">
        <v>5561</v>
      </c>
      <c r="E2635" s="1" t="s">
        <v>2616</v>
      </c>
      <c r="F2635">
        <v>4898.3100000000004</v>
      </c>
      <c r="G2635">
        <v>16.53</v>
      </c>
      <c r="H2635">
        <v>27190.92</v>
      </c>
      <c r="I2635">
        <v>1902.38</v>
      </c>
      <c r="J2635">
        <v>47.19</v>
      </c>
      <c r="K2635">
        <v>2683.88</v>
      </c>
      <c r="L2635">
        <v>117.29</v>
      </c>
      <c r="M2635">
        <v>100.35</v>
      </c>
      <c r="N2635">
        <v>225.98</v>
      </c>
      <c r="O2635">
        <v>1.18</v>
      </c>
      <c r="P2635">
        <v>78.739999999999995</v>
      </c>
    </row>
    <row r="2636" spans="1:16">
      <c r="A2636" s="1" t="s">
        <v>2595</v>
      </c>
      <c r="B2636" s="1" t="s">
        <v>2659</v>
      </c>
      <c r="C2636" s="1" t="s">
        <v>38</v>
      </c>
      <c r="D2636" s="1" t="s">
        <v>5561</v>
      </c>
      <c r="E2636" s="1" t="s">
        <v>2616</v>
      </c>
      <c r="F2636">
        <v>6833.54</v>
      </c>
      <c r="G2636">
        <v>17.38</v>
      </c>
      <c r="H2636">
        <v>31791.59</v>
      </c>
      <c r="I2636">
        <v>2222.2199999999998</v>
      </c>
      <c r="J2636">
        <v>30.69</v>
      </c>
      <c r="K2636">
        <v>2340.5700000000002</v>
      </c>
      <c r="L2636">
        <v>101.51</v>
      </c>
      <c r="M2636">
        <v>91.78</v>
      </c>
      <c r="N2636">
        <v>58.64</v>
      </c>
      <c r="O2636">
        <v>1.9</v>
      </c>
      <c r="P2636">
        <v>129.43</v>
      </c>
    </row>
    <row r="2637" spans="1:16">
      <c r="A2637" s="1" t="s">
        <v>2595</v>
      </c>
      <c r="B2637" s="1" t="s">
        <v>2660</v>
      </c>
      <c r="C2637" s="1" t="s">
        <v>38</v>
      </c>
      <c r="D2637" s="1" t="s">
        <v>5561</v>
      </c>
      <c r="E2637" s="1" t="s">
        <v>2616</v>
      </c>
      <c r="F2637">
        <v>6106.12</v>
      </c>
      <c r="G2637">
        <v>21.65</v>
      </c>
      <c r="H2637">
        <v>26820.720000000001</v>
      </c>
      <c r="I2637">
        <v>2109.19</v>
      </c>
      <c r="J2637">
        <v>15.95</v>
      </c>
      <c r="K2637">
        <v>2178.36</v>
      </c>
      <c r="L2637">
        <v>105.71</v>
      </c>
      <c r="M2637">
        <v>89.98</v>
      </c>
      <c r="N2637">
        <v>82.12</v>
      </c>
      <c r="O2637">
        <v>2.0099999999999998</v>
      </c>
      <c r="P2637">
        <v>128.09</v>
      </c>
    </row>
    <row r="2638" spans="1:16">
      <c r="A2638" s="1" t="s">
        <v>2595</v>
      </c>
      <c r="B2638" s="1" t="s">
        <v>2661</v>
      </c>
      <c r="C2638" s="1" t="s">
        <v>38</v>
      </c>
      <c r="D2638" s="1" t="s">
        <v>5561</v>
      </c>
      <c r="E2638" s="1" t="s">
        <v>2616</v>
      </c>
      <c r="F2638">
        <v>8197.73</v>
      </c>
      <c r="G2638">
        <v>24.75</v>
      </c>
      <c r="H2638">
        <v>34671.1</v>
      </c>
      <c r="I2638">
        <v>1981.82</v>
      </c>
      <c r="J2638">
        <f>3.08/2</f>
        <v>1.54</v>
      </c>
      <c r="K2638">
        <v>2702.22</v>
      </c>
      <c r="L2638">
        <v>122.39</v>
      </c>
      <c r="M2638">
        <v>91.72</v>
      </c>
      <c r="N2638">
        <v>139.36000000000001</v>
      </c>
      <c r="O2638">
        <v>3.41</v>
      </c>
      <c r="P2638">
        <v>199.66</v>
      </c>
    </row>
    <row r="2639" spans="1:16">
      <c r="A2639" s="1" t="s">
        <v>2595</v>
      </c>
      <c r="B2639" s="1" t="s">
        <v>2662</v>
      </c>
      <c r="C2639" s="1" t="s">
        <v>38</v>
      </c>
      <c r="D2639" s="1" t="s">
        <v>5561</v>
      </c>
      <c r="E2639" s="1" t="s">
        <v>2616</v>
      </c>
      <c r="F2639">
        <v>10721.54</v>
      </c>
      <c r="G2639">
        <v>43.85</v>
      </c>
      <c r="H2639">
        <v>52549.96</v>
      </c>
      <c r="I2639">
        <v>1646.13</v>
      </c>
      <c r="J2639">
        <f>3.26/2</f>
        <v>1.63</v>
      </c>
      <c r="K2639">
        <v>4908.5200000000004</v>
      </c>
      <c r="L2639">
        <v>161.28</v>
      </c>
      <c r="M2639">
        <v>239.34</v>
      </c>
      <c r="N2639">
        <v>532.16999999999996</v>
      </c>
      <c r="O2639">
        <v>3.54</v>
      </c>
      <c r="P2639">
        <v>122.63</v>
      </c>
    </row>
    <row r="2640" spans="1:16">
      <c r="A2640" s="1" t="s">
        <v>2595</v>
      </c>
      <c r="B2640" s="1" t="s">
        <v>2663</v>
      </c>
      <c r="C2640" s="1" t="s">
        <v>38</v>
      </c>
      <c r="D2640" s="1" t="s">
        <v>5561</v>
      </c>
      <c r="E2640" s="1" t="s">
        <v>2597</v>
      </c>
      <c r="F2640">
        <v>8893.9599999999991</v>
      </c>
      <c r="G2640">
        <v>49.55</v>
      </c>
      <c r="H2640">
        <v>36905.69</v>
      </c>
      <c r="I2640">
        <v>1401.01</v>
      </c>
      <c r="J2640">
        <f>3.42/2</f>
        <v>1.71</v>
      </c>
      <c r="K2640">
        <v>3418.87</v>
      </c>
      <c r="L2640">
        <v>146.99</v>
      </c>
      <c r="M2640">
        <v>117.39</v>
      </c>
      <c r="N2640">
        <v>691.04</v>
      </c>
      <c r="O2640">
        <v>2.69</v>
      </c>
      <c r="P2640">
        <v>122.06</v>
      </c>
    </row>
    <row r="2641" spans="1:16">
      <c r="A2641" s="1" t="s">
        <v>2595</v>
      </c>
      <c r="B2641" s="1" t="s">
        <v>2664</v>
      </c>
      <c r="C2641" s="1" t="s">
        <v>38</v>
      </c>
      <c r="D2641" s="1" t="s">
        <v>5561</v>
      </c>
      <c r="E2641" s="1" t="s">
        <v>2616</v>
      </c>
      <c r="F2641">
        <v>21506.39</v>
      </c>
      <c r="G2641">
        <v>3755.75</v>
      </c>
      <c r="H2641">
        <v>15383.21</v>
      </c>
      <c r="I2641">
        <v>862.5</v>
      </c>
      <c r="J2641">
        <f>2.38/2</f>
        <v>1.19</v>
      </c>
      <c r="K2641">
        <v>2551.98</v>
      </c>
      <c r="L2641">
        <v>277.29000000000002</v>
      </c>
      <c r="M2641">
        <v>355.54</v>
      </c>
      <c r="N2641">
        <v>334.93</v>
      </c>
      <c r="O2641">
        <v>13.47</v>
      </c>
      <c r="P2641">
        <v>51.89</v>
      </c>
    </row>
    <row r="2642" spans="1:16">
      <c r="A2642" s="1" t="s">
        <v>2595</v>
      </c>
      <c r="B2642" s="1" t="s">
        <v>2665</v>
      </c>
      <c r="C2642" s="1" t="s">
        <v>38</v>
      </c>
      <c r="D2642" s="1" t="s">
        <v>5561</v>
      </c>
      <c r="E2642" s="1" t="s">
        <v>2616</v>
      </c>
      <c r="F2642">
        <v>21852.54</v>
      </c>
      <c r="G2642">
        <v>4021.29</v>
      </c>
      <c r="H2642">
        <v>17837.400000000001</v>
      </c>
      <c r="I2642">
        <v>928.38</v>
      </c>
      <c r="J2642">
        <f>2.43/2</f>
        <v>1.2150000000000001</v>
      </c>
      <c r="K2642">
        <v>2687.42</v>
      </c>
      <c r="L2642">
        <v>280.74</v>
      </c>
      <c r="M2642">
        <v>380.89</v>
      </c>
      <c r="N2642">
        <v>409.07</v>
      </c>
      <c r="O2642">
        <v>14.01</v>
      </c>
      <c r="P2642">
        <v>51.78</v>
      </c>
    </row>
    <row r="2643" spans="1:16">
      <c r="A2643" s="1" t="s">
        <v>2595</v>
      </c>
      <c r="B2643" s="1" t="s">
        <v>2666</v>
      </c>
      <c r="C2643" s="1" t="s">
        <v>38</v>
      </c>
      <c r="D2643" s="1" t="s">
        <v>5562</v>
      </c>
      <c r="E2643" s="1" t="s">
        <v>2616</v>
      </c>
      <c r="F2643">
        <v>11302.75</v>
      </c>
      <c r="G2643">
        <v>4616.32</v>
      </c>
      <c r="H2643">
        <v>5331.24</v>
      </c>
      <c r="I2643">
        <v>637.09</v>
      </c>
      <c r="J2643">
        <f>2.4/2</f>
        <v>1.2</v>
      </c>
      <c r="K2643">
        <v>1855.69</v>
      </c>
      <c r="L2643">
        <v>256.14999999999998</v>
      </c>
      <c r="M2643">
        <v>610.41</v>
      </c>
      <c r="N2643">
        <v>277.89</v>
      </c>
      <c r="O2643">
        <v>15.32</v>
      </c>
      <c r="P2643">
        <v>31.07</v>
      </c>
    </row>
    <row r="2644" spans="1:16">
      <c r="A2644" s="1" t="s">
        <v>2595</v>
      </c>
      <c r="B2644" s="1" t="s">
        <v>2667</v>
      </c>
      <c r="C2644" s="1" t="s">
        <v>38</v>
      </c>
      <c r="D2644" s="1" t="s">
        <v>5562</v>
      </c>
      <c r="E2644" s="1" t="s">
        <v>2616</v>
      </c>
      <c r="F2644">
        <v>11235.47</v>
      </c>
      <c r="G2644">
        <v>4803.78</v>
      </c>
      <c r="H2644">
        <v>5868.82</v>
      </c>
      <c r="I2644">
        <v>644.42999999999995</v>
      </c>
      <c r="J2644">
        <f>2.14/2</f>
        <v>1.07</v>
      </c>
      <c r="K2644">
        <v>2013.67</v>
      </c>
      <c r="L2644">
        <v>263.08999999999997</v>
      </c>
      <c r="M2644">
        <v>586.64</v>
      </c>
      <c r="N2644">
        <v>267.29000000000002</v>
      </c>
      <c r="O2644">
        <v>13.27</v>
      </c>
      <c r="P2644">
        <v>33.19</v>
      </c>
    </row>
    <row r="2645" spans="1:16">
      <c r="A2645" s="1" t="s">
        <v>2595</v>
      </c>
      <c r="B2645" s="1" t="s">
        <v>2668</v>
      </c>
      <c r="C2645" s="1" t="s">
        <v>38</v>
      </c>
      <c r="D2645" s="1" t="s">
        <v>5562</v>
      </c>
      <c r="E2645" s="1" t="s">
        <v>2616</v>
      </c>
      <c r="F2645">
        <v>9281.81</v>
      </c>
      <c r="G2645">
        <v>4907.67</v>
      </c>
      <c r="H2645">
        <v>659.86</v>
      </c>
      <c r="I2645">
        <v>431</v>
      </c>
      <c r="J2645">
        <f>3.23/2</f>
        <v>1.615</v>
      </c>
      <c r="K2645">
        <v>1421.32</v>
      </c>
      <c r="L2645">
        <v>151.47999999999999</v>
      </c>
      <c r="M2645">
        <v>78.959999999999994</v>
      </c>
      <c r="N2645">
        <v>190.85</v>
      </c>
      <c r="O2645">
        <v>11.79</v>
      </c>
      <c r="P2645">
        <v>11.34</v>
      </c>
    </row>
    <row r="2646" spans="1:16">
      <c r="A2646" s="1" t="s">
        <v>2595</v>
      </c>
      <c r="B2646" s="1" t="s">
        <v>2669</v>
      </c>
      <c r="C2646" s="1" t="s">
        <v>38</v>
      </c>
      <c r="D2646" s="1" t="s">
        <v>5562</v>
      </c>
      <c r="E2646" s="1" t="s">
        <v>2616</v>
      </c>
      <c r="F2646">
        <v>8034.03</v>
      </c>
      <c r="G2646">
        <v>3335.06</v>
      </c>
      <c r="H2646">
        <v>636.46</v>
      </c>
      <c r="I2646">
        <v>391.47</v>
      </c>
      <c r="J2646">
        <f>2.84/2</f>
        <v>1.42</v>
      </c>
      <c r="K2646">
        <v>1256.75</v>
      </c>
      <c r="L2646">
        <v>114.38</v>
      </c>
      <c r="M2646">
        <v>65.09</v>
      </c>
      <c r="N2646">
        <v>221.18</v>
      </c>
      <c r="O2646">
        <v>11.62</v>
      </c>
      <c r="P2646">
        <v>9.2100000000000009</v>
      </c>
    </row>
    <row r="2647" spans="1:16">
      <c r="A2647" s="1" t="s">
        <v>2595</v>
      </c>
      <c r="B2647" s="1" t="s">
        <v>2670</v>
      </c>
      <c r="C2647" s="1" t="s">
        <v>38</v>
      </c>
      <c r="D2647" s="1" t="s">
        <v>5562</v>
      </c>
      <c r="E2647" s="1" t="s">
        <v>2616</v>
      </c>
      <c r="F2647">
        <v>9989.7000000000007</v>
      </c>
      <c r="G2647">
        <v>5590.98</v>
      </c>
      <c r="H2647">
        <v>723</v>
      </c>
      <c r="I2647">
        <v>364.02</v>
      </c>
      <c r="J2647">
        <v>2.5</v>
      </c>
      <c r="K2647">
        <v>1527.85</v>
      </c>
      <c r="L2647">
        <v>164.22</v>
      </c>
      <c r="M2647">
        <v>90.04</v>
      </c>
      <c r="N2647">
        <v>220.84</v>
      </c>
      <c r="O2647">
        <v>12.98</v>
      </c>
      <c r="P2647">
        <v>19</v>
      </c>
    </row>
    <row r="2648" spans="1:16">
      <c r="A2648" s="1" t="s">
        <v>2595</v>
      </c>
      <c r="B2648" s="1" t="s">
        <v>2671</v>
      </c>
      <c r="C2648" s="1" t="s">
        <v>38</v>
      </c>
      <c r="D2648" s="1" t="s">
        <v>5562</v>
      </c>
      <c r="E2648" s="1" t="s">
        <v>2616</v>
      </c>
      <c r="F2648">
        <v>10814.14</v>
      </c>
      <c r="G2648">
        <v>7732.4</v>
      </c>
      <c r="H2648">
        <v>669.71</v>
      </c>
      <c r="I2648">
        <v>346.96</v>
      </c>
      <c r="J2648">
        <f>3.42/2</f>
        <v>1.71</v>
      </c>
      <c r="K2648">
        <v>1634.91</v>
      </c>
      <c r="L2648">
        <v>140.47999999999999</v>
      </c>
      <c r="M2648">
        <v>102.6</v>
      </c>
      <c r="N2648">
        <v>197.54</v>
      </c>
      <c r="O2648">
        <v>13.37</v>
      </c>
      <c r="P2648">
        <v>24.64</v>
      </c>
    </row>
    <row r="2649" spans="1:16">
      <c r="A2649" s="1" t="s">
        <v>2595</v>
      </c>
      <c r="B2649" s="1" t="s">
        <v>2672</v>
      </c>
      <c r="C2649" s="1" t="s">
        <v>38</v>
      </c>
      <c r="D2649" s="1" t="s">
        <v>5562</v>
      </c>
      <c r="E2649" s="1" t="s">
        <v>2616</v>
      </c>
      <c r="F2649">
        <v>9770.27</v>
      </c>
      <c r="G2649">
        <v>4265.38</v>
      </c>
      <c r="H2649">
        <v>697.49</v>
      </c>
      <c r="I2649">
        <v>337.97</v>
      </c>
      <c r="J2649">
        <f>2.64/2</f>
        <v>1.32</v>
      </c>
      <c r="K2649">
        <v>1686.1</v>
      </c>
      <c r="L2649">
        <v>122.02</v>
      </c>
      <c r="M2649">
        <v>94.59</v>
      </c>
      <c r="N2649">
        <v>108.57</v>
      </c>
      <c r="O2649">
        <v>11.62</v>
      </c>
      <c r="P2649">
        <v>25.55</v>
      </c>
    </row>
    <row r="2650" spans="1:16">
      <c r="A2650" s="1" t="s">
        <v>2595</v>
      </c>
      <c r="B2650" s="1" t="s">
        <v>2673</v>
      </c>
      <c r="C2650" s="1" t="s">
        <v>38</v>
      </c>
      <c r="D2650" s="1" t="s">
        <v>5562</v>
      </c>
      <c r="E2650" s="1" t="s">
        <v>2616</v>
      </c>
      <c r="F2650">
        <v>11136.9</v>
      </c>
      <c r="G2650">
        <v>7779.19</v>
      </c>
      <c r="H2650">
        <v>672.62</v>
      </c>
      <c r="I2650">
        <v>333.96</v>
      </c>
      <c r="J2650">
        <f>2.66/2</f>
        <v>1.33</v>
      </c>
      <c r="K2650">
        <v>1770.48</v>
      </c>
      <c r="L2650">
        <v>129.81</v>
      </c>
      <c r="M2650">
        <v>97.71</v>
      </c>
      <c r="N2650">
        <v>166.46</v>
      </c>
      <c r="O2650">
        <v>11.94</v>
      </c>
      <c r="P2650">
        <v>25.53</v>
      </c>
    </row>
    <row r="2651" spans="1:16">
      <c r="A2651" s="1" t="s">
        <v>2595</v>
      </c>
      <c r="B2651" s="1" t="s">
        <v>2674</v>
      </c>
      <c r="C2651" s="1" t="s">
        <v>38</v>
      </c>
      <c r="D2651" s="1" t="s">
        <v>5562</v>
      </c>
      <c r="E2651" s="1" t="s">
        <v>2616</v>
      </c>
      <c r="F2651">
        <v>8854.18</v>
      </c>
      <c r="G2651">
        <v>4364.75</v>
      </c>
      <c r="H2651">
        <v>1436.12</v>
      </c>
      <c r="I2651">
        <v>428.78</v>
      </c>
      <c r="J2651">
        <f>4.2/2</f>
        <v>2.1</v>
      </c>
      <c r="K2651">
        <v>1554.73</v>
      </c>
      <c r="L2651">
        <v>102.29</v>
      </c>
      <c r="M2651">
        <v>83.82</v>
      </c>
      <c r="N2651">
        <v>112.47</v>
      </c>
      <c r="O2651">
        <v>11.39</v>
      </c>
      <c r="P2651">
        <v>23.24</v>
      </c>
    </row>
    <row r="2652" spans="1:16">
      <c r="A2652" s="1" t="s">
        <v>2595</v>
      </c>
      <c r="B2652" s="1" t="s">
        <v>2675</v>
      </c>
      <c r="C2652" s="1" t="s">
        <v>38</v>
      </c>
      <c r="D2652" s="1" t="s">
        <v>5562</v>
      </c>
      <c r="E2652" s="1" t="s">
        <v>2616</v>
      </c>
      <c r="F2652">
        <v>9955.0400000000009</v>
      </c>
      <c r="G2652">
        <v>4562.57</v>
      </c>
      <c r="H2652">
        <v>5265.35</v>
      </c>
      <c r="I2652">
        <v>630.45000000000005</v>
      </c>
      <c r="J2652">
        <f>2.45/2</f>
        <v>1.2250000000000001</v>
      </c>
      <c r="K2652">
        <v>1878.95</v>
      </c>
      <c r="L2652">
        <v>247.89</v>
      </c>
      <c r="M2652">
        <v>525.6</v>
      </c>
      <c r="N2652">
        <v>270.20999999999998</v>
      </c>
      <c r="O2652">
        <v>12.8</v>
      </c>
      <c r="P2652">
        <v>30.48</v>
      </c>
    </row>
    <row r="2653" spans="1:16">
      <c r="A2653" s="1" t="s">
        <v>2595</v>
      </c>
      <c r="B2653" s="1" t="s">
        <v>2676</v>
      </c>
      <c r="C2653" s="1" t="s">
        <v>38</v>
      </c>
      <c r="D2653" s="1" t="s">
        <v>5562</v>
      </c>
      <c r="E2653" s="1" t="s">
        <v>2616</v>
      </c>
      <c r="F2653">
        <v>10721.95</v>
      </c>
      <c r="G2653">
        <v>4420.33</v>
      </c>
      <c r="H2653">
        <v>4546.24</v>
      </c>
      <c r="I2653">
        <v>459.88</v>
      </c>
      <c r="J2653">
        <v>2.35</v>
      </c>
      <c r="K2653">
        <v>1806.59</v>
      </c>
      <c r="L2653">
        <v>249.19</v>
      </c>
      <c r="M2653">
        <v>487.94</v>
      </c>
      <c r="N2653">
        <v>227.97</v>
      </c>
      <c r="O2653">
        <v>12.16</v>
      </c>
      <c r="P2653">
        <v>25.19</v>
      </c>
    </row>
    <row r="2654" spans="1:16">
      <c r="A2654" s="1" t="s">
        <v>2595</v>
      </c>
      <c r="B2654" s="1" t="s">
        <v>2677</v>
      </c>
      <c r="C2654" s="1" t="s">
        <v>38</v>
      </c>
      <c r="D2654" s="1" t="s">
        <v>5562</v>
      </c>
      <c r="E2654" s="1" t="s">
        <v>2616</v>
      </c>
      <c r="F2654">
        <v>10048.86</v>
      </c>
      <c r="G2654">
        <v>3033.27</v>
      </c>
      <c r="H2654">
        <v>4452</v>
      </c>
      <c r="I2654">
        <v>490.91</v>
      </c>
      <c r="J2654">
        <v>2.94</v>
      </c>
      <c r="K2654">
        <v>1765.02</v>
      </c>
      <c r="L2654">
        <v>236.08</v>
      </c>
      <c r="M2654">
        <v>488.26</v>
      </c>
      <c r="N2654">
        <v>148.25</v>
      </c>
      <c r="O2654">
        <v>10.64</v>
      </c>
      <c r="P2654">
        <v>24.3</v>
      </c>
    </row>
    <row r="2655" spans="1:16">
      <c r="A2655" s="1" t="s">
        <v>2595</v>
      </c>
      <c r="B2655" s="1" t="s">
        <v>2678</v>
      </c>
      <c r="C2655" s="1" t="s">
        <v>38</v>
      </c>
      <c r="D2655" s="1" t="s">
        <v>5562</v>
      </c>
      <c r="E2655" s="1" t="s">
        <v>2616</v>
      </c>
      <c r="F2655">
        <v>8504.68</v>
      </c>
      <c r="G2655">
        <v>4308.03</v>
      </c>
      <c r="H2655">
        <v>2387.7600000000002</v>
      </c>
      <c r="I2655">
        <v>479.72</v>
      </c>
      <c r="J2655">
        <f>2.96/2</f>
        <v>1.48</v>
      </c>
      <c r="K2655">
        <v>1477.46</v>
      </c>
      <c r="L2655">
        <v>159.16</v>
      </c>
      <c r="M2655">
        <v>100.69</v>
      </c>
      <c r="N2655">
        <v>212.03</v>
      </c>
      <c r="O2655">
        <v>11.52</v>
      </c>
      <c r="P2655">
        <v>20.79</v>
      </c>
    </row>
    <row r="2656" spans="1:16">
      <c r="A2656" s="1" t="s">
        <v>2595</v>
      </c>
      <c r="B2656" s="1" t="s">
        <v>2679</v>
      </c>
      <c r="C2656" s="1" t="s">
        <v>38</v>
      </c>
      <c r="D2656" s="1" t="s">
        <v>5562</v>
      </c>
      <c r="E2656" s="1" t="s">
        <v>2616</v>
      </c>
      <c r="F2656">
        <v>3780.74</v>
      </c>
      <c r="G2656">
        <v>58.64</v>
      </c>
      <c r="H2656">
        <v>7441.84</v>
      </c>
      <c r="I2656">
        <v>922.03</v>
      </c>
      <c r="J2656">
        <f>1.93/2</f>
        <v>0.96499999999999997</v>
      </c>
      <c r="K2656">
        <v>996.27</v>
      </c>
      <c r="L2656">
        <v>243.16</v>
      </c>
      <c r="M2656">
        <v>426.93</v>
      </c>
      <c r="N2656">
        <v>299.19</v>
      </c>
      <c r="O2656">
        <v>2.33</v>
      </c>
      <c r="P2656">
        <v>29.31</v>
      </c>
    </row>
    <row r="2657" spans="1:16">
      <c r="A2657" s="1" t="s">
        <v>2595</v>
      </c>
      <c r="B2657" s="1" t="s">
        <v>2680</v>
      </c>
      <c r="C2657" s="1" t="s">
        <v>38</v>
      </c>
      <c r="D2657" s="1" t="s">
        <v>5562</v>
      </c>
      <c r="E2657" s="1" t="s">
        <v>2616</v>
      </c>
      <c r="F2657">
        <v>5318.66</v>
      </c>
      <c r="G2657">
        <v>317.31</v>
      </c>
      <c r="H2657">
        <v>10337.120000000001</v>
      </c>
      <c r="I2657">
        <v>652.97</v>
      </c>
      <c r="J2657">
        <f>2.26/2</f>
        <v>1.1299999999999999</v>
      </c>
      <c r="K2657">
        <v>1495.21</v>
      </c>
      <c r="L2657">
        <v>265.38</v>
      </c>
      <c r="M2657">
        <v>408.8</v>
      </c>
      <c r="N2657">
        <v>363.25</v>
      </c>
      <c r="O2657">
        <v>4.5599999999999996</v>
      </c>
      <c r="P2657">
        <v>32.44</v>
      </c>
    </row>
    <row r="2658" spans="1:16">
      <c r="A2658" s="1" t="s">
        <v>2595</v>
      </c>
      <c r="B2658" s="1" t="s">
        <v>2681</v>
      </c>
      <c r="C2658" s="1" t="s">
        <v>38</v>
      </c>
      <c r="D2658" s="1" t="s">
        <v>5562</v>
      </c>
      <c r="E2658" s="1" t="s">
        <v>2616</v>
      </c>
      <c r="F2658">
        <v>8234.2000000000007</v>
      </c>
      <c r="G2658">
        <v>377.93</v>
      </c>
      <c r="H2658">
        <v>12285.34</v>
      </c>
      <c r="I2658">
        <v>951.79</v>
      </c>
      <c r="J2658">
        <f>2.47/2</f>
        <v>1.2350000000000001</v>
      </c>
      <c r="K2658">
        <v>2138.41</v>
      </c>
      <c r="L2658">
        <v>281.45</v>
      </c>
      <c r="M2658">
        <v>426.78</v>
      </c>
      <c r="N2658">
        <v>367.36</v>
      </c>
      <c r="O2658">
        <v>4.8099999999999996</v>
      </c>
      <c r="P2658">
        <v>37.6</v>
      </c>
    </row>
    <row r="2659" spans="1:16">
      <c r="A2659" s="1" t="s">
        <v>2595</v>
      </c>
      <c r="B2659" s="1" t="s">
        <v>2682</v>
      </c>
      <c r="C2659" s="1" t="s">
        <v>38</v>
      </c>
      <c r="D2659" s="1" t="s">
        <v>5562</v>
      </c>
      <c r="E2659" s="1" t="s">
        <v>2616</v>
      </c>
      <c r="F2659">
        <v>3211.19</v>
      </c>
      <c r="G2659">
        <v>72.05</v>
      </c>
      <c r="H2659">
        <v>9759.34</v>
      </c>
      <c r="I2659">
        <v>859.23</v>
      </c>
      <c r="J2659">
        <f>2.68/2</f>
        <v>1.34</v>
      </c>
      <c r="K2659">
        <v>905.38</v>
      </c>
      <c r="L2659">
        <v>261.99</v>
      </c>
      <c r="M2659">
        <v>331.01</v>
      </c>
      <c r="N2659">
        <v>471.92</v>
      </c>
      <c r="O2659">
        <v>3.2</v>
      </c>
      <c r="P2659">
        <v>29.28</v>
      </c>
    </row>
    <row r="2660" spans="1:16">
      <c r="A2660" s="1" t="s">
        <v>2595</v>
      </c>
      <c r="B2660" s="1" t="s">
        <v>2683</v>
      </c>
      <c r="C2660" s="1" t="s">
        <v>38</v>
      </c>
      <c r="D2660" s="1" t="s">
        <v>5562</v>
      </c>
      <c r="E2660" s="1" t="s">
        <v>2616</v>
      </c>
      <c r="F2660">
        <v>4462.0600000000004</v>
      </c>
      <c r="G2660">
        <v>134.54</v>
      </c>
      <c r="H2660">
        <v>10973.94</v>
      </c>
      <c r="I2660">
        <v>745.34</v>
      </c>
      <c r="J2660">
        <f>1.99/2</f>
        <v>0.995</v>
      </c>
      <c r="K2660">
        <v>1233.19</v>
      </c>
      <c r="L2660">
        <v>258.51</v>
      </c>
      <c r="M2660">
        <v>400.36</v>
      </c>
      <c r="N2660">
        <v>417.18</v>
      </c>
      <c r="O2660">
        <v>3.19</v>
      </c>
      <c r="P2660">
        <v>34.270000000000003</v>
      </c>
    </row>
    <row r="2661" spans="1:16">
      <c r="A2661" s="1" t="s">
        <v>2595</v>
      </c>
      <c r="B2661" s="1" t="s">
        <v>2684</v>
      </c>
      <c r="C2661" s="1" t="s">
        <v>38</v>
      </c>
      <c r="D2661" s="1" t="s">
        <v>5562</v>
      </c>
      <c r="E2661" s="1" t="s">
        <v>2616</v>
      </c>
      <c r="F2661">
        <v>4505.41</v>
      </c>
      <c r="G2661">
        <v>217.37</v>
      </c>
      <c r="H2661">
        <v>10026.33</v>
      </c>
      <c r="I2661">
        <v>957.35</v>
      </c>
      <c r="J2661">
        <f>2.05/2</f>
        <v>1.0249999999999999</v>
      </c>
      <c r="K2661">
        <v>1172.17</v>
      </c>
      <c r="L2661">
        <v>265.55</v>
      </c>
      <c r="M2661">
        <v>476.83</v>
      </c>
      <c r="N2661">
        <v>585.16</v>
      </c>
      <c r="O2661">
        <v>3.48</v>
      </c>
      <c r="P2661">
        <v>39.619999999999997</v>
      </c>
    </row>
    <row r="2662" spans="1:16">
      <c r="A2662" s="1" t="s">
        <v>2595</v>
      </c>
      <c r="B2662" s="1" t="s">
        <v>2685</v>
      </c>
      <c r="C2662" s="1" t="s">
        <v>38</v>
      </c>
      <c r="D2662" s="1" t="s">
        <v>5562</v>
      </c>
      <c r="E2662" s="1" t="s">
        <v>2597</v>
      </c>
      <c r="F2662">
        <v>3501.98</v>
      </c>
      <c r="G2662">
        <v>199.44</v>
      </c>
      <c r="H2662">
        <v>11719.87</v>
      </c>
      <c r="I2662">
        <v>1071.71</v>
      </c>
      <c r="J2662">
        <v>2.16</v>
      </c>
      <c r="K2662">
        <v>1737.77</v>
      </c>
      <c r="L2662">
        <v>51.31</v>
      </c>
      <c r="M2662">
        <v>89.05</v>
      </c>
      <c r="N2662">
        <v>11.89</v>
      </c>
      <c r="O2662">
        <v>8.01</v>
      </c>
      <c r="P2662">
        <v>13.93</v>
      </c>
    </row>
    <row r="2663" spans="1:16" s="11" customFormat="1">
      <c r="A2663" s="1" t="s">
        <v>2595</v>
      </c>
      <c r="B2663" s="1" t="s">
        <v>5564</v>
      </c>
      <c r="C2663" s="1" t="s">
        <v>38</v>
      </c>
      <c r="D2663" s="1" t="s">
        <v>5562</v>
      </c>
      <c r="E2663" s="1" t="s">
        <v>2616</v>
      </c>
      <c r="F2663" s="11">
        <v>15705.66</v>
      </c>
      <c r="G2663" s="11">
        <v>132.99</v>
      </c>
      <c r="H2663" s="11">
        <v>95075.47</v>
      </c>
      <c r="I2663" s="11">
        <v>1471.04</v>
      </c>
      <c r="J2663" s="11">
        <f>2.87/2</f>
        <v>1.4350000000000001</v>
      </c>
      <c r="K2663" s="11">
        <v>8375.81</v>
      </c>
      <c r="L2663" s="11">
        <v>164.76</v>
      </c>
      <c r="M2663" s="11">
        <v>188.2</v>
      </c>
      <c r="N2663" s="11">
        <v>291.72000000000003</v>
      </c>
      <c r="O2663" s="11">
        <v>5.96</v>
      </c>
      <c r="P2663" s="11">
        <v>23.56</v>
      </c>
    </row>
    <row r="2664" spans="1:16">
      <c r="A2664" s="1" t="s">
        <v>2595</v>
      </c>
      <c r="B2664" s="1" t="s">
        <v>2686</v>
      </c>
      <c r="C2664" s="1" t="s">
        <v>38</v>
      </c>
      <c r="D2664" s="1" t="s">
        <v>5562</v>
      </c>
      <c r="E2664" s="1" t="s">
        <v>2597</v>
      </c>
      <c r="F2664">
        <v>5908.58</v>
      </c>
      <c r="G2664">
        <v>226.3</v>
      </c>
      <c r="H2664">
        <v>13866.29</v>
      </c>
      <c r="I2664">
        <v>1036.8399999999999</v>
      </c>
      <c r="J2664">
        <v>1.98</v>
      </c>
      <c r="K2664">
        <v>1693.6</v>
      </c>
      <c r="L2664">
        <v>179.45</v>
      </c>
      <c r="M2664">
        <v>206.72</v>
      </c>
      <c r="N2664">
        <v>266.64999999999998</v>
      </c>
      <c r="O2664">
        <v>6.05</v>
      </c>
      <c r="P2664">
        <v>24.52</v>
      </c>
    </row>
    <row r="2665" spans="1:16">
      <c r="A2665" s="1" t="s">
        <v>2595</v>
      </c>
      <c r="B2665" s="1" t="s">
        <v>2687</v>
      </c>
      <c r="C2665" s="1" t="s">
        <v>38</v>
      </c>
      <c r="D2665" s="1" t="s">
        <v>5562</v>
      </c>
      <c r="E2665" s="1" t="s">
        <v>2597</v>
      </c>
      <c r="F2665">
        <v>6642.25</v>
      </c>
      <c r="G2665">
        <v>258.18</v>
      </c>
      <c r="H2665">
        <v>17410.330000000002</v>
      </c>
      <c r="I2665">
        <v>1228.0899999999999</v>
      </c>
      <c r="J2665">
        <f>2.41/2</f>
        <v>1.2050000000000001</v>
      </c>
      <c r="K2665">
        <v>2053.36</v>
      </c>
      <c r="L2665">
        <v>180.35</v>
      </c>
      <c r="M2665">
        <v>200.04</v>
      </c>
      <c r="N2665">
        <v>294.49</v>
      </c>
      <c r="O2665">
        <v>7.64</v>
      </c>
      <c r="P2665">
        <v>27.57</v>
      </c>
    </row>
    <row r="2666" spans="1:16">
      <c r="A2666" s="1" t="s">
        <v>2595</v>
      </c>
      <c r="B2666" s="1" t="s">
        <v>2688</v>
      </c>
      <c r="C2666" s="1" t="s">
        <v>38</v>
      </c>
      <c r="D2666" s="1" t="s">
        <v>5562</v>
      </c>
      <c r="E2666" s="1" t="s">
        <v>2597</v>
      </c>
      <c r="F2666">
        <v>5645.58</v>
      </c>
      <c r="G2666">
        <v>82.61</v>
      </c>
      <c r="H2666">
        <v>16386.099999999999</v>
      </c>
      <c r="I2666">
        <v>1258.8900000000001</v>
      </c>
      <c r="J2666">
        <f>2.51/2</f>
        <v>1.2549999999999999</v>
      </c>
      <c r="K2666">
        <v>1925.13</v>
      </c>
      <c r="L2666">
        <v>119.99</v>
      </c>
      <c r="M2666">
        <v>124.14</v>
      </c>
      <c r="N2666">
        <v>141.78</v>
      </c>
      <c r="O2666">
        <v>5.27</v>
      </c>
      <c r="P2666">
        <v>14.87</v>
      </c>
    </row>
    <row r="2667" spans="1:16">
      <c r="A2667" s="1" t="s">
        <v>2595</v>
      </c>
      <c r="B2667" s="1" t="s">
        <v>2689</v>
      </c>
      <c r="C2667" s="1" t="s">
        <v>38</v>
      </c>
      <c r="D2667" s="1" t="s">
        <v>5562</v>
      </c>
      <c r="E2667" s="1" t="s">
        <v>2597</v>
      </c>
      <c r="F2667">
        <v>4686.7299999999996</v>
      </c>
      <c r="G2667">
        <v>196.37</v>
      </c>
      <c r="H2667">
        <v>14173.33</v>
      </c>
      <c r="I2667">
        <v>1140.3399999999999</v>
      </c>
      <c r="J2667">
        <v>30.95</v>
      </c>
      <c r="K2667">
        <v>1601.68</v>
      </c>
      <c r="L2667">
        <v>125.87</v>
      </c>
      <c r="M2667">
        <v>150.12</v>
      </c>
      <c r="N2667">
        <v>223.33</v>
      </c>
      <c r="O2667">
        <v>6.88</v>
      </c>
      <c r="P2667">
        <v>27.51</v>
      </c>
    </row>
    <row r="2668" spans="1:16">
      <c r="A2668" s="1" t="s">
        <v>2595</v>
      </c>
      <c r="B2668" s="1" t="s">
        <v>2690</v>
      </c>
      <c r="C2668" s="1" t="s">
        <v>38</v>
      </c>
      <c r="D2668" s="1" t="s">
        <v>5562</v>
      </c>
      <c r="E2668" s="1" t="s">
        <v>2616</v>
      </c>
      <c r="F2668">
        <v>9554.6200000000008</v>
      </c>
      <c r="G2668">
        <v>255.59</v>
      </c>
      <c r="H2668">
        <v>18835.150000000001</v>
      </c>
      <c r="I2668">
        <v>1142.4100000000001</v>
      </c>
      <c r="J2668">
        <f>3.08/2</f>
        <v>1.54</v>
      </c>
      <c r="K2668">
        <v>2522.66</v>
      </c>
      <c r="L2668">
        <v>271.45999999999998</v>
      </c>
      <c r="M2668">
        <v>434.48</v>
      </c>
      <c r="N2668">
        <v>474.3</v>
      </c>
      <c r="O2668">
        <v>11.64</v>
      </c>
      <c r="P2668">
        <v>55.03</v>
      </c>
    </row>
    <row r="2669" spans="1:16">
      <c r="A2669" s="1" t="s">
        <v>2595</v>
      </c>
      <c r="B2669" s="1" t="s">
        <v>2691</v>
      </c>
      <c r="C2669" s="1" t="s">
        <v>38</v>
      </c>
      <c r="D2669" s="1" t="s">
        <v>5562</v>
      </c>
      <c r="E2669" s="1" t="s">
        <v>2616</v>
      </c>
      <c r="F2669">
        <v>11919.2</v>
      </c>
      <c r="G2669">
        <v>283.22000000000003</v>
      </c>
      <c r="H2669">
        <v>28912.29</v>
      </c>
      <c r="I2669">
        <v>1552.56</v>
      </c>
      <c r="J2669">
        <f>2.54/2</f>
        <v>1.27</v>
      </c>
      <c r="K2669">
        <v>2944.96</v>
      </c>
      <c r="L2669">
        <v>261.41000000000003</v>
      </c>
      <c r="M2669">
        <v>465.49</v>
      </c>
      <c r="N2669">
        <v>311.3</v>
      </c>
      <c r="O2669">
        <v>14.56</v>
      </c>
      <c r="P2669">
        <v>67.94</v>
      </c>
    </row>
    <row r="2670" spans="1:16">
      <c r="A2670" s="1" t="s">
        <v>2595</v>
      </c>
      <c r="B2670" s="1" t="s">
        <v>2692</v>
      </c>
      <c r="C2670" s="1" t="s">
        <v>38</v>
      </c>
      <c r="D2670" s="1" t="s">
        <v>5562</v>
      </c>
      <c r="E2670" s="1" t="s">
        <v>2616</v>
      </c>
      <c r="F2670">
        <v>8660.5300000000007</v>
      </c>
      <c r="G2670">
        <v>138.43</v>
      </c>
      <c r="H2670">
        <v>13188.96</v>
      </c>
      <c r="I2670">
        <v>598.88</v>
      </c>
      <c r="J2670">
        <f>1.83/2</f>
        <v>0.91500000000000004</v>
      </c>
      <c r="K2670">
        <v>1978.09</v>
      </c>
      <c r="L2670">
        <v>245.57</v>
      </c>
      <c r="M2670">
        <v>340.9</v>
      </c>
      <c r="N2670">
        <v>369.75</v>
      </c>
      <c r="O2670">
        <v>9.3800000000000008</v>
      </c>
      <c r="P2670">
        <v>39.020000000000003</v>
      </c>
    </row>
    <row r="2671" spans="1:16">
      <c r="A2671" s="1" t="s">
        <v>2595</v>
      </c>
      <c r="B2671" s="1" t="s">
        <v>2693</v>
      </c>
      <c r="C2671" s="1" t="s">
        <v>38</v>
      </c>
      <c r="D2671" s="1" t="s">
        <v>5562</v>
      </c>
      <c r="E2671" s="1" t="s">
        <v>2616</v>
      </c>
      <c r="F2671">
        <v>12619.52</v>
      </c>
      <c r="G2671">
        <v>1020.33</v>
      </c>
      <c r="H2671">
        <v>3982.65</v>
      </c>
      <c r="I2671">
        <v>837.86</v>
      </c>
      <c r="J2671">
        <f>2.45/2</f>
        <v>1.2250000000000001</v>
      </c>
      <c r="K2671">
        <v>1822.78</v>
      </c>
      <c r="L2671">
        <v>260.39</v>
      </c>
      <c r="M2671">
        <v>331.25</v>
      </c>
      <c r="N2671">
        <v>118.19</v>
      </c>
      <c r="O2671">
        <v>13.79</v>
      </c>
      <c r="P2671">
        <v>17.91</v>
      </c>
    </row>
    <row r="2672" spans="1:16">
      <c r="A2672" s="1" t="s">
        <v>2595</v>
      </c>
      <c r="B2672" s="1" t="s">
        <v>2694</v>
      </c>
      <c r="C2672" s="1" t="s">
        <v>38</v>
      </c>
      <c r="D2672" s="1" t="s">
        <v>5562</v>
      </c>
      <c r="E2672" s="1" t="s">
        <v>2616</v>
      </c>
      <c r="F2672">
        <v>13007.19</v>
      </c>
      <c r="G2672">
        <v>2557.67</v>
      </c>
      <c r="H2672">
        <v>3571.5</v>
      </c>
      <c r="I2672">
        <v>646.36</v>
      </c>
      <c r="J2672">
        <f>3.04/2</f>
        <v>1.52</v>
      </c>
      <c r="K2672">
        <v>1929.82</v>
      </c>
      <c r="L2672">
        <v>223.58</v>
      </c>
      <c r="M2672">
        <v>324.58999999999997</v>
      </c>
      <c r="N2672">
        <v>147.41</v>
      </c>
      <c r="O2672">
        <v>16.05</v>
      </c>
      <c r="P2672">
        <v>26.95</v>
      </c>
    </row>
    <row r="2673" spans="1:16">
      <c r="A2673" s="1" t="s">
        <v>2595</v>
      </c>
      <c r="B2673" s="1" t="s">
        <v>2695</v>
      </c>
      <c r="C2673" s="1" t="s">
        <v>38</v>
      </c>
      <c r="D2673" s="1" t="s">
        <v>5562</v>
      </c>
      <c r="E2673" s="1" t="s">
        <v>2616</v>
      </c>
      <c r="F2673">
        <v>6300.31</v>
      </c>
      <c r="G2673">
        <v>628.67999999999995</v>
      </c>
      <c r="H2673">
        <v>2670.84</v>
      </c>
      <c r="I2673">
        <v>592.47</v>
      </c>
      <c r="J2673">
        <f>2.94/2</f>
        <v>1.47</v>
      </c>
      <c r="K2673">
        <v>1747.04</v>
      </c>
      <c r="L2673">
        <v>210.46</v>
      </c>
      <c r="M2673">
        <v>326.83999999999997</v>
      </c>
      <c r="N2673">
        <v>28.55</v>
      </c>
      <c r="O2673">
        <v>13.11</v>
      </c>
      <c r="P2673">
        <v>8.75</v>
      </c>
    </row>
    <row r="2674" spans="1:16">
      <c r="A2674" s="1" t="s">
        <v>2595</v>
      </c>
      <c r="B2674" s="1" t="s">
        <v>2696</v>
      </c>
      <c r="C2674" s="1" t="s">
        <v>38</v>
      </c>
      <c r="D2674" s="1" t="s">
        <v>5562</v>
      </c>
      <c r="E2674" s="1" t="s">
        <v>2616</v>
      </c>
      <c r="F2674">
        <v>5502.35</v>
      </c>
      <c r="G2674">
        <v>629.80999999999995</v>
      </c>
      <c r="H2674">
        <v>2326.5</v>
      </c>
      <c r="I2674">
        <v>582.59</v>
      </c>
      <c r="J2674">
        <f>2.52/2</f>
        <v>1.26</v>
      </c>
      <c r="K2674">
        <v>1412.8</v>
      </c>
      <c r="L2674">
        <v>147.96</v>
      </c>
      <c r="M2674">
        <v>312.75</v>
      </c>
      <c r="N2674">
        <v>27.37</v>
      </c>
      <c r="O2674">
        <v>12.52</v>
      </c>
      <c r="P2674">
        <v>6.33</v>
      </c>
    </row>
    <row r="2675" spans="1:16">
      <c r="A2675" s="1" t="s">
        <v>2595</v>
      </c>
      <c r="B2675" s="1" t="s">
        <v>2697</v>
      </c>
      <c r="C2675" s="1" t="s">
        <v>38</v>
      </c>
      <c r="D2675" s="1" t="s">
        <v>5562</v>
      </c>
      <c r="E2675" s="1" t="s">
        <v>2616</v>
      </c>
      <c r="F2675">
        <v>11992.63</v>
      </c>
      <c r="G2675">
        <v>895.47</v>
      </c>
      <c r="H2675">
        <v>3232.2</v>
      </c>
      <c r="I2675">
        <v>657.06</v>
      </c>
      <c r="J2675">
        <f>2.32/2</f>
        <v>1.1599999999999999</v>
      </c>
      <c r="K2675">
        <v>1656.1</v>
      </c>
      <c r="L2675">
        <v>215.94</v>
      </c>
      <c r="M2675">
        <v>330.45</v>
      </c>
      <c r="N2675">
        <v>112.31</v>
      </c>
      <c r="O2675">
        <v>13.39</v>
      </c>
      <c r="P2675">
        <v>19.68</v>
      </c>
    </row>
    <row r="2676" spans="1:16">
      <c r="A2676" s="1" t="s">
        <v>2595</v>
      </c>
      <c r="B2676" s="1" t="s">
        <v>2698</v>
      </c>
      <c r="C2676" s="1" t="s">
        <v>38</v>
      </c>
      <c r="D2676" s="1" t="s">
        <v>5562</v>
      </c>
      <c r="E2676" s="1" t="s">
        <v>2616</v>
      </c>
      <c r="F2676">
        <v>14859.37</v>
      </c>
      <c r="G2676">
        <v>2937.58</v>
      </c>
      <c r="H2676">
        <v>4823.91</v>
      </c>
      <c r="I2676">
        <v>687.27</v>
      </c>
      <c r="J2676">
        <f>2.81/2</f>
        <v>1.405</v>
      </c>
      <c r="K2676">
        <v>1959.05</v>
      </c>
      <c r="L2676">
        <v>226.91</v>
      </c>
      <c r="M2676">
        <v>287.54000000000002</v>
      </c>
      <c r="N2676">
        <v>159.25</v>
      </c>
      <c r="O2676">
        <v>15.26</v>
      </c>
      <c r="P2676">
        <v>24.86</v>
      </c>
    </row>
    <row r="2677" spans="1:16">
      <c r="A2677" s="1" t="s">
        <v>2595</v>
      </c>
      <c r="B2677" s="1" t="s">
        <v>2699</v>
      </c>
      <c r="C2677" s="1" t="s">
        <v>38</v>
      </c>
      <c r="D2677" s="1" t="s">
        <v>5562</v>
      </c>
      <c r="E2677" s="1" t="s">
        <v>2616</v>
      </c>
      <c r="F2677">
        <v>17330.79</v>
      </c>
      <c r="G2677">
        <v>1290.4100000000001</v>
      </c>
      <c r="H2677">
        <v>40242.050000000003</v>
      </c>
      <c r="I2677">
        <v>1383.06</v>
      </c>
      <c r="J2677">
        <v>2.66</v>
      </c>
      <c r="K2677">
        <v>3783.1</v>
      </c>
      <c r="L2677">
        <v>283.52999999999997</v>
      </c>
      <c r="M2677">
        <v>423.62</v>
      </c>
      <c r="N2677">
        <v>571.76</v>
      </c>
      <c r="O2677">
        <v>8.9499999999999993</v>
      </c>
      <c r="P2677">
        <v>62.1</v>
      </c>
    </row>
    <row r="2678" spans="1:16">
      <c r="A2678" s="1" t="s">
        <v>2595</v>
      </c>
      <c r="B2678" s="1" t="s">
        <v>2700</v>
      </c>
      <c r="C2678" s="1" t="s">
        <v>38</v>
      </c>
      <c r="D2678" s="1" t="s">
        <v>5562</v>
      </c>
      <c r="E2678" s="1" t="s">
        <v>2616</v>
      </c>
      <c r="F2678">
        <v>18789.78</v>
      </c>
      <c r="G2678">
        <v>1480.09</v>
      </c>
      <c r="H2678">
        <v>45362.11</v>
      </c>
      <c r="I2678">
        <v>1345.45</v>
      </c>
      <c r="J2678">
        <f>3/2</f>
        <v>1.5</v>
      </c>
      <c r="K2678">
        <v>3496.3</v>
      </c>
      <c r="L2678">
        <v>303.45</v>
      </c>
      <c r="M2678">
        <v>417.98</v>
      </c>
      <c r="N2678">
        <v>555.46</v>
      </c>
      <c r="O2678">
        <v>9.06</v>
      </c>
      <c r="P2678">
        <v>62.25</v>
      </c>
    </row>
    <row r="2679" spans="1:16">
      <c r="A2679" s="1" t="s">
        <v>2595</v>
      </c>
      <c r="B2679" s="1" t="s">
        <v>2701</v>
      </c>
      <c r="C2679" s="1" t="s">
        <v>38</v>
      </c>
      <c r="D2679" s="1" t="s">
        <v>5562</v>
      </c>
      <c r="E2679" s="1" t="s">
        <v>2616</v>
      </c>
      <c r="F2679">
        <v>15567.37</v>
      </c>
      <c r="G2679">
        <v>1316.09</v>
      </c>
      <c r="H2679">
        <v>33020.269999999997</v>
      </c>
      <c r="I2679">
        <v>1325.43</v>
      </c>
      <c r="J2679">
        <f>2.79/2</f>
        <v>1.395</v>
      </c>
      <c r="K2679">
        <v>2447.7600000000002</v>
      </c>
      <c r="L2679">
        <v>260.02999999999997</v>
      </c>
      <c r="M2679">
        <v>387.44</v>
      </c>
      <c r="N2679">
        <v>413.18</v>
      </c>
      <c r="O2679">
        <v>8.58</v>
      </c>
      <c r="P2679">
        <v>58.02</v>
      </c>
    </row>
    <row r="2680" spans="1:16">
      <c r="A2680" s="1" t="s">
        <v>2595</v>
      </c>
      <c r="B2680" s="1" t="s">
        <v>2702</v>
      </c>
      <c r="C2680" s="1" t="s">
        <v>38</v>
      </c>
      <c r="D2680" s="1" t="s">
        <v>5562</v>
      </c>
      <c r="E2680" s="1" t="s">
        <v>2616</v>
      </c>
      <c r="F2680">
        <v>17373.150000000001</v>
      </c>
      <c r="G2680">
        <v>1237.68</v>
      </c>
      <c r="H2680">
        <v>40226.480000000003</v>
      </c>
      <c r="I2680">
        <v>1034.23</v>
      </c>
      <c r="J2680">
        <f>2.48/2</f>
        <v>1.24</v>
      </c>
      <c r="K2680">
        <v>3837.2</v>
      </c>
      <c r="L2680">
        <v>258.63</v>
      </c>
      <c r="M2680">
        <v>368.76</v>
      </c>
      <c r="N2680">
        <v>542.20000000000005</v>
      </c>
      <c r="O2680">
        <v>7.9</v>
      </c>
      <c r="P2680">
        <v>63.87</v>
      </c>
    </row>
    <row r="2681" spans="1:16">
      <c r="A2681" s="1" t="s">
        <v>2595</v>
      </c>
      <c r="B2681" s="1" t="s">
        <v>2703</v>
      </c>
      <c r="C2681" s="1" t="s">
        <v>38</v>
      </c>
      <c r="D2681" s="1" t="s">
        <v>5562</v>
      </c>
      <c r="E2681" s="1" t="s">
        <v>2616</v>
      </c>
      <c r="F2681">
        <v>54448.01</v>
      </c>
      <c r="G2681">
        <v>22.6</v>
      </c>
      <c r="H2681">
        <v>267281.96999999997</v>
      </c>
      <c r="I2681">
        <v>38.299999999999997</v>
      </c>
      <c r="J2681">
        <f>1.24/2</f>
        <v>0.62</v>
      </c>
      <c r="K2681">
        <v>6632.37</v>
      </c>
      <c r="L2681">
        <v>133.21</v>
      </c>
      <c r="M2681">
        <v>50.16</v>
      </c>
      <c r="N2681">
        <v>87.77</v>
      </c>
      <c r="O2681">
        <f>0.075/2</f>
        <v>3.7499999999999999E-2</v>
      </c>
      <c r="P2681">
        <v>7.3999999999999996E-2</v>
      </c>
    </row>
    <row r="2682" spans="1:16">
      <c r="A2682" s="1" t="s">
        <v>2595</v>
      </c>
      <c r="B2682" s="1" t="s">
        <v>2704</v>
      </c>
      <c r="C2682" s="1" t="s">
        <v>38</v>
      </c>
      <c r="D2682" s="1" t="s">
        <v>5562</v>
      </c>
      <c r="E2682" s="1" t="s">
        <v>2616</v>
      </c>
      <c r="F2682">
        <v>17188.34</v>
      </c>
      <c r="G2682">
        <v>1413.25</v>
      </c>
      <c r="H2682">
        <v>39535.769999999997</v>
      </c>
      <c r="I2682">
        <v>1238.18</v>
      </c>
      <c r="J2682">
        <f>2.72/2</f>
        <v>1.36</v>
      </c>
      <c r="K2682">
        <v>3971.62</v>
      </c>
      <c r="L2682">
        <v>299.83</v>
      </c>
      <c r="M2682">
        <v>421.47</v>
      </c>
      <c r="N2682">
        <v>644.71</v>
      </c>
      <c r="O2682">
        <v>8.76</v>
      </c>
      <c r="P2682">
        <v>56.36</v>
      </c>
    </row>
    <row r="2683" spans="1:16">
      <c r="A2683" s="1" t="s">
        <v>2595</v>
      </c>
      <c r="B2683" s="1" t="s">
        <v>2705</v>
      </c>
      <c r="C2683" s="1" t="s">
        <v>38</v>
      </c>
      <c r="D2683" s="1" t="s">
        <v>5562</v>
      </c>
      <c r="E2683" s="1" t="s">
        <v>2616</v>
      </c>
      <c r="F2683">
        <v>14719.1</v>
      </c>
      <c r="G2683">
        <v>1101.24</v>
      </c>
      <c r="H2683">
        <v>30114.26</v>
      </c>
      <c r="I2683">
        <v>784.55</v>
      </c>
      <c r="J2683">
        <f>2.85/2</f>
        <v>1.425</v>
      </c>
      <c r="K2683">
        <v>2180.17</v>
      </c>
      <c r="L2683">
        <v>260.83999999999997</v>
      </c>
      <c r="M2683">
        <v>416.45</v>
      </c>
      <c r="N2683">
        <v>429.14</v>
      </c>
      <c r="O2683">
        <v>8.4700000000000006</v>
      </c>
      <c r="P2683">
        <v>42.32</v>
      </c>
    </row>
    <row r="2684" spans="1:16">
      <c r="A2684" s="1" t="s">
        <v>2595</v>
      </c>
      <c r="B2684" s="1" t="s">
        <v>2706</v>
      </c>
      <c r="C2684" s="1" t="s">
        <v>38</v>
      </c>
      <c r="D2684" s="1" t="s">
        <v>5562</v>
      </c>
      <c r="E2684" s="1" t="s">
        <v>2616</v>
      </c>
      <c r="F2684">
        <v>16176.69</v>
      </c>
      <c r="G2684">
        <v>902.9</v>
      </c>
      <c r="H2684">
        <v>37956.25</v>
      </c>
      <c r="I2684">
        <v>1125.03</v>
      </c>
      <c r="J2684">
        <f>2.41/2</f>
        <v>1.2050000000000001</v>
      </c>
      <c r="K2684">
        <v>3446.86</v>
      </c>
      <c r="L2684">
        <v>149.28</v>
      </c>
      <c r="M2684">
        <v>286.3</v>
      </c>
      <c r="N2684">
        <v>596.29999999999995</v>
      </c>
      <c r="O2684">
        <v>8.85</v>
      </c>
      <c r="P2684">
        <v>53.26</v>
      </c>
    </row>
    <row r="2685" spans="1:16">
      <c r="A2685" s="1" t="s">
        <v>2595</v>
      </c>
      <c r="B2685" s="1" t="s">
        <v>2707</v>
      </c>
      <c r="C2685" s="1" t="s">
        <v>38</v>
      </c>
      <c r="D2685" s="1" t="s">
        <v>5561</v>
      </c>
      <c r="E2685" s="1" t="s">
        <v>2616</v>
      </c>
      <c r="F2685">
        <v>7915.57</v>
      </c>
      <c r="G2685">
        <v>45.2</v>
      </c>
      <c r="H2685">
        <v>28487.3</v>
      </c>
      <c r="I2685">
        <v>1457.39</v>
      </c>
      <c r="J2685">
        <v>8.0299999999999994</v>
      </c>
      <c r="K2685">
        <v>2255.5700000000002</v>
      </c>
      <c r="L2685">
        <v>141.15</v>
      </c>
      <c r="M2685">
        <v>171.56</v>
      </c>
      <c r="N2685">
        <v>516.25</v>
      </c>
      <c r="O2685">
        <v>3.29</v>
      </c>
      <c r="P2685">
        <v>0.52</v>
      </c>
    </row>
    <row r="2686" spans="1:16" s="11" customFormat="1">
      <c r="A2686" s="1" t="s">
        <v>2595</v>
      </c>
      <c r="B2686" s="1" t="s">
        <v>5565</v>
      </c>
      <c r="C2686" s="1" t="s">
        <v>38</v>
      </c>
      <c r="D2686" s="1" t="s">
        <v>5561</v>
      </c>
      <c r="E2686" s="1" t="s">
        <v>2597</v>
      </c>
      <c r="F2686" s="11">
        <v>10155.18</v>
      </c>
      <c r="G2686" s="11">
        <v>57.4</v>
      </c>
      <c r="H2686" s="11">
        <v>41825.69</v>
      </c>
      <c r="I2686" s="11">
        <v>1410.81</v>
      </c>
      <c r="J2686" s="11">
        <v>3.21</v>
      </c>
      <c r="K2686" s="11">
        <v>4241.8999999999996</v>
      </c>
      <c r="L2686" s="11">
        <v>159.88</v>
      </c>
      <c r="M2686" s="11">
        <v>149.38999999999999</v>
      </c>
      <c r="N2686" s="11">
        <v>2128.64</v>
      </c>
      <c r="O2686" s="11">
        <v>4.1500000000000004</v>
      </c>
      <c r="P2686" s="11">
        <v>0.5</v>
      </c>
    </row>
    <row r="2687" spans="1:16">
      <c r="A2687" s="1" t="s">
        <v>2595</v>
      </c>
      <c r="B2687" s="1" t="s">
        <v>2708</v>
      </c>
      <c r="C2687" s="1" t="s">
        <v>38</v>
      </c>
      <c r="D2687" s="1" t="s">
        <v>5561</v>
      </c>
      <c r="E2687" s="1" t="s">
        <v>2616</v>
      </c>
      <c r="F2687">
        <v>5079.6400000000003</v>
      </c>
      <c r="G2687">
        <v>37.17</v>
      </c>
      <c r="H2687">
        <v>15418.62</v>
      </c>
      <c r="I2687">
        <v>1720.09</v>
      </c>
      <c r="J2687">
        <v>8.3800000000000008</v>
      </c>
      <c r="K2687">
        <v>1374.16</v>
      </c>
      <c r="L2687">
        <v>126.78</v>
      </c>
      <c r="M2687">
        <v>72.78</v>
      </c>
      <c r="N2687">
        <v>202.21</v>
      </c>
      <c r="O2687">
        <v>2.65</v>
      </c>
      <c r="P2687">
        <v>0.45</v>
      </c>
    </row>
    <row r="2688" spans="1:16">
      <c r="A2688" s="1" t="s">
        <v>2595</v>
      </c>
      <c r="B2688" s="1" t="s">
        <v>2709</v>
      </c>
      <c r="C2688" s="1" t="s">
        <v>38</v>
      </c>
      <c r="D2688" s="1" t="s">
        <v>5561</v>
      </c>
      <c r="E2688" s="1" t="s">
        <v>2597</v>
      </c>
      <c r="F2688">
        <v>10768.23</v>
      </c>
      <c r="G2688">
        <v>217.25</v>
      </c>
      <c r="H2688">
        <v>10819.91</v>
      </c>
      <c r="I2688">
        <v>890.01</v>
      </c>
      <c r="J2688">
        <f>3.12/2</f>
        <v>1.56</v>
      </c>
      <c r="K2688">
        <v>2155.87</v>
      </c>
      <c r="L2688">
        <v>262.31</v>
      </c>
      <c r="M2688">
        <v>665.6</v>
      </c>
      <c r="N2688">
        <v>421.7</v>
      </c>
      <c r="O2688">
        <v>9.9700000000000006</v>
      </c>
      <c r="P2688">
        <v>50.43</v>
      </c>
    </row>
    <row r="2689" spans="1:16">
      <c r="A2689" s="1" t="s">
        <v>2595</v>
      </c>
      <c r="B2689" s="1" t="s">
        <v>2710</v>
      </c>
      <c r="C2689" s="1" t="s">
        <v>38</v>
      </c>
      <c r="D2689" s="1" t="s">
        <v>5561</v>
      </c>
      <c r="E2689" s="1" t="s">
        <v>2616</v>
      </c>
      <c r="F2689">
        <v>2886.46</v>
      </c>
      <c r="G2689">
        <v>36.47</v>
      </c>
      <c r="H2689">
        <v>2227.7199999999998</v>
      </c>
      <c r="I2689">
        <v>580.09</v>
      </c>
      <c r="J2689">
        <f>2.45/2</f>
        <v>1.2250000000000001</v>
      </c>
      <c r="K2689">
        <v>546.53</v>
      </c>
      <c r="L2689">
        <v>155.99</v>
      </c>
      <c r="M2689">
        <v>536.39</v>
      </c>
      <c r="N2689">
        <v>134.47999999999999</v>
      </c>
      <c r="O2689">
        <v>4.04</v>
      </c>
      <c r="P2689">
        <v>32.979999999999997</v>
      </c>
    </row>
    <row r="2690" spans="1:16">
      <c r="A2690" s="1" t="s">
        <v>2595</v>
      </c>
      <c r="B2690" s="1" t="s">
        <v>2711</v>
      </c>
      <c r="C2690" s="1" t="s">
        <v>38</v>
      </c>
      <c r="D2690" s="1" t="s">
        <v>5561</v>
      </c>
      <c r="E2690" s="1" t="s">
        <v>2616</v>
      </c>
      <c r="F2690">
        <v>12251.48</v>
      </c>
      <c r="G2690">
        <v>950.93</v>
      </c>
      <c r="H2690">
        <v>14512.14</v>
      </c>
      <c r="I2690">
        <v>843.57</v>
      </c>
      <c r="J2690">
        <f>3.01/2</f>
        <v>1.5049999999999999</v>
      </c>
      <c r="K2690">
        <v>2754.73</v>
      </c>
      <c r="L2690">
        <v>275.89999999999998</v>
      </c>
      <c r="M2690">
        <v>614.47</v>
      </c>
      <c r="N2690">
        <v>547.66999999999996</v>
      </c>
      <c r="O2690">
        <v>11.33</v>
      </c>
      <c r="P2690">
        <v>47.12</v>
      </c>
    </row>
    <row r="2691" spans="1:16">
      <c r="A2691" s="1" t="s">
        <v>2595</v>
      </c>
      <c r="B2691" s="1" t="s">
        <v>2712</v>
      </c>
      <c r="C2691" s="1" t="s">
        <v>38</v>
      </c>
      <c r="D2691" s="1" t="s">
        <v>5561</v>
      </c>
      <c r="E2691" s="1" t="s">
        <v>2616</v>
      </c>
      <c r="F2691">
        <v>15129.09</v>
      </c>
      <c r="G2691">
        <v>1744.17</v>
      </c>
      <c r="H2691">
        <v>12921.75</v>
      </c>
      <c r="I2691">
        <v>915.44</v>
      </c>
      <c r="J2691">
        <f>3.21/2</f>
        <v>1.605</v>
      </c>
      <c r="K2691">
        <v>2539.62</v>
      </c>
      <c r="L2691">
        <v>270.45</v>
      </c>
      <c r="M2691">
        <v>621.29999999999995</v>
      </c>
      <c r="N2691">
        <v>468.04</v>
      </c>
      <c r="O2691">
        <v>11.23</v>
      </c>
      <c r="P2691">
        <v>49.44</v>
      </c>
    </row>
    <row r="2692" spans="1:16">
      <c r="A2692" s="1" t="s">
        <v>2595</v>
      </c>
      <c r="B2692" s="1" t="s">
        <v>2713</v>
      </c>
      <c r="C2692" s="1" t="s">
        <v>38</v>
      </c>
      <c r="D2692" s="1" t="s">
        <v>5561</v>
      </c>
      <c r="E2692" s="1" t="s">
        <v>2616</v>
      </c>
      <c r="F2692">
        <v>18507.080000000002</v>
      </c>
      <c r="G2692">
        <v>2790.01</v>
      </c>
      <c r="H2692">
        <v>12603.16</v>
      </c>
      <c r="I2692">
        <v>1062.3699999999999</v>
      </c>
      <c r="J2692">
        <f>2.57/2</f>
        <v>1.2849999999999999</v>
      </c>
      <c r="K2692">
        <v>2227.7399999999998</v>
      </c>
      <c r="L2692">
        <v>258.05</v>
      </c>
      <c r="M2692">
        <v>606.32000000000005</v>
      </c>
      <c r="N2692">
        <v>372.89</v>
      </c>
      <c r="O2692">
        <v>13.04</v>
      </c>
      <c r="P2692">
        <v>55.83</v>
      </c>
    </row>
    <row r="2693" spans="1:16">
      <c r="A2693" s="1" t="s">
        <v>2595</v>
      </c>
      <c r="B2693" s="1" t="s">
        <v>2714</v>
      </c>
      <c r="C2693" s="1" t="s">
        <v>38</v>
      </c>
      <c r="D2693" s="1" t="s">
        <v>5561</v>
      </c>
      <c r="E2693" s="1" t="s">
        <v>2616</v>
      </c>
      <c r="F2693">
        <v>17693.03</v>
      </c>
      <c r="G2693">
        <v>2324.48</v>
      </c>
      <c r="H2693">
        <v>12854.06</v>
      </c>
      <c r="I2693">
        <v>984.49</v>
      </c>
      <c r="J2693">
        <f>2.93/2</f>
        <v>1.4650000000000001</v>
      </c>
      <c r="K2693">
        <v>2210.2399999999998</v>
      </c>
      <c r="L2693">
        <v>261.01</v>
      </c>
      <c r="M2693">
        <v>634.53</v>
      </c>
      <c r="N2693">
        <v>373.58</v>
      </c>
      <c r="O2693">
        <v>12.69</v>
      </c>
      <c r="P2693">
        <v>52.26</v>
      </c>
    </row>
    <row r="2694" spans="1:16">
      <c r="A2694" s="1" t="s">
        <v>2595</v>
      </c>
      <c r="B2694" s="1" t="s">
        <v>2715</v>
      </c>
      <c r="C2694" s="1" t="s">
        <v>38</v>
      </c>
      <c r="D2694" s="1" t="s">
        <v>5562</v>
      </c>
      <c r="E2694" s="1" t="s">
        <v>2616</v>
      </c>
      <c r="F2694">
        <v>11135.89</v>
      </c>
      <c r="G2694">
        <v>4291.53</v>
      </c>
      <c r="H2694">
        <v>6060.23</v>
      </c>
      <c r="I2694">
        <v>623.77</v>
      </c>
      <c r="J2694">
        <f>2.44/2</f>
        <v>1.22</v>
      </c>
      <c r="K2694">
        <v>1869.84</v>
      </c>
      <c r="L2694">
        <v>223.68</v>
      </c>
      <c r="M2694">
        <v>566.66</v>
      </c>
      <c r="N2694">
        <v>245.57</v>
      </c>
      <c r="O2694">
        <v>13.13</v>
      </c>
      <c r="P2694">
        <v>30.16</v>
      </c>
    </row>
    <row r="2695" spans="1:16">
      <c r="A2695" s="1" t="s">
        <v>2595</v>
      </c>
      <c r="B2695" s="1" t="s">
        <v>2716</v>
      </c>
      <c r="C2695" s="1" t="s">
        <v>38</v>
      </c>
      <c r="D2695" s="1" t="s">
        <v>5562</v>
      </c>
      <c r="E2695" s="1" t="s">
        <v>2616</v>
      </c>
      <c r="F2695">
        <v>4737.1499999999996</v>
      </c>
      <c r="G2695">
        <v>102.21</v>
      </c>
      <c r="H2695">
        <v>17352.98</v>
      </c>
      <c r="I2695">
        <v>1194.79</v>
      </c>
      <c r="J2695">
        <f>1.99/2</f>
        <v>0.995</v>
      </c>
      <c r="K2695">
        <v>1349.85</v>
      </c>
      <c r="L2695">
        <v>227.92</v>
      </c>
      <c r="M2695">
        <v>318.19</v>
      </c>
      <c r="N2695">
        <v>584.16999999999996</v>
      </c>
      <c r="O2695">
        <v>10.42</v>
      </c>
      <c r="P2695">
        <v>48.1</v>
      </c>
    </row>
    <row r="2696" spans="1:16">
      <c r="A2696" s="1" t="s">
        <v>2595</v>
      </c>
      <c r="B2696" s="1" t="s">
        <v>2717</v>
      </c>
      <c r="C2696" s="1" t="s">
        <v>38</v>
      </c>
      <c r="D2696" s="1" t="s">
        <v>5562</v>
      </c>
      <c r="E2696" s="1" t="s">
        <v>2616</v>
      </c>
      <c r="F2696">
        <v>4657.6499999999996</v>
      </c>
      <c r="G2696">
        <v>63.53</v>
      </c>
      <c r="H2696">
        <v>17085.36</v>
      </c>
      <c r="I2696">
        <v>1238.83</v>
      </c>
      <c r="J2696">
        <v>2.14</v>
      </c>
      <c r="K2696">
        <v>1427.34</v>
      </c>
      <c r="L2696">
        <v>227.67</v>
      </c>
      <c r="M2696">
        <v>372.6</v>
      </c>
      <c r="N2696">
        <v>609.32000000000005</v>
      </c>
      <c r="O2696">
        <v>8.16</v>
      </c>
      <c r="P2696">
        <v>47.14</v>
      </c>
    </row>
    <row r="2697" spans="1:16">
      <c r="A2697" s="1" t="s">
        <v>2595</v>
      </c>
      <c r="B2697" s="1" t="s">
        <v>2718</v>
      </c>
      <c r="C2697" s="1" t="s">
        <v>38</v>
      </c>
      <c r="D2697" s="1" t="s">
        <v>5562</v>
      </c>
      <c r="E2697" s="1" t="s">
        <v>2616</v>
      </c>
      <c r="F2697">
        <v>3752.89</v>
      </c>
      <c r="G2697">
        <v>57.03</v>
      </c>
      <c r="H2697">
        <v>12535.98</v>
      </c>
      <c r="I2697">
        <v>1011.71</v>
      </c>
      <c r="J2697">
        <f>1.72/2</f>
        <v>0.86</v>
      </c>
      <c r="K2697">
        <v>1003.48</v>
      </c>
      <c r="L2697">
        <v>211.12</v>
      </c>
      <c r="M2697">
        <v>323.42</v>
      </c>
      <c r="N2697">
        <v>423.7</v>
      </c>
      <c r="O2697">
        <v>7.27</v>
      </c>
      <c r="P2697">
        <v>38.15</v>
      </c>
    </row>
    <row r="2698" spans="1:16">
      <c r="A2698" s="1" t="s">
        <v>2595</v>
      </c>
      <c r="B2698" s="1" t="s">
        <v>2719</v>
      </c>
      <c r="C2698" s="1" t="s">
        <v>38</v>
      </c>
      <c r="D2698" s="1" t="s">
        <v>5562</v>
      </c>
      <c r="E2698" s="1" t="s">
        <v>2616</v>
      </c>
      <c r="F2698">
        <v>4531.28</v>
      </c>
      <c r="G2698">
        <v>42.9</v>
      </c>
      <c r="H2698">
        <v>14986.94</v>
      </c>
      <c r="I2698">
        <v>914.18</v>
      </c>
      <c r="J2698">
        <f>2.83/2</f>
        <v>1.415</v>
      </c>
      <c r="K2698">
        <v>1125.72</v>
      </c>
      <c r="L2698">
        <v>214.8</v>
      </c>
      <c r="M2698">
        <v>323.89999999999998</v>
      </c>
      <c r="N2698">
        <v>362.2</v>
      </c>
      <c r="O2698">
        <v>6.43</v>
      </c>
      <c r="P2698">
        <v>45.61</v>
      </c>
    </row>
    <row r="2699" spans="1:16">
      <c r="A2699" s="1" t="s">
        <v>2595</v>
      </c>
      <c r="B2699" s="1" t="s">
        <v>2720</v>
      </c>
      <c r="C2699" s="1" t="s">
        <v>38</v>
      </c>
      <c r="D2699" s="1" t="s">
        <v>5562</v>
      </c>
      <c r="E2699" s="1" t="s">
        <v>2616</v>
      </c>
      <c r="F2699">
        <v>4282.51</v>
      </c>
      <c r="G2699">
        <v>47.56</v>
      </c>
      <c r="H2699">
        <v>14555.46</v>
      </c>
      <c r="I2699">
        <v>736.11</v>
      </c>
      <c r="J2699">
        <f>3.07/2</f>
        <v>1.5349999999999999</v>
      </c>
      <c r="K2699">
        <v>1205.1400000000001</v>
      </c>
      <c r="L2699">
        <v>221.79</v>
      </c>
      <c r="M2699">
        <v>339.43</v>
      </c>
      <c r="N2699">
        <v>405.39</v>
      </c>
      <c r="O2699">
        <v>7.42</v>
      </c>
      <c r="P2699">
        <v>40.6</v>
      </c>
    </row>
    <row r="2700" spans="1:16">
      <c r="A2700" s="1" t="s">
        <v>2595</v>
      </c>
      <c r="B2700" s="1" t="s">
        <v>2721</v>
      </c>
      <c r="C2700" s="1" t="s">
        <v>38</v>
      </c>
      <c r="D2700" s="1" t="s">
        <v>5562</v>
      </c>
      <c r="E2700" s="1" t="s">
        <v>2616</v>
      </c>
      <c r="F2700">
        <v>4860.6499999999996</v>
      </c>
      <c r="G2700">
        <v>52.55</v>
      </c>
      <c r="H2700">
        <v>18298.64</v>
      </c>
      <c r="I2700">
        <v>1231.83</v>
      </c>
      <c r="J2700">
        <f>2.74/2</f>
        <v>1.37</v>
      </c>
      <c r="K2700">
        <v>1377.4</v>
      </c>
      <c r="L2700">
        <v>234.51</v>
      </c>
      <c r="M2700">
        <v>347.31</v>
      </c>
      <c r="N2700">
        <v>493.53</v>
      </c>
      <c r="O2700">
        <v>6.7</v>
      </c>
      <c r="P2700">
        <v>47.78</v>
      </c>
    </row>
    <row r="2701" spans="1:16">
      <c r="A2701" s="1" t="s">
        <v>2595</v>
      </c>
      <c r="B2701" s="1" t="s">
        <v>2722</v>
      </c>
      <c r="C2701" s="1" t="s">
        <v>38</v>
      </c>
      <c r="D2701" s="1" t="s">
        <v>5562</v>
      </c>
      <c r="E2701" s="1" t="s">
        <v>2616</v>
      </c>
      <c r="F2701">
        <v>4307.3599999999997</v>
      </c>
      <c r="G2701">
        <v>77.56</v>
      </c>
      <c r="H2701">
        <v>16937.98</v>
      </c>
      <c r="I2701">
        <v>1673.51</v>
      </c>
      <c r="J2701">
        <f>2.57/2</f>
        <v>1.2849999999999999</v>
      </c>
      <c r="K2701">
        <v>1283.8499999999999</v>
      </c>
      <c r="L2701">
        <v>238.65</v>
      </c>
      <c r="M2701">
        <v>376.23</v>
      </c>
      <c r="N2701">
        <v>552.73</v>
      </c>
      <c r="O2701">
        <v>7.95</v>
      </c>
      <c r="P2701">
        <v>57.96</v>
      </c>
    </row>
    <row r="2702" spans="1:16">
      <c r="A2702" s="1" t="s">
        <v>2595</v>
      </c>
      <c r="B2702" s="1" t="s">
        <v>2723</v>
      </c>
      <c r="C2702" s="1" t="s">
        <v>38</v>
      </c>
      <c r="D2702" s="1" t="s">
        <v>5562</v>
      </c>
      <c r="E2702" s="1" t="s">
        <v>2616</v>
      </c>
      <c r="F2702">
        <v>5214.63</v>
      </c>
      <c r="G2702">
        <v>88.46</v>
      </c>
      <c r="H2702">
        <v>14648.68</v>
      </c>
      <c r="I2702">
        <v>969.45</v>
      </c>
      <c r="J2702">
        <f>2.58/2</f>
        <v>1.29</v>
      </c>
      <c r="K2702">
        <v>1368.17</v>
      </c>
      <c r="L2702">
        <v>230.25</v>
      </c>
      <c r="M2702">
        <v>342.81</v>
      </c>
      <c r="N2702">
        <v>467.51</v>
      </c>
      <c r="O2702">
        <v>9.2100000000000009</v>
      </c>
      <c r="P2702">
        <v>43.03</v>
      </c>
    </row>
    <row r="2703" spans="1:16">
      <c r="A2703" s="1" t="s">
        <v>2595</v>
      </c>
      <c r="B2703" s="1" t="s">
        <v>2724</v>
      </c>
      <c r="C2703" s="1" t="s">
        <v>38</v>
      </c>
      <c r="D2703" s="1" t="s">
        <v>5562</v>
      </c>
      <c r="E2703" s="1" t="s">
        <v>2616</v>
      </c>
      <c r="F2703">
        <v>5708.83</v>
      </c>
      <c r="G2703">
        <v>106.41</v>
      </c>
      <c r="H2703">
        <v>16229.65</v>
      </c>
      <c r="I2703">
        <v>1080.1500000000001</v>
      </c>
      <c r="J2703">
        <v>2.4500000000000002</v>
      </c>
      <c r="K2703">
        <v>1351.04</v>
      </c>
      <c r="L2703">
        <v>231.97</v>
      </c>
      <c r="M2703">
        <v>359.69</v>
      </c>
      <c r="N2703">
        <v>407.33</v>
      </c>
      <c r="O2703">
        <v>9.81</v>
      </c>
      <c r="P2703">
        <v>44.39</v>
      </c>
    </row>
    <row r="2704" spans="1:16">
      <c r="A2704" s="1" t="s">
        <v>2595</v>
      </c>
      <c r="B2704" s="1" t="s">
        <v>2725</v>
      </c>
      <c r="C2704" s="1" t="s">
        <v>38</v>
      </c>
      <c r="D2704" s="1" t="s">
        <v>5562</v>
      </c>
      <c r="E2704" s="1" t="s">
        <v>2616</v>
      </c>
      <c r="F2704">
        <v>4183.1000000000004</v>
      </c>
      <c r="G2704">
        <v>96.58</v>
      </c>
      <c r="H2704">
        <v>12137.1</v>
      </c>
      <c r="I2704">
        <v>1817.07</v>
      </c>
      <c r="J2704">
        <f>2.52/2</f>
        <v>1.26</v>
      </c>
      <c r="K2704">
        <v>1000.54</v>
      </c>
      <c r="L2704">
        <v>237.78</v>
      </c>
      <c r="M2704">
        <v>378.75</v>
      </c>
      <c r="N2704">
        <v>494.78</v>
      </c>
      <c r="O2704">
        <v>9.9600000000000009</v>
      </c>
      <c r="P2704">
        <v>49.03</v>
      </c>
    </row>
    <row r="2705" spans="1:16">
      <c r="A2705" s="1" t="s">
        <v>2595</v>
      </c>
      <c r="B2705" s="1" t="s">
        <v>2726</v>
      </c>
      <c r="C2705" s="1" t="s">
        <v>38</v>
      </c>
      <c r="D2705" s="1" t="s">
        <v>5562</v>
      </c>
      <c r="E2705" s="1" t="s">
        <v>2616</v>
      </c>
      <c r="F2705">
        <v>5247.04</v>
      </c>
      <c r="G2705">
        <v>73.88</v>
      </c>
      <c r="H2705">
        <v>23906.7</v>
      </c>
      <c r="I2705">
        <v>1606.25</v>
      </c>
      <c r="J2705">
        <f>2.92/2</f>
        <v>1.46</v>
      </c>
      <c r="K2705">
        <v>1554.03</v>
      </c>
      <c r="L2705">
        <v>219.47</v>
      </c>
      <c r="M2705">
        <v>355.53</v>
      </c>
      <c r="N2705">
        <v>285.2</v>
      </c>
      <c r="O2705">
        <v>9.18</v>
      </c>
      <c r="P2705">
        <v>53.18</v>
      </c>
    </row>
    <row r="2706" spans="1:16">
      <c r="A2706" s="1" t="s">
        <v>2595</v>
      </c>
      <c r="B2706" s="1" t="s">
        <v>2727</v>
      </c>
      <c r="C2706" s="1" t="s">
        <v>38</v>
      </c>
      <c r="D2706" s="1" t="s">
        <v>5562</v>
      </c>
      <c r="E2706" s="1" t="s">
        <v>2616</v>
      </c>
      <c r="F2706">
        <v>4108.21</v>
      </c>
      <c r="G2706">
        <v>80.17</v>
      </c>
      <c r="H2706">
        <v>13847.34</v>
      </c>
      <c r="I2706">
        <v>903.05</v>
      </c>
      <c r="J2706">
        <f>2.52/2</f>
        <v>1.26</v>
      </c>
      <c r="K2706">
        <v>1093.3699999999999</v>
      </c>
      <c r="L2706">
        <v>227.64</v>
      </c>
      <c r="M2706">
        <v>342.39</v>
      </c>
      <c r="N2706">
        <v>379.16</v>
      </c>
      <c r="O2706">
        <v>9.51</v>
      </c>
      <c r="P2706">
        <v>44.71</v>
      </c>
    </row>
    <row r="2707" spans="1:16">
      <c r="A2707" s="1" t="s">
        <v>2595</v>
      </c>
      <c r="B2707" s="1" t="s">
        <v>2728</v>
      </c>
      <c r="C2707" s="1" t="s">
        <v>38</v>
      </c>
      <c r="D2707" s="1" t="s">
        <v>5562</v>
      </c>
      <c r="E2707" s="1" t="s">
        <v>2616</v>
      </c>
      <c r="F2707">
        <v>5247.53</v>
      </c>
      <c r="G2707">
        <v>109.88</v>
      </c>
      <c r="H2707">
        <v>19008.919999999998</v>
      </c>
      <c r="I2707">
        <v>1159.94</v>
      </c>
      <c r="J2707">
        <f>2.84/2</f>
        <v>1.42</v>
      </c>
      <c r="K2707">
        <v>1296.6099999999999</v>
      </c>
      <c r="L2707">
        <v>237.52</v>
      </c>
      <c r="M2707">
        <v>366.77</v>
      </c>
      <c r="N2707">
        <v>362.99</v>
      </c>
      <c r="O2707">
        <v>10.29</v>
      </c>
      <c r="P2707">
        <v>55.06</v>
      </c>
    </row>
    <row r="2708" spans="1:16">
      <c r="A2708" s="1" t="s">
        <v>2595</v>
      </c>
      <c r="B2708" s="1" t="s">
        <v>2729</v>
      </c>
      <c r="C2708" s="1" t="s">
        <v>38</v>
      </c>
      <c r="D2708" s="1" t="s">
        <v>5562</v>
      </c>
      <c r="E2708" s="1" t="s">
        <v>2616</v>
      </c>
      <c r="F2708">
        <v>4736.1899999999996</v>
      </c>
      <c r="G2708">
        <v>80.59</v>
      </c>
      <c r="H2708">
        <v>16497.2</v>
      </c>
      <c r="I2708">
        <v>820.79</v>
      </c>
      <c r="J2708">
        <f>3.19/2</f>
        <v>1.595</v>
      </c>
      <c r="K2708">
        <v>1244</v>
      </c>
      <c r="L2708">
        <v>235.72</v>
      </c>
      <c r="M2708">
        <v>356.14</v>
      </c>
      <c r="N2708">
        <v>356.98</v>
      </c>
      <c r="O2708">
        <v>9.23</v>
      </c>
      <c r="P2708">
        <v>44.41</v>
      </c>
    </row>
    <row r="2709" spans="1:16">
      <c r="A2709" s="1" t="s">
        <v>2595</v>
      </c>
      <c r="B2709" s="1" t="s">
        <v>2730</v>
      </c>
      <c r="C2709" s="1" t="s">
        <v>38</v>
      </c>
      <c r="D2709" s="1" t="s">
        <v>5562</v>
      </c>
      <c r="E2709" s="1" t="s">
        <v>2616</v>
      </c>
      <c r="F2709">
        <v>9722.17</v>
      </c>
      <c r="G2709">
        <v>156.55000000000001</v>
      </c>
      <c r="H2709">
        <v>15595.19</v>
      </c>
      <c r="I2709">
        <v>1532.27</v>
      </c>
      <c r="J2709">
        <f>5.1/2</f>
        <v>2.5499999999999998</v>
      </c>
      <c r="K2709">
        <v>2541.29</v>
      </c>
      <c r="L2709">
        <v>257.42</v>
      </c>
      <c r="M2709">
        <v>401.49</v>
      </c>
      <c r="N2709">
        <v>493.17</v>
      </c>
      <c r="O2709">
        <v>10.29</v>
      </c>
      <c r="P2709">
        <v>0.218</v>
      </c>
    </row>
    <row r="2710" spans="1:16">
      <c r="A2710" s="1" t="s">
        <v>2595</v>
      </c>
      <c r="B2710" s="1" t="s">
        <v>2731</v>
      </c>
      <c r="C2710" s="1" t="s">
        <v>38</v>
      </c>
      <c r="D2710" s="1" t="s">
        <v>5562</v>
      </c>
      <c r="E2710" s="1" t="s">
        <v>2616</v>
      </c>
      <c r="F2710">
        <v>9070.2900000000009</v>
      </c>
      <c r="G2710">
        <v>241.21</v>
      </c>
      <c r="H2710">
        <v>17657.86</v>
      </c>
      <c r="I2710">
        <v>1549.63</v>
      </c>
      <c r="J2710">
        <v>3.65</v>
      </c>
      <c r="K2710">
        <v>2405.29</v>
      </c>
      <c r="L2710">
        <v>281.86</v>
      </c>
      <c r="M2710">
        <v>491.3</v>
      </c>
      <c r="N2710">
        <v>703.58</v>
      </c>
      <c r="O2710">
        <v>11.91</v>
      </c>
      <c r="P2710">
        <v>60.25</v>
      </c>
    </row>
    <row r="2711" spans="1:16">
      <c r="A2711" s="1" t="s">
        <v>2595</v>
      </c>
      <c r="B2711" s="1" t="s">
        <v>2732</v>
      </c>
      <c r="C2711" s="1" t="s">
        <v>38</v>
      </c>
      <c r="D2711" s="1" t="s">
        <v>5562</v>
      </c>
      <c r="E2711" s="1" t="s">
        <v>2616</v>
      </c>
      <c r="F2711">
        <v>13462.63</v>
      </c>
      <c r="G2711">
        <v>178.77</v>
      </c>
      <c r="H2711">
        <v>31155.59</v>
      </c>
      <c r="I2711">
        <v>1593.8</v>
      </c>
      <c r="J2711">
        <f>2.48/2</f>
        <v>1.24</v>
      </c>
      <c r="K2711">
        <v>3607.14</v>
      </c>
      <c r="L2711">
        <v>269.86</v>
      </c>
      <c r="M2711">
        <v>357.98</v>
      </c>
      <c r="N2711">
        <v>513.47</v>
      </c>
      <c r="O2711">
        <v>12.9</v>
      </c>
      <c r="P2711">
        <v>115.11</v>
      </c>
    </row>
    <row r="2712" spans="1:16">
      <c r="A2712" s="1" t="s">
        <v>2595</v>
      </c>
      <c r="B2712" s="1" t="s">
        <v>2733</v>
      </c>
      <c r="C2712" s="1" t="s">
        <v>38</v>
      </c>
      <c r="D2712" s="1" t="s">
        <v>5562</v>
      </c>
      <c r="E2712" s="1" t="s">
        <v>2616</v>
      </c>
      <c r="F2712">
        <v>11906.36</v>
      </c>
      <c r="G2712">
        <v>204.18</v>
      </c>
      <c r="H2712">
        <v>29570.73</v>
      </c>
      <c r="I2712">
        <v>1584.46</v>
      </c>
      <c r="J2712">
        <f>4.43/2</f>
        <v>2.2149999999999999</v>
      </c>
      <c r="K2712">
        <v>4623.2299999999996</v>
      </c>
      <c r="L2712">
        <v>323.83</v>
      </c>
      <c r="M2712">
        <v>444.32</v>
      </c>
      <c r="N2712">
        <v>1160.81</v>
      </c>
      <c r="O2712">
        <v>12.58</v>
      </c>
      <c r="P2712">
        <v>75.23</v>
      </c>
    </row>
    <row r="2713" spans="1:16">
      <c r="A2713" s="1" t="s">
        <v>2595</v>
      </c>
      <c r="B2713" s="1" t="s">
        <v>2734</v>
      </c>
      <c r="C2713" s="1" t="s">
        <v>38</v>
      </c>
      <c r="D2713" s="1" t="s">
        <v>5562</v>
      </c>
      <c r="E2713" s="1" t="s">
        <v>2616</v>
      </c>
      <c r="F2713">
        <v>1987.59</v>
      </c>
      <c r="G2713">
        <v>2.29</v>
      </c>
      <c r="H2713">
        <v>5538.7</v>
      </c>
      <c r="I2713">
        <v>838.99</v>
      </c>
      <c r="J2713">
        <f>2.6/2</f>
        <v>1.3</v>
      </c>
      <c r="K2713">
        <v>1667.8</v>
      </c>
      <c r="L2713">
        <v>226.59</v>
      </c>
      <c r="M2713">
        <v>536.25</v>
      </c>
      <c r="N2713">
        <v>53.85</v>
      </c>
      <c r="O2713">
        <v>0.49099999999999999</v>
      </c>
      <c r="P2713">
        <v>25.53</v>
      </c>
    </row>
    <row r="2714" spans="1:16">
      <c r="A2714" s="1" t="s">
        <v>2595</v>
      </c>
      <c r="B2714" s="1" t="s">
        <v>2735</v>
      </c>
      <c r="C2714" s="1" t="s">
        <v>38</v>
      </c>
      <c r="D2714" s="1" t="s">
        <v>5562</v>
      </c>
      <c r="E2714" s="1" t="s">
        <v>2616</v>
      </c>
      <c r="F2714">
        <v>1392.09</v>
      </c>
      <c r="G2714">
        <v>4.45</v>
      </c>
      <c r="H2714">
        <v>5834.9</v>
      </c>
      <c r="I2714">
        <v>672.76</v>
      </c>
      <c r="J2714">
        <f>3.14/2</f>
        <v>1.57</v>
      </c>
      <c r="K2714">
        <v>1158.72</v>
      </c>
      <c r="L2714">
        <v>187.66</v>
      </c>
      <c r="M2714">
        <v>456.74</v>
      </c>
      <c r="N2714">
        <v>83.04</v>
      </c>
      <c r="O2714">
        <v>0.44800000000000001</v>
      </c>
      <c r="P2714">
        <v>27.4</v>
      </c>
    </row>
    <row r="2715" spans="1:16">
      <c r="A2715" s="1" t="s">
        <v>2595</v>
      </c>
      <c r="B2715" s="1" t="s">
        <v>2736</v>
      </c>
      <c r="C2715" s="1" t="s">
        <v>38</v>
      </c>
      <c r="D2715" s="1" t="s">
        <v>5562</v>
      </c>
      <c r="E2715" s="1" t="s">
        <v>2616</v>
      </c>
      <c r="F2715">
        <v>1797.66</v>
      </c>
      <c r="G2715">
        <v>5.16</v>
      </c>
      <c r="H2715">
        <v>6105.38</v>
      </c>
      <c r="I2715">
        <v>780.04</v>
      </c>
      <c r="J2715">
        <f>2.26/2</f>
        <v>1.1299999999999999</v>
      </c>
      <c r="K2715">
        <v>1240.56</v>
      </c>
      <c r="L2715">
        <v>222.46</v>
      </c>
      <c r="M2715">
        <v>477.92</v>
      </c>
      <c r="N2715">
        <v>94.64</v>
      </c>
      <c r="O2715">
        <v>0.503</v>
      </c>
      <c r="P2715">
        <v>28.66</v>
      </c>
    </row>
    <row r="2716" spans="1:16">
      <c r="A2716" s="1" t="s">
        <v>2595</v>
      </c>
      <c r="B2716" s="1" t="s">
        <v>2737</v>
      </c>
      <c r="C2716" s="1" t="s">
        <v>38</v>
      </c>
      <c r="D2716" s="1" t="s">
        <v>5562</v>
      </c>
      <c r="E2716" s="1" t="s">
        <v>2616</v>
      </c>
      <c r="F2716">
        <v>885.32</v>
      </c>
      <c r="G2716">
        <v>2.52</v>
      </c>
      <c r="H2716">
        <v>2794.57</v>
      </c>
      <c r="I2716">
        <v>1071.24</v>
      </c>
      <c r="J2716">
        <v>2.2400000000000002</v>
      </c>
      <c r="K2716">
        <v>822.66</v>
      </c>
      <c r="L2716">
        <v>136.63</v>
      </c>
      <c r="M2716">
        <v>407.32</v>
      </c>
      <c r="N2716">
        <v>34.909999999999997</v>
      </c>
      <c r="O2716">
        <v>0.34899999999999998</v>
      </c>
      <c r="P2716">
        <v>9.11</v>
      </c>
    </row>
    <row r="2717" spans="1:16">
      <c r="A2717" s="1" t="s">
        <v>2595</v>
      </c>
      <c r="B2717" s="1" t="s">
        <v>2738</v>
      </c>
      <c r="C2717" s="1" t="s">
        <v>38</v>
      </c>
      <c r="D2717" s="1" t="s">
        <v>5562</v>
      </c>
      <c r="E2717" s="1" t="s">
        <v>2616</v>
      </c>
      <c r="F2717">
        <v>1173.1500000000001</v>
      </c>
      <c r="G2717">
        <v>2.74</v>
      </c>
      <c r="H2717">
        <v>4073.83</v>
      </c>
      <c r="I2717">
        <v>427.11</v>
      </c>
      <c r="J2717">
        <f>2.53/2</f>
        <v>1.2649999999999999</v>
      </c>
      <c r="K2717">
        <v>1507.8</v>
      </c>
      <c r="L2717">
        <v>126.12</v>
      </c>
      <c r="M2717">
        <v>305.45</v>
      </c>
      <c r="N2717">
        <v>29.63</v>
      </c>
      <c r="O2717">
        <v>0.308</v>
      </c>
      <c r="P2717">
        <v>5.93</v>
      </c>
    </row>
    <row r="2718" spans="1:16">
      <c r="A2718" s="1" t="s">
        <v>2595</v>
      </c>
      <c r="B2718" s="1" t="s">
        <v>2739</v>
      </c>
      <c r="C2718" s="1" t="s">
        <v>38</v>
      </c>
      <c r="D2718" s="1" t="s">
        <v>5562</v>
      </c>
      <c r="E2718" s="1" t="s">
        <v>2616</v>
      </c>
      <c r="F2718">
        <v>1340.44</v>
      </c>
      <c r="G2718">
        <v>3.3</v>
      </c>
      <c r="H2718">
        <v>5956.55</v>
      </c>
      <c r="I2718">
        <v>652.02</v>
      </c>
      <c r="J2718">
        <f>2.53/2</f>
        <v>1.2649999999999999</v>
      </c>
      <c r="K2718">
        <v>1128.73</v>
      </c>
      <c r="L2718">
        <v>138.51</v>
      </c>
      <c r="M2718">
        <v>388.4</v>
      </c>
      <c r="N2718">
        <v>54.86</v>
      </c>
      <c r="O2718">
        <v>0.21</v>
      </c>
      <c r="P2718">
        <v>13.75</v>
      </c>
    </row>
    <row r="2719" spans="1:16">
      <c r="A2719" s="1" t="s">
        <v>2595</v>
      </c>
      <c r="B2719" s="1" t="s">
        <v>2740</v>
      </c>
      <c r="C2719" s="1" t="s">
        <v>38</v>
      </c>
      <c r="D2719" s="1" t="s">
        <v>5562</v>
      </c>
      <c r="E2719" s="1" t="s">
        <v>2616</v>
      </c>
      <c r="F2719">
        <v>967.1</v>
      </c>
      <c r="G2719">
        <v>3.21</v>
      </c>
      <c r="H2719">
        <v>4022.63</v>
      </c>
      <c r="I2719">
        <v>1194.32</v>
      </c>
      <c r="J2719">
        <f>2.83/2</f>
        <v>1.415</v>
      </c>
      <c r="K2719">
        <v>901.65</v>
      </c>
      <c r="L2719">
        <v>132.99</v>
      </c>
      <c r="M2719">
        <v>468.92</v>
      </c>
      <c r="N2719">
        <v>28.59</v>
      </c>
      <c r="O2719">
        <v>0.20599999999999999</v>
      </c>
      <c r="P2719">
        <v>28</v>
      </c>
    </row>
    <row r="2720" spans="1:16">
      <c r="A2720" s="1" t="s">
        <v>2595</v>
      </c>
      <c r="B2720" s="1" t="s">
        <v>2741</v>
      </c>
      <c r="C2720" s="1" t="s">
        <v>38</v>
      </c>
      <c r="D2720" s="1" t="s">
        <v>5562</v>
      </c>
      <c r="E2720" s="1" t="s">
        <v>2616</v>
      </c>
      <c r="F2720">
        <v>1125.76</v>
      </c>
      <c r="G2720">
        <v>3.51</v>
      </c>
      <c r="H2720">
        <v>4436.8900000000003</v>
      </c>
      <c r="I2720">
        <v>399.79</v>
      </c>
      <c r="J2720">
        <f>2.91/2</f>
        <v>1.4550000000000001</v>
      </c>
      <c r="K2720">
        <v>1202.68</v>
      </c>
      <c r="L2720">
        <v>159.91</v>
      </c>
      <c r="M2720">
        <v>334.14</v>
      </c>
      <c r="N2720">
        <v>44.88</v>
      </c>
      <c r="O2720">
        <v>0.40799999999999997</v>
      </c>
      <c r="P2720">
        <v>15.64</v>
      </c>
    </row>
    <row r="2721" spans="1:16">
      <c r="A2721" s="1" t="s">
        <v>2595</v>
      </c>
      <c r="B2721" s="1" t="s">
        <v>2742</v>
      </c>
      <c r="C2721" s="1" t="s">
        <v>38</v>
      </c>
      <c r="D2721" s="1" t="s">
        <v>5562</v>
      </c>
      <c r="E2721" s="1" t="s">
        <v>2616</v>
      </c>
      <c r="F2721">
        <v>2887.78</v>
      </c>
      <c r="G2721">
        <v>140.30000000000001</v>
      </c>
      <c r="H2721">
        <v>4768.78</v>
      </c>
      <c r="I2721">
        <v>744.84</v>
      </c>
      <c r="J2721">
        <f>2.68/2</f>
        <v>1.34</v>
      </c>
      <c r="K2721">
        <v>1535.14</v>
      </c>
      <c r="L2721">
        <v>206.92</v>
      </c>
      <c r="M2721">
        <v>437.14</v>
      </c>
      <c r="N2721">
        <v>39.92</v>
      </c>
      <c r="O2721">
        <v>0.65</v>
      </c>
      <c r="P2721">
        <v>14.34</v>
      </c>
    </row>
    <row r="2722" spans="1:16">
      <c r="A2722" s="1" t="s">
        <v>2595</v>
      </c>
      <c r="B2722" s="1" t="s">
        <v>2743</v>
      </c>
      <c r="C2722" s="1" t="s">
        <v>38</v>
      </c>
      <c r="D2722" s="1" t="s">
        <v>5562</v>
      </c>
      <c r="E2722" s="1" t="s">
        <v>2616</v>
      </c>
      <c r="F2722">
        <v>1111.98</v>
      </c>
      <c r="G2722">
        <v>1.6</v>
      </c>
      <c r="H2722">
        <v>5064.51</v>
      </c>
      <c r="I2722">
        <v>642.85</v>
      </c>
      <c r="J2722">
        <f>2.72/2</f>
        <v>1.36</v>
      </c>
      <c r="K2722">
        <v>1071.5899999999999</v>
      </c>
      <c r="L2722">
        <v>128.52000000000001</v>
      </c>
      <c r="M2722">
        <v>352.99</v>
      </c>
      <c r="N2722">
        <v>52.01</v>
      </c>
      <c r="O2722">
        <v>0.317</v>
      </c>
      <c r="P2722">
        <v>6.01</v>
      </c>
    </row>
    <row r="2723" spans="1:16">
      <c r="A2723" s="1" t="s">
        <v>2595</v>
      </c>
      <c r="B2723" s="1" t="s">
        <v>2744</v>
      </c>
      <c r="C2723" s="1" t="s">
        <v>38</v>
      </c>
      <c r="D2723" s="1" t="s">
        <v>5562</v>
      </c>
      <c r="E2723" s="1" t="s">
        <v>2616</v>
      </c>
      <c r="F2723">
        <v>2099.7600000000002</v>
      </c>
      <c r="G2723">
        <v>15.67</v>
      </c>
      <c r="H2723">
        <v>9268.0499999999993</v>
      </c>
      <c r="I2723">
        <v>725.6</v>
      </c>
      <c r="J2723">
        <f>2.63/2</f>
        <v>1.3149999999999999</v>
      </c>
      <c r="K2723">
        <v>1494.16</v>
      </c>
      <c r="L2723">
        <v>191.34</v>
      </c>
      <c r="M2723">
        <v>376.26</v>
      </c>
      <c r="N2723">
        <v>160.84</v>
      </c>
      <c r="O2723">
        <v>1.54</v>
      </c>
      <c r="P2723">
        <v>40.14</v>
      </c>
    </row>
    <row r="2724" spans="1:16">
      <c r="A2724" s="1" t="s">
        <v>2595</v>
      </c>
      <c r="B2724" s="1" t="s">
        <v>2745</v>
      </c>
      <c r="C2724" s="1" t="s">
        <v>38</v>
      </c>
      <c r="D2724" s="1" t="s">
        <v>5562</v>
      </c>
      <c r="E2724" s="1" t="s">
        <v>2616</v>
      </c>
      <c r="F2724">
        <v>8860.2800000000007</v>
      </c>
      <c r="G2724">
        <v>725.32</v>
      </c>
      <c r="H2724">
        <v>16525.03</v>
      </c>
      <c r="I2724">
        <v>1055.83</v>
      </c>
      <c r="J2724">
        <f>2.34/2</f>
        <v>1.17</v>
      </c>
      <c r="K2724">
        <v>1994.55</v>
      </c>
      <c r="L2724">
        <v>63.5</v>
      </c>
      <c r="M2724">
        <v>194.76</v>
      </c>
      <c r="N2724">
        <v>176.16</v>
      </c>
      <c r="O2724">
        <v>6.85</v>
      </c>
      <c r="P2724">
        <v>30.75</v>
      </c>
    </row>
    <row r="2725" spans="1:16">
      <c r="A2725" s="1" t="s">
        <v>2595</v>
      </c>
      <c r="B2725" s="1" t="s">
        <v>2746</v>
      </c>
      <c r="C2725" s="1" t="s">
        <v>38</v>
      </c>
      <c r="D2725" s="1" t="s">
        <v>5562</v>
      </c>
      <c r="E2725" s="1" t="s">
        <v>2616</v>
      </c>
      <c r="F2725">
        <v>15735.67</v>
      </c>
      <c r="G2725">
        <v>865.69</v>
      </c>
      <c r="H2725">
        <v>38708.58</v>
      </c>
      <c r="I2725">
        <v>1372.99</v>
      </c>
      <c r="J2725">
        <f>2/2</f>
        <v>1</v>
      </c>
      <c r="K2725">
        <v>3347.07</v>
      </c>
      <c r="L2725">
        <v>282.57</v>
      </c>
      <c r="M2725">
        <v>364.3</v>
      </c>
      <c r="N2725">
        <v>599.91</v>
      </c>
      <c r="O2725">
        <v>8.75</v>
      </c>
      <c r="P2725">
        <v>55.31</v>
      </c>
    </row>
    <row r="2726" spans="1:16">
      <c r="A2726" s="1" t="s">
        <v>2747</v>
      </c>
      <c r="B2726" s="1" t="s">
        <v>2748</v>
      </c>
      <c r="C2726" s="1" t="s">
        <v>18</v>
      </c>
      <c r="D2726" s="1" t="s">
        <v>19</v>
      </c>
      <c r="E2726" s="1" t="s">
        <v>2749</v>
      </c>
      <c r="F2726">
        <v>1613</v>
      </c>
      <c r="G2726">
        <v>901</v>
      </c>
      <c r="H2726">
        <v>606</v>
      </c>
      <c r="I2726">
        <v>2003</v>
      </c>
      <c r="J2726">
        <f>5.53/2</f>
        <v>2.7650000000000001</v>
      </c>
      <c r="K2726">
        <v>362</v>
      </c>
      <c r="L2726">
        <v>116.8</v>
      </c>
      <c r="M2726">
        <v>325</v>
      </c>
      <c r="N2726">
        <v>21.3</v>
      </c>
      <c r="O2726">
        <v>36.799999999999997</v>
      </c>
      <c r="P2726">
        <v>1.38</v>
      </c>
    </row>
    <row r="2727" spans="1:16">
      <c r="A2727" s="1" t="s">
        <v>2747</v>
      </c>
      <c r="B2727" s="1" t="s">
        <v>2750</v>
      </c>
      <c r="C2727" s="1" t="s">
        <v>18</v>
      </c>
      <c r="D2727" s="1" t="s">
        <v>19</v>
      </c>
      <c r="E2727" s="1" t="s">
        <v>2749</v>
      </c>
      <c r="F2727">
        <v>1464</v>
      </c>
      <c r="G2727">
        <v>925</v>
      </c>
      <c r="H2727">
        <v>500</v>
      </c>
      <c r="I2727">
        <v>2096</v>
      </c>
      <c r="J2727" s="11">
        <f t="shared" ref="J2727:J2790" si="69">5.53/2</f>
        <v>2.7650000000000001</v>
      </c>
      <c r="K2727">
        <v>416</v>
      </c>
      <c r="L2727">
        <v>115</v>
      </c>
      <c r="M2727">
        <v>319</v>
      </c>
      <c r="N2727">
        <v>40.4</v>
      </c>
      <c r="O2727">
        <v>36.4</v>
      </c>
      <c r="P2727">
        <v>1.63</v>
      </c>
    </row>
    <row r="2728" spans="1:16">
      <c r="A2728" s="1" t="s">
        <v>2747</v>
      </c>
      <c r="B2728" s="1" t="s">
        <v>2751</v>
      </c>
      <c r="C2728" s="1" t="s">
        <v>18</v>
      </c>
      <c r="D2728" s="1" t="s">
        <v>19</v>
      </c>
      <c r="E2728" s="1" t="s">
        <v>2752</v>
      </c>
      <c r="F2728">
        <v>2240</v>
      </c>
      <c r="G2728">
        <v>668</v>
      </c>
      <c r="H2728">
        <v>1330</v>
      </c>
      <c r="I2728">
        <v>2020</v>
      </c>
      <c r="J2728" s="11">
        <f t="shared" si="69"/>
        <v>2.7650000000000001</v>
      </c>
      <c r="K2728">
        <v>610</v>
      </c>
      <c r="L2728">
        <v>130</v>
      </c>
      <c r="M2728">
        <v>303</v>
      </c>
      <c r="N2728">
        <v>108</v>
      </c>
      <c r="O2728">
        <v>35.299999999999997</v>
      </c>
      <c r="P2728">
        <v>1.74</v>
      </c>
    </row>
    <row r="2729" spans="1:16">
      <c r="A2729" s="1" t="s">
        <v>2747</v>
      </c>
      <c r="B2729" s="1" t="s">
        <v>2753</v>
      </c>
      <c r="C2729" s="1" t="s">
        <v>18</v>
      </c>
      <c r="D2729" s="1" t="s">
        <v>19</v>
      </c>
      <c r="E2729" s="1" t="s">
        <v>2752</v>
      </c>
      <c r="F2729">
        <v>1457</v>
      </c>
      <c r="G2729">
        <v>798</v>
      </c>
      <c r="H2729">
        <v>661</v>
      </c>
      <c r="I2729">
        <v>2018</v>
      </c>
      <c r="J2729" s="11">
        <f t="shared" si="69"/>
        <v>2.7650000000000001</v>
      </c>
      <c r="K2729">
        <v>284</v>
      </c>
      <c r="L2729">
        <v>111.3</v>
      </c>
      <c r="M2729">
        <v>305</v>
      </c>
      <c r="N2729">
        <v>24.9</v>
      </c>
      <c r="O2729">
        <v>35.200000000000003</v>
      </c>
      <c r="P2729">
        <v>1.96</v>
      </c>
    </row>
    <row r="2730" spans="1:16">
      <c r="A2730" s="1" t="s">
        <v>2747</v>
      </c>
      <c r="B2730" s="1" t="s">
        <v>2754</v>
      </c>
      <c r="C2730" s="1" t="s">
        <v>18</v>
      </c>
      <c r="D2730" s="1" t="s">
        <v>19</v>
      </c>
      <c r="E2730" s="1" t="s">
        <v>2752</v>
      </c>
      <c r="F2730">
        <v>1424</v>
      </c>
      <c r="G2730">
        <v>870</v>
      </c>
      <c r="H2730">
        <v>2240</v>
      </c>
      <c r="I2730">
        <v>1985</v>
      </c>
      <c r="J2730" s="11">
        <f t="shared" si="69"/>
        <v>2.7650000000000001</v>
      </c>
      <c r="K2730">
        <v>384</v>
      </c>
      <c r="L2730">
        <v>112.8</v>
      </c>
      <c r="M2730">
        <v>293</v>
      </c>
      <c r="N2730">
        <v>34.200000000000003</v>
      </c>
      <c r="O2730">
        <v>35.4</v>
      </c>
      <c r="P2730">
        <v>2.75</v>
      </c>
    </row>
    <row r="2731" spans="1:16">
      <c r="A2731" s="1" t="s">
        <v>2747</v>
      </c>
      <c r="B2731" s="1" t="s">
        <v>2755</v>
      </c>
      <c r="C2731" s="1" t="s">
        <v>18</v>
      </c>
      <c r="D2731" s="1" t="s">
        <v>19</v>
      </c>
      <c r="E2731" s="1" t="s">
        <v>2752</v>
      </c>
      <c r="F2731">
        <v>1542</v>
      </c>
      <c r="G2731">
        <v>803</v>
      </c>
      <c r="H2731">
        <v>872</v>
      </c>
      <c r="I2731">
        <v>1984</v>
      </c>
      <c r="J2731" s="11">
        <f t="shared" si="69"/>
        <v>2.7650000000000001</v>
      </c>
      <c r="K2731">
        <v>297.7</v>
      </c>
      <c r="L2731">
        <v>108.3</v>
      </c>
      <c r="M2731">
        <v>309</v>
      </c>
      <c r="N2731">
        <v>29.6</v>
      </c>
      <c r="O2731">
        <v>35.299999999999997</v>
      </c>
      <c r="P2731">
        <v>1.96</v>
      </c>
    </row>
    <row r="2732" spans="1:16">
      <c r="A2732" s="1" t="s">
        <v>2747</v>
      </c>
      <c r="B2732" s="1" t="s">
        <v>2756</v>
      </c>
      <c r="C2732" s="1" t="s">
        <v>18</v>
      </c>
      <c r="D2732" s="1" t="s">
        <v>19</v>
      </c>
      <c r="E2732" s="1" t="s">
        <v>2752</v>
      </c>
      <c r="F2732">
        <v>1213</v>
      </c>
      <c r="G2732">
        <v>553</v>
      </c>
      <c r="H2732">
        <v>437</v>
      </c>
      <c r="I2732">
        <v>1958</v>
      </c>
      <c r="J2732" s="11">
        <f t="shared" si="69"/>
        <v>2.7650000000000001</v>
      </c>
      <c r="K2732">
        <v>315</v>
      </c>
      <c r="L2732">
        <v>106.3</v>
      </c>
      <c r="M2732">
        <v>300</v>
      </c>
      <c r="N2732">
        <v>51.4</v>
      </c>
      <c r="O2732">
        <v>31.5</v>
      </c>
      <c r="P2732">
        <v>1.7</v>
      </c>
    </row>
    <row r="2733" spans="1:16">
      <c r="A2733" s="1" t="s">
        <v>2747</v>
      </c>
      <c r="B2733" s="1" t="s">
        <v>2757</v>
      </c>
      <c r="C2733" s="1" t="s">
        <v>18</v>
      </c>
      <c r="D2733" s="1" t="s">
        <v>19</v>
      </c>
      <c r="E2733" s="1" t="s">
        <v>2752</v>
      </c>
      <c r="F2733">
        <v>1588</v>
      </c>
      <c r="G2733">
        <v>791</v>
      </c>
      <c r="H2733">
        <v>1170</v>
      </c>
      <c r="I2733">
        <v>1930</v>
      </c>
      <c r="J2733" s="11">
        <f t="shared" si="69"/>
        <v>2.7650000000000001</v>
      </c>
      <c r="K2733">
        <v>535</v>
      </c>
      <c r="L2733">
        <v>113.6</v>
      </c>
      <c r="M2733">
        <v>296</v>
      </c>
      <c r="N2733">
        <v>75</v>
      </c>
      <c r="O2733">
        <v>35.299999999999997</v>
      </c>
      <c r="P2733">
        <v>1.53</v>
      </c>
    </row>
    <row r="2734" spans="1:16">
      <c r="A2734" s="1" t="s">
        <v>2747</v>
      </c>
      <c r="B2734" s="1" t="s">
        <v>2758</v>
      </c>
      <c r="C2734" s="1" t="s">
        <v>18</v>
      </c>
      <c r="D2734" s="1" t="s">
        <v>19</v>
      </c>
      <c r="E2734" s="1" t="s">
        <v>2752</v>
      </c>
      <c r="F2734">
        <v>1360</v>
      </c>
      <c r="G2734">
        <v>460</v>
      </c>
      <c r="H2734">
        <v>691</v>
      </c>
      <c r="I2734">
        <v>2037</v>
      </c>
      <c r="J2734" s="11">
        <f t="shared" si="69"/>
        <v>2.7650000000000001</v>
      </c>
      <c r="K2734">
        <v>275</v>
      </c>
      <c r="L2734">
        <v>120.4</v>
      </c>
      <c r="M2734">
        <v>327</v>
      </c>
      <c r="N2734">
        <v>17.7</v>
      </c>
      <c r="O2734">
        <v>31.9</v>
      </c>
      <c r="P2734">
        <v>1.1499999999999999</v>
      </c>
    </row>
    <row r="2735" spans="1:16">
      <c r="A2735" s="1" t="s">
        <v>2747</v>
      </c>
      <c r="B2735" s="1" t="s">
        <v>2759</v>
      </c>
      <c r="C2735" s="1" t="s">
        <v>18</v>
      </c>
      <c r="D2735" s="1" t="s">
        <v>19</v>
      </c>
      <c r="E2735" s="1" t="s">
        <v>2752</v>
      </c>
      <c r="F2735">
        <v>1560</v>
      </c>
      <c r="G2735">
        <v>667</v>
      </c>
      <c r="H2735">
        <v>1810</v>
      </c>
      <c r="I2735">
        <v>2070</v>
      </c>
      <c r="J2735" s="11">
        <f t="shared" si="69"/>
        <v>2.7650000000000001</v>
      </c>
      <c r="K2735">
        <v>274</v>
      </c>
      <c r="L2735">
        <v>122.8</v>
      </c>
      <c r="M2735">
        <v>308</v>
      </c>
      <c r="N2735">
        <v>34.6</v>
      </c>
      <c r="O2735">
        <v>35.700000000000003</v>
      </c>
      <c r="P2735">
        <v>2.4900000000000002</v>
      </c>
    </row>
    <row r="2736" spans="1:16">
      <c r="A2736" s="1" t="s">
        <v>2747</v>
      </c>
      <c r="B2736" s="1" t="s">
        <v>2760</v>
      </c>
      <c r="C2736" s="1" t="s">
        <v>18</v>
      </c>
      <c r="D2736" s="1" t="s">
        <v>19</v>
      </c>
      <c r="E2736" s="1" t="s">
        <v>2752</v>
      </c>
      <c r="F2736">
        <v>4400</v>
      </c>
      <c r="G2736">
        <v>1229</v>
      </c>
      <c r="H2736">
        <v>2510</v>
      </c>
      <c r="I2736">
        <v>1956</v>
      </c>
      <c r="J2736" s="11">
        <f t="shared" si="69"/>
        <v>2.7650000000000001</v>
      </c>
      <c r="K2736">
        <v>566</v>
      </c>
      <c r="L2736">
        <v>107.7</v>
      </c>
      <c r="M2736">
        <v>292</v>
      </c>
      <c r="N2736">
        <v>19.3</v>
      </c>
      <c r="O2736">
        <v>34.9</v>
      </c>
      <c r="P2736">
        <v>4.32</v>
      </c>
    </row>
    <row r="2737" spans="1:16">
      <c r="A2737" s="1" t="s">
        <v>2747</v>
      </c>
      <c r="B2737" s="1" t="s">
        <v>2761</v>
      </c>
      <c r="C2737" s="1" t="s">
        <v>18</v>
      </c>
      <c r="D2737" s="1" t="s">
        <v>19</v>
      </c>
      <c r="E2737" s="1" t="s">
        <v>2752</v>
      </c>
      <c r="F2737">
        <v>2900</v>
      </c>
      <c r="G2737">
        <v>888</v>
      </c>
      <c r="H2737">
        <v>1090</v>
      </c>
      <c r="I2737">
        <v>1960</v>
      </c>
      <c r="J2737" s="11">
        <f t="shared" si="69"/>
        <v>2.7650000000000001</v>
      </c>
      <c r="K2737">
        <v>494</v>
      </c>
      <c r="L2737">
        <v>115.8</v>
      </c>
      <c r="M2737">
        <v>296</v>
      </c>
      <c r="N2737">
        <v>56.3</v>
      </c>
      <c r="O2737">
        <v>34.1</v>
      </c>
      <c r="P2737">
        <v>3.32</v>
      </c>
    </row>
    <row r="2738" spans="1:16">
      <c r="A2738" s="1" t="s">
        <v>2747</v>
      </c>
      <c r="B2738" s="1" t="s">
        <v>2762</v>
      </c>
      <c r="C2738" s="1" t="s">
        <v>18</v>
      </c>
      <c r="D2738" s="1" t="s">
        <v>19</v>
      </c>
      <c r="E2738" s="1" t="s">
        <v>2752</v>
      </c>
      <c r="F2738">
        <v>3280</v>
      </c>
      <c r="G2738">
        <v>974</v>
      </c>
      <c r="H2738">
        <v>811</v>
      </c>
      <c r="I2738">
        <v>1982</v>
      </c>
      <c r="J2738" s="11">
        <f t="shared" si="69"/>
        <v>2.7650000000000001</v>
      </c>
      <c r="K2738">
        <v>449</v>
      </c>
      <c r="L2738">
        <v>108</v>
      </c>
      <c r="M2738">
        <v>302</v>
      </c>
      <c r="N2738">
        <v>136</v>
      </c>
      <c r="O2738">
        <v>39.299999999999997</v>
      </c>
      <c r="P2738">
        <v>2.39</v>
      </c>
    </row>
    <row r="2739" spans="1:16">
      <c r="A2739" s="1" t="s">
        <v>2747</v>
      </c>
      <c r="B2739" s="1" t="s">
        <v>2763</v>
      </c>
      <c r="C2739" s="1" t="s">
        <v>18</v>
      </c>
      <c r="D2739" s="1" t="s">
        <v>19</v>
      </c>
      <c r="E2739" s="1" t="s">
        <v>2752</v>
      </c>
      <c r="F2739">
        <v>3095</v>
      </c>
      <c r="G2739">
        <v>924</v>
      </c>
      <c r="H2739">
        <v>626</v>
      </c>
      <c r="I2739">
        <v>1964</v>
      </c>
      <c r="J2739" s="11">
        <f t="shared" si="69"/>
        <v>2.7650000000000001</v>
      </c>
      <c r="K2739">
        <v>418</v>
      </c>
      <c r="L2739">
        <v>108.2</v>
      </c>
      <c r="M2739">
        <v>294</v>
      </c>
      <c r="N2739">
        <v>102.2</v>
      </c>
      <c r="O2739">
        <v>39.299999999999997</v>
      </c>
      <c r="P2739">
        <v>2.4900000000000002</v>
      </c>
    </row>
    <row r="2740" spans="1:16">
      <c r="A2740" s="1" t="s">
        <v>2747</v>
      </c>
      <c r="B2740" s="1" t="s">
        <v>2764</v>
      </c>
      <c r="C2740" s="1" t="s">
        <v>18</v>
      </c>
      <c r="D2740" s="1" t="s">
        <v>19</v>
      </c>
      <c r="E2740" s="1" t="s">
        <v>2752</v>
      </c>
      <c r="F2740">
        <v>3100</v>
      </c>
      <c r="G2740">
        <v>944</v>
      </c>
      <c r="H2740">
        <v>870</v>
      </c>
      <c r="I2740">
        <v>1928</v>
      </c>
      <c r="J2740" s="11">
        <f t="shared" si="69"/>
        <v>2.7650000000000001</v>
      </c>
      <c r="K2740">
        <v>484</v>
      </c>
      <c r="L2740">
        <v>113.6</v>
      </c>
      <c r="M2740">
        <v>299</v>
      </c>
      <c r="N2740">
        <v>84.7</v>
      </c>
      <c r="O2740">
        <v>34.4</v>
      </c>
      <c r="P2740">
        <v>2.5499999999999998</v>
      </c>
    </row>
    <row r="2741" spans="1:16">
      <c r="A2741" s="1" t="s">
        <v>2747</v>
      </c>
      <c r="B2741" s="1" t="s">
        <v>2765</v>
      </c>
      <c r="C2741" s="1" t="s">
        <v>18</v>
      </c>
      <c r="D2741" s="1" t="s">
        <v>19</v>
      </c>
      <c r="E2741" s="1" t="s">
        <v>2752</v>
      </c>
      <c r="F2741">
        <v>3290</v>
      </c>
      <c r="G2741">
        <v>954</v>
      </c>
      <c r="H2741">
        <v>612</v>
      </c>
      <c r="I2741">
        <v>1948</v>
      </c>
      <c r="J2741" s="11">
        <f t="shared" si="69"/>
        <v>2.7650000000000001</v>
      </c>
      <c r="K2741">
        <v>526</v>
      </c>
      <c r="L2741">
        <v>109.8</v>
      </c>
      <c r="M2741">
        <v>297</v>
      </c>
      <c r="N2741">
        <v>81.400000000000006</v>
      </c>
      <c r="O2741">
        <v>34.5</v>
      </c>
      <c r="P2741">
        <v>2.76</v>
      </c>
    </row>
    <row r="2742" spans="1:16">
      <c r="A2742" s="1" t="s">
        <v>2747</v>
      </c>
      <c r="B2742" s="1" t="s">
        <v>2766</v>
      </c>
      <c r="C2742" s="1" t="s">
        <v>18</v>
      </c>
      <c r="D2742" s="1" t="s">
        <v>19</v>
      </c>
      <c r="E2742" s="1" t="s">
        <v>2752</v>
      </c>
      <c r="F2742">
        <v>4190</v>
      </c>
      <c r="G2742">
        <v>886</v>
      </c>
      <c r="H2742">
        <v>713</v>
      </c>
      <c r="I2742">
        <v>1919</v>
      </c>
      <c r="J2742" s="11">
        <f t="shared" si="69"/>
        <v>2.7650000000000001</v>
      </c>
      <c r="K2742">
        <v>598</v>
      </c>
      <c r="L2742">
        <v>108.2</v>
      </c>
      <c r="M2742">
        <v>289</v>
      </c>
      <c r="N2742">
        <v>115</v>
      </c>
      <c r="O2742">
        <v>39.6</v>
      </c>
      <c r="P2742">
        <v>2.16</v>
      </c>
    </row>
    <row r="2743" spans="1:16">
      <c r="A2743" s="1" t="s">
        <v>2747</v>
      </c>
      <c r="B2743" s="1" t="s">
        <v>2767</v>
      </c>
      <c r="C2743" s="1" t="s">
        <v>18</v>
      </c>
      <c r="D2743" s="1" t="s">
        <v>19</v>
      </c>
      <c r="E2743" s="1" t="s">
        <v>2752</v>
      </c>
      <c r="F2743">
        <v>4460</v>
      </c>
      <c r="G2743">
        <v>1230</v>
      </c>
      <c r="H2743">
        <v>1140</v>
      </c>
      <c r="I2743">
        <v>1930</v>
      </c>
      <c r="J2743" s="11">
        <f t="shared" si="69"/>
        <v>2.7650000000000001</v>
      </c>
      <c r="K2743">
        <v>582</v>
      </c>
      <c r="L2743">
        <v>122.3</v>
      </c>
      <c r="M2743">
        <v>314</v>
      </c>
      <c r="N2743">
        <v>84.6</v>
      </c>
      <c r="O2743">
        <v>38.4</v>
      </c>
      <c r="P2743">
        <v>3.47</v>
      </c>
    </row>
    <row r="2744" spans="1:16">
      <c r="A2744" s="1" t="s">
        <v>2747</v>
      </c>
      <c r="B2744" s="1" t="s">
        <v>2768</v>
      </c>
      <c r="C2744" s="1" t="s">
        <v>18</v>
      </c>
      <c r="D2744" s="1" t="s">
        <v>19</v>
      </c>
      <c r="E2744" s="1" t="s">
        <v>2752</v>
      </c>
      <c r="F2744">
        <v>2750</v>
      </c>
      <c r="G2744">
        <v>774</v>
      </c>
      <c r="H2744">
        <v>800</v>
      </c>
      <c r="I2744">
        <v>1962</v>
      </c>
      <c r="J2744" s="11">
        <f t="shared" si="69"/>
        <v>2.7650000000000001</v>
      </c>
      <c r="K2744">
        <v>554</v>
      </c>
      <c r="L2744">
        <v>116.8</v>
      </c>
      <c r="M2744">
        <v>292</v>
      </c>
      <c r="N2744">
        <v>61.8</v>
      </c>
      <c r="O2744">
        <v>31.8</v>
      </c>
      <c r="P2744">
        <v>2.5299999999999998</v>
      </c>
    </row>
    <row r="2745" spans="1:16">
      <c r="A2745" s="1" t="s">
        <v>2747</v>
      </c>
      <c r="B2745" s="1" t="s">
        <v>2769</v>
      </c>
      <c r="C2745" s="1" t="s">
        <v>18</v>
      </c>
      <c r="D2745" s="1" t="s">
        <v>19</v>
      </c>
      <c r="E2745" s="1" t="s">
        <v>2752</v>
      </c>
      <c r="F2745">
        <v>3250</v>
      </c>
      <c r="G2745">
        <v>932</v>
      </c>
      <c r="H2745">
        <v>863</v>
      </c>
      <c r="I2745">
        <v>1928</v>
      </c>
      <c r="J2745" s="11">
        <f t="shared" si="69"/>
        <v>2.7650000000000001</v>
      </c>
      <c r="K2745">
        <v>505</v>
      </c>
      <c r="L2745">
        <v>112</v>
      </c>
      <c r="M2745">
        <v>308</v>
      </c>
      <c r="N2745">
        <v>105.7</v>
      </c>
      <c r="O2745">
        <v>39.6</v>
      </c>
      <c r="P2745">
        <v>2.42</v>
      </c>
    </row>
    <row r="2746" spans="1:16">
      <c r="A2746" s="1" t="s">
        <v>2747</v>
      </c>
      <c r="B2746" s="1" t="s">
        <v>2770</v>
      </c>
      <c r="C2746" s="1" t="s">
        <v>18</v>
      </c>
      <c r="D2746" s="1" t="s">
        <v>19</v>
      </c>
      <c r="E2746" s="1" t="s">
        <v>2752</v>
      </c>
      <c r="F2746">
        <v>3020</v>
      </c>
      <c r="G2746">
        <v>876</v>
      </c>
      <c r="H2746">
        <v>879</v>
      </c>
      <c r="I2746">
        <v>1980</v>
      </c>
      <c r="J2746" s="11">
        <f t="shared" si="69"/>
        <v>2.7650000000000001</v>
      </c>
      <c r="K2746">
        <v>376</v>
      </c>
      <c r="L2746">
        <v>111.2</v>
      </c>
      <c r="M2746">
        <v>283</v>
      </c>
      <c r="N2746">
        <v>105</v>
      </c>
      <c r="O2746">
        <v>36.6</v>
      </c>
      <c r="P2746">
        <v>2.67</v>
      </c>
    </row>
    <row r="2747" spans="1:16">
      <c r="A2747" s="1" t="s">
        <v>2747</v>
      </c>
      <c r="B2747" s="1" t="s">
        <v>2771</v>
      </c>
      <c r="C2747" s="1" t="s">
        <v>18</v>
      </c>
      <c r="D2747" s="1" t="s">
        <v>19</v>
      </c>
      <c r="E2747" s="1" t="s">
        <v>2752</v>
      </c>
      <c r="F2747">
        <v>2990</v>
      </c>
      <c r="G2747">
        <v>723</v>
      </c>
      <c r="H2747">
        <v>585</v>
      </c>
      <c r="I2747">
        <v>1900</v>
      </c>
      <c r="J2747" s="11">
        <f t="shared" si="69"/>
        <v>2.7650000000000001</v>
      </c>
      <c r="K2747">
        <v>462</v>
      </c>
      <c r="L2747">
        <v>107.8</v>
      </c>
      <c r="M2747">
        <v>265</v>
      </c>
      <c r="N2747">
        <v>30.4</v>
      </c>
      <c r="O2747">
        <v>38.6</v>
      </c>
      <c r="P2747">
        <v>1.21</v>
      </c>
    </row>
    <row r="2748" spans="1:16">
      <c r="A2748" s="1" t="s">
        <v>2747</v>
      </c>
      <c r="B2748" s="1" t="s">
        <v>2772</v>
      </c>
      <c r="C2748" s="1" t="s">
        <v>18</v>
      </c>
      <c r="D2748" s="1" t="s">
        <v>19</v>
      </c>
      <c r="E2748" s="1" t="s">
        <v>2752</v>
      </c>
      <c r="F2748">
        <v>1990</v>
      </c>
      <c r="G2748">
        <v>299</v>
      </c>
      <c r="H2748">
        <v>445</v>
      </c>
      <c r="I2748">
        <v>2080</v>
      </c>
      <c r="J2748" s="11">
        <f t="shared" si="69"/>
        <v>2.7650000000000001</v>
      </c>
      <c r="K2748">
        <v>408</v>
      </c>
      <c r="L2748">
        <v>118</v>
      </c>
      <c r="M2748">
        <v>321</v>
      </c>
      <c r="N2748">
        <v>27.4</v>
      </c>
      <c r="O2748">
        <v>29.3</v>
      </c>
      <c r="P2748">
        <v>1.37</v>
      </c>
    </row>
    <row r="2749" spans="1:16">
      <c r="A2749" s="1" t="s">
        <v>2747</v>
      </c>
      <c r="B2749" s="1" t="s">
        <v>2773</v>
      </c>
      <c r="C2749" s="1" t="s">
        <v>18</v>
      </c>
      <c r="D2749" s="1" t="s">
        <v>19</v>
      </c>
      <c r="E2749" s="1" t="s">
        <v>2752</v>
      </c>
      <c r="F2749">
        <v>2670</v>
      </c>
      <c r="G2749">
        <v>872</v>
      </c>
      <c r="H2749">
        <v>1430</v>
      </c>
      <c r="I2749">
        <v>2130</v>
      </c>
      <c r="J2749" s="11">
        <f t="shared" si="69"/>
        <v>2.7650000000000001</v>
      </c>
      <c r="K2749">
        <v>574</v>
      </c>
      <c r="L2749">
        <v>117</v>
      </c>
      <c r="M2749">
        <v>336</v>
      </c>
      <c r="N2749">
        <v>48</v>
      </c>
      <c r="O2749">
        <v>38</v>
      </c>
      <c r="P2749">
        <v>2.02</v>
      </c>
    </row>
    <row r="2750" spans="1:16">
      <c r="A2750" s="1" t="s">
        <v>2747</v>
      </c>
      <c r="B2750" s="1" t="s">
        <v>2774</v>
      </c>
      <c r="C2750" s="1" t="s">
        <v>18</v>
      </c>
      <c r="D2750" s="1" t="s">
        <v>19</v>
      </c>
      <c r="E2750" s="1" t="s">
        <v>2752</v>
      </c>
      <c r="F2750">
        <v>5350</v>
      </c>
      <c r="G2750">
        <v>1690</v>
      </c>
      <c r="H2750">
        <v>592</v>
      </c>
      <c r="I2750">
        <v>2052</v>
      </c>
      <c r="J2750" s="11">
        <f t="shared" si="69"/>
        <v>2.7650000000000001</v>
      </c>
      <c r="K2750">
        <v>468</v>
      </c>
      <c r="L2750">
        <v>126.7</v>
      </c>
      <c r="M2750">
        <v>338</v>
      </c>
      <c r="N2750">
        <v>27.7</v>
      </c>
      <c r="O2750">
        <v>39.6</v>
      </c>
      <c r="P2750">
        <v>3.17</v>
      </c>
    </row>
    <row r="2751" spans="1:16">
      <c r="A2751" s="1" t="s">
        <v>2747</v>
      </c>
      <c r="B2751" s="1" t="s">
        <v>2775</v>
      </c>
      <c r="C2751" s="1" t="s">
        <v>18</v>
      </c>
      <c r="D2751" s="1" t="s">
        <v>19</v>
      </c>
      <c r="E2751" s="1" t="s">
        <v>2752</v>
      </c>
      <c r="F2751">
        <v>2700</v>
      </c>
      <c r="G2751">
        <v>821</v>
      </c>
      <c r="H2751">
        <v>900</v>
      </c>
      <c r="I2751">
        <v>2076</v>
      </c>
      <c r="J2751" s="11">
        <f t="shared" si="69"/>
        <v>2.7650000000000001</v>
      </c>
      <c r="K2751">
        <v>515</v>
      </c>
      <c r="L2751">
        <v>114.4</v>
      </c>
      <c r="M2751">
        <v>307</v>
      </c>
      <c r="N2751">
        <v>90</v>
      </c>
      <c r="O2751">
        <v>40.5</v>
      </c>
      <c r="P2751">
        <v>1.91</v>
      </c>
    </row>
    <row r="2752" spans="1:16">
      <c r="A2752" s="1" t="s">
        <v>2747</v>
      </c>
      <c r="B2752" s="1" t="s">
        <v>2776</v>
      </c>
      <c r="C2752" s="1" t="s">
        <v>18</v>
      </c>
      <c r="D2752" s="1" t="s">
        <v>19</v>
      </c>
      <c r="E2752" s="1" t="s">
        <v>2752</v>
      </c>
      <c r="F2752">
        <v>4750</v>
      </c>
      <c r="G2752">
        <v>1390</v>
      </c>
      <c r="H2752">
        <v>1450</v>
      </c>
      <c r="I2752">
        <v>2160</v>
      </c>
      <c r="J2752" s="11">
        <f t="shared" si="69"/>
        <v>2.7650000000000001</v>
      </c>
      <c r="K2752">
        <v>592</v>
      </c>
      <c r="L2752">
        <v>115.5</v>
      </c>
      <c r="M2752">
        <v>318</v>
      </c>
      <c r="N2752">
        <v>30.7</v>
      </c>
      <c r="O2752">
        <v>38.6</v>
      </c>
      <c r="P2752">
        <v>2.66</v>
      </c>
    </row>
    <row r="2753" spans="1:16">
      <c r="A2753" s="1" t="s">
        <v>2747</v>
      </c>
      <c r="B2753" s="1" t="s">
        <v>2777</v>
      </c>
      <c r="C2753" s="1" t="s">
        <v>18</v>
      </c>
      <c r="D2753" s="1" t="s">
        <v>19</v>
      </c>
      <c r="E2753" s="1" t="s">
        <v>2752</v>
      </c>
      <c r="F2753">
        <v>2140</v>
      </c>
      <c r="G2753">
        <v>760</v>
      </c>
      <c r="H2753">
        <v>553</v>
      </c>
      <c r="I2753">
        <v>2072</v>
      </c>
      <c r="J2753" s="11">
        <f t="shared" si="69"/>
        <v>2.7650000000000001</v>
      </c>
      <c r="K2753">
        <v>464</v>
      </c>
      <c r="L2753">
        <v>110.1</v>
      </c>
      <c r="M2753">
        <v>307</v>
      </c>
      <c r="N2753">
        <v>107.1</v>
      </c>
      <c r="O2753">
        <v>37.700000000000003</v>
      </c>
      <c r="P2753">
        <v>1.1499999999999999</v>
      </c>
    </row>
    <row r="2754" spans="1:16">
      <c r="A2754" s="1" t="s">
        <v>2747</v>
      </c>
      <c r="B2754" s="1" t="s">
        <v>2778</v>
      </c>
      <c r="C2754" s="1" t="s">
        <v>18</v>
      </c>
      <c r="D2754" s="1" t="s">
        <v>19</v>
      </c>
      <c r="E2754" s="1" t="s">
        <v>2752</v>
      </c>
      <c r="F2754">
        <v>5710</v>
      </c>
      <c r="G2754">
        <v>1472</v>
      </c>
      <c r="H2754">
        <v>1920</v>
      </c>
      <c r="I2754">
        <v>2099</v>
      </c>
      <c r="J2754" s="11">
        <f t="shared" si="69"/>
        <v>2.7650000000000001</v>
      </c>
      <c r="K2754">
        <v>549</v>
      </c>
      <c r="L2754">
        <v>114.6</v>
      </c>
      <c r="M2754">
        <v>320</v>
      </c>
      <c r="N2754">
        <v>27.7</v>
      </c>
      <c r="O2754">
        <v>42.6</v>
      </c>
      <c r="P2754">
        <v>3.75</v>
      </c>
    </row>
    <row r="2755" spans="1:16">
      <c r="A2755" s="1" t="s">
        <v>2747</v>
      </c>
      <c r="B2755" s="1" t="s">
        <v>2779</v>
      </c>
      <c r="C2755" s="1" t="s">
        <v>18</v>
      </c>
      <c r="D2755" s="1" t="s">
        <v>19</v>
      </c>
      <c r="E2755" s="1" t="s">
        <v>2752</v>
      </c>
      <c r="F2755">
        <v>2710</v>
      </c>
      <c r="G2755">
        <v>675</v>
      </c>
      <c r="H2755">
        <v>1130</v>
      </c>
      <c r="I2755">
        <v>2028</v>
      </c>
      <c r="J2755" s="11">
        <f t="shared" si="69"/>
        <v>2.7650000000000001</v>
      </c>
      <c r="K2755">
        <v>468</v>
      </c>
      <c r="L2755">
        <v>114.7</v>
      </c>
      <c r="M2755">
        <v>315</v>
      </c>
      <c r="N2755">
        <v>67.7</v>
      </c>
      <c r="O2755">
        <v>36.9</v>
      </c>
      <c r="P2755">
        <v>2.0699999999999998</v>
      </c>
    </row>
    <row r="2756" spans="1:16">
      <c r="A2756" s="1" t="s">
        <v>2747</v>
      </c>
      <c r="B2756" s="1" t="s">
        <v>2780</v>
      </c>
      <c r="C2756" s="1" t="s">
        <v>18</v>
      </c>
      <c r="D2756" s="1" t="s">
        <v>19</v>
      </c>
      <c r="E2756" s="1" t="s">
        <v>2752</v>
      </c>
      <c r="F2756">
        <v>5210</v>
      </c>
      <c r="G2756">
        <v>1068</v>
      </c>
      <c r="H2756">
        <v>1600</v>
      </c>
      <c r="I2756">
        <v>2062</v>
      </c>
      <c r="J2756" s="11">
        <f t="shared" si="69"/>
        <v>2.7650000000000001</v>
      </c>
      <c r="K2756">
        <v>545</v>
      </c>
      <c r="L2756">
        <v>112.8</v>
      </c>
      <c r="M2756">
        <v>311</v>
      </c>
      <c r="N2756">
        <v>26.1</v>
      </c>
      <c r="O2756">
        <v>39.6</v>
      </c>
      <c r="P2756">
        <v>2.48</v>
      </c>
    </row>
    <row r="2757" spans="1:16">
      <c r="A2757" s="1" t="s">
        <v>2747</v>
      </c>
      <c r="B2757" s="1" t="s">
        <v>2781</v>
      </c>
      <c r="C2757" s="1" t="s">
        <v>18</v>
      </c>
      <c r="D2757" s="1" t="s">
        <v>19</v>
      </c>
      <c r="E2757" s="1" t="s">
        <v>2752</v>
      </c>
      <c r="F2757">
        <v>2400</v>
      </c>
      <c r="G2757">
        <v>848</v>
      </c>
      <c r="H2757">
        <v>959</v>
      </c>
      <c r="I2757">
        <v>2060</v>
      </c>
      <c r="J2757" s="11">
        <f t="shared" si="69"/>
        <v>2.7650000000000001</v>
      </c>
      <c r="K2757">
        <v>432</v>
      </c>
      <c r="L2757">
        <v>120.5</v>
      </c>
      <c r="M2757">
        <v>309</v>
      </c>
      <c r="N2757">
        <v>83.9</v>
      </c>
      <c r="O2757">
        <v>39</v>
      </c>
      <c r="P2757">
        <v>2</v>
      </c>
    </row>
    <row r="2758" spans="1:16">
      <c r="A2758" s="1" t="s">
        <v>2747</v>
      </c>
      <c r="B2758" s="1" t="s">
        <v>2782</v>
      </c>
      <c r="C2758" s="1" t="s">
        <v>18</v>
      </c>
      <c r="D2758" s="1" t="s">
        <v>19</v>
      </c>
      <c r="E2758" s="1" t="s">
        <v>2752</v>
      </c>
      <c r="F2758">
        <v>4850</v>
      </c>
      <c r="G2758">
        <v>1159</v>
      </c>
      <c r="H2758">
        <v>1263</v>
      </c>
      <c r="I2758">
        <v>2074</v>
      </c>
      <c r="J2758" s="11">
        <f t="shared" si="69"/>
        <v>2.7650000000000001</v>
      </c>
      <c r="K2758">
        <v>691</v>
      </c>
      <c r="L2758">
        <v>114.8</v>
      </c>
      <c r="M2758">
        <v>293</v>
      </c>
      <c r="N2758">
        <v>30.3</v>
      </c>
      <c r="O2758">
        <v>42.7</v>
      </c>
      <c r="P2758">
        <v>3.1</v>
      </c>
    </row>
    <row r="2759" spans="1:16">
      <c r="A2759" s="1" t="s">
        <v>2747</v>
      </c>
      <c r="B2759" s="1" t="s">
        <v>2783</v>
      </c>
      <c r="C2759" s="1" t="s">
        <v>18</v>
      </c>
      <c r="D2759" s="1" t="s">
        <v>19</v>
      </c>
      <c r="E2759" s="1" t="s">
        <v>2752</v>
      </c>
      <c r="F2759">
        <v>5530</v>
      </c>
      <c r="G2759">
        <v>1770</v>
      </c>
      <c r="H2759">
        <v>1030</v>
      </c>
      <c r="I2759">
        <v>2020</v>
      </c>
      <c r="J2759" s="11">
        <f t="shared" si="69"/>
        <v>2.7650000000000001</v>
      </c>
      <c r="K2759">
        <v>473</v>
      </c>
      <c r="L2759">
        <v>116.8</v>
      </c>
      <c r="M2759">
        <v>296</v>
      </c>
      <c r="N2759">
        <v>39.200000000000003</v>
      </c>
      <c r="O2759">
        <v>37.1</v>
      </c>
      <c r="P2759">
        <v>5.26</v>
      </c>
    </row>
    <row r="2760" spans="1:16">
      <c r="A2760" s="1" t="s">
        <v>2747</v>
      </c>
      <c r="B2760" s="1" t="s">
        <v>2784</v>
      </c>
      <c r="C2760" s="1" t="s">
        <v>18</v>
      </c>
      <c r="D2760" s="1" t="s">
        <v>19</v>
      </c>
      <c r="E2760" s="1" t="s">
        <v>2752</v>
      </c>
      <c r="F2760">
        <v>2820</v>
      </c>
      <c r="G2760">
        <v>933</v>
      </c>
      <c r="H2760">
        <v>921</v>
      </c>
      <c r="I2760">
        <v>2019</v>
      </c>
      <c r="J2760" s="11">
        <f t="shared" si="69"/>
        <v>2.7650000000000001</v>
      </c>
      <c r="K2760">
        <v>490</v>
      </c>
      <c r="L2760">
        <v>119.3</v>
      </c>
      <c r="M2760">
        <v>307</v>
      </c>
      <c r="N2760">
        <v>83.3</v>
      </c>
      <c r="O2760">
        <v>40.200000000000003</v>
      </c>
      <c r="P2760">
        <v>2.13</v>
      </c>
    </row>
    <row r="2761" spans="1:16">
      <c r="A2761" s="1" t="s">
        <v>2747</v>
      </c>
      <c r="B2761" s="1" t="s">
        <v>2785</v>
      </c>
      <c r="C2761" s="1" t="s">
        <v>18</v>
      </c>
      <c r="D2761" s="1" t="s">
        <v>19</v>
      </c>
      <c r="E2761" s="1" t="s">
        <v>2752</v>
      </c>
      <c r="F2761">
        <v>4520</v>
      </c>
      <c r="G2761">
        <v>1010</v>
      </c>
      <c r="H2761">
        <v>877</v>
      </c>
      <c r="I2761">
        <v>2070</v>
      </c>
      <c r="J2761" s="11">
        <f t="shared" si="69"/>
        <v>2.7650000000000001</v>
      </c>
      <c r="K2761">
        <v>479</v>
      </c>
      <c r="L2761">
        <v>121.3</v>
      </c>
      <c r="M2761">
        <v>336</v>
      </c>
      <c r="N2761">
        <v>27</v>
      </c>
      <c r="O2761">
        <v>39.9</v>
      </c>
      <c r="P2761">
        <v>3.21</v>
      </c>
    </row>
    <row r="2762" spans="1:16">
      <c r="A2762" s="1" t="s">
        <v>2747</v>
      </c>
      <c r="B2762" s="1" t="s">
        <v>2786</v>
      </c>
      <c r="C2762" s="1" t="s">
        <v>18</v>
      </c>
      <c r="D2762" s="1" t="s">
        <v>19</v>
      </c>
      <c r="E2762" s="1" t="s">
        <v>2752</v>
      </c>
      <c r="F2762">
        <v>3110</v>
      </c>
      <c r="G2762">
        <v>682</v>
      </c>
      <c r="H2762">
        <v>1040</v>
      </c>
      <c r="I2762">
        <v>2049</v>
      </c>
      <c r="J2762" s="11">
        <f t="shared" si="69"/>
        <v>2.7650000000000001</v>
      </c>
      <c r="K2762">
        <v>519</v>
      </c>
      <c r="L2762">
        <v>112.9</v>
      </c>
      <c r="M2762">
        <v>314</v>
      </c>
      <c r="N2762">
        <v>29.2</v>
      </c>
      <c r="O2762">
        <v>36.4</v>
      </c>
      <c r="P2762">
        <v>2.1</v>
      </c>
    </row>
    <row r="2763" spans="1:16">
      <c r="A2763" s="1" t="s">
        <v>2747</v>
      </c>
      <c r="B2763" s="1" t="s">
        <v>2787</v>
      </c>
      <c r="C2763" s="1" t="s">
        <v>18</v>
      </c>
      <c r="D2763" s="1" t="s">
        <v>19</v>
      </c>
      <c r="E2763" s="1" t="s">
        <v>2752</v>
      </c>
      <c r="F2763">
        <v>5100</v>
      </c>
      <c r="G2763">
        <v>1108</v>
      </c>
      <c r="H2763">
        <v>1421</v>
      </c>
      <c r="I2763">
        <v>2032</v>
      </c>
      <c r="J2763" s="11">
        <f t="shared" si="69"/>
        <v>2.7650000000000001</v>
      </c>
      <c r="K2763">
        <v>556</v>
      </c>
      <c r="L2763">
        <v>118.3</v>
      </c>
      <c r="M2763">
        <v>308</v>
      </c>
      <c r="N2763">
        <v>38</v>
      </c>
      <c r="O2763">
        <v>41.7</v>
      </c>
      <c r="P2763">
        <v>3.28</v>
      </c>
    </row>
    <row r="2764" spans="1:16">
      <c r="A2764" s="1" t="s">
        <v>2747</v>
      </c>
      <c r="B2764" s="1" t="s">
        <v>2788</v>
      </c>
      <c r="C2764" s="1" t="s">
        <v>18</v>
      </c>
      <c r="D2764" s="1" t="s">
        <v>19</v>
      </c>
      <c r="E2764" s="1" t="s">
        <v>2752</v>
      </c>
      <c r="F2764">
        <v>3910</v>
      </c>
      <c r="G2764">
        <v>898</v>
      </c>
      <c r="H2764">
        <v>851</v>
      </c>
      <c r="I2764">
        <v>1975</v>
      </c>
      <c r="J2764" s="11">
        <f t="shared" si="69"/>
        <v>2.7650000000000001</v>
      </c>
      <c r="K2764">
        <v>430</v>
      </c>
      <c r="L2764">
        <v>116.2</v>
      </c>
      <c r="M2764">
        <v>297</v>
      </c>
      <c r="N2764">
        <v>79.8</v>
      </c>
      <c r="O2764">
        <v>39</v>
      </c>
      <c r="P2764">
        <v>2.35</v>
      </c>
    </row>
    <row r="2765" spans="1:16">
      <c r="A2765" s="1" t="s">
        <v>2747</v>
      </c>
      <c r="B2765" s="1" t="s">
        <v>2789</v>
      </c>
      <c r="C2765" s="1" t="s">
        <v>18</v>
      </c>
      <c r="D2765" s="1" t="s">
        <v>19</v>
      </c>
      <c r="E2765" s="1" t="s">
        <v>2752</v>
      </c>
      <c r="F2765">
        <v>3110</v>
      </c>
      <c r="G2765">
        <v>766</v>
      </c>
      <c r="H2765">
        <v>813</v>
      </c>
      <c r="I2765">
        <v>2043</v>
      </c>
      <c r="J2765" s="11">
        <f t="shared" si="69"/>
        <v>2.7650000000000001</v>
      </c>
      <c r="K2765">
        <v>379</v>
      </c>
      <c r="L2765">
        <v>118.3</v>
      </c>
      <c r="M2765">
        <v>305</v>
      </c>
      <c r="N2765">
        <v>76.900000000000006</v>
      </c>
      <c r="O2765">
        <v>36.6</v>
      </c>
      <c r="P2765">
        <v>1.84</v>
      </c>
    </row>
    <row r="2766" spans="1:16">
      <c r="A2766" s="1" t="s">
        <v>2747</v>
      </c>
      <c r="B2766" s="1" t="s">
        <v>2790</v>
      </c>
      <c r="C2766" s="1" t="s">
        <v>18</v>
      </c>
      <c r="D2766" s="1" t="s">
        <v>19</v>
      </c>
      <c r="E2766" s="1" t="s">
        <v>2752</v>
      </c>
      <c r="F2766">
        <v>4970</v>
      </c>
      <c r="G2766">
        <v>1110</v>
      </c>
      <c r="H2766">
        <v>870</v>
      </c>
      <c r="I2766">
        <v>2080</v>
      </c>
      <c r="J2766" s="11">
        <f t="shared" si="69"/>
        <v>2.7650000000000001</v>
      </c>
      <c r="K2766">
        <v>476</v>
      </c>
      <c r="L2766">
        <v>121.2</v>
      </c>
      <c r="M2766">
        <v>332</v>
      </c>
      <c r="N2766">
        <v>50.2</v>
      </c>
      <c r="O2766">
        <v>43.5</v>
      </c>
      <c r="P2766">
        <v>2.75</v>
      </c>
    </row>
    <row r="2767" spans="1:16">
      <c r="A2767" s="1" t="s">
        <v>2747</v>
      </c>
      <c r="B2767" s="1" t="s">
        <v>2791</v>
      </c>
      <c r="C2767" s="1" t="s">
        <v>18</v>
      </c>
      <c r="D2767" s="1" t="s">
        <v>19</v>
      </c>
      <c r="E2767" s="1" t="s">
        <v>2752</v>
      </c>
      <c r="F2767">
        <v>4370</v>
      </c>
      <c r="G2767">
        <v>1112</v>
      </c>
      <c r="H2767">
        <v>1590</v>
      </c>
      <c r="I2767">
        <v>2005</v>
      </c>
      <c r="J2767" s="11">
        <f t="shared" si="69"/>
        <v>2.7650000000000001</v>
      </c>
      <c r="K2767">
        <v>426</v>
      </c>
      <c r="L2767">
        <v>114.6</v>
      </c>
      <c r="M2767">
        <v>312</v>
      </c>
      <c r="N2767">
        <v>41</v>
      </c>
      <c r="O2767">
        <v>38.799999999999997</v>
      </c>
      <c r="P2767">
        <v>3.31</v>
      </c>
    </row>
    <row r="2768" spans="1:16">
      <c r="A2768" s="1" t="s">
        <v>2747</v>
      </c>
      <c r="B2768" s="1" t="s">
        <v>2792</v>
      </c>
      <c r="C2768" s="1" t="s">
        <v>18</v>
      </c>
      <c r="D2768" s="1" t="s">
        <v>19</v>
      </c>
      <c r="E2768" s="1" t="s">
        <v>2752</v>
      </c>
      <c r="F2768">
        <v>4400</v>
      </c>
      <c r="G2768">
        <v>1126</v>
      </c>
      <c r="H2768">
        <v>1659</v>
      </c>
      <c r="I2768">
        <v>2005</v>
      </c>
      <c r="J2768" s="11">
        <f t="shared" si="69"/>
        <v>2.7650000000000001</v>
      </c>
      <c r="K2768">
        <v>553</v>
      </c>
      <c r="L2768">
        <v>112.7</v>
      </c>
      <c r="M2768">
        <v>291</v>
      </c>
      <c r="N2768">
        <v>51.4</v>
      </c>
      <c r="O2768">
        <v>38.1</v>
      </c>
      <c r="P2768">
        <v>3.91</v>
      </c>
    </row>
    <row r="2769" spans="1:16">
      <c r="A2769" s="1" t="s">
        <v>2747</v>
      </c>
      <c r="B2769" s="1" t="s">
        <v>2793</v>
      </c>
      <c r="C2769" s="1" t="s">
        <v>18</v>
      </c>
      <c r="D2769" s="1" t="s">
        <v>19</v>
      </c>
      <c r="E2769" s="1" t="s">
        <v>2752</v>
      </c>
      <c r="F2769">
        <v>4040</v>
      </c>
      <c r="G2769">
        <v>1185</v>
      </c>
      <c r="H2769">
        <v>1616</v>
      </c>
      <c r="I2769">
        <v>1976</v>
      </c>
      <c r="J2769" s="11">
        <f t="shared" si="69"/>
        <v>2.7650000000000001</v>
      </c>
      <c r="K2769">
        <v>463</v>
      </c>
      <c r="L2769">
        <v>111.5</v>
      </c>
      <c r="M2769">
        <v>292</v>
      </c>
      <c r="N2769">
        <v>66.2</v>
      </c>
      <c r="O2769">
        <v>38.299999999999997</v>
      </c>
      <c r="P2769">
        <v>3.71</v>
      </c>
    </row>
    <row r="2770" spans="1:16">
      <c r="A2770" s="1" t="s">
        <v>2747</v>
      </c>
      <c r="B2770" s="1" t="s">
        <v>2794</v>
      </c>
      <c r="C2770" s="1" t="s">
        <v>18</v>
      </c>
      <c r="D2770" s="1" t="s">
        <v>19</v>
      </c>
      <c r="E2770" s="1" t="s">
        <v>2752</v>
      </c>
      <c r="F2770">
        <v>4140</v>
      </c>
      <c r="G2770">
        <v>1122</v>
      </c>
      <c r="H2770">
        <v>1250</v>
      </c>
      <c r="I2770">
        <v>1994</v>
      </c>
      <c r="J2770" s="11">
        <f t="shared" si="69"/>
        <v>2.7650000000000001</v>
      </c>
      <c r="K2770">
        <v>578</v>
      </c>
      <c r="L2770">
        <v>114.6</v>
      </c>
      <c r="M2770">
        <v>303</v>
      </c>
      <c r="N2770">
        <v>63.6</v>
      </c>
      <c r="O2770">
        <v>42.1</v>
      </c>
      <c r="P2770">
        <v>3.14</v>
      </c>
    </row>
    <row r="2771" spans="1:16">
      <c r="A2771" s="1" t="s">
        <v>2747</v>
      </c>
      <c r="B2771" s="1" t="s">
        <v>2795</v>
      </c>
      <c r="C2771" s="1" t="s">
        <v>18</v>
      </c>
      <c r="D2771" s="1" t="s">
        <v>19</v>
      </c>
      <c r="E2771" s="1" t="s">
        <v>2752</v>
      </c>
      <c r="F2771">
        <v>4620</v>
      </c>
      <c r="G2771">
        <v>1306</v>
      </c>
      <c r="H2771">
        <v>1302</v>
      </c>
      <c r="I2771">
        <v>2008</v>
      </c>
      <c r="J2771" s="11">
        <f t="shared" si="69"/>
        <v>2.7650000000000001</v>
      </c>
      <c r="K2771">
        <v>475</v>
      </c>
      <c r="L2771">
        <v>113.6</v>
      </c>
      <c r="M2771">
        <v>296</v>
      </c>
      <c r="N2771">
        <v>72.5</v>
      </c>
      <c r="O2771">
        <v>41.2</v>
      </c>
      <c r="P2771">
        <v>3.28</v>
      </c>
    </row>
    <row r="2772" spans="1:16">
      <c r="A2772" s="1" t="s">
        <v>2747</v>
      </c>
      <c r="B2772" s="1" t="s">
        <v>2796</v>
      </c>
      <c r="C2772" s="1" t="s">
        <v>18</v>
      </c>
      <c r="D2772" s="1" t="s">
        <v>19</v>
      </c>
      <c r="E2772" s="1" t="s">
        <v>2752</v>
      </c>
      <c r="F2772">
        <v>5040</v>
      </c>
      <c r="G2772">
        <v>1396</v>
      </c>
      <c r="H2772">
        <v>1866</v>
      </c>
      <c r="I2772">
        <v>2004</v>
      </c>
      <c r="J2772" s="11">
        <f t="shared" si="69"/>
        <v>2.7650000000000001</v>
      </c>
      <c r="K2772">
        <v>507</v>
      </c>
      <c r="L2772">
        <v>118.5</v>
      </c>
      <c r="M2772">
        <v>296</v>
      </c>
      <c r="N2772">
        <v>41.9</v>
      </c>
      <c r="O2772">
        <v>40.1</v>
      </c>
      <c r="P2772">
        <v>4.18</v>
      </c>
    </row>
    <row r="2773" spans="1:16">
      <c r="A2773" s="1" t="s">
        <v>2747</v>
      </c>
      <c r="B2773" s="1" t="s">
        <v>2797</v>
      </c>
      <c r="C2773" s="1" t="s">
        <v>18</v>
      </c>
      <c r="D2773" s="1" t="s">
        <v>19</v>
      </c>
      <c r="E2773" s="1" t="s">
        <v>2752</v>
      </c>
      <c r="F2773">
        <v>4710</v>
      </c>
      <c r="G2773">
        <v>1216</v>
      </c>
      <c r="H2773">
        <v>1464</v>
      </c>
      <c r="I2773">
        <v>1977</v>
      </c>
      <c r="J2773" s="11">
        <f t="shared" si="69"/>
        <v>2.7650000000000001</v>
      </c>
      <c r="K2773">
        <v>508</v>
      </c>
      <c r="L2773">
        <v>117.2</v>
      </c>
      <c r="M2773">
        <v>296</v>
      </c>
      <c r="N2773">
        <v>82.2</v>
      </c>
      <c r="O2773">
        <v>40.6</v>
      </c>
      <c r="P2773">
        <v>2.97</v>
      </c>
    </row>
    <row r="2774" spans="1:16">
      <c r="A2774" s="1" t="s">
        <v>2747</v>
      </c>
      <c r="B2774" s="1" t="s">
        <v>2798</v>
      </c>
      <c r="C2774" s="1" t="s">
        <v>18</v>
      </c>
      <c r="D2774" s="1" t="s">
        <v>19</v>
      </c>
      <c r="E2774" s="1" t="s">
        <v>2752</v>
      </c>
      <c r="F2774">
        <v>4700</v>
      </c>
      <c r="G2774">
        <v>1110</v>
      </c>
      <c r="H2774">
        <v>670</v>
      </c>
      <c r="I2774">
        <v>2060</v>
      </c>
      <c r="J2774" s="11">
        <f t="shared" si="69"/>
        <v>2.7650000000000001</v>
      </c>
      <c r="K2774">
        <v>465</v>
      </c>
      <c r="L2774">
        <v>124.1</v>
      </c>
      <c r="M2774">
        <v>316</v>
      </c>
      <c r="N2774">
        <v>63.8</v>
      </c>
      <c r="O2774">
        <v>38.6</v>
      </c>
      <c r="P2774">
        <v>4.5999999999999996</v>
      </c>
    </row>
    <row r="2775" spans="1:16">
      <c r="A2775" s="1" t="s">
        <v>2747</v>
      </c>
      <c r="B2775" s="1" t="s">
        <v>2799</v>
      </c>
      <c r="C2775" s="1" t="s">
        <v>18</v>
      </c>
      <c r="D2775" s="1" t="s">
        <v>19</v>
      </c>
      <c r="E2775" s="1" t="s">
        <v>2752</v>
      </c>
      <c r="F2775">
        <v>3380</v>
      </c>
      <c r="G2775">
        <v>1189</v>
      </c>
      <c r="H2775">
        <v>1340</v>
      </c>
      <c r="I2775">
        <v>1971</v>
      </c>
      <c r="J2775" s="11">
        <f t="shared" si="69"/>
        <v>2.7650000000000001</v>
      </c>
      <c r="K2775">
        <v>521</v>
      </c>
      <c r="L2775">
        <v>116.2</v>
      </c>
      <c r="M2775">
        <v>296</v>
      </c>
      <c r="N2775">
        <v>112.8</v>
      </c>
      <c r="O2775">
        <v>40.9</v>
      </c>
      <c r="P2775">
        <v>3.26</v>
      </c>
    </row>
    <row r="2776" spans="1:16">
      <c r="A2776" s="1" t="s">
        <v>2747</v>
      </c>
      <c r="B2776" s="1" t="s">
        <v>2800</v>
      </c>
      <c r="C2776" s="1" t="s">
        <v>18</v>
      </c>
      <c r="D2776" s="1" t="s">
        <v>19</v>
      </c>
      <c r="E2776" s="1" t="s">
        <v>2752</v>
      </c>
      <c r="F2776">
        <v>1052</v>
      </c>
      <c r="G2776">
        <v>953</v>
      </c>
      <c r="H2776">
        <v>419</v>
      </c>
      <c r="I2776">
        <v>2580</v>
      </c>
      <c r="J2776" s="11">
        <f t="shared" si="69"/>
        <v>2.7650000000000001</v>
      </c>
      <c r="K2776">
        <v>1087</v>
      </c>
      <c r="L2776">
        <v>101</v>
      </c>
      <c r="M2776">
        <v>298</v>
      </c>
      <c r="N2776">
        <v>51.4</v>
      </c>
      <c r="O2776">
        <v>33.9</v>
      </c>
      <c r="P2776">
        <v>0.67</v>
      </c>
    </row>
    <row r="2777" spans="1:16">
      <c r="A2777" s="1" t="s">
        <v>2747</v>
      </c>
      <c r="B2777" s="1" t="s">
        <v>2801</v>
      </c>
      <c r="C2777" s="1" t="s">
        <v>18</v>
      </c>
      <c r="D2777" s="1" t="s">
        <v>19</v>
      </c>
      <c r="E2777" s="1" t="s">
        <v>2752</v>
      </c>
      <c r="F2777">
        <v>1136</v>
      </c>
      <c r="G2777">
        <v>1038</v>
      </c>
      <c r="H2777">
        <v>700</v>
      </c>
      <c r="I2777">
        <v>2710</v>
      </c>
      <c r="J2777" s="11">
        <f t="shared" si="69"/>
        <v>2.7650000000000001</v>
      </c>
      <c r="K2777">
        <v>1129</v>
      </c>
      <c r="L2777">
        <v>102.3</v>
      </c>
      <c r="M2777">
        <v>290</v>
      </c>
      <c r="N2777">
        <v>27</v>
      </c>
      <c r="O2777">
        <v>38.5</v>
      </c>
      <c r="P2777">
        <v>1.69</v>
      </c>
    </row>
    <row r="2778" spans="1:16">
      <c r="A2778" s="1" t="s">
        <v>2747</v>
      </c>
      <c r="B2778" s="1" t="s">
        <v>2802</v>
      </c>
      <c r="C2778" s="1" t="s">
        <v>18</v>
      </c>
      <c r="D2778" s="1" t="s">
        <v>19</v>
      </c>
      <c r="E2778" s="1" t="s">
        <v>2752</v>
      </c>
      <c r="F2778">
        <v>871</v>
      </c>
      <c r="G2778">
        <v>1099</v>
      </c>
      <c r="H2778">
        <v>472</v>
      </c>
      <c r="I2778">
        <v>2688</v>
      </c>
      <c r="J2778" s="11">
        <f t="shared" si="69"/>
        <v>2.7650000000000001</v>
      </c>
      <c r="K2778">
        <v>1106</v>
      </c>
      <c r="L2778">
        <v>105.4</v>
      </c>
      <c r="M2778">
        <v>300</v>
      </c>
      <c r="N2778">
        <v>32.4</v>
      </c>
      <c r="O2778">
        <v>38.700000000000003</v>
      </c>
      <c r="P2778">
        <v>1.06</v>
      </c>
    </row>
    <row r="2779" spans="1:16">
      <c r="A2779" s="1" t="s">
        <v>2747</v>
      </c>
      <c r="B2779" s="1" t="s">
        <v>2803</v>
      </c>
      <c r="C2779" s="1" t="s">
        <v>18</v>
      </c>
      <c r="D2779" s="1" t="s">
        <v>19</v>
      </c>
      <c r="E2779" s="1" t="s">
        <v>2752</v>
      </c>
      <c r="F2779">
        <v>557</v>
      </c>
      <c r="G2779">
        <v>1223</v>
      </c>
      <c r="H2779">
        <v>4120</v>
      </c>
      <c r="I2779">
        <v>2691</v>
      </c>
      <c r="J2779" s="11">
        <f t="shared" si="69"/>
        <v>2.7650000000000001</v>
      </c>
      <c r="K2779">
        <v>948</v>
      </c>
      <c r="L2779">
        <v>102.7</v>
      </c>
      <c r="M2779">
        <v>289</v>
      </c>
      <c r="N2779">
        <v>16</v>
      </c>
      <c r="O2779">
        <v>34.9</v>
      </c>
      <c r="P2779">
        <v>3.57</v>
      </c>
    </row>
    <row r="2780" spans="1:16">
      <c r="A2780" s="1" t="s">
        <v>2747</v>
      </c>
      <c r="B2780" s="1" t="s">
        <v>2804</v>
      </c>
      <c r="C2780" s="1" t="s">
        <v>18</v>
      </c>
      <c r="D2780" s="1" t="s">
        <v>19</v>
      </c>
      <c r="E2780" s="1" t="s">
        <v>2752</v>
      </c>
      <c r="F2780">
        <v>516</v>
      </c>
      <c r="G2780">
        <v>838</v>
      </c>
      <c r="H2780">
        <v>710</v>
      </c>
      <c r="I2780">
        <v>2596</v>
      </c>
      <c r="J2780" s="11">
        <f t="shared" si="69"/>
        <v>2.7650000000000001</v>
      </c>
      <c r="K2780">
        <v>1016</v>
      </c>
      <c r="L2780">
        <v>98.1</v>
      </c>
      <c r="M2780">
        <v>295</v>
      </c>
      <c r="N2780">
        <v>165</v>
      </c>
      <c r="O2780">
        <v>34.4</v>
      </c>
      <c r="P2780">
        <v>0.93</v>
      </c>
    </row>
    <row r="2781" spans="1:16">
      <c r="A2781" s="1" t="s">
        <v>2747</v>
      </c>
      <c r="B2781" s="1" t="s">
        <v>2805</v>
      </c>
      <c r="C2781" s="1" t="s">
        <v>18</v>
      </c>
      <c r="D2781" s="1" t="s">
        <v>19</v>
      </c>
      <c r="E2781" s="1" t="s">
        <v>2752</v>
      </c>
      <c r="F2781">
        <v>733</v>
      </c>
      <c r="G2781">
        <v>733</v>
      </c>
      <c r="H2781">
        <v>2470</v>
      </c>
      <c r="I2781">
        <v>2611</v>
      </c>
      <c r="J2781" s="11">
        <f t="shared" si="69"/>
        <v>2.7650000000000001</v>
      </c>
      <c r="K2781">
        <v>1125</v>
      </c>
      <c r="L2781">
        <v>98.7</v>
      </c>
      <c r="M2781">
        <v>294</v>
      </c>
      <c r="N2781">
        <v>51.8</v>
      </c>
      <c r="O2781">
        <v>33.9</v>
      </c>
      <c r="P2781">
        <v>1.89</v>
      </c>
    </row>
    <row r="2782" spans="1:16">
      <c r="A2782" s="1" t="s">
        <v>2747</v>
      </c>
      <c r="B2782" s="1" t="s">
        <v>2806</v>
      </c>
      <c r="C2782" s="1" t="s">
        <v>18</v>
      </c>
      <c r="D2782" s="1" t="s">
        <v>19</v>
      </c>
      <c r="E2782" s="1" t="s">
        <v>2752</v>
      </c>
      <c r="F2782">
        <v>1169</v>
      </c>
      <c r="G2782">
        <v>803</v>
      </c>
      <c r="H2782">
        <v>597</v>
      </c>
      <c r="I2782">
        <v>2693</v>
      </c>
      <c r="J2782" s="11">
        <f t="shared" si="69"/>
        <v>2.7650000000000001</v>
      </c>
      <c r="K2782">
        <v>1021</v>
      </c>
      <c r="L2782">
        <v>100.7</v>
      </c>
      <c r="M2782">
        <v>288</v>
      </c>
      <c r="N2782">
        <v>32.200000000000003</v>
      </c>
      <c r="O2782">
        <v>35.6</v>
      </c>
      <c r="P2782">
        <v>0.93</v>
      </c>
    </row>
    <row r="2783" spans="1:16">
      <c r="A2783" s="1" t="s">
        <v>2747</v>
      </c>
      <c r="B2783" s="1" t="s">
        <v>2807</v>
      </c>
      <c r="C2783" s="1" t="s">
        <v>18</v>
      </c>
      <c r="D2783" s="1" t="s">
        <v>19</v>
      </c>
      <c r="E2783" s="1" t="s">
        <v>2752</v>
      </c>
      <c r="F2783">
        <v>1182</v>
      </c>
      <c r="G2783">
        <v>637</v>
      </c>
      <c r="H2783">
        <v>728</v>
      </c>
      <c r="I2783">
        <v>2569</v>
      </c>
      <c r="J2783" s="11">
        <f t="shared" si="69"/>
        <v>2.7650000000000001</v>
      </c>
      <c r="K2783">
        <v>1125</v>
      </c>
      <c r="L2783">
        <v>98.6</v>
      </c>
      <c r="M2783">
        <v>285.8</v>
      </c>
      <c r="N2783">
        <v>105</v>
      </c>
      <c r="O2783">
        <v>32.6</v>
      </c>
      <c r="P2783">
        <v>1.21</v>
      </c>
    </row>
    <row r="2784" spans="1:16">
      <c r="A2784" s="1" t="s">
        <v>2747</v>
      </c>
      <c r="B2784" s="1" t="s">
        <v>2808</v>
      </c>
      <c r="C2784" s="1" t="s">
        <v>18</v>
      </c>
      <c r="D2784" s="1" t="s">
        <v>19</v>
      </c>
      <c r="E2784" s="1" t="s">
        <v>2752</v>
      </c>
      <c r="F2784">
        <v>705</v>
      </c>
      <c r="G2784">
        <v>411</v>
      </c>
      <c r="H2784">
        <v>483</v>
      </c>
      <c r="I2784">
        <v>2577</v>
      </c>
      <c r="J2784" s="11">
        <f t="shared" si="69"/>
        <v>2.7650000000000001</v>
      </c>
      <c r="K2784">
        <v>994</v>
      </c>
      <c r="L2784">
        <v>100.4</v>
      </c>
      <c r="M2784">
        <v>289</v>
      </c>
      <c r="N2784">
        <v>78.7</v>
      </c>
      <c r="O2784">
        <v>30.6</v>
      </c>
      <c r="P2784">
        <v>0.41</v>
      </c>
    </row>
    <row r="2785" spans="1:16">
      <c r="A2785" s="1" t="s">
        <v>2747</v>
      </c>
      <c r="B2785" s="1" t="s">
        <v>2809</v>
      </c>
      <c r="C2785" s="1" t="s">
        <v>18</v>
      </c>
      <c r="D2785" s="1" t="s">
        <v>19</v>
      </c>
      <c r="E2785" s="1" t="s">
        <v>2752</v>
      </c>
      <c r="F2785">
        <v>1075</v>
      </c>
      <c r="G2785">
        <v>395</v>
      </c>
      <c r="H2785">
        <v>500</v>
      </c>
      <c r="I2785">
        <v>2440</v>
      </c>
      <c r="J2785" s="11">
        <f t="shared" si="69"/>
        <v>2.7650000000000001</v>
      </c>
      <c r="K2785">
        <v>989</v>
      </c>
      <c r="L2785">
        <v>93.4</v>
      </c>
      <c r="M2785">
        <v>267</v>
      </c>
      <c r="N2785">
        <v>45.7</v>
      </c>
      <c r="O2785">
        <v>30.4</v>
      </c>
      <c r="P2785">
        <v>0.75</v>
      </c>
    </row>
    <row r="2786" spans="1:16">
      <c r="A2786" s="1" t="s">
        <v>2747</v>
      </c>
      <c r="B2786" s="1" t="s">
        <v>2810</v>
      </c>
      <c r="C2786" s="1" t="s">
        <v>18</v>
      </c>
      <c r="D2786" s="1" t="s">
        <v>19</v>
      </c>
      <c r="E2786" s="1" t="s">
        <v>2752</v>
      </c>
      <c r="F2786">
        <v>655</v>
      </c>
      <c r="G2786">
        <v>801</v>
      </c>
      <c r="H2786">
        <v>1270</v>
      </c>
      <c r="I2786">
        <v>2646</v>
      </c>
      <c r="J2786" s="11">
        <f t="shared" si="69"/>
        <v>2.7650000000000001</v>
      </c>
      <c r="K2786">
        <v>1176</v>
      </c>
      <c r="L2786">
        <v>100.4</v>
      </c>
      <c r="M2786">
        <v>294</v>
      </c>
      <c r="N2786">
        <v>55.6</v>
      </c>
      <c r="O2786">
        <v>32.299999999999997</v>
      </c>
      <c r="P2786">
        <v>1.1499999999999999</v>
      </c>
    </row>
    <row r="2787" spans="1:16">
      <c r="A2787" s="1" t="s">
        <v>2747</v>
      </c>
      <c r="B2787" s="1" t="s">
        <v>2811</v>
      </c>
      <c r="C2787" s="1" t="s">
        <v>18</v>
      </c>
      <c r="D2787" s="1" t="s">
        <v>19</v>
      </c>
      <c r="E2787" s="1" t="s">
        <v>2752</v>
      </c>
      <c r="F2787">
        <v>576</v>
      </c>
      <c r="G2787">
        <v>946</v>
      </c>
      <c r="H2787">
        <v>582</v>
      </c>
      <c r="I2787">
        <v>2602</v>
      </c>
      <c r="J2787" s="11">
        <f t="shared" si="69"/>
        <v>2.7650000000000001</v>
      </c>
      <c r="K2787">
        <v>1127</v>
      </c>
      <c r="L2787">
        <v>99</v>
      </c>
      <c r="M2787">
        <v>295</v>
      </c>
      <c r="N2787">
        <v>44.6</v>
      </c>
      <c r="O2787">
        <v>38</v>
      </c>
      <c r="P2787">
        <v>0.9</v>
      </c>
    </row>
    <row r="2788" spans="1:16">
      <c r="A2788" s="1" t="s">
        <v>2747</v>
      </c>
      <c r="B2788" s="1" t="s">
        <v>2812</v>
      </c>
      <c r="C2788" s="1" t="s">
        <v>18</v>
      </c>
      <c r="D2788" s="1" t="s">
        <v>19</v>
      </c>
      <c r="E2788" s="1" t="s">
        <v>2752</v>
      </c>
      <c r="F2788">
        <v>878</v>
      </c>
      <c r="G2788">
        <v>912</v>
      </c>
      <c r="H2788">
        <v>2230</v>
      </c>
      <c r="I2788">
        <v>2700</v>
      </c>
      <c r="J2788" s="11">
        <f t="shared" si="69"/>
        <v>2.7650000000000001</v>
      </c>
      <c r="K2788">
        <v>1244</v>
      </c>
      <c r="L2788">
        <v>99.1</v>
      </c>
      <c r="M2788">
        <v>302</v>
      </c>
      <c r="N2788">
        <v>43.6</v>
      </c>
      <c r="O2788">
        <v>42.9</v>
      </c>
      <c r="P2788">
        <v>2.66</v>
      </c>
    </row>
    <row r="2789" spans="1:16">
      <c r="A2789" s="1" t="s">
        <v>2747</v>
      </c>
      <c r="B2789" s="1" t="s">
        <v>2813</v>
      </c>
      <c r="C2789" s="1" t="s">
        <v>18</v>
      </c>
      <c r="D2789" s="1" t="s">
        <v>19</v>
      </c>
      <c r="E2789" s="1" t="s">
        <v>2752</v>
      </c>
      <c r="F2789">
        <v>1264</v>
      </c>
      <c r="G2789">
        <v>800</v>
      </c>
      <c r="H2789">
        <v>1950</v>
      </c>
      <c r="I2789">
        <v>2619</v>
      </c>
      <c r="J2789" s="11">
        <f t="shared" si="69"/>
        <v>2.7650000000000001</v>
      </c>
      <c r="K2789">
        <v>1012</v>
      </c>
      <c r="L2789">
        <v>99.3</v>
      </c>
      <c r="M2789">
        <v>295</v>
      </c>
      <c r="N2789">
        <v>20.2</v>
      </c>
      <c r="O2789">
        <v>34.200000000000003</v>
      </c>
      <c r="P2789">
        <v>1.77</v>
      </c>
    </row>
    <row r="2790" spans="1:16">
      <c r="A2790" s="1" t="s">
        <v>2747</v>
      </c>
      <c r="B2790" s="1" t="s">
        <v>2814</v>
      </c>
      <c r="C2790" s="1" t="s">
        <v>18</v>
      </c>
      <c r="D2790" s="1" t="s">
        <v>19</v>
      </c>
      <c r="E2790" s="1" t="s">
        <v>2752</v>
      </c>
      <c r="F2790">
        <v>1360</v>
      </c>
      <c r="G2790">
        <v>443</v>
      </c>
      <c r="H2790">
        <v>990</v>
      </c>
      <c r="I2790">
        <v>2565</v>
      </c>
      <c r="J2790" s="11">
        <f t="shared" si="69"/>
        <v>2.7650000000000001</v>
      </c>
      <c r="K2790">
        <v>1248</v>
      </c>
      <c r="L2790">
        <v>98.7</v>
      </c>
      <c r="M2790">
        <v>279</v>
      </c>
      <c r="N2790">
        <v>32.1</v>
      </c>
      <c r="O2790">
        <v>38</v>
      </c>
      <c r="P2790">
        <v>0.96</v>
      </c>
    </row>
    <row r="2791" spans="1:16">
      <c r="A2791" s="1" t="s">
        <v>2747</v>
      </c>
      <c r="B2791" s="1" t="s">
        <v>2815</v>
      </c>
      <c r="C2791" s="1" t="s">
        <v>18</v>
      </c>
      <c r="D2791" s="1" t="s">
        <v>19</v>
      </c>
      <c r="E2791" s="1" t="s">
        <v>2752</v>
      </c>
      <c r="F2791">
        <v>1011</v>
      </c>
      <c r="G2791">
        <v>535</v>
      </c>
      <c r="H2791">
        <v>740</v>
      </c>
      <c r="I2791">
        <v>2460</v>
      </c>
      <c r="J2791" s="11">
        <f t="shared" ref="J2791:J2825" si="70">5.53/2</f>
        <v>2.7650000000000001</v>
      </c>
      <c r="K2791">
        <v>1075</v>
      </c>
      <c r="L2791">
        <v>100.4</v>
      </c>
      <c r="M2791">
        <v>293</v>
      </c>
      <c r="N2791">
        <v>85</v>
      </c>
      <c r="O2791">
        <v>33.299999999999997</v>
      </c>
      <c r="P2791">
        <v>1.51</v>
      </c>
    </row>
    <row r="2792" spans="1:16">
      <c r="A2792" s="1" t="s">
        <v>2747</v>
      </c>
      <c r="B2792" s="1" t="s">
        <v>2816</v>
      </c>
      <c r="C2792" s="1" t="s">
        <v>18</v>
      </c>
      <c r="D2792" s="1" t="s">
        <v>19</v>
      </c>
      <c r="E2792" s="1" t="s">
        <v>2752</v>
      </c>
      <c r="F2792">
        <v>799</v>
      </c>
      <c r="G2792">
        <v>425</v>
      </c>
      <c r="H2792">
        <v>1170</v>
      </c>
      <c r="I2792">
        <v>2473</v>
      </c>
      <c r="J2792" s="11">
        <f t="shared" si="70"/>
        <v>2.7650000000000001</v>
      </c>
      <c r="K2792">
        <v>1104</v>
      </c>
      <c r="L2792">
        <v>102.4</v>
      </c>
      <c r="M2792">
        <v>271</v>
      </c>
      <c r="N2792">
        <v>63.6</v>
      </c>
      <c r="O2792">
        <v>31.8</v>
      </c>
      <c r="P2792">
        <v>1.46</v>
      </c>
    </row>
    <row r="2793" spans="1:16">
      <c r="A2793" s="1" t="s">
        <v>2747</v>
      </c>
      <c r="B2793" s="1" t="s">
        <v>2817</v>
      </c>
      <c r="C2793" s="1" t="s">
        <v>18</v>
      </c>
      <c r="D2793" s="1" t="s">
        <v>19</v>
      </c>
      <c r="E2793" s="1" t="s">
        <v>2752</v>
      </c>
      <c r="F2793">
        <v>446</v>
      </c>
      <c r="G2793">
        <v>361</v>
      </c>
      <c r="H2793">
        <v>980</v>
      </c>
      <c r="I2793">
        <v>2452</v>
      </c>
      <c r="J2793" s="11">
        <f t="shared" si="70"/>
        <v>2.7650000000000001</v>
      </c>
      <c r="K2793">
        <v>1192</v>
      </c>
      <c r="L2793">
        <v>98.5</v>
      </c>
      <c r="M2793">
        <v>276</v>
      </c>
      <c r="N2793">
        <v>48.6</v>
      </c>
      <c r="O2793">
        <v>34.6</v>
      </c>
      <c r="P2793">
        <v>1.17</v>
      </c>
    </row>
    <row r="2794" spans="1:16">
      <c r="A2794" s="1" t="s">
        <v>2747</v>
      </c>
      <c r="B2794" s="1" t="s">
        <v>2818</v>
      </c>
      <c r="C2794" s="1" t="s">
        <v>18</v>
      </c>
      <c r="D2794" s="1" t="s">
        <v>19</v>
      </c>
      <c r="E2794" s="1" t="s">
        <v>2752</v>
      </c>
      <c r="F2794">
        <v>1125</v>
      </c>
      <c r="G2794">
        <v>430</v>
      </c>
      <c r="H2794">
        <v>1100</v>
      </c>
      <c r="I2794">
        <v>2458</v>
      </c>
      <c r="J2794" s="11">
        <f t="shared" si="70"/>
        <v>2.7650000000000001</v>
      </c>
      <c r="K2794">
        <v>1085</v>
      </c>
      <c r="L2794">
        <v>98.7</v>
      </c>
      <c r="M2794">
        <v>287</v>
      </c>
      <c r="N2794">
        <v>63.3</v>
      </c>
      <c r="O2794">
        <v>31.7</v>
      </c>
      <c r="P2794">
        <v>1.38</v>
      </c>
    </row>
    <row r="2795" spans="1:16">
      <c r="A2795" s="1" t="s">
        <v>2747</v>
      </c>
      <c r="B2795" s="1" t="s">
        <v>2819</v>
      </c>
      <c r="C2795" s="1" t="s">
        <v>18</v>
      </c>
      <c r="D2795" s="1" t="s">
        <v>19</v>
      </c>
      <c r="E2795" s="1" t="s">
        <v>2752</v>
      </c>
      <c r="F2795">
        <v>994</v>
      </c>
      <c r="G2795">
        <v>388</v>
      </c>
      <c r="H2795">
        <v>694</v>
      </c>
      <c r="I2795">
        <v>2418</v>
      </c>
      <c r="J2795" s="11">
        <f t="shared" si="70"/>
        <v>2.7650000000000001</v>
      </c>
      <c r="K2795">
        <v>1094</v>
      </c>
      <c r="L2795">
        <v>97.3</v>
      </c>
      <c r="M2795">
        <v>275</v>
      </c>
      <c r="N2795">
        <v>46.9</v>
      </c>
      <c r="O2795">
        <v>31.4</v>
      </c>
      <c r="P2795">
        <v>1.1000000000000001</v>
      </c>
    </row>
    <row r="2796" spans="1:16">
      <c r="A2796" s="1" t="s">
        <v>2747</v>
      </c>
      <c r="B2796" s="1" t="s">
        <v>2820</v>
      </c>
      <c r="C2796" s="1" t="s">
        <v>18</v>
      </c>
      <c r="D2796" s="1" t="s">
        <v>19</v>
      </c>
      <c r="E2796" s="1" t="s">
        <v>2752</v>
      </c>
      <c r="F2796">
        <v>631</v>
      </c>
      <c r="G2796">
        <v>256</v>
      </c>
      <c r="H2796">
        <v>562</v>
      </c>
      <c r="I2796">
        <v>2393</v>
      </c>
      <c r="J2796" s="11">
        <f t="shared" si="70"/>
        <v>2.7650000000000001</v>
      </c>
      <c r="K2796">
        <v>1056</v>
      </c>
      <c r="L2796">
        <v>102.5</v>
      </c>
      <c r="M2796">
        <v>270</v>
      </c>
      <c r="N2796">
        <v>37.1</v>
      </c>
      <c r="O2796">
        <v>31.9</v>
      </c>
      <c r="P2796">
        <v>0.44</v>
      </c>
    </row>
    <row r="2797" spans="1:16">
      <c r="A2797" s="1" t="s">
        <v>2747</v>
      </c>
      <c r="B2797" s="1" t="s">
        <v>2821</v>
      </c>
      <c r="C2797" s="1" t="s">
        <v>18</v>
      </c>
      <c r="D2797" s="1" t="s">
        <v>19</v>
      </c>
      <c r="E2797" s="1" t="s">
        <v>2752</v>
      </c>
      <c r="F2797">
        <v>1588</v>
      </c>
      <c r="G2797">
        <v>473</v>
      </c>
      <c r="H2797">
        <v>271</v>
      </c>
      <c r="I2797">
        <v>2153</v>
      </c>
      <c r="J2797" s="11">
        <f t="shared" si="70"/>
        <v>2.7650000000000001</v>
      </c>
      <c r="K2797">
        <v>912</v>
      </c>
      <c r="L2797">
        <v>97.8</v>
      </c>
      <c r="M2797">
        <v>262.5</v>
      </c>
      <c r="N2797">
        <v>48.4</v>
      </c>
      <c r="O2797">
        <v>33.9</v>
      </c>
      <c r="P2797">
        <v>0.89</v>
      </c>
    </row>
    <row r="2798" spans="1:16">
      <c r="A2798" s="1" t="s">
        <v>2747</v>
      </c>
      <c r="B2798" s="1" t="s">
        <v>2822</v>
      </c>
      <c r="C2798" s="1" t="s">
        <v>18</v>
      </c>
      <c r="D2798" s="1" t="s">
        <v>19</v>
      </c>
      <c r="E2798" s="1" t="s">
        <v>2752</v>
      </c>
      <c r="F2798">
        <v>820</v>
      </c>
      <c r="G2798">
        <v>455</v>
      </c>
      <c r="H2798">
        <v>590</v>
      </c>
      <c r="I2798">
        <v>2377</v>
      </c>
      <c r="J2798" s="11">
        <f t="shared" si="70"/>
        <v>2.7650000000000001</v>
      </c>
      <c r="K2798">
        <v>906</v>
      </c>
      <c r="L2798">
        <v>98.3</v>
      </c>
      <c r="M2798">
        <v>283</v>
      </c>
      <c r="N2798">
        <v>127.3</v>
      </c>
      <c r="O2798">
        <v>29.91</v>
      </c>
      <c r="P2798">
        <v>1.28</v>
      </c>
    </row>
    <row r="2799" spans="1:16">
      <c r="A2799" s="1" t="s">
        <v>2747</v>
      </c>
      <c r="B2799" s="1" t="s">
        <v>2823</v>
      </c>
      <c r="C2799" s="1" t="s">
        <v>18</v>
      </c>
      <c r="D2799" s="1" t="s">
        <v>19</v>
      </c>
      <c r="E2799" s="1" t="s">
        <v>2752</v>
      </c>
      <c r="F2799">
        <v>778</v>
      </c>
      <c r="G2799">
        <v>236</v>
      </c>
      <c r="H2799">
        <v>473</v>
      </c>
      <c r="I2799">
        <v>2330</v>
      </c>
      <c r="J2799" s="11">
        <f t="shared" si="70"/>
        <v>2.7650000000000001</v>
      </c>
      <c r="K2799">
        <v>1069</v>
      </c>
      <c r="L2799">
        <v>96</v>
      </c>
      <c r="M2799">
        <v>251</v>
      </c>
      <c r="N2799">
        <v>33.799999999999997</v>
      </c>
      <c r="O2799">
        <v>30.1</v>
      </c>
      <c r="P2799">
        <v>0.55000000000000004</v>
      </c>
    </row>
    <row r="2800" spans="1:16">
      <c r="A2800" s="1" t="s">
        <v>2747</v>
      </c>
      <c r="B2800" s="1" t="s">
        <v>2824</v>
      </c>
      <c r="C2800" s="1" t="s">
        <v>18</v>
      </c>
      <c r="D2800" s="1" t="s">
        <v>19</v>
      </c>
      <c r="E2800" s="1" t="s">
        <v>2752</v>
      </c>
      <c r="F2800">
        <v>680</v>
      </c>
      <c r="G2800">
        <v>227</v>
      </c>
      <c r="H2800">
        <v>365</v>
      </c>
      <c r="I2800">
        <v>2380</v>
      </c>
      <c r="J2800" s="11">
        <f t="shared" si="70"/>
        <v>2.7650000000000001</v>
      </c>
      <c r="K2800">
        <v>998</v>
      </c>
      <c r="L2800">
        <v>98.4</v>
      </c>
      <c r="M2800">
        <v>260</v>
      </c>
      <c r="N2800">
        <v>50.3</v>
      </c>
      <c r="O2800">
        <v>29.3</v>
      </c>
      <c r="P2800">
        <v>0.26</v>
      </c>
    </row>
    <row r="2801" spans="1:16">
      <c r="A2801" s="1" t="s">
        <v>2747</v>
      </c>
      <c r="B2801" s="1" t="s">
        <v>2825</v>
      </c>
      <c r="C2801" s="1" t="s">
        <v>18</v>
      </c>
      <c r="D2801" s="1" t="s">
        <v>19</v>
      </c>
      <c r="E2801" s="1" t="s">
        <v>2752</v>
      </c>
      <c r="F2801">
        <v>852</v>
      </c>
      <c r="G2801">
        <v>195.7</v>
      </c>
      <c r="H2801">
        <v>367</v>
      </c>
      <c r="I2801">
        <v>2367</v>
      </c>
      <c r="J2801" s="11">
        <f t="shared" si="70"/>
        <v>2.7650000000000001</v>
      </c>
      <c r="K2801">
        <v>1099</v>
      </c>
      <c r="L2801">
        <v>100.1</v>
      </c>
      <c r="M2801">
        <v>250</v>
      </c>
      <c r="N2801">
        <v>34.799999999999997</v>
      </c>
      <c r="O2801">
        <v>28.8</v>
      </c>
      <c r="P2801">
        <v>0.42</v>
      </c>
    </row>
    <row r="2802" spans="1:16">
      <c r="A2802" s="1" t="s">
        <v>2747</v>
      </c>
      <c r="B2802" s="1" t="s">
        <v>2826</v>
      </c>
      <c r="C2802" s="1" t="s">
        <v>18</v>
      </c>
      <c r="D2802" s="1" t="s">
        <v>19</v>
      </c>
      <c r="E2802" s="1" t="s">
        <v>2752</v>
      </c>
      <c r="F2802">
        <v>926</v>
      </c>
      <c r="G2802">
        <v>540</v>
      </c>
      <c r="H2802">
        <v>870</v>
      </c>
      <c r="I2802">
        <f>1.98/2</f>
        <v>0.99</v>
      </c>
      <c r="J2802" s="11">
        <f t="shared" si="70"/>
        <v>2.7650000000000001</v>
      </c>
      <c r="K2802">
        <v>1109</v>
      </c>
      <c r="L2802">
        <v>99</v>
      </c>
      <c r="M2802">
        <v>290</v>
      </c>
      <c r="N2802">
        <v>47.9</v>
      </c>
      <c r="O2802">
        <v>30.6</v>
      </c>
      <c r="P2802">
        <v>1.49</v>
      </c>
    </row>
    <row r="2803" spans="1:16">
      <c r="A2803" s="1" t="s">
        <v>2747</v>
      </c>
      <c r="B2803" s="1" t="s">
        <v>2827</v>
      </c>
      <c r="C2803" s="1" t="s">
        <v>18</v>
      </c>
      <c r="D2803" s="1" t="s">
        <v>19</v>
      </c>
      <c r="E2803" s="1" t="s">
        <v>2752</v>
      </c>
      <c r="F2803">
        <v>1476</v>
      </c>
      <c r="G2803">
        <v>799</v>
      </c>
      <c r="H2803">
        <v>881</v>
      </c>
      <c r="I2803">
        <v>2348</v>
      </c>
      <c r="J2803" s="11">
        <f t="shared" si="70"/>
        <v>2.7650000000000001</v>
      </c>
      <c r="K2803">
        <v>1202</v>
      </c>
      <c r="L2803">
        <v>99.7</v>
      </c>
      <c r="M2803">
        <v>289</v>
      </c>
      <c r="N2803">
        <v>78.900000000000006</v>
      </c>
      <c r="O2803">
        <v>35.700000000000003</v>
      </c>
      <c r="P2803">
        <v>2.11</v>
      </c>
    </row>
    <row r="2804" spans="1:16">
      <c r="A2804" s="1" t="s">
        <v>2747</v>
      </c>
      <c r="B2804" s="1" t="s">
        <v>2828</v>
      </c>
      <c r="C2804" s="1" t="s">
        <v>18</v>
      </c>
      <c r="D2804" s="1" t="s">
        <v>19</v>
      </c>
      <c r="E2804" s="1" t="s">
        <v>2752</v>
      </c>
      <c r="F2804">
        <v>931</v>
      </c>
      <c r="G2804">
        <v>553</v>
      </c>
      <c r="H2804">
        <v>376</v>
      </c>
      <c r="I2804">
        <v>2280</v>
      </c>
      <c r="J2804" s="11">
        <f t="shared" si="70"/>
        <v>2.7650000000000001</v>
      </c>
      <c r="K2804">
        <v>1111</v>
      </c>
      <c r="L2804">
        <v>102.9</v>
      </c>
      <c r="M2804">
        <v>303</v>
      </c>
      <c r="N2804">
        <v>32</v>
      </c>
      <c r="O2804">
        <v>35.5</v>
      </c>
      <c r="P2804">
        <v>1.07</v>
      </c>
    </row>
    <row r="2805" spans="1:16">
      <c r="A2805" s="1" t="s">
        <v>2747</v>
      </c>
      <c r="B2805" s="1" t="s">
        <v>2829</v>
      </c>
      <c r="C2805" s="1" t="s">
        <v>18</v>
      </c>
      <c r="D2805" s="1" t="s">
        <v>19</v>
      </c>
      <c r="E2805" s="1" t="s">
        <v>2752</v>
      </c>
      <c r="F2805">
        <v>1263</v>
      </c>
      <c r="G2805">
        <v>550</v>
      </c>
      <c r="H2805">
        <v>580</v>
      </c>
      <c r="I2805">
        <v>2390</v>
      </c>
      <c r="J2805" s="11">
        <f t="shared" si="70"/>
        <v>2.7650000000000001</v>
      </c>
      <c r="K2805">
        <v>1103</v>
      </c>
      <c r="L2805">
        <v>102.9</v>
      </c>
      <c r="M2805">
        <v>302</v>
      </c>
      <c r="N2805">
        <v>55.6</v>
      </c>
      <c r="O2805">
        <v>30.5</v>
      </c>
      <c r="P2805">
        <v>1.2</v>
      </c>
    </row>
    <row r="2806" spans="1:16">
      <c r="A2806" s="1" t="s">
        <v>2747</v>
      </c>
      <c r="B2806" s="1" t="s">
        <v>2830</v>
      </c>
      <c r="C2806" s="1" t="s">
        <v>18</v>
      </c>
      <c r="D2806" s="1" t="s">
        <v>19</v>
      </c>
      <c r="E2806" s="1" t="s">
        <v>2752</v>
      </c>
      <c r="F2806">
        <v>1219</v>
      </c>
      <c r="G2806">
        <v>582</v>
      </c>
      <c r="H2806">
        <v>621</v>
      </c>
      <c r="I2806">
        <v>2305</v>
      </c>
      <c r="J2806" s="11">
        <f t="shared" si="70"/>
        <v>2.7650000000000001</v>
      </c>
      <c r="K2806">
        <v>1096</v>
      </c>
      <c r="L2806">
        <v>97.5</v>
      </c>
      <c r="M2806">
        <v>286</v>
      </c>
      <c r="N2806">
        <v>103.9</v>
      </c>
      <c r="O2806">
        <v>32.299999999999997</v>
      </c>
      <c r="P2806">
        <v>1.18</v>
      </c>
    </row>
    <row r="2807" spans="1:16">
      <c r="A2807" s="1" t="s">
        <v>2747</v>
      </c>
      <c r="B2807" s="1" t="s">
        <v>2831</v>
      </c>
      <c r="C2807" s="1" t="s">
        <v>18</v>
      </c>
      <c r="D2807" s="1" t="s">
        <v>19</v>
      </c>
      <c r="E2807" s="1" t="s">
        <v>2752</v>
      </c>
      <c r="F2807">
        <v>1372</v>
      </c>
      <c r="G2807">
        <v>391</v>
      </c>
      <c r="H2807">
        <v>575</v>
      </c>
      <c r="I2807">
        <v>2286</v>
      </c>
      <c r="J2807" s="11">
        <f t="shared" si="70"/>
        <v>2.7650000000000001</v>
      </c>
      <c r="K2807">
        <v>1064</v>
      </c>
      <c r="L2807">
        <v>99.5</v>
      </c>
      <c r="M2807">
        <v>286</v>
      </c>
      <c r="N2807">
        <v>58</v>
      </c>
      <c r="O2807">
        <v>29.8</v>
      </c>
      <c r="P2807">
        <v>0.89</v>
      </c>
    </row>
    <row r="2808" spans="1:16">
      <c r="A2808" s="1" t="s">
        <v>2747</v>
      </c>
      <c r="B2808" s="1" t="s">
        <v>2832</v>
      </c>
      <c r="C2808" s="1" t="s">
        <v>18</v>
      </c>
      <c r="D2808" s="1" t="s">
        <v>19</v>
      </c>
      <c r="E2808" s="1" t="s">
        <v>2752</v>
      </c>
      <c r="F2808">
        <v>1324</v>
      </c>
      <c r="G2808">
        <v>760</v>
      </c>
      <c r="H2808">
        <v>822</v>
      </c>
      <c r="I2808">
        <v>2319</v>
      </c>
      <c r="J2808" s="11">
        <f t="shared" si="70"/>
        <v>2.7650000000000001</v>
      </c>
      <c r="K2808">
        <v>1064</v>
      </c>
      <c r="L2808">
        <v>99.6</v>
      </c>
      <c r="M2808">
        <v>287</v>
      </c>
      <c r="N2808">
        <v>64.099999999999994</v>
      </c>
      <c r="O2808">
        <v>37.9</v>
      </c>
      <c r="P2808">
        <v>2.31</v>
      </c>
    </row>
    <row r="2809" spans="1:16">
      <c r="A2809" s="1" t="s">
        <v>2747</v>
      </c>
      <c r="B2809" s="1" t="s">
        <v>2833</v>
      </c>
      <c r="C2809" s="1" t="s">
        <v>18</v>
      </c>
      <c r="D2809" s="1" t="s">
        <v>19</v>
      </c>
      <c r="E2809" s="1" t="s">
        <v>2752</v>
      </c>
      <c r="F2809">
        <v>1666</v>
      </c>
      <c r="G2809">
        <v>604</v>
      </c>
      <c r="H2809">
        <v>499</v>
      </c>
      <c r="I2809">
        <v>2335</v>
      </c>
      <c r="J2809" s="11">
        <f t="shared" si="70"/>
        <v>2.7650000000000001</v>
      </c>
      <c r="K2809">
        <v>1052</v>
      </c>
      <c r="L2809">
        <v>98.3</v>
      </c>
      <c r="M2809">
        <v>281</v>
      </c>
      <c r="N2809">
        <v>87.9</v>
      </c>
      <c r="O2809">
        <v>33</v>
      </c>
      <c r="P2809">
        <v>1.1599999999999999</v>
      </c>
    </row>
    <row r="2810" spans="1:16">
      <c r="A2810" s="1" t="s">
        <v>2747</v>
      </c>
      <c r="B2810" s="1" t="s">
        <v>2834</v>
      </c>
      <c r="C2810" s="1" t="s">
        <v>18</v>
      </c>
      <c r="D2810" s="1" t="s">
        <v>19</v>
      </c>
      <c r="E2810" s="1" t="s">
        <v>2752</v>
      </c>
      <c r="F2810">
        <v>1285</v>
      </c>
      <c r="G2810">
        <v>665</v>
      </c>
      <c r="H2810">
        <v>641</v>
      </c>
      <c r="I2810">
        <v>2327</v>
      </c>
      <c r="J2810" s="11">
        <f t="shared" si="70"/>
        <v>2.7650000000000001</v>
      </c>
      <c r="K2810">
        <v>1074</v>
      </c>
      <c r="L2810">
        <v>98.5</v>
      </c>
      <c r="M2810">
        <v>299</v>
      </c>
      <c r="N2810">
        <v>97.9</v>
      </c>
      <c r="O2810">
        <v>38.200000000000003</v>
      </c>
      <c r="P2810">
        <v>1.95</v>
      </c>
    </row>
    <row r="2811" spans="1:16">
      <c r="A2811" s="1" t="s">
        <v>2747</v>
      </c>
      <c r="B2811" s="1" t="s">
        <v>2835</v>
      </c>
      <c r="C2811" s="1" t="s">
        <v>18</v>
      </c>
      <c r="D2811" s="1" t="s">
        <v>19</v>
      </c>
      <c r="E2811" s="1" t="s">
        <v>2752</v>
      </c>
      <c r="F2811">
        <f>2.79/2</f>
        <v>1.395</v>
      </c>
      <c r="G2811">
        <v>637</v>
      </c>
      <c r="H2811">
        <v>596</v>
      </c>
      <c r="I2811">
        <v>2314</v>
      </c>
      <c r="J2811" s="11">
        <f t="shared" si="70"/>
        <v>2.7650000000000001</v>
      </c>
      <c r="K2811">
        <v>1051</v>
      </c>
      <c r="L2811">
        <v>96.8</v>
      </c>
      <c r="M2811">
        <v>282</v>
      </c>
      <c r="N2811">
        <v>53.9</v>
      </c>
      <c r="O2811">
        <v>34.4</v>
      </c>
      <c r="P2811">
        <v>1.9</v>
      </c>
    </row>
    <row r="2812" spans="1:16">
      <c r="A2812" s="1" t="s">
        <v>2747</v>
      </c>
      <c r="B2812" s="1" t="s">
        <v>2836</v>
      </c>
      <c r="C2812" s="1" t="s">
        <v>18</v>
      </c>
      <c r="D2812" s="1" t="s">
        <v>19</v>
      </c>
      <c r="E2812" s="1" t="s">
        <v>2752</v>
      </c>
      <c r="F2812">
        <v>1018</v>
      </c>
      <c r="G2812">
        <v>336</v>
      </c>
      <c r="H2812">
        <v>600</v>
      </c>
      <c r="I2812">
        <v>2192</v>
      </c>
      <c r="J2812" s="11">
        <f t="shared" si="70"/>
        <v>2.7650000000000001</v>
      </c>
      <c r="K2812">
        <v>997</v>
      </c>
      <c r="L2812">
        <v>100.4</v>
      </c>
      <c r="M2812">
        <v>284</v>
      </c>
      <c r="N2812">
        <v>59.2</v>
      </c>
      <c r="O2812">
        <v>32.200000000000003</v>
      </c>
      <c r="P2812">
        <v>0.99</v>
      </c>
    </row>
    <row r="2813" spans="1:16">
      <c r="A2813" s="1" t="s">
        <v>2747</v>
      </c>
      <c r="B2813" s="1" t="s">
        <v>2837</v>
      </c>
      <c r="C2813" s="1" t="s">
        <v>18</v>
      </c>
      <c r="D2813" s="1" t="s">
        <v>19</v>
      </c>
      <c r="E2813" s="1" t="s">
        <v>2752</v>
      </c>
      <c r="F2813">
        <v>1082</v>
      </c>
      <c r="G2813">
        <v>206</v>
      </c>
      <c r="H2813">
        <v>347</v>
      </c>
      <c r="I2813">
        <v>2108</v>
      </c>
      <c r="J2813" s="11">
        <f t="shared" si="70"/>
        <v>2.7650000000000001</v>
      </c>
      <c r="K2813">
        <v>1119</v>
      </c>
      <c r="L2813">
        <v>99</v>
      </c>
      <c r="M2813">
        <v>269</v>
      </c>
      <c r="N2813">
        <v>55.8</v>
      </c>
      <c r="O2813">
        <v>30.5</v>
      </c>
      <c r="P2813">
        <v>0.44</v>
      </c>
    </row>
    <row r="2814" spans="1:16">
      <c r="A2814" s="1" t="s">
        <v>2747</v>
      </c>
      <c r="B2814" s="1" t="s">
        <v>2838</v>
      </c>
      <c r="C2814" s="1" t="s">
        <v>18</v>
      </c>
      <c r="D2814" s="1" t="s">
        <v>19</v>
      </c>
      <c r="E2814" s="1" t="s">
        <v>2752</v>
      </c>
      <c r="F2814">
        <v>783</v>
      </c>
      <c r="G2814">
        <v>197.7</v>
      </c>
      <c r="H2814">
        <v>616</v>
      </c>
      <c r="I2814">
        <v>2101</v>
      </c>
      <c r="J2814" s="11">
        <f t="shared" si="70"/>
        <v>2.7650000000000001</v>
      </c>
      <c r="K2814">
        <v>1202</v>
      </c>
      <c r="L2814">
        <v>98.3</v>
      </c>
      <c r="M2814">
        <v>288</v>
      </c>
      <c r="N2814">
        <v>61.1</v>
      </c>
      <c r="O2814">
        <v>34.5</v>
      </c>
      <c r="P2814">
        <v>1.6</v>
      </c>
    </row>
    <row r="2815" spans="1:16">
      <c r="A2815" s="1" t="s">
        <v>2747</v>
      </c>
      <c r="B2815" s="1" t="s">
        <v>2839</v>
      </c>
      <c r="C2815" s="1" t="s">
        <v>18</v>
      </c>
      <c r="D2815" s="1" t="s">
        <v>19</v>
      </c>
      <c r="E2815" s="1" t="s">
        <v>2752</v>
      </c>
      <c r="F2815">
        <v>860</v>
      </c>
      <c r="G2815">
        <v>396</v>
      </c>
      <c r="H2815">
        <v>131</v>
      </c>
      <c r="I2815">
        <v>2202</v>
      </c>
      <c r="J2815" s="11">
        <f t="shared" si="70"/>
        <v>2.7650000000000001</v>
      </c>
      <c r="K2815">
        <v>1034</v>
      </c>
      <c r="L2815">
        <v>102.7</v>
      </c>
      <c r="M2815">
        <v>275</v>
      </c>
      <c r="N2815">
        <v>84.6</v>
      </c>
      <c r="O2815">
        <v>31.4</v>
      </c>
      <c r="P2815">
        <v>0.98</v>
      </c>
    </row>
    <row r="2816" spans="1:16">
      <c r="A2816" s="1" t="s">
        <v>2747</v>
      </c>
      <c r="B2816" s="1" t="s">
        <v>2840</v>
      </c>
      <c r="C2816" s="1" t="s">
        <v>18</v>
      </c>
      <c r="D2816" s="1" t="s">
        <v>19</v>
      </c>
      <c r="E2816" s="1" t="s">
        <v>2752</v>
      </c>
      <c r="F2816">
        <v>768</v>
      </c>
      <c r="G2816">
        <v>389</v>
      </c>
      <c r="H2816">
        <v>314</v>
      </c>
      <c r="I2816">
        <v>2208</v>
      </c>
      <c r="J2816" s="11">
        <f t="shared" si="70"/>
        <v>2.7650000000000001</v>
      </c>
      <c r="K2816">
        <v>1105</v>
      </c>
      <c r="L2816">
        <v>97.4</v>
      </c>
      <c r="M2816">
        <v>280</v>
      </c>
      <c r="N2816">
        <v>48.4</v>
      </c>
      <c r="O2816">
        <v>33.9</v>
      </c>
      <c r="P2816">
        <v>0.76</v>
      </c>
    </row>
    <row r="2817" spans="1:16">
      <c r="A2817" s="1" t="s">
        <v>2747</v>
      </c>
      <c r="B2817" s="1" t="s">
        <v>2841</v>
      </c>
      <c r="C2817" s="1" t="s">
        <v>18</v>
      </c>
      <c r="D2817" s="1" t="s">
        <v>19</v>
      </c>
      <c r="E2817" s="1" t="s">
        <v>2752</v>
      </c>
      <c r="F2817">
        <v>753</v>
      </c>
      <c r="G2817">
        <v>233</v>
      </c>
      <c r="H2817">
        <v>284</v>
      </c>
      <c r="I2817">
        <v>2113</v>
      </c>
      <c r="J2817" s="11">
        <f t="shared" si="70"/>
        <v>2.7650000000000001</v>
      </c>
      <c r="K2817">
        <v>1107</v>
      </c>
      <c r="L2817">
        <v>96.4</v>
      </c>
      <c r="M2817">
        <v>255.4</v>
      </c>
      <c r="N2817">
        <v>43</v>
      </c>
      <c r="O2817">
        <v>32.4</v>
      </c>
      <c r="P2817">
        <v>0.26</v>
      </c>
    </row>
    <row r="2818" spans="1:16">
      <c r="A2818" s="1" t="s">
        <v>2747</v>
      </c>
      <c r="B2818" s="1" t="s">
        <v>2842</v>
      </c>
      <c r="C2818" s="1" t="s">
        <v>18</v>
      </c>
      <c r="D2818" s="1" t="s">
        <v>19</v>
      </c>
      <c r="E2818" s="1" t="s">
        <v>2752</v>
      </c>
      <c r="F2818">
        <v>726</v>
      </c>
      <c r="G2818">
        <v>333</v>
      </c>
      <c r="H2818">
        <v>135.30000000000001</v>
      </c>
      <c r="I2818">
        <v>2027</v>
      </c>
      <c r="J2818" s="11">
        <f t="shared" si="70"/>
        <v>2.7650000000000001</v>
      </c>
      <c r="K2818">
        <v>958</v>
      </c>
      <c r="L2818">
        <v>95.7</v>
      </c>
      <c r="M2818">
        <v>257</v>
      </c>
      <c r="N2818">
        <v>50</v>
      </c>
      <c r="O2818">
        <v>31</v>
      </c>
      <c r="P2818">
        <v>0.55000000000000004</v>
      </c>
    </row>
    <row r="2819" spans="1:16">
      <c r="A2819" s="1" t="s">
        <v>2747</v>
      </c>
      <c r="B2819" s="1" t="s">
        <v>2843</v>
      </c>
      <c r="C2819" s="1" t="s">
        <v>18</v>
      </c>
      <c r="D2819" s="1" t="s">
        <v>19</v>
      </c>
      <c r="E2819" s="1" t="s">
        <v>2752</v>
      </c>
      <c r="F2819">
        <v>570</v>
      </c>
      <c r="G2819">
        <v>473</v>
      </c>
      <c r="H2819">
        <v>514</v>
      </c>
      <c r="I2819">
        <v>2271</v>
      </c>
      <c r="J2819" s="11">
        <f t="shared" si="70"/>
        <v>2.7650000000000001</v>
      </c>
      <c r="K2819">
        <v>1008</v>
      </c>
      <c r="L2819">
        <v>96.3</v>
      </c>
      <c r="M2819">
        <v>283</v>
      </c>
      <c r="N2819">
        <v>55.8</v>
      </c>
      <c r="O2819">
        <v>30.2</v>
      </c>
      <c r="P2819">
        <v>1.31</v>
      </c>
    </row>
    <row r="2820" spans="1:16">
      <c r="A2820" s="1" t="s">
        <v>2844</v>
      </c>
      <c r="B2820" s="1" t="s">
        <v>2845</v>
      </c>
      <c r="C2820" s="1" t="s">
        <v>18</v>
      </c>
      <c r="D2820" s="1" t="s">
        <v>19</v>
      </c>
      <c r="E2820" s="1" t="s">
        <v>2752</v>
      </c>
      <c r="F2820">
        <v>1530</v>
      </c>
      <c r="G2820">
        <v>1840</v>
      </c>
      <c r="H2820">
        <v>1044</v>
      </c>
      <c r="I2820">
        <v>660</v>
      </c>
      <c r="J2820" s="11">
        <f t="shared" si="70"/>
        <v>2.7650000000000001</v>
      </c>
      <c r="K2820">
        <v>266</v>
      </c>
      <c r="L2820">
        <v>20.2</v>
      </c>
      <c r="M2820">
        <v>174</v>
      </c>
      <c r="N2820">
        <v>7.3</v>
      </c>
      <c r="O2820">
        <v>29.6</v>
      </c>
      <c r="P2820">
        <v>2.2599999999999998</v>
      </c>
    </row>
    <row r="2821" spans="1:16">
      <c r="A2821" s="1" t="s">
        <v>2844</v>
      </c>
      <c r="B2821" s="1" t="s">
        <v>2846</v>
      </c>
      <c r="C2821" s="1" t="s">
        <v>18</v>
      </c>
      <c r="D2821" s="1" t="s">
        <v>19</v>
      </c>
      <c r="E2821" s="1" t="s">
        <v>2752</v>
      </c>
      <c r="F2821">
        <v>1403</v>
      </c>
      <c r="G2821">
        <v>2131</v>
      </c>
      <c r="H2821">
        <v>1116</v>
      </c>
      <c r="I2821">
        <v>644</v>
      </c>
      <c r="J2821" s="11">
        <f t="shared" si="70"/>
        <v>2.7650000000000001</v>
      </c>
      <c r="K2821">
        <v>240.9</v>
      </c>
      <c r="L2821">
        <v>24</v>
      </c>
      <c r="M2821">
        <v>169</v>
      </c>
      <c r="N2821">
        <v>10.4</v>
      </c>
      <c r="O2821">
        <v>33.1</v>
      </c>
      <c r="P2821">
        <v>2.78</v>
      </c>
    </row>
    <row r="2822" spans="1:16">
      <c r="A2822" s="1" t="s">
        <v>2844</v>
      </c>
      <c r="B2822" s="1" t="s">
        <v>2847</v>
      </c>
      <c r="C2822" s="1" t="s">
        <v>18</v>
      </c>
      <c r="D2822" s="1" t="s">
        <v>19</v>
      </c>
      <c r="E2822" s="1" t="s">
        <v>2752</v>
      </c>
      <c r="F2822">
        <v>2212</v>
      </c>
      <c r="G2822">
        <v>2432</v>
      </c>
      <c r="H2822">
        <v>1305</v>
      </c>
      <c r="I2822">
        <v>629</v>
      </c>
      <c r="J2822" s="11">
        <f t="shared" si="70"/>
        <v>2.7650000000000001</v>
      </c>
      <c r="K2822">
        <v>310</v>
      </c>
      <c r="L2822">
        <v>26</v>
      </c>
      <c r="M2822">
        <v>164.2</v>
      </c>
      <c r="N2822">
        <v>17</v>
      </c>
      <c r="O2822">
        <v>38.9</v>
      </c>
      <c r="P2822">
        <v>2.87</v>
      </c>
    </row>
    <row r="2823" spans="1:16">
      <c r="A2823" s="1" t="s">
        <v>2844</v>
      </c>
      <c r="B2823" s="1" t="s">
        <v>2848</v>
      </c>
      <c r="C2823" s="1" t="s">
        <v>18</v>
      </c>
      <c r="D2823" s="1" t="s">
        <v>19</v>
      </c>
      <c r="E2823" s="1" t="s">
        <v>2752</v>
      </c>
      <c r="F2823">
        <v>1888</v>
      </c>
      <c r="G2823">
        <v>2660</v>
      </c>
      <c r="H2823">
        <v>1384</v>
      </c>
      <c r="I2823">
        <v>708</v>
      </c>
      <c r="J2823" s="11">
        <f t="shared" si="70"/>
        <v>2.7650000000000001</v>
      </c>
      <c r="K2823">
        <v>285</v>
      </c>
      <c r="L2823">
        <v>24.2</v>
      </c>
      <c r="M2823">
        <v>175</v>
      </c>
      <c r="N2823">
        <v>20.5</v>
      </c>
      <c r="O2823">
        <v>42.3</v>
      </c>
      <c r="P2823">
        <v>3.39</v>
      </c>
    </row>
    <row r="2824" spans="1:16">
      <c r="A2824" s="1" t="s">
        <v>2844</v>
      </c>
      <c r="B2824" s="1" t="s">
        <v>2849</v>
      </c>
      <c r="C2824" s="1" t="s">
        <v>18</v>
      </c>
      <c r="D2824" s="1" t="s">
        <v>19</v>
      </c>
      <c r="E2824" s="1" t="s">
        <v>2752</v>
      </c>
      <c r="F2824">
        <v>1600</v>
      </c>
      <c r="G2824">
        <v>2215</v>
      </c>
      <c r="H2824">
        <v>1296</v>
      </c>
      <c r="I2824">
        <v>650</v>
      </c>
      <c r="J2824" s="11">
        <f t="shared" si="70"/>
        <v>2.7650000000000001</v>
      </c>
      <c r="K2824">
        <v>288.8</v>
      </c>
      <c r="L2824">
        <v>23.6</v>
      </c>
      <c r="M2824">
        <v>161.1</v>
      </c>
      <c r="N2824">
        <v>11.5</v>
      </c>
      <c r="O2824">
        <v>35.5</v>
      </c>
      <c r="P2824">
        <v>2.84</v>
      </c>
    </row>
    <row r="2825" spans="1:16">
      <c r="A2825" s="1" t="s">
        <v>2844</v>
      </c>
      <c r="B2825" s="1" t="s">
        <v>2850</v>
      </c>
      <c r="C2825" s="1" t="s">
        <v>18</v>
      </c>
      <c r="D2825" s="1" t="s">
        <v>19</v>
      </c>
      <c r="E2825" s="1" t="s">
        <v>2752</v>
      </c>
      <c r="F2825">
        <v>1448</v>
      </c>
      <c r="G2825">
        <v>2078</v>
      </c>
      <c r="H2825">
        <v>1100</v>
      </c>
      <c r="I2825">
        <v>578</v>
      </c>
      <c r="J2825" s="11">
        <f t="shared" si="70"/>
        <v>2.7650000000000001</v>
      </c>
      <c r="K2825">
        <v>287.7</v>
      </c>
      <c r="L2825">
        <v>21.9</v>
      </c>
      <c r="M2825">
        <v>165.9</v>
      </c>
      <c r="N2825">
        <v>6.4</v>
      </c>
      <c r="O2825">
        <v>29.73</v>
      </c>
      <c r="P2825">
        <v>2.81</v>
      </c>
    </row>
    <row r="2826" spans="1:16">
      <c r="A2826" s="1" t="s">
        <v>2844</v>
      </c>
      <c r="B2826" s="1" t="s">
        <v>2851</v>
      </c>
      <c r="C2826" s="1" t="s">
        <v>18</v>
      </c>
      <c r="D2826" s="1" t="s">
        <v>19</v>
      </c>
      <c r="E2826" s="1" t="s">
        <v>2752</v>
      </c>
      <c r="F2826">
        <v>1905</v>
      </c>
      <c r="G2826">
        <v>2800</v>
      </c>
      <c r="H2826">
        <v>1348</v>
      </c>
      <c r="I2826">
        <v>551</v>
      </c>
      <c r="J2826">
        <v>5.5</v>
      </c>
      <c r="K2826">
        <v>300</v>
      </c>
      <c r="L2826">
        <v>20.5</v>
      </c>
      <c r="M2826">
        <v>163</v>
      </c>
      <c r="N2826">
        <v>6.9</v>
      </c>
      <c r="O2826">
        <v>42.6</v>
      </c>
      <c r="P2826">
        <v>3.44</v>
      </c>
    </row>
    <row r="2827" spans="1:16">
      <c r="A2827" s="1" t="s">
        <v>2844</v>
      </c>
      <c r="B2827" s="1" t="s">
        <v>2852</v>
      </c>
      <c r="C2827" s="1" t="s">
        <v>18</v>
      </c>
      <c r="D2827" s="1" t="s">
        <v>19</v>
      </c>
      <c r="E2827" s="1" t="s">
        <v>2752</v>
      </c>
      <c r="F2827">
        <v>1511</v>
      </c>
      <c r="G2827">
        <v>2361</v>
      </c>
      <c r="H2827">
        <v>1208</v>
      </c>
      <c r="I2827">
        <v>569</v>
      </c>
      <c r="J2827" s="11">
        <f t="shared" ref="J2827:J2890" si="71">5.53/2</f>
        <v>2.7650000000000001</v>
      </c>
      <c r="K2827">
        <v>306.8</v>
      </c>
      <c r="L2827">
        <v>22.7</v>
      </c>
      <c r="M2827">
        <v>161</v>
      </c>
      <c r="N2827">
        <v>12.5</v>
      </c>
      <c r="O2827">
        <v>39.799999999999997</v>
      </c>
      <c r="P2827">
        <v>3.24</v>
      </c>
    </row>
    <row r="2828" spans="1:16">
      <c r="A2828" s="1" t="s">
        <v>2844</v>
      </c>
      <c r="B2828" s="1" t="s">
        <v>2853</v>
      </c>
      <c r="C2828" s="1" t="s">
        <v>18</v>
      </c>
      <c r="D2828" s="1" t="s">
        <v>19</v>
      </c>
      <c r="E2828" s="1" t="s">
        <v>2752</v>
      </c>
      <c r="F2828">
        <v>1489</v>
      </c>
      <c r="G2828">
        <v>2555</v>
      </c>
      <c r="H2828">
        <v>1287</v>
      </c>
      <c r="I2828">
        <v>579</v>
      </c>
      <c r="J2828" s="11">
        <f t="shared" si="71"/>
        <v>2.7650000000000001</v>
      </c>
      <c r="K2828">
        <v>230.4</v>
      </c>
      <c r="L2828">
        <v>21.2</v>
      </c>
      <c r="M2828">
        <v>154.80000000000001</v>
      </c>
      <c r="N2828">
        <v>9.3000000000000007</v>
      </c>
      <c r="O2828">
        <v>34.6</v>
      </c>
      <c r="P2828">
        <v>3.29</v>
      </c>
    </row>
    <row r="2829" spans="1:16">
      <c r="A2829" s="1" t="s">
        <v>2844</v>
      </c>
      <c r="B2829" s="1" t="s">
        <v>2854</v>
      </c>
      <c r="C2829" s="1" t="s">
        <v>18</v>
      </c>
      <c r="D2829" s="1" t="s">
        <v>19</v>
      </c>
      <c r="E2829" s="1" t="s">
        <v>2752</v>
      </c>
      <c r="F2829">
        <v>1762</v>
      </c>
      <c r="G2829">
        <v>2565</v>
      </c>
      <c r="H2829">
        <v>1263</v>
      </c>
      <c r="I2829">
        <v>572</v>
      </c>
      <c r="J2829" s="11">
        <f t="shared" si="71"/>
        <v>2.7650000000000001</v>
      </c>
      <c r="K2829">
        <v>268.10000000000002</v>
      </c>
      <c r="L2829">
        <v>21.7</v>
      </c>
      <c r="M2829">
        <v>161.19999999999999</v>
      </c>
      <c r="N2829">
        <v>13.7</v>
      </c>
      <c r="O2829">
        <v>40.6</v>
      </c>
      <c r="P2829">
        <v>2.84</v>
      </c>
    </row>
    <row r="2830" spans="1:16">
      <c r="A2830" s="1" t="s">
        <v>2844</v>
      </c>
      <c r="B2830" s="1" t="s">
        <v>2855</v>
      </c>
      <c r="C2830" s="1" t="s">
        <v>18</v>
      </c>
      <c r="D2830" s="1" t="s">
        <v>19</v>
      </c>
      <c r="E2830" s="1" t="s">
        <v>2752</v>
      </c>
      <c r="F2830">
        <v>1710</v>
      </c>
      <c r="G2830">
        <v>2386</v>
      </c>
      <c r="H2830">
        <v>1178</v>
      </c>
      <c r="I2830">
        <v>580</v>
      </c>
      <c r="J2830" s="11">
        <f t="shared" si="71"/>
        <v>2.7650000000000001</v>
      </c>
      <c r="K2830">
        <v>262.3</v>
      </c>
      <c r="L2830">
        <v>19.8</v>
      </c>
      <c r="M2830">
        <v>165.4</v>
      </c>
      <c r="N2830">
        <v>7.6</v>
      </c>
      <c r="O2830">
        <v>29.9</v>
      </c>
      <c r="P2830">
        <v>2.5</v>
      </c>
    </row>
    <row r="2831" spans="1:16">
      <c r="A2831" s="1" t="s">
        <v>2844</v>
      </c>
      <c r="B2831" s="1" t="s">
        <v>2856</v>
      </c>
      <c r="C2831" s="1" t="s">
        <v>18</v>
      </c>
      <c r="D2831" s="1" t="s">
        <v>19</v>
      </c>
      <c r="E2831" s="1" t="s">
        <v>2752</v>
      </c>
      <c r="F2831">
        <v>1636</v>
      </c>
      <c r="G2831">
        <v>2558</v>
      </c>
      <c r="H2831">
        <v>1242</v>
      </c>
      <c r="I2831">
        <v>565</v>
      </c>
      <c r="J2831" s="11">
        <f t="shared" si="71"/>
        <v>2.7650000000000001</v>
      </c>
      <c r="K2831">
        <v>293.2</v>
      </c>
      <c r="L2831">
        <v>20.3</v>
      </c>
      <c r="M2831">
        <v>161.19999999999999</v>
      </c>
      <c r="N2831">
        <v>8.5</v>
      </c>
      <c r="O2831">
        <v>36.299999999999997</v>
      </c>
      <c r="P2831">
        <v>2.87</v>
      </c>
    </row>
    <row r="2832" spans="1:16">
      <c r="A2832" s="1" t="s">
        <v>2844</v>
      </c>
      <c r="B2832" s="1" t="s">
        <v>2857</v>
      </c>
      <c r="C2832" s="1" t="s">
        <v>18</v>
      </c>
      <c r="D2832" s="1" t="s">
        <v>19</v>
      </c>
      <c r="E2832" s="1" t="s">
        <v>2752</v>
      </c>
      <c r="F2832">
        <v>1619</v>
      </c>
      <c r="G2832">
        <v>2832</v>
      </c>
      <c r="H2832">
        <v>1407</v>
      </c>
      <c r="I2832">
        <v>721</v>
      </c>
      <c r="J2832" s="11">
        <f t="shared" si="71"/>
        <v>2.7650000000000001</v>
      </c>
      <c r="K2832">
        <v>335.3</v>
      </c>
      <c r="L2832">
        <v>20.6</v>
      </c>
      <c r="M2832">
        <v>159.1</v>
      </c>
      <c r="N2832">
        <v>16.100000000000001</v>
      </c>
      <c r="O2832">
        <v>36</v>
      </c>
      <c r="P2832">
        <v>2.63</v>
      </c>
    </row>
    <row r="2833" spans="1:16">
      <c r="A2833" s="1" t="s">
        <v>2844</v>
      </c>
      <c r="B2833" s="1" t="s">
        <v>2858</v>
      </c>
      <c r="C2833" s="1" t="s">
        <v>18</v>
      </c>
      <c r="D2833" s="1" t="s">
        <v>19</v>
      </c>
      <c r="E2833" s="1" t="s">
        <v>2752</v>
      </c>
      <c r="F2833">
        <v>1356</v>
      </c>
      <c r="G2833">
        <v>2897</v>
      </c>
      <c r="H2833">
        <v>1323</v>
      </c>
      <c r="I2833">
        <v>693</v>
      </c>
      <c r="J2833" s="11">
        <f t="shared" si="71"/>
        <v>2.7650000000000001</v>
      </c>
      <c r="K2833">
        <v>331.9</v>
      </c>
      <c r="L2833">
        <v>21</v>
      </c>
      <c r="M2833">
        <v>166.9</v>
      </c>
      <c r="N2833">
        <v>10.7</v>
      </c>
      <c r="O2833">
        <v>32.799999999999997</v>
      </c>
      <c r="P2833">
        <v>2.09</v>
      </c>
    </row>
    <row r="2834" spans="1:16">
      <c r="A2834" s="1" t="s">
        <v>2844</v>
      </c>
      <c r="B2834" s="1" t="s">
        <v>2859</v>
      </c>
      <c r="C2834" s="1" t="s">
        <v>18</v>
      </c>
      <c r="D2834" s="1" t="s">
        <v>19</v>
      </c>
      <c r="E2834" s="1" t="s">
        <v>2752</v>
      </c>
      <c r="F2834">
        <v>2423</v>
      </c>
      <c r="G2834">
        <v>4680</v>
      </c>
      <c r="H2834">
        <v>2106</v>
      </c>
      <c r="I2834">
        <v>775</v>
      </c>
      <c r="J2834" s="11">
        <f t="shared" si="71"/>
        <v>2.7650000000000001</v>
      </c>
      <c r="K2834">
        <v>305.3</v>
      </c>
      <c r="L2834">
        <v>23.5</v>
      </c>
      <c r="M2834">
        <v>165.6</v>
      </c>
      <c r="N2834">
        <v>16.2</v>
      </c>
      <c r="O2834">
        <v>51.9</v>
      </c>
      <c r="P2834">
        <v>3.62</v>
      </c>
    </row>
    <row r="2835" spans="1:16">
      <c r="A2835" s="1" t="s">
        <v>2844</v>
      </c>
      <c r="B2835" s="1" t="s">
        <v>2860</v>
      </c>
      <c r="C2835" s="1" t="s">
        <v>18</v>
      </c>
      <c r="D2835" s="1" t="s">
        <v>19</v>
      </c>
      <c r="E2835" s="1" t="s">
        <v>2752</v>
      </c>
      <c r="F2835">
        <v>1284</v>
      </c>
      <c r="G2835">
        <v>1832</v>
      </c>
      <c r="H2835">
        <v>1015</v>
      </c>
      <c r="I2835">
        <v>719</v>
      </c>
      <c r="J2835" s="11">
        <f t="shared" si="71"/>
        <v>2.7650000000000001</v>
      </c>
      <c r="K2835">
        <v>310.8</v>
      </c>
      <c r="L2835">
        <v>21.2</v>
      </c>
      <c r="M2835">
        <v>162.80000000000001</v>
      </c>
      <c r="N2835">
        <v>22.2</v>
      </c>
      <c r="O2835">
        <v>24.59</v>
      </c>
      <c r="P2835">
        <v>2.15</v>
      </c>
    </row>
    <row r="2836" spans="1:16">
      <c r="A2836" s="1" t="s">
        <v>2844</v>
      </c>
      <c r="B2836" s="1" t="s">
        <v>2861</v>
      </c>
      <c r="C2836" s="1" t="s">
        <v>18</v>
      </c>
      <c r="D2836" s="1" t="s">
        <v>19</v>
      </c>
      <c r="E2836" s="1" t="s">
        <v>2752</v>
      </c>
      <c r="F2836">
        <v>1448</v>
      </c>
      <c r="G2836">
        <v>3540</v>
      </c>
      <c r="H2836">
        <v>1648</v>
      </c>
      <c r="I2836">
        <v>760</v>
      </c>
      <c r="J2836" s="11">
        <f t="shared" si="71"/>
        <v>2.7650000000000001</v>
      </c>
      <c r="K2836">
        <v>332</v>
      </c>
      <c r="L2836">
        <v>21.7</v>
      </c>
      <c r="M2836">
        <v>168.4</v>
      </c>
      <c r="N2836">
        <v>13.5</v>
      </c>
      <c r="O2836">
        <v>39</v>
      </c>
      <c r="P2836">
        <v>2.58</v>
      </c>
    </row>
    <row r="2837" spans="1:16">
      <c r="A2837" s="1" t="s">
        <v>2844</v>
      </c>
      <c r="B2837" s="1" t="s">
        <v>2862</v>
      </c>
      <c r="C2837" s="1" t="s">
        <v>18</v>
      </c>
      <c r="D2837" s="1" t="s">
        <v>19</v>
      </c>
      <c r="E2837" s="1" t="s">
        <v>2752</v>
      </c>
      <c r="F2837">
        <v>1748</v>
      </c>
      <c r="G2837">
        <v>3149</v>
      </c>
      <c r="H2837">
        <v>1428</v>
      </c>
      <c r="I2837">
        <v>766</v>
      </c>
      <c r="J2837" s="11">
        <f t="shared" si="71"/>
        <v>2.7650000000000001</v>
      </c>
      <c r="K2837">
        <v>352</v>
      </c>
      <c r="L2837">
        <v>24.5</v>
      </c>
      <c r="M2837">
        <v>170.7</v>
      </c>
      <c r="N2837">
        <v>40.700000000000003</v>
      </c>
      <c r="O2837">
        <v>38</v>
      </c>
      <c r="P2837">
        <v>2.5099999999999998</v>
      </c>
    </row>
    <row r="2838" spans="1:16">
      <c r="A2838" s="1" t="s">
        <v>2844</v>
      </c>
      <c r="B2838" s="1" t="s">
        <v>2863</v>
      </c>
      <c r="C2838" s="1" t="s">
        <v>18</v>
      </c>
      <c r="D2838" s="1" t="s">
        <v>19</v>
      </c>
      <c r="E2838" s="1" t="s">
        <v>2752</v>
      </c>
      <c r="F2838">
        <v>1121</v>
      </c>
      <c r="G2838">
        <v>2164</v>
      </c>
      <c r="H2838">
        <v>1276</v>
      </c>
      <c r="I2838">
        <v>805</v>
      </c>
      <c r="J2838" s="11">
        <f t="shared" si="71"/>
        <v>2.7650000000000001</v>
      </c>
      <c r="K2838">
        <v>251.3</v>
      </c>
      <c r="L2838">
        <v>22.1</v>
      </c>
      <c r="M2838">
        <v>184.2</v>
      </c>
      <c r="N2838">
        <v>21.8</v>
      </c>
      <c r="O2838">
        <v>28.37</v>
      </c>
      <c r="P2838">
        <v>2.41</v>
      </c>
    </row>
    <row r="2839" spans="1:16">
      <c r="A2839" s="1" t="s">
        <v>2844</v>
      </c>
      <c r="B2839" s="1" t="s">
        <v>2864</v>
      </c>
      <c r="C2839" s="1" t="s">
        <v>18</v>
      </c>
      <c r="D2839" s="1" t="s">
        <v>19</v>
      </c>
      <c r="E2839" s="1" t="s">
        <v>2752</v>
      </c>
      <c r="F2839">
        <v>1061</v>
      </c>
      <c r="G2839">
        <v>3382</v>
      </c>
      <c r="H2839">
        <v>1815</v>
      </c>
      <c r="I2839">
        <v>828</v>
      </c>
      <c r="J2839" s="11">
        <f t="shared" si="71"/>
        <v>2.7650000000000001</v>
      </c>
      <c r="K2839">
        <v>341.1</v>
      </c>
      <c r="L2839">
        <v>21.9</v>
      </c>
      <c r="M2839">
        <v>175.1</v>
      </c>
      <c r="N2839">
        <v>9.6999999999999993</v>
      </c>
      <c r="O2839">
        <v>31.43</v>
      </c>
      <c r="P2839">
        <v>2.31</v>
      </c>
    </row>
    <row r="2840" spans="1:16">
      <c r="A2840" s="1" t="s">
        <v>2844</v>
      </c>
      <c r="B2840" s="1" t="s">
        <v>2865</v>
      </c>
      <c r="C2840" s="1" t="s">
        <v>18</v>
      </c>
      <c r="D2840" s="1" t="s">
        <v>19</v>
      </c>
      <c r="E2840" s="1" t="s">
        <v>2752</v>
      </c>
      <c r="F2840">
        <v>3770</v>
      </c>
      <c r="G2840">
        <v>372</v>
      </c>
      <c r="H2840">
        <v>266</v>
      </c>
      <c r="I2840">
        <v>499</v>
      </c>
      <c r="J2840" s="11">
        <f t="shared" si="71"/>
        <v>2.7650000000000001</v>
      </c>
      <c r="K2840">
        <v>382.4</v>
      </c>
      <c r="L2840">
        <v>30.9</v>
      </c>
      <c r="M2840">
        <v>157.4</v>
      </c>
      <c r="N2840">
        <v>22.3</v>
      </c>
      <c r="O2840">
        <v>34</v>
      </c>
      <c r="P2840">
        <v>3.6</v>
      </c>
    </row>
    <row r="2841" spans="1:16">
      <c r="A2841" s="1" t="s">
        <v>2844</v>
      </c>
      <c r="B2841" s="1" t="s">
        <v>2866</v>
      </c>
      <c r="C2841" s="1" t="s">
        <v>18</v>
      </c>
      <c r="D2841" s="1" t="s">
        <v>19</v>
      </c>
      <c r="E2841" s="1" t="s">
        <v>2752</v>
      </c>
      <c r="F2841">
        <v>2026</v>
      </c>
      <c r="G2841">
        <v>523</v>
      </c>
      <c r="H2841">
        <v>341</v>
      </c>
      <c r="I2841">
        <v>517</v>
      </c>
      <c r="J2841" s="11">
        <f t="shared" si="71"/>
        <v>2.7650000000000001</v>
      </c>
      <c r="K2841">
        <v>288</v>
      </c>
      <c r="L2841">
        <v>33.6</v>
      </c>
      <c r="M2841">
        <v>157.6</v>
      </c>
      <c r="N2841">
        <v>17</v>
      </c>
      <c r="O2841">
        <v>36.5</v>
      </c>
      <c r="P2841">
        <v>3.79</v>
      </c>
    </row>
    <row r="2842" spans="1:16">
      <c r="A2842" s="1" t="s">
        <v>2844</v>
      </c>
      <c r="B2842" s="1" t="s">
        <v>2867</v>
      </c>
      <c r="C2842" s="1" t="s">
        <v>18</v>
      </c>
      <c r="D2842" s="1" t="s">
        <v>19</v>
      </c>
      <c r="E2842" s="1" t="s">
        <v>2752</v>
      </c>
      <c r="F2842">
        <v>3570</v>
      </c>
      <c r="G2842">
        <v>427</v>
      </c>
      <c r="H2842">
        <v>279</v>
      </c>
      <c r="I2842">
        <v>479</v>
      </c>
      <c r="J2842" s="11">
        <f t="shared" si="71"/>
        <v>2.7650000000000001</v>
      </c>
      <c r="K2842">
        <v>449</v>
      </c>
      <c r="L2842">
        <v>46.3</v>
      </c>
      <c r="M2842">
        <v>168.4</v>
      </c>
      <c r="N2842">
        <v>45.3</v>
      </c>
      <c r="O2842">
        <v>32.700000000000003</v>
      </c>
      <c r="P2842">
        <v>4.18</v>
      </c>
    </row>
    <row r="2843" spans="1:16">
      <c r="A2843" s="1" t="s">
        <v>2844</v>
      </c>
      <c r="B2843" s="1" t="s">
        <v>2868</v>
      </c>
      <c r="C2843" s="1" t="s">
        <v>18</v>
      </c>
      <c r="D2843" s="1" t="s">
        <v>19</v>
      </c>
      <c r="E2843" s="1" t="s">
        <v>2752</v>
      </c>
      <c r="F2843">
        <v>3940</v>
      </c>
      <c r="G2843">
        <v>337</v>
      </c>
      <c r="H2843">
        <v>233</v>
      </c>
      <c r="I2843">
        <v>499</v>
      </c>
      <c r="J2843" s="11">
        <f t="shared" si="71"/>
        <v>2.7650000000000001</v>
      </c>
      <c r="K2843">
        <v>452</v>
      </c>
      <c r="L2843">
        <v>41</v>
      </c>
      <c r="M2843">
        <v>162</v>
      </c>
      <c r="N2843">
        <v>37.299999999999997</v>
      </c>
      <c r="O2843">
        <v>32.9</v>
      </c>
      <c r="P2843">
        <v>4.6900000000000004</v>
      </c>
    </row>
    <row r="2844" spans="1:16">
      <c r="A2844" s="1" t="s">
        <v>2844</v>
      </c>
      <c r="B2844" s="1" t="s">
        <v>2869</v>
      </c>
      <c r="C2844" s="1" t="s">
        <v>18</v>
      </c>
      <c r="D2844" s="1" t="s">
        <v>19</v>
      </c>
      <c r="E2844" s="1" t="s">
        <v>2752</v>
      </c>
      <c r="F2844">
        <v>3140</v>
      </c>
      <c r="G2844">
        <v>452</v>
      </c>
      <c r="H2844">
        <v>327</v>
      </c>
      <c r="I2844">
        <v>514</v>
      </c>
      <c r="J2844" s="11">
        <f t="shared" si="71"/>
        <v>2.7650000000000001</v>
      </c>
      <c r="K2844">
        <v>420</v>
      </c>
      <c r="L2844">
        <v>43</v>
      </c>
      <c r="M2844">
        <v>162.30000000000001</v>
      </c>
      <c r="N2844">
        <v>44.4</v>
      </c>
      <c r="O2844">
        <v>40.700000000000003</v>
      </c>
      <c r="P2844">
        <v>4.26</v>
      </c>
    </row>
    <row r="2845" spans="1:16">
      <c r="A2845" s="1" t="s">
        <v>2844</v>
      </c>
      <c r="B2845" s="1" t="s">
        <v>2870</v>
      </c>
      <c r="C2845" s="1" t="s">
        <v>18</v>
      </c>
      <c r="D2845" s="1" t="s">
        <v>19</v>
      </c>
      <c r="E2845" s="1" t="s">
        <v>2752</v>
      </c>
      <c r="F2845">
        <v>3390</v>
      </c>
      <c r="G2845">
        <v>340</v>
      </c>
      <c r="H2845">
        <v>254</v>
      </c>
      <c r="I2845">
        <v>486</v>
      </c>
      <c r="J2845" s="11">
        <f t="shared" si="71"/>
        <v>2.7650000000000001</v>
      </c>
      <c r="K2845">
        <v>464</v>
      </c>
      <c r="L2845">
        <v>38.200000000000003</v>
      </c>
      <c r="M2845">
        <v>160.19999999999999</v>
      </c>
      <c r="N2845">
        <v>30.1</v>
      </c>
      <c r="O2845">
        <v>35.6</v>
      </c>
      <c r="P2845">
        <v>3.79</v>
      </c>
    </row>
    <row r="2846" spans="1:16">
      <c r="A2846" s="1" t="s">
        <v>2844</v>
      </c>
      <c r="B2846" s="1" t="s">
        <v>2871</v>
      </c>
      <c r="C2846" s="1" t="s">
        <v>18</v>
      </c>
      <c r="D2846" s="1" t="s">
        <v>19</v>
      </c>
      <c r="E2846" s="1" t="s">
        <v>2752</v>
      </c>
      <c r="F2846">
        <v>3340</v>
      </c>
      <c r="G2846">
        <v>395</v>
      </c>
      <c r="H2846">
        <v>261</v>
      </c>
      <c r="I2846">
        <v>474</v>
      </c>
      <c r="J2846" s="11">
        <f t="shared" si="71"/>
        <v>2.7650000000000001</v>
      </c>
      <c r="K2846">
        <v>468</v>
      </c>
      <c r="L2846">
        <v>46.1</v>
      </c>
      <c r="M2846">
        <v>177</v>
      </c>
      <c r="N2846">
        <v>47.5</v>
      </c>
      <c r="O2846">
        <v>35.9</v>
      </c>
      <c r="P2846">
        <v>4.13</v>
      </c>
    </row>
    <row r="2847" spans="1:16">
      <c r="A2847" s="1" t="s">
        <v>2844</v>
      </c>
      <c r="B2847" s="1" t="s">
        <v>2872</v>
      </c>
      <c r="C2847" s="1" t="s">
        <v>18</v>
      </c>
      <c r="D2847" s="1" t="s">
        <v>19</v>
      </c>
      <c r="E2847" s="1" t="s">
        <v>2752</v>
      </c>
      <c r="F2847">
        <v>3770</v>
      </c>
      <c r="G2847">
        <v>318</v>
      </c>
      <c r="H2847">
        <v>228</v>
      </c>
      <c r="I2847">
        <v>501</v>
      </c>
      <c r="J2847" s="11">
        <f t="shared" si="71"/>
        <v>2.7650000000000001</v>
      </c>
      <c r="K2847">
        <v>409</v>
      </c>
      <c r="L2847">
        <v>34</v>
      </c>
      <c r="M2847">
        <v>164</v>
      </c>
      <c r="N2847">
        <v>48</v>
      </c>
      <c r="O2847">
        <v>37.799999999999997</v>
      </c>
      <c r="P2847">
        <v>4.41</v>
      </c>
    </row>
    <row r="2848" spans="1:16">
      <c r="A2848" s="1" t="s">
        <v>2844</v>
      </c>
      <c r="B2848" s="1" t="s">
        <v>2873</v>
      </c>
      <c r="C2848" s="1" t="s">
        <v>18</v>
      </c>
      <c r="D2848" s="1" t="s">
        <v>19</v>
      </c>
      <c r="E2848" s="1" t="s">
        <v>2752</v>
      </c>
      <c r="F2848">
        <v>3420</v>
      </c>
      <c r="G2848">
        <v>309</v>
      </c>
      <c r="H2848">
        <v>206</v>
      </c>
      <c r="I2848">
        <v>435</v>
      </c>
      <c r="J2848" s="11">
        <f t="shared" si="71"/>
        <v>2.7650000000000001</v>
      </c>
      <c r="K2848">
        <v>367</v>
      </c>
      <c r="L2848">
        <v>32.6</v>
      </c>
      <c r="M2848">
        <v>152.9</v>
      </c>
      <c r="N2848">
        <v>24.9</v>
      </c>
      <c r="O2848">
        <v>30</v>
      </c>
      <c r="P2848">
        <v>3.97</v>
      </c>
    </row>
    <row r="2849" spans="1:16">
      <c r="A2849" s="1" t="s">
        <v>2844</v>
      </c>
      <c r="B2849" s="1" t="s">
        <v>2874</v>
      </c>
      <c r="C2849" s="1" t="s">
        <v>18</v>
      </c>
      <c r="D2849" s="1" t="s">
        <v>19</v>
      </c>
      <c r="E2849" s="1" t="s">
        <v>2752</v>
      </c>
      <c r="F2849">
        <v>1896</v>
      </c>
      <c r="G2849">
        <v>455</v>
      </c>
      <c r="H2849">
        <v>292</v>
      </c>
      <c r="I2849">
        <v>505</v>
      </c>
      <c r="J2849" s="11">
        <f t="shared" si="71"/>
        <v>2.7650000000000001</v>
      </c>
      <c r="K2849">
        <v>261.10000000000002</v>
      </c>
      <c r="L2849">
        <v>31.4</v>
      </c>
      <c r="M2849">
        <v>165.6</v>
      </c>
      <c r="N2849">
        <v>12.9</v>
      </c>
      <c r="O2849">
        <v>29.3</v>
      </c>
      <c r="P2849">
        <v>3.9</v>
      </c>
    </row>
    <row r="2850" spans="1:16">
      <c r="A2850" s="1" t="s">
        <v>2844</v>
      </c>
      <c r="B2850" s="1" t="s">
        <v>2875</v>
      </c>
      <c r="C2850" s="1" t="s">
        <v>18</v>
      </c>
      <c r="D2850" s="1" t="s">
        <v>19</v>
      </c>
      <c r="E2850" s="1" t="s">
        <v>2752</v>
      </c>
      <c r="F2850">
        <v>3000</v>
      </c>
      <c r="G2850">
        <v>721</v>
      </c>
      <c r="H2850">
        <v>439</v>
      </c>
      <c r="I2850">
        <v>536</v>
      </c>
      <c r="J2850" s="11">
        <f t="shared" si="71"/>
        <v>2.7650000000000001</v>
      </c>
      <c r="K2850">
        <v>268.60000000000002</v>
      </c>
      <c r="L2850">
        <v>30.6</v>
      </c>
      <c r="M2850">
        <v>153.1</v>
      </c>
      <c r="N2850">
        <v>17.399999999999999</v>
      </c>
      <c r="O2850">
        <v>32.700000000000003</v>
      </c>
      <c r="P2850">
        <v>3.49</v>
      </c>
    </row>
    <row r="2851" spans="1:16">
      <c r="A2851" s="1" t="s">
        <v>2844</v>
      </c>
      <c r="B2851" s="1" t="s">
        <v>2876</v>
      </c>
      <c r="C2851" s="1" t="s">
        <v>18</v>
      </c>
      <c r="D2851" s="1" t="s">
        <v>19</v>
      </c>
      <c r="E2851" s="1" t="s">
        <v>2752</v>
      </c>
      <c r="F2851">
        <v>2720</v>
      </c>
      <c r="G2851">
        <v>537</v>
      </c>
      <c r="H2851">
        <v>352</v>
      </c>
      <c r="I2851">
        <v>501</v>
      </c>
      <c r="J2851" s="11">
        <f t="shared" si="71"/>
        <v>2.7650000000000001</v>
      </c>
      <c r="K2851">
        <v>248.3</v>
      </c>
      <c r="L2851">
        <v>31.8</v>
      </c>
      <c r="M2851">
        <v>157.9</v>
      </c>
      <c r="N2851">
        <v>21.5</v>
      </c>
      <c r="O2851">
        <v>27.6</v>
      </c>
      <c r="P2851">
        <v>2.61</v>
      </c>
    </row>
    <row r="2852" spans="1:16">
      <c r="A2852" s="1" t="s">
        <v>2844</v>
      </c>
      <c r="B2852" s="1" t="s">
        <v>2877</v>
      </c>
      <c r="C2852" s="1" t="s">
        <v>18</v>
      </c>
      <c r="D2852" s="1" t="s">
        <v>19</v>
      </c>
      <c r="E2852" s="1" t="s">
        <v>2752</v>
      </c>
      <c r="F2852">
        <v>2670</v>
      </c>
      <c r="G2852">
        <v>586</v>
      </c>
      <c r="H2852">
        <v>352</v>
      </c>
      <c r="I2852">
        <v>523</v>
      </c>
      <c r="J2852" s="11">
        <f t="shared" si="71"/>
        <v>2.7650000000000001</v>
      </c>
      <c r="K2852">
        <v>308.60000000000002</v>
      </c>
      <c r="L2852">
        <v>28.9</v>
      </c>
      <c r="M2852">
        <v>172.9</v>
      </c>
      <c r="N2852">
        <v>12.7</v>
      </c>
      <c r="O2852">
        <v>32.5</v>
      </c>
      <c r="P2852">
        <v>3.71</v>
      </c>
    </row>
    <row r="2853" spans="1:16">
      <c r="A2853" s="1" t="s">
        <v>2844</v>
      </c>
      <c r="B2853" s="1" t="s">
        <v>2878</v>
      </c>
      <c r="C2853" s="1" t="s">
        <v>18</v>
      </c>
      <c r="D2853" s="1" t="s">
        <v>19</v>
      </c>
      <c r="E2853" s="1" t="s">
        <v>2752</v>
      </c>
      <c r="F2853">
        <v>1940</v>
      </c>
      <c r="G2853">
        <v>488</v>
      </c>
      <c r="H2853">
        <v>316</v>
      </c>
      <c r="I2853">
        <v>514</v>
      </c>
      <c r="J2853" s="11">
        <f t="shared" si="71"/>
        <v>2.7650000000000001</v>
      </c>
      <c r="K2853">
        <v>255</v>
      </c>
      <c r="L2853">
        <v>31.8</v>
      </c>
      <c r="M2853">
        <v>165.6</v>
      </c>
      <c r="N2853">
        <v>21.1</v>
      </c>
      <c r="O2853">
        <v>35</v>
      </c>
      <c r="P2853">
        <v>3.73</v>
      </c>
    </row>
    <row r="2854" spans="1:16">
      <c r="A2854" s="1" t="s">
        <v>2844</v>
      </c>
      <c r="B2854" s="1" t="s">
        <v>2879</v>
      </c>
      <c r="C2854" s="1" t="s">
        <v>18</v>
      </c>
      <c r="D2854" s="1" t="s">
        <v>19</v>
      </c>
      <c r="E2854" s="1" t="s">
        <v>2752</v>
      </c>
      <c r="F2854">
        <v>2760</v>
      </c>
      <c r="G2854">
        <v>545</v>
      </c>
      <c r="H2854">
        <v>330</v>
      </c>
      <c r="I2854">
        <v>499</v>
      </c>
      <c r="J2854" s="11">
        <f t="shared" si="71"/>
        <v>2.7650000000000001</v>
      </c>
      <c r="K2854">
        <v>287.60000000000002</v>
      </c>
      <c r="L2854">
        <v>26</v>
      </c>
      <c r="M2854">
        <v>161</v>
      </c>
      <c r="N2854">
        <v>32.799999999999997</v>
      </c>
      <c r="O2854">
        <v>37</v>
      </c>
      <c r="P2854">
        <v>4.05</v>
      </c>
    </row>
    <row r="2855" spans="1:16">
      <c r="A2855" s="1" t="s">
        <v>2844</v>
      </c>
      <c r="B2855" s="1" t="s">
        <v>2880</v>
      </c>
      <c r="C2855" s="1" t="s">
        <v>18</v>
      </c>
      <c r="D2855" s="1" t="s">
        <v>19</v>
      </c>
      <c r="E2855" s="1" t="s">
        <v>2752</v>
      </c>
      <c r="F2855">
        <v>2849</v>
      </c>
      <c r="G2855">
        <v>183.2</v>
      </c>
      <c r="H2855">
        <v>92.2</v>
      </c>
      <c r="I2855">
        <v>196.5</v>
      </c>
      <c r="J2855" s="11">
        <f t="shared" si="71"/>
        <v>2.7650000000000001</v>
      </c>
      <c r="K2855">
        <v>288.39999999999998</v>
      </c>
      <c r="L2855">
        <v>31</v>
      </c>
      <c r="M2855">
        <v>137.9</v>
      </c>
      <c r="N2855">
        <v>22</v>
      </c>
      <c r="O2855">
        <v>16</v>
      </c>
      <c r="P2855">
        <v>5.07</v>
      </c>
    </row>
    <row r="2856" spans="1:16">
      <c r="A2856" s="1" t="s">
        <v>2844</v>
      </c>
      <c r="B2856" s="1" t="s">
        <v>2881</v>
      </c>
      <c r="C2856" s="1" t="s">
        <v>18</v>
      </c>
      <c r="D2856" s="1" t="s">
        <v>19</v>
      </c>
      <c r="E2856" s="1" t="s">
        <v>2752</v>
      </c>
      <c r="F2856">
        <v>3383</v>
      </c>
      <c r="G2856">
        <v>153</v>
      </c>
      <c r="H2856">
        <v>23</v>
      </c>
      <c r="I2856">
        <v>164.1</v>
      </c>
      <c r="J2856" s="11">
        <f t="shared" si="71"/>
        <v>2.7650000000000001</v>
      </c>
      <c r="K2856">
        <v>297.8</v>
      </c>
      <c r="L2856">
        <v>30.1</v>
      </c>
      <c r="M2856">
        <v>135.19999999999999</v>
      </c>
      <c r="N2856">
        <v>24</v>
      </c>
      <c r="O2856">
        <v>15.52</v>
      </c>
      <c r="P2856">
        <v>8.23</v>
      </c>
    </row>
    <row r="2857" spans="1:16">
      <c r="A2857" s="1" t="s">
        <v>2844</v>
      </c>
      <c r="B2857" s="1" t="s">
        <v>2882</v>
      </c>
      <c r="C2857" s="1" t="s">
        <v>18</v>
      </c>
      <c r="D2857" s="1" t="s">
        <v>19</v>
      </c>
      <c r="E2857" s="1" t="s">
        <v>2752</v>
      </c>
      <c r="F2857">
        <v>2150</v>
      </c>
      <c r="G2857">
        <v>94.8</v>
      </c>
      <c r="H2857">
        <v>16.3</v>
      </c>
      <c r="I2857">
        <v>201.3</v>
      </c>
      <c r="J2857" s="11">
        <f t="shared" si="71"/>
        <v>2.7650000000000001</v>
      </c>
      <c r="K2857">
        <v>258.10000000000002</v>
      </c>
      <c r="L2857">
        <v>22.8</v>
      </c>
      <c r="M2857">
        <v>133.69999999999999</v>
      </c>
      <c r="N2857">
        <v>12.8</v>
      </c>
      <c r="O2857">
        <v>11.9</v>
      </c>
      <c r="P2857">
        <v>8.24</v>
      </c>
    </row>
    <row r="2858" spans="1:16">
      <c r="A2858" s="1" t="s">
        <v>2844</v>
      </c>
      <c r="B2858" s="1" t="s">
        <v>2883</v>
      </c>
      <c r="C2858" s="1" t="s">
        <v>18</v>
      </c>
      <c r="D2858" s="1" t="s">
        <v>19</v>
      </c>
      <c r="E2858" s="1" t="s">
        <v>2752</v>
      </c>
      <c r="F2858">
        <v>1280</v>
      </c>
      <c r="G2858">
        <v>365</v>
      </c>
      <c r="H2858">
        <v>45.7</v>
      </c>
      <c r="I2858">
        <v>194.7</v>
      </c>
      <c r="J2858" s="11">
        <f t="shared" si="71"/>
        <v>2.7650000000000001</v>
      </c>
      <c r="K2858">
        <v>274</v>
      </c>
      <c r="L2858">
        <v>23.8</v>
      </c>
      <c r="M2858">
        <v>125.3</v>
      </c>
      <c r="N2858">
        <v>31</v>
      </c>
      <c r="O2858">
        <v>10.31</v>
      </c>
      <c r="P2858">
        <v>5.62</v>
      </c>
    </row>
    <row r="2859" spans="1:16">
      <c r="A2859" s="1" t="s">
        <v>2844</v>
      </c>
      <c r="B2859" s="1" t="s">
        <v>2884</v>
      </c>
      <c r="C2859" s="1" t="s">
        <v>18</v>
      </c>
      <c r="D2859" s="1" t="s">
        <v>19</v>
      </c>
      <c r="E2859" s="1" t="s">
        <v>2752</v>
      </c>
      <c r="F2859">
        <v>2667</v>
      </c>
      <c r="G2859">
        <v>54.9</v>
      </c>
      <c r="H2859">
        <v>11.5</v>
      </c>
      <c r="I2859">
        <v>120.6</v>
      </c>
      <c r="J2859" s="11">
        <f t="shared" si="71"/>
        <v>2.7650000000000001</v>
      </c>
      <c r="K2859">
        <v>248.9</v>
      </c>
      <c r="L2859">
        <v>23.7</v>
      </c>
      <c r="M2859">
        <v>125.9</v>
      </c>
      <c r="N2859">
        <v>10.9</v>
      </c>
      <c r="O2859">
        <v>11.9</v>
      </c>
      <c r="P2859">
        <v>7.24</v>
      </c>
    </row>
    <row r="2860" spans="1:16">
      <c r="A2860" s="1" t="s">
        <v>2844</v>
      </c>
      <c r="B2860" s="1" t="s">
        <v>2885</v>
      </c>
      <c r="C2860" s="1" t="s">
        <v>18</v>
      </c>
      <c r="D2860" s="1" t="s">
        <v>19</v>
      </c>
      <c r="E2860" s="1" t="s">
        <v>2752</v>
      </c>
      <c r="F2860">
        <v>2851</v>
      </c>
      <c r="G2860">
        <v>192</v>
      </c>
      <c r="H2860">
        <v>19</v>
      </c>
      <c r="I2860">
        <v>160.6</v>
      </c>
      <c r="J2860" s="11">
        <f t="shared" si="71"/>
        <v>2.7650000000000001</v>
      </c>
      <c r="K2860">
        <v>286.3</v>
      </c>
      <c r="L2860">
        <v>29.5</v>
      </c>
      <c r="M2860">
        <v>129.9</v>
      </c>
      <c r="N2860">
        <v>16.7</v>
      </c>
      <c r="O2860">
        <v>14.64</v>
      </c>
      <c r="P2860">
        <v>6.68</v>
      </c>
    </row>
    <row r="2861" spans="1:16">
      <c r="A2861" s="1" t="s">
        <v>2844</v>
      </c>
      <c r="B2861" s="1" t="s">
        <v>2886</v>
      </c>
      <c r="C2861" s="1" t="s">
        <v>18</v>
      </c>
      <c r="D2861" s="1" t="s">
        <v>19</v>
      </c>
      <c r="E2861" s="1" t="s">
        <v>2752</v>
      </c>
      <c r="F2861">
        <v>3160</v>
      </c>
      <c r="G2861">
        <v>111.4</v>
      </c>
      <c r="H2861">
        <v>10.7</v>
      </c>
      <c r="I2861">
        <v>140.19999999999999</v>
      </c>
      <c r="J2861" s="11">
        <f t="shared" si="71"/>
        <v>2.7650000000000001</v>
      </c>
      <c r="K2861">
        <v>360.9</v>
      </c>
      <c r="L2861">
        <v>35.1</v>
      </c>
      <c r="M2861">
        <v>136.80000000000001</v>
      </c>
      <c r="N2861">
        <v>30.4</v>
      </c>
      <c r="O2861">
        <v>14.68</v>
      </c>
      <c r="P2861">
        <v>7.98</v>
      </c>
    </row>
    <row r="2862" spans="1:16">
      <c r="A2862" s="1" t="s">
        <v>2844</v>
      </c>
      <c r="B2862" s="1" t="s">
        <v>2887</v>
      </c>
      <c r="C2862" s="1" t="s">
        <v>18</v>
      </c>
      <c r="D2862" s="1" t="s">
        <v>19</v>
      </c>
      <c r="E2862" s="1" t="s">
        <v>2752</v>
      </c>
      <c r="F2862">
        <v>2980</v>
      </c>
      <c r="G2862">
        <v>207</v>
      </c>
      <c r="H2862">
        <v>16.100000000000001</v>
      </c>
      <c r="I2862">
        <v>222</v>
      </c>
      <c r="J2862" s="11">
        <f t="shared" si="71"/>
        <v>2.7650000000000001</v>
      </c>
      <c r="K2862">
        <v>360.2</v>
      </c>
      <c r="L2862">
        <v>22.9</v>
      </c>
      <c r="M2862">
        <v>134.80000000000001</v>
      </c>
      <c r="N2862">
        <v>14.7</v>
      </c>
      <c r="O2862">
        <v>14.13</v>
      </c>
      <c r="P2862">
        <v>8.84</v>
      </c>
    </row>
    <row r="2863" spans="1:16">
      <c r="A2863" s="1" t="s">
        <v>2844</v>
      </c>
      <c r="B2863" s="1" t="s">
        <v>2888</v>
      </c>
      <c r="C2863" s="1" t="s">
        <v>18</v>
      </c>
      <c r="D2863" s="1" t="s">
        <v>19</v>
      </c>
      <c r="E2863" s="1" t="s">
        <v>2752</v>
      </c>
      <c r="F2863">
        <v>1601</v>
      </c>
      <c r="G2863">
        <v>137.9</v>
      </c>
      <c r="H2863">
        <v>28.1</v>
      </c>
      <c r="I2863">
        <v>18.25</v>
      </c>
      <c r="J2863" s="11">
        <f t="shared" si="71"/>
        <v>2.7650000000000001</v>
      </c>
      <c r="K2863">
        <v>329.9</v>
      </c>
      <c r="L2863">
        <v>48.1</v>
      </c>
      <c r="M2863">
        <v>119.4</v>
      </c>
      <c r="N2863">
        <v>47.4</v>
      </c>
      <c r="O2863">
        <v>18.309999999999999</v>
      </c>
      <c r="P2863">
        <v>17.96</v>
      </c>
    </row>
    <row r="2864" spans="1:16">
      <c r="A2864" s="1" t="s">
        <v>2844</v>
      </c>
      <c r="B2864" s="1" t="s">
        <v>2889</v>
      </c>
      <c r="C2864" s="1" t="s">
        <v>18</v>
      </c>
      <c r="D2864" s="1" t="s">
        <v>19</v>
      </c>
      <c r="E2864" s="1" t="s">
        <v>2752</v>
      </c>
      <c r="F2864">
        <v>2316</v>
      </c>
      <c r="G2864">
        <v>191.9</v>
      </c>
      <c r="H2864">
        <v>52.2</v>
      </c>
      <c r="I2864">
        <v>37.799999999999997</v>
      </c>
      <c r="J2864" s="11">
        <f t="shared" si="71"/>
        <v>2.7650000000000001</v>
      </c>
      <c r="K2864">
        <v>398.6</v>
      </c>
      <c r="L2864">
        <v>51.2</v>
      </c>
      <c r="M2864">
        <v>111</v>
      </c>
      <c r="N2864">
        <v>38</v>
      </c>
      <c r="O2864">
        <v>18.3</v>
      </c>
      <c r="P2864">
        <v>16.25</v>
      </c>
    </row>
    <row r="2865" spans="1:16">
      <c r="A2865" s="1" t="s">
        <v>2844</v>
      </c>
      <c r="B2865" s="1" t="s">
        <v>2890</v>
      </c>
      <c r="C2865" s="1" t="s">
        <v>18</v>
      </c>
      <c r="D2865" s="1" t="s">
        <v>19</v>
      </c>
      <c r="E2865" s="1" t="s">
        <v>2752</v>
      </c>
      <c r="F2865">
        <v>2449</v>
      </c>
      <c r="G2865">
        <v>38.5</v>
      </c>
      <c r="H2865">
        <v>7.8</v>
      </c>
      <c r="I2865">
        <v>99</v>
      </c>
      <c r="J2865" s="11">
        <f t="shared" si="71"/>
        <v>2.7650000000000001</v>
      </c>
      <c r="K2865">
        <v>778</v>
      </c>
      <c r="L2865">
        <v>64</v>
      </c>
      <c r="M2865">
        <v>110.3</v>
      </c>
      <c r="N2865">
        <v>74</v>
      </c>
      <c r="O2865">
        <v>14.63</v>
      </c>
      <c r="P2865">
        <v>16.37</v>
      </c>
    </row>
    <row r="2866" spans="1:16">
      <c r="A2866" s="1" t="s">
        <v>2844</v>
      </c>
      <c r="B2866" s="1" t="s">
        <v>2891</v>
      </c>
      <c r="C2866" s="1" t="s">
        <v>18</v>
      </c>
      <c r="D2866" s="1" t="s">
        <v>19</v>
      </c>
      <c r="E2866" s="1" t="s">
        <v>2752</v>
      </c>
      <c r="F2866">
        <v>4297</v>
      </c>
      <c r="G2866">
        <v>1215</v>
      </c>
      <c r="H2866">
        <v>523</v>
      </c>
      <c r="I2866">
        <v>404.8</v>
      </c>
      <c r="J2866" s="11">
        <f t="shared" si="71"/>
        <v>2.7650000000000001</v>
      </c>
      <c r="K2866">
        <v>465.9</v>
      </c>
      <c r="L2866">
        <v>27.8</v>
      </c>
      <c r="M2866">
        <v>144</v>
      </c>
      <c r="N2866">
        <v>15.2</v>
      </c>
      <c r="O2866">
        <v>21.8</v>
      </c>
      <c r="P2866">
        <v>8.3800000000000008</v>
      </c>
    </row>
    <row r="2867" spans="1:16">
      <c r="A2867" s="1" t="s">
        <v>2844</v>
      </c>
      <c r="B2867" s="1" t="s">
        <v>2892</v>
      </c>
      <c r="C2867" s="1" t="s">
        <v>18</v>
      </c>
      <c r="D2867" s="1" t="s">
        <v>19</v>
      </c>
      <c r="E2867" s="1" t="s">
        <v>2752</v>
      </c>
      <c r="F2867">
        <v>3854</v>
      </c>
      <c r="G2867">
        <v>1111</v>
      </c>
      <c r="H2867">
        <v>382</v>
      </c>
      <c r="I2867">
        <v>339.6</v>
      </c>
      <c r="J2867" s="11">
        <f t="shared" si="71"/>
        <v>2.7650000000000001</v>
      </c>
      <c r="K2867">
        <v>472</v>
      </c>
      <c r="L2867">
        <v>21.9</v>
      </c>
      <c r="M2867">
        <v>135.5</v>
      </c>
      <c r="N2867">
        <v>19.7</v>
      </c>
      <c r="O2867">
        <v>14.17</v>
      </c>
      <c r="P2867">
        <v>9.9</v>
      </c>
    </row>
    <row r="2868" spans="1:16">
      <c r="A2868" s="1" t="s">
        <v>2844</v>
      </c>
      <c r="B2868" s="1" t="s">
        <v>2893</v>
      </c>
      <c r="C2868" s="1" t="s">
        <v>18</v>
      </c>
      <c r="D2868" s="1" t="s">
        <v>19</v>
      </c>
      <c r="E2868" s="1" t="s">
        <v>2752</v>
      </c>
      <c r="F2868">
        <v>3078</v>
      </c>
      <c r="G2868">
        <v>1018</v>
      </c>
      <c r="H2868">
        <v>232</v>
      </c>
      <c r="I2868">
        <v>232</v>
      </c>
      <c r="J2868" s="11">
        <f t="shared" si="71"/>
        <v>2.7650000000000001</v>
      </c>
      <c r="K2868">
        <v>528</v>
      </c>
      <c r="L2868">
        <v>21.1</v>
      </c>
      <c r="M2868">
        <v>134.80000000000001</v>
      </c>
      <c r="N2868">
        <v>29.1</v>
      </c>
      <c r="O2868">
        <v>11.75</v>
      </c>
      <c r="P2868">
        <v>10.15</v>
      </c>
    </row>
    <row r="2869" spans="1:16">
      <c r="A2869" s="1" t="s">
        <v>2844</v>
      </c>
      <c r="B2869" s="1" t="s">
        <v>2894</v>
      </c>
      <c r="C2869" s="1" t="s">
        <v>18</v>
      </c>
      <c r="D2869" s="1" t="s">
        <v>19</v>
      </c>
      <c r="E2869" s="1" t="s">
        <v>2752</v>
      </c>
      <c r="F2869">
        <v>3470</v>
      </c>
      <c r="G2869">
        <v>296.39999999999998</v>
      </c>
      <c r="H2869">
        <v>85.9</v>
      </c>
      <c r="I2869">
        <v>155</v>
      </c>
      <c r="J2869" s="11">
        <f t="shared" si="71"/>
        <v>2.7650000000000001</v>
      </c>
      <c r="K2869">
        <v>377.5</v>
      </c>
      <c r="L2869">
        <v>25.5</v>
      </c>
      <c r="M2869">
        <v>131.80000000000001</v>
      </c>
      <c r="N2869">
        <v>15.9</v>
      </c>
      <c r="O2869">
        <v>16.04</v>
      </c>
      <c r="P2869">
        <v>11.72</v>
      </c>
    </row>
    <row r="2870" spans="1:16">
      <c r="A2870" s="1" t="s">
        <v>2844</v>
      </c>
      <c r="B2870" s="1" t="s">
        <v>2895</v>
      </c>
      <c r="C2870" s="1" t="s">
        <v>18</v>
      </c>
      <c r="D2870" s="1" t="s">
        <v>19</v>
      </c>
      <c r="E2870" s="1" t="s">
        <v>2752</v>
      </c>
      <c r="F2870">
        <v>662</v>
      </c>
      <c r="G2870">
        <v>473</v>
      </c>
      <c r="H2870">
        <v>23.8</v>
      </c>
      <c r="I2870">
        <v>32.1</v>
      </c>
      <c r="J2870" s="11">
        <f t="shared" si="71"/>
        <v>2.7650000000000001</v>
      </c>
      <c r="K2870">
        <v>244.5</v>
      </c>
      <c r="L2870">
        <v>33.200000000000003</v>
      </c>
      <c r="M2870">
        <v>120.2</v>
      </c>
      <c r="N2870">
        <v>15.2</v>
      </c>
      <c r="O2870">
        <v>9.83</v>
      </c>
      <c r="P2870">
        <v>6.18</v>
      </c>
    </row>
    <row r="2871" spans="1:16">
      <c r="A2871" s="1" t="s">
        <v>2844</v>
      </c>
      <c r="B2871" s="1" t="s">
        <v>2896</v>
      </c>
      <c r="C2871" s="1" t="s">
        <v>18</v>
      </c>
      <c r="D2871" s="1" t="s">
        <v>19</v>
      </c>
      <c r="E2871" s="1" t="s">
        <v>2752</v>
      </c>
      <c r="F2871">
        <v>949</v>
      </c>
      <c r="G2871">
        <v>273.3</v>
      </c>
      <c r="H2871">
        <v>15.7</v>
      </c>
      <c r="I2871">
        <v>84.8</v>
      </c>
      <c r="J2871" s="11">
        <f t="shared" si="71"/>
        <v>2.7650000000000001</v>
      </c>
      <c r="K2871">
        <v>289</v>
      </c>
      <c r="L2871">
        <v>49.2</v>
      </c>
      <c r="M2871">
        <v>140.30000000000001</v>
      </c>
      <c r="N2871">
        <v>20.2</v>
      </c>
      <c r="O2871">
        <v>10.08</v>
      </c>
      <c r="P2871">
        <v>5.57</v>
      </c>
    </row>
    <row r="2872" spans="1:16">
      <c r="A2872" s="1" t="s">
        <v>2844</v>
      </c>
      <c r="B2872" s="1" t="s">
        <v>2897</v>
      </c>
      <c r="C2872" s="1" t="s">
        <v>18</v>
      </c>
      <c r="D2872" s="1" t="s">
        <v>19</v>
      </c>
      <c r="E2872" s="1" t="s">
        <v>2752</v>
      </c>
      <c r="F2872">
        <v>1658</v>
      </c>
      <c r="G2872">
        <v>199.3</v>
      </c>
      <c r="H2872">
        <f>11.1/2</f>
        <v>5.55</v>
      </c>
      <c r="I2872">
        <v>68.900000000000006</v>
      </c>
      <c r="J2872" s="11">
        <f t="shared" si="71"/>
        <v>2.7650000000000001</v>
      </c>
      <c r="K2872">
        <v>361.4</v>
      </c>
      <c r="L2872">
        <v>50.7</v>
      </c>
      <c r="M2872">
        <v>161.9</v>
      </c>
      <c r="N2872">
        <v>43.2</v>
      </c>
      <c r="O2872">
        <v>10.5</v>
      </c>
      <c r="P2872">
        <v>8.17</v>
      </c>
    </row>
    <row r="2873" spans="1:16">
      <c r="A2873" s="1" t="s">
        <v>2844</v>
      </c>
      <c r="B2873" s="1" t="s">
        <v>2898</v>
      </c>
      <c r="C2873" s="1" t="s">
        <v>18</v>
      </c>
      <c r="D2873" s="1" t="s">
        <v>19</v>
      </c>
      <c r="E2873" s="1" t="s">
        <v>2752</v>
      </c>
      <c r="F2873">
        <v>1060</v>
      </c>
      <c r="G2873">
        <v>165.3</v>
      </c>
      <c r="H2873" s="11">
        <f>11.1/2</f>
        <v>5.55</v>
      </c>
      <c r="I2873">
        <v>75.099999999999994</v>
      </c>
      <c r="J2873" s="11">
        <f t="shared" si="71"/>
        <v>2.7650000000000001</v>
      </c>
      <c r="K2873">
        <v>290.3</v>
      </c>
      <c r="L2873">
        <v>40.700000000000003</v>
      </c>
      <c r="M2873">
        <v>162.1</v>
      </c>
      <c r="N2873">
        <v>22.9</v>
      </c>
      <c r="O2873">
        <v>12.06</v>
      </c>
      <c r="P2873">
        <v>8.4700000000000006</v>
      </c>
    </row>
    <row r="2874" spans="1:16">
      <c r="A2874" s="1" t="s">
        <v>2844</v>
      </c>
      <c r="B2874" s="1" t="s">
        <v>2899</v>
      </c>
      <c r="C2874" s="1" t="s">
        <v>18</v>
      </c>
      <c r="D2874" s="1" t="s">
        <v>19</v>
      </c>
      <c r="E2874" s="1" t="s">
        <v>2752</v>
      </c>
      <c r="F2874">
        <v>1529</v>
      </c>
      <c r="G2874">
        <v>267</v>
      </c>
      <c r="H2874">
        <v>9.6999999999999993</v>
      </c>
      <c r="I2874">
        <v>111.2</v>
      </c>
      <c r="J2874" s="11">
        <f t="shared" si="71"/>
        <v>2.7650000000000001</v>
      </c>
      <c r="K2874">
        <v>413.6</v>
      </c>
      <c r="L2874">
        <v>41.2</v>
      </c>
      <c r="M2874">
        <v>160.6</v>
      </c>
      <c r="N2874">
        <v>45.9</v>
      </c>
      <c r="O2874">
        <v>14.19</v>
      </c>
      <c r="P2874">
        <v>9.66</v>
      </c>
    </row>
    <row r="2875" spans="1:16">
      <c r="A2875" s="1" t="s">
        <v>2844</v>
      </c>
      <c r="B2875" s="1" t="s">
        <v>2900</v>
      </c>
      <c r="C2875" s="1" t="s">
        <v>18</v>
      </c>
      <c r="D2875" s="1" t="s">
        <v>19</v>
      </c>
      <c r="E2875" s="1" t="s">
        <v>2752</v>
      </c>
      <c r="F2875">
        <v>1345</v>
      </c>
      <c r="G2875">
        <v>329.6</v>
      </c>
      <c r="H2875">
        <v>14.2</v>
      </c>
      <c r="I2875">
        <v>129.1</v>
      </c>
      <c r="J2875" s="11">
        <f t="shared" si="71"/>
        <v>2.7650000000000001</v>
      </c>
      <c r="K2875">
        <v>371.9</v>
      </c>
      <c r="L2875">
        <v>28.2</v>
      </c>
      <c r="M2875">
        <v>155.19999999999999</v>
      </c>
      <c r="N2875">
        <v>34.4</v>
      </c>
      <c r="O2875">
        <v>15.49</v>
      </c>
      <c r="P2875">
        <v>9.61</v>
      </c>
    </row>
    <row r="2876" spans="1:16">
      <c r="A2876" s="1" t="s">
        <v>2844</v>
      </c>
      <c r="B2876" s="1" t="s">
        <v>2901</v>
      </c>
      <c r="C2876" s="1" t="s">
        <v>18</v>
      </c>
      <c r="D2876" s="1" t="s">
        <v>19</v>
      </c>
      <c r="E2876" s="1" t="s">
        <v>2752</v>
      </c>
      <c r="F2876">
        <v>2037</v>
      </c>
      <c r="G2876">
        <v>243.9</v>
      </c>
      <c r="H2876">
        <v>10.4</v>
      </c>
      <c r="I2876">
        <v>122.7</v>
      </c>
      <c r="J2876" s="11">
        <f t="shared" si="71"/>
        <v>2.7650000000000001</v>
      </c>
      <c r="K2876">
        <v>538</v>
      </c>
      <c r="L2876">
        <v>46</v>
      </c>
      <c r="M2876">
        <v>159.9</v>
      </c>
      <c r="N2876">
        <v>48.5</v>
      </c>
      <c r="O2876">
        <v>18.05</v>
      </c>
      <c r="P2876">
        <v>9.51</v>
      </c>
    </row>
    <row r="2877" spans="1:16">
      <c r="A2877" s="1" t="s">
        <v>2844</v>
      </c>
      <c r="B2877" s="1" t="s">
        <v>2902</v>
      </c>
      <c r="C2877" s="1" t="s">
        <v>18</v>
      </c>
      <c r="D2877" s="1" t="s">
        <v>19</v>
      </c>
      <c r="E2877" s="1" t="s">
        <v>2752</v>
      </c>
      <c r="F2877">
        <v>2292</v>
      </c>
      <c r="G2877">
        <v>228.6</v>
      </c>
      <c r="H2877" s="11">
        <f t="shared" ref="H2877:H2880" si="72">11.1/2</f>
        <v>5.55</v>
      </c>
      <c r="I2877">
        <v>126.9</v>
      </c>
      <c r="J2877" s="11">
        <f t="shared" si="71"/>
        <v>2.7650000000000001</v>
      </c>
      <c r="K2877">
        <v>581</v>
      </c>
      <c r="L2877">
        <v>50.6</v>
      </c>
      <c r="M2877">
        <v>150.80000000000001</v>
      </c>
      <c r="N2877">
        <v>55</v>
      </c>
      <c r="O2877">
        <v>16.809999999999999</v>
      </c>
      <c r="P2877">
        <v>11.5</v>
      </c>
    </row>
    <row r="2878" spans="1:16">
      <c r="A2878" s="1" t="s">
        <v>2844</v>
      </c>
      <c r="B2878" s="1" t="s">
        <v>2903</v>
      </c>
      <c r="C2878" s="1" t="s">
        <v>18</v>
      </c>
      <c r="D2878" s="1" t="s">
        <v>19</v>
      </c>
      <c r="E2878" s="1" t="s">
        <v>2752</v>
      </c>
      <c r="F2878">
        <v>1864</v>
      </c>
      <c r="G2878">
        <v>137.5</v>
      </c>
      <c r="H2878" s="11">
        <f t="shared" si="72"/>
        <v>5.55</v>
      </c>
      <c r="I2878">
        <v>153.19999999999999</v>
      </c>
      <c r="J2878" s="11">
        <f t="shared" si="71"/>
        <v>2.7650000000000001</v>
      </c>
      <c r="K2878">
        <v>532</v>
      </c>
      <c r="L2878">
        <v>47.5</v>
      </c>
      <c r="M2878">
        <v>157</v>
      </c>
      <c r="N2878">
        <v>56.3</v>
      </c>
      <c r="O2878">
        <v>17.440000000000001</v>
      </c>
      <c r="P2878">
        <v>12.19</v>
      </c>
    </row>
    <row r="2879" spans="1:16">
      <c r="A2879" s="1" t="s">
        <v>2844</v>
      </c>
      <c r="B2879" s="1" t="s">
        <v>2904</v>
      </c>
      <c r="C2879" s="1" t="s">
        <v>18</v>
      </c>
      <c r="D2879" s="1" t="s">
        <v>19</v>
      </c>
      <c r="E2879" s="1" t="s">
        <v>2752</v>
      </c>
      <c r="F2879">
        <v>635</v>
      </c>
      <c r="G2879">
        <v>247.6</v>
      </c>
      <c r="H2879" s="11">
        <f t="shared" si="72"/>
        <v>5.55</v>
      </c>
      <c r="I2879">
        <v>144.80000000000001</v>
      </c>
      <c r="J2879" s="11">
        <f t="shared" si="71"/>
        <v>2.7650000000000001</v>
      </c>
      <c r="K2879">
        <v>431.3</v>
      </c>
      <c r="L2879">
        <v>17.510000000000002</v>
      </c>
      <c r="M2879">
        <v>153.80000000000001</v>
      </c>
      <c r="N2879">
        <v>45.7</v>
      </c>
      <c r="O2879">
        <v>17.91</v>
      </c>
      <c r="P2879">
        <v>12.74</v>
      </c>
    </row>
    <row r="2880" spans="1:16">
      <c r="A2880" s="1" t="s">
        <v>2844</v>
      </c>
      <c r="B2880" s="1" t="s">
        <v>2905</v>
      </c>
      <c r="C2880" s="1" t="s">
        <v>18</v>
      </c>
      <c r="D2880" s="1" t="s">
        <v>19</v>
      </c>
      <c r="E2880" s="1" t="s">
        <v>2752</v>
      </c>
      <c r="F2880">
        <v>794</v>
      </c>
      <c r="G2880">
        <v>142.80000000000001</v>
      </c>
      <c r="H2880" s="11">
        <f t="shared" si="72"/>
        <v>5.55</v>
      </c>
      <c r="I2880">
        <v>125.4</v>
      </c>
      <c r="J2880" s="11">
        <f t="shared" si="71"/>
        <v>2.7650000000000001</v>
      </c>
      <c r="K2880">
        <v>288.7</v>
      </c>
      <c r="L2880">
        <v>24.8</v>
      </c>
      <c r="M2880">
        <v>154.69999999999999</v>
      </c>
      <c r="N2880">
        <v>21.9</v>
      </c>
      <c r="O2880">
        <v>15.97</v>
      </c>
      <c r="P2880">
        <v>9.89</v>
      </c>
    </row>
    <row r="2881" spans="1:16">
      <c r="A2881" s="1" t="s">
        <v>2844</v>
      </c>
      <c r="B2881" s="1" t="s">
        <v>2906</v>
      </c>
      <c r="C2881" s="1" t="s">
        <v>18</v>
      </c>
      <c r="D2881" s="1" t="s">
        <v>19</v>
      </c>
      <c r="E2881" s="1" t="s">
        <v>2752</v>
      </c>
      <c r="F2881">
        <v>657</v>
      </c>
      <c r="G2881">
        <v>285</v>
      </c>
      <c r="H2881">
        <v>32</v>
      </c>
      <c r="I2881">
        <v>145.19999999999999</v>
      </c>
      <c r="J2881" s="11">
        <f t="shared" si="71"/>
        <v>2.7650000000000001</v>
      </c>
      <c r="K2881">
        <v>397.4</v>
      </c>
      <c r="L2881">
        <v>18.899999999999999</v>
      </c>
      <c r="M2881">
        <v>150.19999999999999</v>
      </c>
      <c r="N2881">
        <v>39.5</v>
      </c>
      <c r="O2881">
        <v>14.11</v>
      </c>
      <c r="P2881">
        <v>11.12</v>
      </c>
    </row>
    <row r="2882" spans="1:16">
      <c r="A2882" s="1" t="s">
        <v>2844</v>
      </c>
      <c r="B2882" s="1" t="s">
        <v>2907</v>
      </c>
      <c r="C2882" s="1" t="s">
        <v>18</v>
      </c>
      <c r="D2882" s="1" t="s">
        <v>19</v>
      </c>
      <c r="E2882" s="1" t="s">
        <v>2752</v>
      </c>
      <c r="F2882">
        <v>1330</v>
      </c>
      <c r="G2882">
        <v>306.8</v>
      </c>
      <c r="H2882">
        <v>14.7</v>
      </c>
      <c r="I2882">
        <v>145.1</v>
      </c>
      <c r="J2882" s="11">
        <f t="shared" si="71"/>
        <v>2.7650000000000001</v>
      </c>
      <c r="K2882">
        <v>388.4</v>
      </c>
      <c r="L2882">
        <v>27.5</v>
      </c>
      <c r="M2882">
        <v>157.5</v>
      </c>
      <c r="N2882">
        <v>43.2</v>
      </c>
      <c r="O2882">
        <v>15.51</v>
      </c>
      <c r="P2882">
        <v>9.6999999999999993</v>
      </c>
    </row>
    <row r="2883" spans="1:16">
      <c r="A2883" s="1" t="s">
        <v>2844</v>
      </c>
      <c r="B2883" s="1" t="s">
        <v>2908</v>
      </c>
      <c r="C2883" s="1" t="s">
        <v>18</v>
      </c>
      <c r="D2883" s="1" t="s">
        <v>19</v>
      </c>
      <c r="E2883" s="1" t="s">
        <v>2752</v>
      </c>
      <c r="F2883">
        <v>1646</v>
      </c>
      <c r="G2883">
        <v>296</v>
      </c>
      <c r="H2883">
        <v>11</v>
      </c>
      <c r="I2883">
        <v>100.5</v>
      </c>
      <c r="J2883" s="11">
        <f t="shared" si="71"/>
        <v>2.7650000000000001</v>
      </c>
      <c r="K2883">
        <v>348</v>
      </c>
      <c r="L2883">
        <v>34.6</v>
      </c>
      <c r="M2883">
        <v>163.69999999999999</v>
      </c>
      <c r="N2883">
        <v>35.700000000000003</v>
      </c>
      <c r="O2883">
        <v>15.96</v>
      </c>
      <c r="P2883">
        <v>9.1</v>
      </c>
    </row>
    <row r="2884" spans="1:16">
      <c r="A2884" s="1" t="s">
        <v>2844</v>
      </c>
      <c r="B2884" s="1" t="s">
        <v>2909</v>
      </c>
      <c r="C2884" s="1" t="s">
        <v>18</v>
      </c>
      <c r="D2884" s="1" t="s">
        <v>19</v>
      </c>
      <c r="E2884" s="1" t="s">
        <v>2752</v>
      </c>
      <c r="F2884">
        <v>2001</v>
      </c>
      <c r="G2884">
        <v>300.39999999999998</v>
      </c>
      <c r="H2884">
        <v>8.6</v>
      </c>
      <c r="I2884">
        <v>131</v>
      </c>
      <c r="J2884" s="11">
        <f t="shared" si="71"/>
        <v>2.7650000000000001</v>
      </c>
      <c r="K2884">
        <v>499</v>
      </c>
      <c r="L2884">
        <v>36.9</v>
      </c>
      <c r="M2884">
        <v>160.9</v>
      </c>
      <c r="N2884">
        <v>41.2</v>
      </c>
      <c r="O2884">
        <v>17.829999999999998</v>
      </c>
      <c r="P2884">
        <v>10.24</v>
      </c>
    </row>
    <row r="2885" spans="1:16">
      <c r="A2885" s="1" t="s">
        <v>2844</v>
      </c>
      <c r="B2885" s="1" t="s">
        <v>2910</v>
      </c>
      <c r="C2885" s="1" t="s">
        <v>18</v>
      </c>
      <c r="D2885" s="1" t="s">
        <v>19</v>
      </c>
      <c r="E2885" s="1" t="s">
        <v>2752</v>
      </c>
      <c r="F2885">
        <v>2109</v>
      </c>
      <c r="G2885">
        <v>296</v>
      </c>
      <c r="H2885">
        <v>13.8</v>
      </c>
      <c r="I2885">
        <v>89.2</v>
      </c>
      <c r="J2885" s="11">
        <f t="shared" si="71"/>
        <v>2.7650000000000001</v>
      </c>
      <c r="K2885">
        <v>549</v>
      </c>
      <c r="L2885">
        <v>50.2</v>
      </c>
      <c r="M2885">
        <v>161</v>
      </c>
      <c r="N2885">
        <v>46</v>
      </c>
      <c r="O2885">
        <v>12.5</v>
      </c>
      <c r="P2885">
        <v>9.8000000000000007</v>
      </c>
    </row>
    <row r="2886" spans="1:16">
      <c r="A2886" s="1" t="s">
        <v>2844</v>
      </c>
      <c r="B2886" s="1" t="s">
        <v>2911</v>
      </c>
      <c r="C2886" s="1" t="s">
        <v>18</v>
      </c>
      <c r="D2886" s="1" t="s">
        <v>19</v>
      </c>
      <c r="E2886" s="1" t="s">
        <v>2752</v>
      </c>
      <c r="F2886">
        <v>1437</v>
      </c>
      <c r="G2886">
        <v>218</v>
      </c>
      <c r="H2886">
        <v>9.1</v>
      </c>
      <c r="I2886">
        <v>81.5</v>
      </c>
      <c r="J2886" s="11">
        <f t="shared" si="71"/>
        <v>2.7650000000000001</v>
      </c>
      <c r="K2886">
        <v>310.7</v>
      </c>
      <c r="L2886">
        <v>35</v>
      </c>
      <c r="M2886">
        <v>156.1</v>
      </c>
      <c r="N2886">
        <v>25</v>
      </c>
      <c r="O2886">
        <v>12.04</v>
      </c>
      <c r="P2886">
        <v>9.5399999999999991</v>
      </c>
    </row>
    <row r="2887" spans="1:16">
      <c r="A2887" s="1" t="s">
        <v>2844</v>
      </c>
      <c r="B2887" s="1" t="s">
        <v>2912</v>
      </c>
      <c r="C2887" s="1" t="s">
        <v>18</v>
      </c>
      <c r="D2887" s="1" t="s">
        <v>19</v>
      </c>
      <c r="E2887" s="1" t="s">
        <v>2752</v>
      </c>
      <c r="F2887">
        <v>956</v>
      </c>
      <c r="G2887">
        <v>451</v>
      </c>
      <c r="H2887">
        <v>10.4</v>
      </c>
      <c r="I2887">
        <v>219.4</v>
      </c>
      <c r="J2887" s="11">
        <f t="shared" si="71"/>
        <v>2.7650000000000001</v>
      </c>
      <c r="K2887">
        <v>450.9</v>
      </c>
      <c r="L2887">
        <v>23.4</v>
      </c>
      <c r="M2887">
        <v>156.4</v>
      </c>
      <c r="N2887">
        <v>37.299999999999997</v>
      </c>
      <c r="O2887">
        <v>17.93</v>
      </c>
      <c r="P2887">
        <v>12.43</v>
      </c>
    </row>
    <row r="2888" spans="1:16">
      <c r="A2888" s="1" t="s">
        <v>2844</v>
      </c>
      <c r="B2888" s="1" t="s">
        <v>2913</v>
      </c>
      <c r="C2888" s="1" t="s">
        <v>18</v>
      </c>
      <c r="D2888" s="1" t="s">
        <v>19</v>
      </c>
      <c r="E2888" s="1" t="s">
        <v>2752</v>
      </c>
      <c r="F2888">
        <v>1299</v>
      </c>
      <c r="G2888">
        <v>143.6</v>
      </c>
      <c r="H2888" s="11">
        <f>11.1/2</f>
        <v>5.55</v>
      </c>
      <c r="I2888">
        <v>179.8</v>
      </c>
      <c r="J2888" s="11">
        <f t="shared" si="71"/>
        <v>2.7650000000000001</v>
      </c>
      <c r="K2888">
        <v>422.8</v>
      </c>
      <c r="L2888">
        <v>32</v>
      </c>
      <c r="M2888">
        <v>157.69999999999999</v>
      </c>
      <c r="N2888">
        <v>39.4</v>
      </c>
      <c r="O2888">
        <v>16.54</v>
      </c>
      <c r="P2888">
        <v>10.76</v>
      </c>
    </row>
    <row r="2889" spans="1:16">
      <c r="A2889" s="1" t="s">
        <v>2844</v>
      </c>
      <c r="B2889" s="1" t="s">
        <v>2914</v>
      </c>
      <c r="C2889" s="1" t="s">
        <v>18</v>
      </c>
      <c r="D2889" s="1" t="s">
        <v>19</v>
      </c>
      <c r="E2889" s="1" t="s">
        <v>2752</v>
      </c>
      <c r="F2889">
        <v>261</v>
      </c>
      <c r="G2889">
        <v>2134</v>
      </c>
      <c r="H2889">
        <v>2350</v>
      </c>
      <c r="I2889">
        <v>1810</v>
      </c>
      <c r="J2889" s="11">
        <f t="shared" si="71"/>
        <v>2.7650000000000001</v>
      </c>
      <c r="K2889">
        <v>523</v>
      </c>
      <c r="L2889">
        <v>23.4</v>
      </c>
      <c r="M2889">
        <v>268</v>
      </c>
      <c r="N2889">
        <v>102.1</v>
      </c>
      <c r="O2889">
        <v>32.1</v>
      </c>
      <c r="P2889">
        <v>0.99</v>
      </c>
    </row>
    <row r="2890" spans="1:16">
      <c r="A2890" s="1" t="s">
        <v>2844</v>
      </c>
      <c r="B2890" s="1" t="s">
        <v>2915</v>
      </c>
      <c r="C2890" s="1" t="s">
        <v>18</v>
      </c>
      <c r="D2890" s="1" t="s">
        <v>19</v>
      </c>
      <c r="E2890" s="1" t="s">
        <v>2752</v>
      </c>
      <c r="F2890">
        <v>646</v>
      </c>
      <c r="G2890">
        <v>2273</v>
      </c>
      <c r="H2890">
        <v>4860</v>
      </c>
      <c r="I2890">
        <v>1769</v>
      </c>
      <c r="J2890" s="11">
        <f t="shared" si="71"/>
        <v>2.7650000000000001</v>
      </c>
      <c r="K2890">
        <v>854</v>
      </c>
      <c r="L2890">
        <v>36.1</v>
      </c>
      <c r="M2890">
        <v>263</v>
      </c>
      <c r="N2890">
        <v>99.3</v>
      </c>
      <c r="O2890">
        <v>37.1</v>
      </c>
      <c r="P2890">
        <v>1.61</v>
      </c>
    </row>
    <row r="2891" spans="1:16">
      <c r="A2891" s="1" t="s">
        <v>2844</v>
      </c>
      <c r="B2891" s="1" t="s">
        <v>2916</v>
      </c>
      <c r="C2891" s="1" t="s">
        <v>18</v>
      </c>
      <c r="D2891" s="1" t="s">
        <v>19</v>
      </c>
      <c r="E2891" s="1" t="s">
        <v>2752</v>
      </c>
      <c r="F2891">
        <v>1980</v>
      </c>
      <c r="G2891">
        <v>2460</v>
      </c>
      <c r="H2891">
        <v>7000</v>
      </c>
      <c r="I2891">
        <v>1754</v>
      </c>
      <c r="J2891" s="11">
        <f t="shared" ref="J2891:J2933" si="73">5.53/2</f>
        <v>2.7650000000000001</v>
      </c>
      <c r="K2891">
        <v>1160</v>
      </c>
      <c r="L2891">
        <v>57.3</v>
      </c>
      <c r="M2891">
        <v>253</v>
      </c>
      <c r="N2891">
        <v>163</v>
      </c>
      <c r="O2891">
        <v>36.700000000000003</v>
      </c>
      <c r="P2891">
        <v>2.79</v>
      </c>
    </row>
    <row r="2892" spans="1:16">
      <c r="A2892" s="1" t="s">
        <v>2844</v>
      </c>
      <c r="B2892" s="1" t="s">
        <v>2917</v>
      </c>
      <c r="C2892" s="1" t="s">
        <v>18</v>
      </c>
      <c r="D2892" s="1" t="s">
        <v>19</v>
      </c>
      <c r="E2892" s="1" t="s">
        <v>2752</v>
      </c>
      <c r="F2892">
        <v>1332</v>
      </c>
      <c r="G2892">
        <v>2389</v>
      </c>
      <c r="H2892">
        <v>4140</v>
      </c>
      <c r="I2892">
        <v>1770</v>
      </c>
      <c r="J2892" s="11">
        <f t="shared" si="73"/>
        <v>2.7650000000000001</v>
      </c>
      <c r="K2892">
        <v>640</v>
      </c>
      <c r="L2892">
        <v>35.200000000000003</v>
      </c>
      <c r="M2892">
        <v>265</v>
      </c>
      <c r="N2892">
        <v>83.8</v>
      </c>
      <c r="O2892">
        <v>42.4</v>
      </c>
      <c r="P2892">
        <v>1.73</v>
      </c>
    </row>
    <row r="2893" spans="1:16">
      <c r="A2893" s="1" t="s">
        <v>2844</v>
      </c>
      <c r="B2893" s="1" t="s">
        <v>2918</v>
      </c>
      <c r="C2893" s="1" t="s">
        <v>18</v>
      </c>
      <c r="D2893" s="1" t="s">
        <v>19</v>
      </c>
      <c r="E2893" s="1" t="s">
        <v>2752</v>
      </c>
      <c r="F2893">
        <v>737</v>
      </c>
      <c r="G2893">
        <v>2431</v>
      </c>
      <c r="H2893">
        <v>3870</v>
      </c>
      <c r="I2893">
        <v>1714</v>
      </c>
      <c r="J2893" s="11">
        <f t="shared" si="73"/>
        <v>2.7650000000000001</v>
      </c>
      <c r="K2893">
        <v>1046</v>
      </c>
      <c r="L2893">
        <v>48.6</v>
      </c>
      <c r="M2893">
        <v>244.7</v>
      </c>
      <c r="N2893">
        <v>79.7</v>
      </c>
      <c r="O2893">
        <v>41.8</v>
      </c>
      <c r="P2893">
        <v>1.47</v>
      </c>
    </row>
    <row r="2894" spans="1:16">
      <c r="A2894" s="1" t="s">
        <v>2844</v>
      </c>
      <c r="B2894" s="1" t="s">
        <v>2919</v>
      </c>
      <c r="C2894" s="1" t="s">
        <v>18</v>
      </c>
      <c r="D2894" s="1" t="s">
        <v>19</v>
      </c>
      <c r="E2894" s="1" t="s">
        <v>2752</v>
      </c>
      <c r="F2894">
        <v>1051</v>
      </c>
      <c r="G2894">
        <v>2295</v>
      </c>
      <c r="H2894">
        <v>2100</v>
      </c>
      <c r="I2894">
        <v>1737</v>
      </c>
      <c r="J2894" s="11">
        <f t="shared" si="73"/>
        <v>2.7650000000000001</v>
      </c>
      <c r="K2894">
        <v>677</v>
      </c>
      <c r="L2894">
        <v>55.5</v>
      </c>
      <c r="M2894">
        <v>249</v>
      </c>
      <c r="N2894">
        <v>66.400000000000006</v>
      </c>
      <c r="O2894">
        <v>39.299999999999997</v>
      </c>
      <c r="P2894">
        <v>1.1000000000000001</v>
      </c>
    </row>
    <row r="2895" spans="1:16">
      <c r="A2895" s="1" t="s">
        <v>2844</v>
      </c>
      <c r="B2895" s="1" t="s">
        <v>2920</v>
      </c>
      <c r="C2895" s="1" t="s">
        <v>18</v>
      </c>
      <c r="D2895" s="1" t="s">
        <v>19</v>
      </c>
      <c r="E2895" s="1" t="s">
        <v>2752</v>
      </c>
      <c r="F2895">
        <v>1036</v>
      </c>
      <c r="G2895">
        <v>2549</v>
      </c>
      <c r="H2895">
        <v>3510</v>
      </c>
      <c r="I2895">
        <v>1740</v>
      </c>
      <c r="J2895" s="11">
        <f t="shared" si="73"/>
        <v>2.7650000000000001</v>
      </c>
      <c r="K2895">
        <v>648</v>
      </c>
      <c r="L2895">
        <v>53.5</v>
      </c>
      <c r="M2895">
        <v>249</v>
      </c>
      <c r="N2895">
        <v>56.7</v>
      </c>
      <c r="O2895">
        <v>39.6</v>
      </c>
      <c r="P2895">
        <v>1.22</v>
      </c>
    </row>
    <row r="2896" spans="1:16">
      <c r="A2896" s="1" t="s">
        <v>2844</v>
      </c>
      <c r="B2896" s="1" t="s">
        <v>2921</v>
      </c>
      <c r="C2896" s="1" t="s">
        <v>18</v>
      </c>
      <c r="D2896" s="1" t="s">
        <v>19</v>
      </c>
      <c r="E2896" s="1" t="s">
        <v>2752</v>
      </c>
      <c r="F2896">
        <v>1112</v>
      </c>
      <c r="G2896">
        <v>2489</v>
      </c>
      <c r="H2896">
        <v>2450</v>
      </c>
      <c r="I2896">
        <v>1700</v>
      </c>
      <c r="J2896" s="11">
        <f t="shared" si="73"/>
        <v>2.7650000000000001</v>
      </c>
      <c r="K2896">
        <v>714</v>
      </c>
      <c r="L2896">
        <v>63.4</v>
      </c>
      <c r="M2896">
        <v>242</v>
      </c>
      <c r="N2896">
        <v>46.3</v>
      </c>
      <c r="O2896">
        <v>38.5</v>
      </c>
      <c r="P2896">
        <v>1.1299999999999999</v>
      </c>
    </row>
    <row r="2897" spans="1:16">
      <c r="A2897" s="1" t="s">
        <v>2844</v>
      </c>
      <c r="B2897" s="1" t="s">
        <v>2922</v>
      </c>
      <c r="C2897" s="1" t="s">
        <v>18</v>
      </c>
      <c r="D2897" s="1" t="s">
        <v>19</v>
      </c>
      <c r="E2897" s="1" t="s">
        <v>2752</v>
      </c>
      <c r="F2897">
        <v>995</v>
      </c>
      <c r="G2897">
        <v>2431</v>
      </c>
      <c r="H2897">
        <v>2600</v>
      </c>
      <c r="I2897">
        <v>1741</v>
      </c>
      <c r="J2897" s="11">
        <f t="shared" si="73"/>
        <v>2.7650000000000001</v>
      </c>
      <c r="K2897">
        <v>843</v>
      </c>
      <c r="L2897">
        <v>62.7</v>
      </c>
      <c r="M2897">
        <v>247.1</v>
      </c>
      <c r="N2897">
        <v>65.8</v>
      </c>
      <c r="O2897">
        <v>38.4</v>
      </c>
      <c r="P2897">
        <v>0.81</v>
      </c>
    </row>
    <row r="2898" spans="1:16">
      <c r="A2898" s="1" t="s">
        <v>2844</v>
      </c>
      <c r="B2898" s="1" t="s">
        <v>2923</v>
      </c>
      <c r="C2898" s="1" t="s">
        <v>18</v>
      </c>
      <c r="D2898" s="1" t="s">
        <v>19</v>
      </c>
      <c r="E2898" s="1" t="s">
        <v>2752</v>
      </c>
      <c r="F2898">
        <v>355</v>
      </c>
      <c r="G2898">
        <v>1928</v>
      </c>
      <c r="H2898">
        <v>4870</v>
      </c>
      <c r="I2898">
        <v>1769</v>
      </c>
      <c r="J2898" s="11">
        <f t="shared" si="73"/>
        <v>2.7650000000000001</v>
      </c>
      <c r="K2898">
        <v>424</v>
      </c>
      <c r="L2898">
        <v>40.1</v>
      </c>
      <c r="M2898">
        <v>263</v>
      </c>
      <c r="N2898">
        <v>65.599999999999994</v>
      </c>
      <c r="O2898">
        <v>35.5</v>
      </c>
      <c r="P2898">
        <v>1.01</v>
      </c>
    </row>
    <row r="2899" spans="1:16">
      <c r="A2899" s="1" t="s">
        <v>2844</v>
      </c>
      <c r="B2899" s="1" t="s">
        <v>2924</v>
      </c>
      <c r="C2899" s="1" t="s">
        <v>18</v>
      </c>
      <c r="D2899" s="1" t="s">
        <v>19</v>
      </c>
      <c r="E2899" s="1" t="s">
        <v>2752</v>
      </c>
      <c r="F2899">
        <v>535</v>
      </c>
      <c r="G2899">
        <v>2254</v>
      </c>
      <c r="H2899">
        <v>4380</v>
      </c>
      <c r="I2899">
        <v>1777</v>
      </c>
      <c r="J2899" s="11">
        <f t="shared" si="73"/>
        <v>2.7650000000000001</v>
      </c>
      <c r="K2899">
        <v>503</v>
      </c>
      <c r="L2899">
        <v>39.5</v>
      </c>
      <c r="M2899">
        <v>266.10000000000002</v>
      </c>
      <c r="N2899">
        <v>70.099999999999994</v>
      </c>
      <c r="O2899">
        <v>37.1</v>
      </c>
      <c r="P2899">
        <v>1.18</v>
      </c>
    </row>
    <row r="2900" spans="1:16">
      <c r="A2900" s="1" t="s">
        <v>2844</v>
      </c>
      <c r="B2900" s="1" t="s">
        <v>2925</v>
      </c>
      <c r="C2900" s="1" t="s">
        <v>18</v>
      </c>
      <c r="D2900" s="1" t="s">
        <v>19</v>
      </c>
      <c r="E2900" s="1" t="s">
        <v>2752</v>
      </c>
      <c r="F2900">
        <v>758</v>
      </c>
      <c r="G2900">
        <v>2306</v>
      </c>
      <c r="H2900">
        <v>5190</v>
      </c>
      <c r="I2900">
        <v>1791</v>
      </c>
      <c r="J2900" s="11">
        <f t="shared" si="73"/>
        <v>2.7650000000000001</v>
      </c>
      <c r="K2900">
        <v>626</v>
      </c>
      <c r="L2900">
        <v>26.1</v>
      </c>
      <c r="M2900">
        <v>273</v>
      </c>
      <c r="N2900">
        <v>63.9</v>
      </c>
      <c r="O2900">
        <v>33.6</v>
      </c>
      <c r="P2900">
        <v>1.06</v>
      </c>
    </row>
    <row r="2901" spans="1:16">
      <c r="A2901" s="1" t="s">
        <v>2844</v>
      </c>
      <c r="B2901" s="1" t="s">
        <v>2926</v>
      </c>
      <c r="C2901" s="1" t="s">
        <v>18</v>
      </c>
      <c r="D2901" s="1" t="s">
        <v>19</v>
      </c>
      <c r="E2901" s="1" t="s">
        <v>2752</v>
      </c>
      <c r="F2901">
        <v>583</v>
      </c>
      <c r="G2901">
        <v>1487</v>
      </c>
      <c r="H2901">
        <v>2820</v>
      </c>
      <c r="I2901">
        <v>1755</v>
      </c>
      <c r="J2901" s="11">
        <f t="shared" si="73"/>
        <v>2.7650000000000001</v>
      </c>
      <c r="K2901">
        <v>604</v>
      </c>
      <c r="L2901">
        <v>17.010000000000002</v>
      </c>
      <c r="M2901">
        <v>259</v>
      </c>
      <c r="N2901">
        <v>65.8</v>
      </c>
      <c r="O2901">
        <v>26.92</v>
      </c>
      <c r="P2901">
        <v>0.78</v>
      </c>
    </row>
    <row r="2902" spans="1:16">
      <c r="A2902" s="1" t="s">
        <v>2844</v>
      </c>
      <c r="B2902" s="1" t="s">
        <v>2927</v>
      </c>
      <c r="C2902" s="1" t="s">
        <v>18</v>
      </c>
      <c r="D2902" s="1" t="s">
        <v>19</v>
      </c>
      <c r="E2902" s="1" t="s">
        <v>2752</v>
      </c>
      <c r="F2902">
        <v>676</v>
      </c>
      <c r="G2902">
        <v>2064</v>
      </c>
      <c r="H2902">
        <v>5040</v>
      </c>
      <c r="I2902">
        <v>1762</v>
      </c>
      <c r="J2902" s="11">
        <f t="shared" si="73"/>
        <v>2.7650000000000001</v>
      </c>
      <c r="K2902">
        <v>656</v>
      </c>
      <c r="L2902">
        <v>23.3</v>
      </c>
      <c r="M2902">
        <v>269.89999999999998</v>
      </c>
      <c r="N2902">
        <v>69.400000000000006</v>
      </c>
      <c r="O2902">
        <v>37.409999999999997</v>
      </c>
      <c r="P2902">
        <v>1.18</v>
      </c>
    </row>
    <row r="2903" spans="1:16">
      <c r="A2903" s="1" t="s">
        <v>2844</v>
      </c>
      <c r="B2903" s="1" t="s">
        <v>2928</v>
      </c>
      <c r="C2903" s="1" t="s">
        <v>18</v>
      </c>
      <c r="D2903" s="1" t="s">
        <v>19</v>
      </c>
      <c r="E2903" s="1" t="s">
        <v>2752</v>
      </c>
      <c r="F2903">
        <v>1304</v>
      </c>
      <c r="G2903">
        <v>2543</v>
      </c>
      <c r="H2903">
        <v>2810</v>
      </c>
      <c r="I2903">
        <v>1694</v>
      </c>
      <c r="J2903" s="11">
        <f t="shared" si="73"/>
        <v>2.7650000000000001</v>
      </c>
      <c r="K2903">
        <v>798</v>
      </c>
      <c r="L2903">
        <v>30.6</v>
      </c>
      <c r="M2903">
        <v>248.3</v>
      </c>
      <c r="N2903">
        <v>98</v>
      </c>
      <c r="O2903">
        <v>35.1</v>
      </c>
      <c r="P2903">
        <v>1.33</v>
      </c>
    </row>
    <row r="2904" spans="1:16">
      <c r="A2904" s="1" t="s">
        <v>2844</v>
      </c>
      <c r="B2904" s="1" t="s">
        <v>2929</v>
      </c>
      <c r="C2904" s="1" t="s">
        <v>18</v>
      </c>
      <c r="D2904" s="1" t="s">
        <v>19</v>
      </c>
      <c r="E2904" s="1" t="s">
        <v>2752</v>
      </c>
      <c r="F2904">
        <v>1365</v>
      </c>
      <c r="G2904">
        <v>2457</v>
      </c>
      <c r="H2904">
        <v>5850</v>
      </c>
      <c r="I2904">
        <v>1767</v>
      </c>
      <c r="J2904" s="11">
        <f t="shared" si="73"/>
        <v>2.7650000000000001</v>
      </c>
      <c r="K2904">
        <v>768</v>
      </c>
      <c r="L2904">
        <v>32.200000000000003</v>
      </c>
      <c r="M2904">
        <v>249.6</v>
      </c>
      <c r="N2904">
        <v>64.900000000000006</v>
      </c>
      <c r="O2904">
        <v>38</v>
      </c>
      <c r="P2904">
        <v>1.8</v>
      </c>
    </row>
    <row r="2905" spans="1:16">
      <c r="A2905" s="1" t="s">
        <v>2844</v>
      </c>
      <c r="B2905" s="1" t="s">
        <v>2930</v>
      </c>
      <c r="C2905" s="1" t="s">
        <v>18</v>
      </c>
      <c r="D2905" s="1" t="s">
        <v>19</v>
      </c>
      <c r="E2905" s="1" t="s">
        <v>2752</v>
      </c>
      <c r="F2905">
        <v>1407</v>
      </c>
      <c r="G2905">
        <v>2406</v>
      </c>
      <c r="H2905">
        <v>4530</v>
      </c>
      <c r="I2905">
        <v>1719</v>
      </c>
      <c r="J2905" s="11">
        <f t="shared" si="73"/>
        <v>2.7650000000000001</v>
      </c>
      <c r="K2905">
        <v>626</v>
      </c>
      <c r="L2905">
        <v>20</v>
      </c>
      <c r="M2905">
        <v>265</v>
      </c>
      <c r="N2905">
        <v>65.099999999999994</v>
      </c>
      <c r="O2905">
        <v>35.6</v>
      </c>
      <c r="P2905">
        <v>1.29</v>
      </c>
    </row>
    <row r="2906" spans="1:16">
      <c r="A2906" s="1" t="s">
        <v>2844</v>
      </c>
      <c r="B2906" s="1" t="s">
        <v>2931</v>
      </c>
      <c r="C2906" s="1" t="s">
        <v>18</v>
      </c>
      <c r="D2906" s="1" t="s">
        <v>19</v>
      </c>
      <c r="E2906" s="1" t="s">
        <v>2752</v>
      </c>
      <c r="F2906">
        <v>297.5</v>
      </c>
      <c r="G2906">
        <v>2182</v>
      </c>
      <c r="H2906">
        <v>2410</v>
      </c>
      <c r="I2906">
        <v>1787</v>
      </c>
      <c r="J2906" s="11">
        <f t="shared" si="73"/>
        <v>2.7650000000000001</v>
      </c>
      <c r="K2906">
        <v>512</v>
      </c>
      <c r="L2906">
        <v>25.7</v>
      </c>
      <c r="M2906">
        <v>262</v>
      </c>
      <c r="N2906">
        <v>70.7</v>
      </c>
      <c r="O2906">
        <v>37.1</v>
      </c>
      <c r="P2906">
        <v>1.08</v>
      </c>
    </row>
    <row r="2907" spans="1:16">
      <c r="A2907" s="1" t="s">
        <v>2844</v>
      </c>
      <c r="B2907" s="1" t="s">
        <v>2932</v>
      </c>
      <c r="C2907" s="1" t="s">
        <v>18</v>
      </c>
      <c r="D2907" s="1" t="s">
        <v>19</v>
      </c>
      <c r="E2907" s="1" t="s">
        <v>2752</v>
      </c>
      <c r="F2907">
        <v>52</v>
      </c>
      <c r="G2907">
        <v>1943</v>
      </c>
      <c r="H2907">
        <v>2270</v>
      </c>
      <c r="I2907">
        <v>1752</v>
      </c>
      <c r="J2907" s="11">
        <f t="shared" si="73"/>
        <v>2.7650000000000001</v>
      </c>
      <c r="K2907">
        <v>474</v>
      </c>
      <c r="L2907">
        <v>15.26</v>
      </c>
      <c r="M2907">
        <v>248.7</v>
      </c>
      <c r="N2907">
        <v>96.1</v>
      </c>
      <c r="O2907">
        <v>33.049999999999997</v>
      </c>
      <c r="P2907">
        <v>0.95</v>
      </c>
    </row>
    <row r="2908" spans="1:16">
      <c r="A2908" s="1" t="s">
        <v>2844</v>
      </c>
      <c r="B2908" s="1" t="s">
        <v>2933</v>
      </c>
      <c r="C2908" s="1" t="s">
        <v>18</v>
      </c>
      <c r="D2908" s="1" t="s">
        <v>19</v>
      </c>
      <c r="E2908" s="1" t="s">
        <v>2752</v>
      </c>
      <c r="F2908">
        <v>63.9</v>
      </c>
      <c r="G2908">
        <v>1120</v>
      </c>
      <c r="H2908">
        <v>1570</v>
      </c>
      <c r="I2908">
        <v>1748</v>
      </c>
      <c r="J2908" s="11">
        <f t="shared" si="73"/>
        <v>2.7650000000000001</v>
      </c>
      <c r="K2908">
        <v>465</v>
      </c>
      <c r="L2908">
        <v>16.84</v>
      </c>
      <c r="M2908">
        <v>258.39999999999998</v>
      </c>
      <c r="N2908">
        <v>66.7</v>
      </c>
      <c r="O2908">
        <v>22.89</v>
      </c>
      <c r="P2908">
        <v>0.44</v>
      </c>
    </row>
    <row r="2909" spans="1:16">
      <c r="A2909" s="1" t="s">
        <v>2844</v>
      </c>
      <c r="B2909" s="1" t="s">
        <v>2934</v>
      </c>
      <c r="C2909" s="1" t="s">
        <v>18</v>
      </c>
      <c r="D2909" s="1" t="s">
        <v>19</v>
      </c>
      <c r="E2909" s="1" t="s">
        <v>2752</v>
      </c>
      <c r="F2909">
        <v>169.6</v>
      </c>
      <c r="G2909">
        <v>1700</v>
      </c>
      <c r="H2909">
        <v>1266</v>
      </c>
      <c r="I2909">
        <v>1774</v>
      </c>
      <c r="J2909" s="11">
        <f t="shared" si="73"/>
        <v>2.7650000000000001</v>
      </c>
      <c r="K2909">
        <v>446</v>
      </c>
      <c r="L2909">
        <v>18.600000000000001</v>
      </c>
      <c r="M2909">
        <v>257</v>
      </c>
      <c r="N2909">
        <v>86.2</v>
      </c>
      <c r="O2909">
        <v>29.7</v>
      </c>
      <c r="P2909">
        <v>0.48</v>
      </c>
    </row>
    <row r="2910" spans="1:16">
      <c r="A2910" s="1" t="s">
        <v>2844</v>
      </c>
      <c r="B2910" s="1" t="s">
        <v>2935</v>
      </c>
      <c r="C2910" s="1" t="s">
        <v>18</v>
      </c>
      <c r="D2910" s="1" t="s">
        <v>19</v>
      </c>
      <c r="E2910" s="1" t="s">
        <v>2752</v>
      </c>
      <c r="F2910">
        <v>67.900000000000006</v>
      </c>
      <c r="G2910">
        <v>1587</v>
      </c>
      <c r="H2910">
        <v>997</v>
      </c>
      <c r="I2910">
        <v>1764</v>
      </c>
      <c r="J2910" s="11">
        <f t="shared" si="73"/>
        <v>2.7650000000000001</v>
      </c>
      <c r="K2910">
        <v>484</v>
      </c>
      <c r="L2910">
        <v>16.5</v>
      </c>
      <c r="M2910">
        <v>256</v>
      </c>
      <c r="N2910">
        <v>81.3</v>
      </c>
      <c r="O2910">
        <v>28.6</v>
      </c>
      <c r="P2910">
        <v>0.63</v>
      </c>
    </row>
    <row r="2911" spans="1:16">
      <c r="A2911" s="1" t="s">
        <v>2844</v>
      </c>
      <c r="B2911" s="1" t="s">
        <v>2936</v>
      </c>
      <c r="C2911" s="1" t="s">
        <v>18</v>
      </c>
      <c r="D2911" s="1" t="s">
        <v>19</v>
      </c>
      <c r="E2911" s="1" t="s">
        <v>2752</v>
      </c>
      <c r="F2911">
        <v>106</v>
      </c>
      <c r="G2911">
        <v>1509</v>
      </c>
      <c r="H2911">
        <v>9100</v>
      </c>
      <c r="I2911">
        <v>1879</v>
      </c>
      <c r="J2911" s="11">
        <f t="shared" si="73"/>
        <v>2.7650000000000001</v>
      </c>
      <c r="K2911">
        <v>450</v>
      </c>
      <c r="L2911">
        <v>16.96</v>
      </c>
      <c r="M2911">
        <v>250.7</v>
      </c>
      <c r="N2911">
        <v>73.8</v>
      </c>
      <c r="O2911">
        <v>22.88</v>
      </c>
      <c r="P2911">
        <v>1.5</v>
      </c>
    </row>
    <row r="2912" spans="1:16">
      <c r="A2912" s="1" t="s">
        <v>2844</v>
      </c>
      <c r="B2912" s="1" t="s">
        <v>2937</v>
      </c>
      <c r="C2912" s="1" t="s">
        <v>18</v>
      </c>
      <c r="D2912" s="1" t="s">
        <v>19</v>
      </c>
      <c r="E2912" s="1" t="s">
        <v>2752</v>
      </c>
      <c r="F2912">
        <v>266</v>
      </c>
      <c r="G2912">
        <v>1872</v>
      </c>
      <c r="H2912">
        <v>1020</v>
      </c>
      <c r="I2912">
        <v>1777</v>
      </c>
      <c r="J2912" s="11">
        <f t="shared" si="73"/>
        <v>2.7650000000000001</v>
      </c>
      <c r="K2912">
        <v>450</v>
      </c>
      <c r="L2912">
        <v>21.2</v>
      </c>
      <c r="M2912">
        <v>262.5</v>
      </c>
      <c r="N2912">
        <v>83.5</v>
      </c>
      <c r="O2912">
        <v>30.6</v>
      </c>
      <c r="P2912">
        <v>0.43</v>
      </c>
    </row>
    <row r="2913" spans="1:16">
      <c r="A2913" s="1" t="s">
        <v>2844</v>
      </c>
      <c r="B2913" s="1" t="s">
        <v>2938</v>
      </c>
      <c r="C2913" s="1" t="s">
        <v>18</v>
      </c>
      <c r="D2913" s="1" t="s">
        <v>19</v>
      </c>
      <c r="E2913" s="1" t="s">
        <v>2752</v>
      </c>
      <c r="F2913">
        <v>178.2</v>
      </c>
      <c r="G2913">
        <v>2061</v>
      </c>
      <c r="H2913">
        <v>3580</v>
      </c>
      <c r="I2913">
        <v>1778</v>
      </c>
      <c r="J2913" s="11">
        <f t="shared" si="73"/>
        <v>2.7650000000000001</v>
      </c>
      <c r="K2913">
        <v>469</v>
      </c>
      <c r="L2913">
        <v>24.7</v>
      </c>
      <c r="M2913">
        <v>269.8</v>
      </c>
      <c r="N2913">
        <v>90.8</v>
      </c>
      <c r="O2913">
        <v>32.9</v>
      </c>
      <c r="P2913">
        <v>0.91</v>
      </c>
    </row>
    <row r="2914" spans="1:16">
      <c r="A2914" s="1" t="s">
        <v>2844</v>
      </c>
      <c r="B2914" s="1" t="s">
        <v>2939</v>
      </c>
      <c r="C2914" s="1" t="s">
        <v>18</v>
      </c>
      <c r="D2914" s="1" t="s">
        <v>19</v>
      </c>
      <c r="E2914" s="1" t="s">
        <v>2752</v>
      </c>
      <c r="F2914">
        <v>82.9</v>
      </c>
      <c r="G2914">
        <v>1556</v>
      </c>
      <c r="H2914">
        <v>2010</v>
      </c>
      <c r="I2914">
        <v>1732</v>
      </c>
      <c r="J2914" s="11">
        <f t="shared" si="73"/>
        <v>2.7650000000000001</v>
      </c>
      <c r="K2914">
        <v>448</v>
      </c>
      <c r="L2914">
        <v>19.899999999999999</v>
      </c>
      <c r="M2914">
        <v>265</v>
      </c>
      <c r="N2914">
        <v>86.6</v>
      </c>
      <c r="O2914">
        <v>28.67</v>
      </c>
      <c r="P2914">
        <v>0.64</v>
      </c>
    </row>
    <row r="2915" spans="1:16">
      <c r="A2915" s="1" t="s">
        <v>2844</v>
      </c>
      <c r="B2915" s="1" t="s">
        <v>2940</v>
      </c>
      <c r="C2915" s="1" t="s">
        <v>18</v>
      </c>
      <c r="D2915" s="1" t="s">
        <v>19</v>
      </c>
      <c r="E2915" s="1" t="s">
        <v>2752</v>
      </c>
      <c r="F2915">
        <v>195.9</v>
      </c>
      <c r="G2915">
        <v>1979</v>
      </c>
      <c r="H2915">
        <v>1369</v>
      </c>
      <c r="I2915">
        <v>1781</v>
      </c>
      <c r="J2915" s="11">
        <f t="shared" si="73"/>
        <v>2.7650000000000001</v>
      </c>
      <c r="K2915">
        <v>467</v>
      </c>
      <c r="L2915">
        <v>29.9</v>
      </c>
      <c r="M2915">
        <v>273</v>
      </c>
      <c r="N2915">
        <v>74.8</v>
      </c>
      <c r="O2915">
        <v>35.700000000000003</v>
      </c>
      <c r="P2915">
        <v>0.79</v>
      </c>
    </row>
    <row r="2916" spans="1:16">
      <c r="A2916" s="1" t="s">
        <v>2844</v>
      </c>
      <c r="B2916" s="1" t="s">
        <v>2941</v>
      </c>
      <c r="C2916" s="1" t="s">
        <v>18</v>
      </c>
      <c r="D2916" s="1" t="s">
        <v>19</v>
      </c>
      <c r="E2916" s="1" t="s">
        <v>2752</v>
      </c>
      <c r="F2916">
        <v>440</v>
      </c>
      <c r="G2916">
        <v>2155</v>
      </c>
      <c r="H2916">
        <v>4300</v>
      </c>
      <c r="I2916">
        <v>1793</v>
      </c>
      <c r="J2916" s="11">
        <f t="shared" si="73"/>
        <v>2.7650000000000001</v>
      </c>
      <c r="K2916">
        <v>595</v>
      </c>
      <c r="L2916">
        <v>43.6</v>
      </c>
      <c r="M2916">
        <v>277</v>
      </c>
      <c r="N2916">
        <v>93.7</v>
      </c>
      <c r="O2916">
        <v>42.7</v>
      </c>
      <c r="P2916">
        <v>1.48</v>
      </c>
    </row>
    <row r="2917" spans="1:16">
      <c r="A2917" s="1" t="s">
        <v>2844</v>
      </c>
      <c r="B2917" s="1" t="s">
        <v>2942</v>
      </c>
      <c r="C2917" s="1" t="s">
        <v>18</v>
      </c>
      <c r="D2917" s="1" t="s">
        <v>19</v>
      </c>
      <c r="E2917" s="1" t="s">
        <v>2752</v>
      </c>
      <c r="F2917">
        <v>224</v>
      </c>
      <c r="G2917">
        <v>1892</v>
      </c>
      <c r="H2917">
        <v>7700</v>
      </c>
      <c r="I2917">
        <v>1770</v>
      </c>
      <c r="J2917" s="11">
        <f t="shared" si="73"/>
        <v>2.7650000000000001</v>
      </c>
      <c r="K2917">
        <v>430</v>
      </c>
      <c r="L2917">
        <v>28.5</v>
      </c>
      <c r="M2917">
        <v>256.2</v>
      </c>
      <c r="N2917">
        <v>78.5</v>
      </c>
      <c r="O2917">
        <v>36.299999999999997</v>
      </c>
      <c r="P2917">
        <v>1.66</v>
      </c>
    </row>
    <row r="2918" spans="1:16">
      <c r="A2918" s="1" t="s">
        <v>2844</v>
      </c>
      <c r="B2918" s="1" t="s">
        <v>2943</v>
      </c>
      <c r="C2918" s="1" t="s">
        <v>18</v>
      </c>
      <c r="D2918" s="1" t="s">
        <v>19</v>
      </c>
      <c r="E2918" s="1" t="s">
        <v>2752</v>
      </c>
      <c r="F2918">
        <v>145.4</v>
      </c>
      <c r="G2918">
        <v>1691</v>
      </c>
      <c r="H2918">
        <v>1413</v>
      </c>
      <c r="I2918">
        <v>1723</v>
      </c>
      <c r="J2918" s="11">
        <f t="shared" si="73"/>
        <v>2.7650000000000001</v>
      </c>
      <c r="K2918">
        <v>432</v>
      </c>
      <c r="L2918">
        <v>24.4</v>
      </c>
      <c r="M2918">
        <v>262</v>
      </c>
      <c r="N2918">
        <v>64.8</v>
      </c>
      <c r="O2918">
        <v>32.6</v>
      </c>
      <c r="P2918">
        <v>0.48</v>
      </c>
    </row>
    <row r="2919" spans="1:16">
      <c r="A2919" s="1" t="s">
        <v>2844</v>
      </c>
      <c r="B2919" s="1" t="s">
        <v>2944</v>
      </c>
      <c r="C2919" s="1" t="s">
        <v>18</v>
      </c>
      <c r="D2919" s="1" t="s">
        <v>19</v>
      </c>
      <c r="E2919" s="1" t="s">
        <v>2752</v>
      </c>
      <c r="F2919">
        <v>232</v>
      </c>
      <c r="G2919">
        <v>2034</v>
      </c>
      <c r="H2919">
        <v>1534</v>
      </c>
      <c r="I2919">
        <v>1815</v>
      </c>
      <c r="J2919" s="11">
        <f t="shared" si="73"/>
        <v>2.7650000000000001</v>
      </c>
      <c r="K2919">
        <v>416</v>
      </c>
      <c r="L2919">
        <v>26.8</v>
      </c>
      <c r="M2919">
        <v>260</v>
      </c>
      <c r="N2919">
        <v>60.4</v>
      </c>
      <c r="O2919">
        <v>32.9</v>
      </c>
      <c r="P2919">
        <v>0.56999999999999995</v>
      </c>
    </row>
    <row r="2920" spans="1:16">
      <c r="A2920" s="1" t="s">
        <v>2844</v>
      </c>
      <c r="B2920" s="1" t="s">
        <v>2945</v>
      </c>
      <c r="C2920" s="1" t="s">
        <v>18</v>
      </c>
      <c r="D2920" s="1" t="s">
        <v>19</v>
      </c>
      <c r="E2920" s="1" t="s">
        <v>2752</v>
      </c>
      <c r="F2920">
        <v>431</v>
      </c>
      <c r="G2920">
        <v>1933</v>
      </c>
      <c r="H2920">
        <v>2290</v>
      </c>
      <c r="I2920">
        <v>1792</v>
      </c>
      <c r="J2920" s="11">
        <f t="shared" si="73"/>
        <v>2.7650000000000001</v>
      </c>
      <c r="K2920">
        <v>682</v>
      </c>
      <c r="L2920">
        <v>21.23</v>
      </c>
      <c r="M2920">
        <v>268.8</v>
      </c>
      <c r="N2920">
        <v>87.9</v>
      </c>
      <c r="O2920">
        <v>35.6</v>
      </c>
      <c r="P2920">
        <v>0.91</v>
      </c>
    </row>
    <row r="2921" spans="1:16">
      <c r="A2921" s="1" t="s">
        <v>2844</v>
      </c>
      <c r="B2921" s="1" t="s">
        <v>2946</v>
      </c>
      <c r="C2921" s="1" t="s">
        <v>18</v>
      </c>
      <c r="D2921" s="1" t="s">
        <v>19</v>
      </c>
      <c r="E2921" s="1" t="s">
        <v>2752</v>
      </c>
      <c r="F2921">
        <v>79.7</v>
      </c>
      <c r="G2921">
        <v>1642</v>
      </c>
      <c r="H2921">
        <v>2660</v>
      </c>
      <c r="I2921">
        <v>1803</v>
      </c>
      <c r="J2921" s="11">
        <f t="shared" si="73"/>
        <v>2.7650000000000001</v>
      </c>
      <c r="K2921">
        <v>489</v>
      </c>
      <c r="L2921">
        <v>18.14</v>
      </c>
      <c r="M2921">
        <v>262.7</v>
      </c>
      <c r="N2921">
        <v>52.9</v>
      </c>
      <c r="O2921">
        <v>28.4</v>
      </c>
      <c r="P2921">
        <v>0.4</v>
      </c>
    </row>
    <row r="2922" spans="1:16">
      <c r="A2922" s="1" t="s">
        <v>2844</v>
      </c>
      <c r="B2922" s="1" t="s">
        <v>2947</v>
      </c>
      <c r="C2922" s="1" t="s">
        <v>18</v>
      </c>
      <c r="D2922" s="1" t="s">
        <v>19</v>
      </c>
      <c r="E2922" s="1" t="s">
        <v>2752</v>
      </c>
      <c r="F2922">
        <v>39.200000000000003</v>
      </c>
      <c r="G2922">
        <v>814</v>
      </c>
      <c r="H2922">
        <v>414</v>
      </c>
      <c r="I2922">
        <v>1659</v>
      </c>
      <c r="J2922" s="11">
        <f t="shared" si="73"/>
        <v>2.7650000000000001</v>
      </c>
      <c r="K2922">
        <v>471</v>
      </c>
      <c r="L2922">
        <v>15.38</v>
      </c>
      <c r="M2922">
        <v>246.3</v>
      </c>
      <c r="N2922">
        <v>17</v>
      </c>
      <c r="O2922">
        <v>17.29</v>
      </c>
      <c r="P2922">
        <v>0.14000000000000001</v>
      </c>
    </row>
    <row r="2923" spans="1:16">
      <c r="A2923" s="1" t="s">
        <v>2844</v>
      </c>
      <c r="B2923" s="1" t="s">
        <v>2948</v>
      </c>
      <c r="C2923" s="1" t="s">
        <v>18</v>
      </c>
      <c r="D2923" s="1" t="s">
        <v>19</v>
      </c>
      <c r="E2923" s="1" t="s">
        <v>2752</v>
      </c>
      <c r="F2923">
        <v>189</v>
      </c>
      <c r="G2923">
        <v>1515</v>
      </c>
      <c r="H2923">
        <v>2780</v>
      </c>
      <c r="I2923">
        <v>1742</v>
      </c>
      <c r="J2923" s="11">
        <f t="shared" si="73"/>
        <v>2.7650000000000001</v>
      </c>
      <c r="K2923">
        <v>536</v>
      </c>
      <c r="L2923">
        <v>23.4</v>
      </c>
      <c r="M2923">
        <v>260</v>
      </c>
      <c r="N2923">
        <v>83.7</v>
      </c>
      <c r="O2923">
        <v>28.9</v>
      </c>
      <c r="P2923">
        <v>0.63</v>
      </c>
    </row>
    <row r="2924" spans="1:16">
      <c r="A2924" s="1" t="s">
        <v>2844</v>
      </c>
      <c r="B2924" s="1" t="s">
        <v>2949</v>
      </c>
      <c r="C2924" s="1" t="s">
        <v>18</v>
      </c>
      <c r="D2924" s="1" t="s">
        <v>19</v>
      </c>
      <c r="E2924" s="1" t="s">
        <v>2752</v>
      </c>
      <c r="F2924">
        <v>196.4</v>
      </c>
      <c r="G2924">
        <v>1866</v>
      </c>
      <c r="H2924">
        <v>3130</v>
      </c>
      <c r="I2924">
        <v>1767</v>
      </c>
      <c r="J2924" s="11">
        <f t="shared" si="73"/>
        <v>2.7650000000000001</v>
      </c>
      <c r="K2924">
        <v>399.3</v>
      </c>
      <c r="L2924">
        <v>31.8</v>
      </c>
      <c r="M2924">
        <v>268.39999999999998</v>
      </c>
      <c r="N2924">
        <v>47.3</v>
      </c>
      <c r="O2924">
        <v>32.299999999999997</v>
      </c>
      <c r="P2924">
        <v>0.91</v>
      </c>
    </row>
    <row r="2925" spans="1:16">
      <c r="A2925" s="1" t="s">
        <v>2844</v>
      </c>
      <c r="B2925" s="1" t="s">
        <v>2950</v>
      </c>
      <c r="C2925" s="1" t="s">
        <v>18</v>
      </c>
      <c r="D2925" s="1" t="s">
        <v>19</v>
      </c>
      <c r="E2925" s="1" t="s">
        <v>2752</v>
      </c>
      <c r="F2925">
        <v>109.4</v>
      </c>
      <c r="G2925">
        <v>1032</v>
      </c>
      <c r="H2925">
        <v>1640</v>
      </c>
      <c r="I2925">
        <v>1750</v>
      </c>
      <c r="J2925" s="11">
        <f t="shared" si="73"/>
        <v>2.7650000000000001</v>
      </c>
      <c r="K2925">
        <v>462</v>
      </c>
      <c r="L2925">
        <v>18.8</v>
      </c>
      <c r="M2925">
        <v>262</v>
      </c>
      <c r="N2925">
        <v>68.2</v>
      </c>
      <c r="O2925">
        <v>23.53</v>
      </c>
      <c r="P2925">
        <v>0.61</v>
      </c>
    </row>
    <row r="2926" spans="1:16">
      <c r="A2926" s="1" t="s">
        <v>2844</v>
      </c>
      <c r="B2926" s="1" t="s">
        <v>2951</v>
      </c>
      <c r="C2926" s="1" t="s">
        <v>18</v>
      </c>
      <c r="D2926" s="1" t="s">
        <v>19</v>
      </c>
      <c r="E2926" s="1" t="s">
        <v>2752</v>
      </c>
      <c r="F2926">
        <v>99</v>
      </c>
      <c r="G2926">
        <v>1827</v>
      </c>
      <c r="H2926">
        <v>851</v>
      </c>
      <c r="I2926">
        <v>1748</v>
      </c>
      <c r="J2926" s="11">
        <f t="shared" si="73"/>
        <v>2.7650000000000001</v>
      </c>
      <c r="K2926">
        <v>417.6</v>
      </c>
      <c r="L2926">
        <v>22.2</v>
      </c>
      <c r="M2926">
        <v>260.7</v>
      </c>
      <c r="N2926">
        <v>53.9</v>
      </c>
      <c r="O2926">
        <v>30.58</v>
      </c>
      <c r="P2926">
        <f>0.49/2</f>
        <v>0.245</v>
      </c>
    </row>
    <row r="2927" spans="1:16">
      <c r="A2927" s="1" t="s">
        <v>2844</v>
      </c>
      <c r="B2927" s="1" t="s">
        <v>2952</v>
      </c>
      <c r="C2927" s="1" t="s">
        <v>18</v>
      </c>
      <c r="D2927" s="1" t="s">
        <v>19</v>
      </c>
      <c r="E2927" s="1" t="s">
        <v>2752</v>
      </c>
      <c r="F2927">
        <v>74</v>
      </c>
      <c r="G2927">
        <v>1763</v>
      </c>
      <c r="H2927">
        <v>1213</v>
      </c>
      <c r="I2927">
        <v>1794</v>
      </c>
      <c r="J2927" s="11">
        <f t="shared" si="73"/>
        <v>2.7650000000000001</v>
      </c>
      <c r="K2927">
        <v>486</v>
      </c>
      <c r="L2927">
        <v>17.399999999999999</v>
      </c>
      <c r="M2927">
        <v>283</v>
      </c>
      <c r="N2927">
        <v>72.5</v>
      </c>
      <c r="O2927">
        <v>26.5</v>
      </c>
      <c r="P2927" s="11">
        <f>0.49/2</f>
        <v>0.245</v>
      </c>
    </row>
    <row r="2928" spans="1:16">
      <c r="A2928" s="1" t="s">
        <v>2844</v>
      </c>
      <c r="B2928" s="1" t="s">
        <v>2953</v>
      </c>
      <c r="C2928" s="1" t="s">
        <v>18</v>
      </c>
      <c r="D2928" s="1" t="s">
        <v>19</v>
      </c>
      <c r="E2928" s="1" t="s">
        <v>2752</v>
      </c>
      <c r="F2928">
        <v>159</v>
      </c>
      <c r="G2928">
        <v>1068</v>
      </c>
      <c r="H2928">
        <v>1490</v>
      </c>
      <c r="I2928">
        <v>1733</v>
      </c>
      <c r="J2928" s="11">
        <f t="shared" si="73"/>
        <v>2.7650000000000001</v>
      </c>
      <c r="K2928">
        <v>465</v>
      </c>
      <c r="L2928">
        <v>16.8</v>
      </c>
      <c r="M2928">
        <v>262</v>
      </c>
      <c r="N2928">
        <v>47.9</v>
      </c>
      <c r="O2928">
        <v>23.2</v>
      </c>
      <c r="P2928">
        <v>0.39</v>
      </c>
    </row>
    <row r="2929" spans="1:16">
      <c r="A2929" s="1" t="s">
        <v>2844</v>
      </c>
      <c r="B2929" s="1" t="s">
        <v>2954</v>
      </c>
      <c r="C2929" s="1" t="s">
        <v>18</v>
      </c>
      <c r="D2929" s="1" t="s">
        <v>19</v>
      </c>
      <c r="E2929" s="1" t="s">
        <v>2752</v>
      </c>
      <c r="F2929">
        <v>153.1</v>
      </c>
      <c r="G2929">
        <v>1479</v>
      </c>
      <c r="H2929">
        <v>2060</v>
      </c>
      <c r="I2929">
        <v>1767</v>
      </c>
      <c r="J2929" s="11">
        <f t="shared" si="73"/>
        <v>2.7650000000000001</v>
      </c>
      <c r="K2929">
        <v>460</v>
      </c>
      <c r="L2929">
        <v>24.3</v>
      </c>
      <c r="M2929">
        <v>273</v>
      </c>
      <c r="N2929">
        <v>72</v>
      </c>
      <c r="O2929">
        <v>30.7</v>
      </c>
      <c r="P2929">
        <v>0.71</v>
      </c>
    </row>
    <row r="2930" spans="1:16">
      <c r="A2930" s="1" t="s">
        <v>2844</v>
      </c>
      <c r="B2930" s="1" t="s">
        <v>2955</v>
      </c>
      <c r="C2930" s="1" t="s">
        <v>18</v>
      </c>
      <c r="D2930" s="1" t="s">
        <v>19</v>
      </c>
      <c r="E2930" s="1" t="s">
        <v>2752</v>
      </c>
      <c r="F2930">
        <v>290</v>
      </c>
      <c r="G2930">
        <v>1325</v>
      </c>
      <c r="H2930">
        <v>2090</v>
      </c>
      <c r="I2930">
        <v>1723</v>
      </c>
      <c r="J2930" s="11">
        <f t="shared" si="73"/>
        <v>2.7650000000000001</v>
      </c>
      <c r="K2930">
        <v>501</v>
      </c>
      <c r="L2930">
        <v>18.5</v>
      </c>
      <c r="M2930">
        <v>258.7</v>
      </c>
      <c r="N2930">
        <v>65.599999999999994</v>
      </c>
      <c r="O2930">
        <v>23.23</v>
      </c>
      <c r="P2930">
        <v>0.62</v>
      </c>
    </row>
    <row r="2931" spans="1:16">
      <c r="A2931" s="1" t="s">
        <v>2844</v>
      </c>
      <c r="B2931" s="1" t="s">
        <v>2956</v>
      </c>
      <c r="C2931" s="1" t="s">
        <v>18</v>
      </c>
      <c r="D2931" s="1" t="s">
        <v>19</v>
      </c>
      <c r="E2931" s="1" t="s">
        <v>2752</v>
      </c>
      <c r="F2931">
        <v>101</v>
      </c>
      <c r="G2931">
        <v>1039</v>
      </c>
      <c r="H2931">
        <v>1640</v>
      </c>
      <c r="I2931">
        <v>1763</v>
      </c>
      <c r="J2931" s="11">
        <f t="shared" si="73"/>
        <v>2.7650000000000001</v>
      </c>
      <c r="K2931">
        <v>437</v>
      </c>
      <c r="L2931">
        <v>23.2</v>
      </c>
      <c r="M2931">
        <v>276</v>
      </c>
      <c r="N2931">
        <v>63</v>
      </c>
      <c r="O2931">
        <v>26.04</v>
      </c>
      <c r="P2931">
        <v>0.73</v>
      </c>
    </row>
    <row r="2932" spans="1:16">
      <c r="A2932" s="1" t="s">
        <v>2844</v>
      </c>
      <c r="B2932" s="1" t="s">
        <v>2957</v>
      </c>
      <c r="C2932" s="1" t="s">
        <v>18</v>
      </c>
      <c r="D2932" s="1" t="s">
        <v>19</v>
      </c>
      <c r="E2932" s="1" t="s">
        <v>2752</v>
      </c>
      <c r="F2932">
        <v>68</v>
      </c>
      <c r="G2932">
        <v>682</v>
      </c>
      <c r="H2932">
        <v>1252</v>
      </c>
      <c r="I2932">
        <v>1756</v>
      </c>
      <c r="J2932" s="11">
        <f t="shared" si="73"/>
        <v>2.7650000000000001</v>
      </c>
      <c r="K2932">
        <v>564</v>
      </c>
      <c r="L2932">
        <v>19.399999999999999</v>
      </c>
      <c r="M2932">
        <v>265</v>
      </c>
      <c r="N2932">
        <v>16.600000000000001</v>
      </c>
      <c r="O2932">
        <v>23.5</v>
      </c>
      <c r="P2932">
        <v>0.43</v>
      </c>
    </row>
    <row r="2933" spans="1:16">
      <c r="A2933" s="1" t="s">
        <v>2958</v>
      </c>
      <c r="B2933" s="1" t="s">
        <v>2959</v>
      </c>
      <c r="C2933" s="1" t="s">
        <v>18</v>
      </c>
      <c r="D2933" s="1" t="s">
        <v>19</v>
      </c>
      <c r="E2933" s="1" t="s">
        <v>2752</v>
      </c>
      <c r="F2933">
        <v>219</v>
      </c>
      <c r="G2933">
        <v>1680</v>
      </c>
      <c r="H2933">
        <v>751</v>
      </c>
      <c r="I2933">
        <v>9910</v>
      </c>
      <c r="J2933" s="11">
        <f t="shared" si="73"/>
        <v>2.7650000000000001</v>
      </c>
      <c r="K2933">
        <v>370</v>
      </c>
      <c r="L2933">
        <v>21.3</v>
      </c>
      <c r="M2933">
        <v>326</v>
      </c>
      <c r="N2933">
        <v>10.199999999999999</v>
      </c>
      <c r="O2933">
        <v>36.4</v>
      </c>
      <c r="P2933" s="11">
        <f t="shared" ref="P2933:P2934" si="74">0.49/2</f>
        <v>0.245</v>
      </c>
    </row>
    <row r="2934" spans="1:16">
      <c r="A2934" s="1" t="s">
        <v>2958</v>
      </c>
      <c r="B2934" s="1" t="s">
        <v>2960</v>
      </c>
      <c r="C2934" s="1" t="s">
        <v>18</v>
      </c>
      <c r="D2934" s="1" t="s">
        <v>19</v>
      </c>
      <c r="E2934" s="1" t="s">
        <v>2752</v>
      </c>
      <c r="F2934">
        <v>265</v>
      </c>
      <c r="G2934">
        <v>2002</v>
      </c>
      <c r="H2934">
        <v>758</v>
      </c>
      <c r="I2934">
        <v>9850</v>
      </c>
      <c r="J2934">
        <v>15.4</v>
      </c>
      <c r="K2934">
        <v>232</v>
      </c>
      <c r="L2934">
        <v>27.2</v>
      </c>
      <c r="M2934">
        <v>335</v>
      </c>
      <c r="N2934">
        <v>7.5</v>
      </c>
      <c r="O2934">
        <v>44</v>
      </c>
      <c r="P2934" s="11">
        <f t="shared" si="74"/>
        <v>0.245</v>
      </c>
    </row>
    <row r="2935" spans="1:16">
      <c r="A2935" s="1" t="s">
        <v>2958</v>
      </c>
      <c r="B2935" s="1" t="s">
        <v>2961</v>
      </c>
      <c r="C2935" s="1" t="s">
        <v>18</v>
      </c>
      <c r="D2935" s="1" t="s">
        <v>19</v>
      </c>
      <c r="E2935" s="1" t="s">
        <v>2752</v>
      </c>
      <c r="F2935">
        <v>1750</v>
      </c>
      <c r="G2935">
        <v>3130</v>
      </c>
      <c r="H2935">
        <v>835</v>
      </c>
      <c r="I2935">
        <v>9650</v>
      </c>
      <c r="J2935">
        <v>2.5</v>
      </c>
      <c r="K2935">
        <v>298</v>
      </c>
      <c r="L2935">
        <v>29.3</v>
      </c>
      <c r="M2935">
        <v>327</v>
      </c>
      <c r="N2935">
        <v>9.3000000000000007</v>
      </c>
      <c r="O2935">
        <v>43.2</v>
      </c>
      <c r="P2935">
        <v>0.66</v>
      </c>
    </row>
    <row r="2936" spans="1:16">
      <c r="A2936" s="1" t="s">
        <v>2958</v>
      </c>
      <c r="B2936" s="1" t="s">
        <v>2962</v>
      </c>
      <c r="C2936" s="1" t="s">
        <v>18</v>
      </c>
      <c r="D2936" s="1" t="s">
        <v>19</v>
      </c>
      <c r="E2936" s="1" t="s">
        <v>2752</v>
      </c>
      <c r="F2936">
        <v>1188</v>
      </c>
      <c r="G2936">
        <v>2320</v>
      </c>
      <c r="H2936">
        <v>1405</v>
      </c>
      <c r="I2936">
        <v>9650</v>
      </c>
      <c r="J2936" s="11">
        <f t="shared" ref="J2936:J2938" si="75">5.53/2</f>
        <v>2.7650000000000001</v>
      </c>
      <c r="K2936">
        <v>253</v>
      </c>
      <c r="L2936">
        <v>23.6</v>
      </c>
      <c r="M2936">
        <v>317</v>
      </c>
      <c r="N2936">
        <v>10.1</v>
      </c>
      <c r="O2936">
        <v>46.9</v>
      </c>
      <c r="P2936">
        <v>0.53</v>
      </c>
    </row>
    <row r="2937" spans="1:16">
      <c r="A2937" s="1" t="s">
        <v>2958</v>
      </c>
      <c r="B2937" s="1" t="s">
        <v>2963</v>
      </c>
      <c r="C2937" s="1" t="s">
        <v>18</v>
      </c>
      <c r="D2937" s="1" t="s">
        <v>19</v>
      </c>
      <c r="E2937" s="1" t="s">
        <v>2752</v>
      </c>
      <c r="F2937">
        <v>740</v>
      </c>
      <c r="G2937">
        <v>3090</v>
      </c>
      <c r="H2937">
        <v>2590</v>
      </c>
      <c r="I2937">
        <v>9570</v>
      </c>
      <c r="J2937" s="11">
        <f t="shared" si="75"/>
        <v>2.7650000000000001</v>
      </c>
      <c r="K2937">
        <v>261</v>
      </c>
      <c r="L2937">
        <v>31</v>
      </c>
      <c r="M2937">
        <v>332</v>
      </c>
      <c r="N2937">
        <v>17.8</v>
      </c>
      <c r="O2937">
        <v>68.3</v>
      </c>
      <c r="P2937">
        <v>1.1599999999999999</v>
      </c>
    </row>
    <row r="2938" spans="1:16">
      <c r="A2938" s="1" t="s">
        <v>2958</v>
      </c>
      <c r="B2938" s="1" t="s">
        <v>2964</v>
      </c>
      <c r="C2938" s="1" t="s">
        <v>18</v>
      </c>
      <c r="D2938" s="1" t="s">
        <v>19</v>
      </c>
      <c r="E2938" s="1" t="s">
        <v>2752</v>
      </c>
      <c r="F2938">
        <v>1090</v>
      </c>
      <c r="G2938">
        <v>1606</v>
      </c>
      <c r="H2938">
        <v>1970</v>
      </c>
      <c r="I2938">
        <v>9560</v>
      </c>
      <c r="J2938" s="11">
        <f t="shared" si="75"/>
        <v>2.7650000000000001</v>
      </c>
      <c r="K2938">
        <v>539</v>
      </c>
      <c r="L2938">
        <v>18.399999999999999</v>
      </c>
      <c r="M2938">
        <v>298</v>
      </c>
      <c r="N2938">
        <v>14.8</v>
      </c>
      <c r="O2938">
        <v>29.5</v>
      </c>
      <c r="P2938">
        <v>0.47</v>
      </c>
    </row>
    <row r="2939" spans="1:16">
      <c r="A2939" s="1" t="s">
        <v>2958</v>
      </c>
      <c r="B2939" s="1" t="s">
        <v>2965</v>
      </c>
      <c r="C2939" s="1" t="s">
        <v>18</v>
      </c>
      <c r="D2939" s="1" t="s">
        <v>19</v>
      </c>
      <c r="E2939" s="1" t="s">
        <v>2752</v>
      </c>
      <c r="F2939">
        <v>280</v>
      </c>
      <c r="G2939">
        <v>2257</v>
      </c>
      <c r="H2939">
        <v>527</v>
      </c>
      <c r="I2939">
        <v>9530</v>
      </c>
      <c r="J2939">
        <v>10.4</v>
      </c>
      <c r="K2939">
        <v>336</v>
      </c>
      <c r="L2939">
        <v>22.1</v>
      </c>
      <c r="M2939">
        <v>274.5</v>
      </c>
      <c r="N2939">
        <v>12.1</v>
      </c>
      <c r="O2939">
        <v>52.6</v>
      </c>
      <c r="P2939" s="11">
        <f>0.49/2</f>
        <v>0.245</v>
      </c>
    </row>
    <row r="2940" spans="1:16">
      <c r="A2940" s="1" t="s">
        <v>2958</v>
      </c>
      <c r="B2940" s="1" t="s">
        <v>2966</v>
      </c>
      <c r="C2940" s="1" t="s">
        <v>18</v>
      </c>
      <c r="D2940" s="1" t="s">
        <v>19</v>
      </c>
      <c r="E2940" s="1" t="s">
        <v>2752</v>
      </c>
      <c r="F2940">
        <v>319</v>
      </c>
      <c r="G2940">
        <v>2593</v>
      </c>
      <c r="H2940">
        <v>2400</v>
      </c>
      <c r="I2940">
        <v>9510</v>
      </c>
      <c r="J2940">
        <v>18</v>
      </c>
      <c r="K2940">
        <v>329</v>
      </c>
      <c r="L2940">
        <v>29.6</v>
      </c>
      <c r="M2940">
        <v>257</v>
      </c>
      <c r="N2940">
        <v>39.1</v>
      </c>
      <c r="O2940">
        <v>45.4</v>
      </c>
      <c r="P2940">
        <v>0.84</v>
      </c>
    </row>
    <row r="2941" spans="1:16">
      <c r="A2941" s="1" t="s">
        <v>2958</v>
      </c>
      <c r="B2941" s="1" t="s">
        <v>2967</v>
      </c>
      <c r="C2941" s="1" t="s">
        <v>18</v>
      </c>
      <c r="D2941" s="1" t="s">
        <v>19</v>
      </c>
      <c r="E2941" s="1" t="s">
        <v>2752</v>
      </c>
      <c r="F2941">
        <v>369</v>
      </c>
      <c r="G2941">
        <v>2660</v>
      </c>
      <c r="H2941">
        <v>1395</v>
      </c>
      <c r="I2941">
        <v>9470</v>
      </c>
      <c r="J2941">
        <v>6.8</v>
      </c>
      <c r="K2941">
        <v>1089</v>
      </c>
      <c r="L2941">
        <v>19.899999999999999</v>
      </c>
      <c r="M2941">
        <v>281</v>
      </c>
      <c r="N2941">
        <v>26.8</v>
      </c>
      <c r="O2941">
        <v>52.4</v>
      </c>
      <c r="P2941">
        <v>0.43</v>
      </c>
    </row>
    <row r="2942" spans="1:16">
      <c r="A2942" s="1" t="s">
        <v>2958</v>
      </c>
      <c r="B2942" s="1" t="s">
        <v>2968</v>
      </c>
      <c r="C2942" s="1" t="s">
        <v>18</v>
      </c>
      <c r="D2942" s="1" t="s">
        <v>19</v>
      </c>
      <c r="E2942" s="1" t="s">
        <v>2752</v>
      </c>
      <c r="F2942">
        <v>176</v>
      </c>
      <c r="G2942">
        <v>2439</v>
      </c>
      <c r="H2942">
        <v>1362</v>
      </c>
      <c r="I2942">
        <v>9440</v>
      </c>
      <c r="J2942">
        <v>6.4</v>
      </c>
      <c r="K2942">
        <v>595</v>
      </c>
      <c r="L2942">
        <v>18.899999999999999</v>
      </c>
      <c r="M2942">
        <v>279</v>
      </c>
      <c r="N2942">
        <v>26.9</v>
      </c>
      <c r="O2942">
        <v>50.1</v>
      </c>
      <c r="P2942">
        <v>0.46</v>
      </c>
    </row>
    <row r="2943" spans="1:16">
      <c r="A2943" s="1" t="s">
        <v>2958</v>
      </c>
      <c r="B2943" s="1" t="s">
        <v>2969</v>
      </c>
      <c r="C2943" s="1" t="s">
        <v>18</v>
      </c>
      <c r="D2943" s="1" t="s">
        <v>19</v>
      </c>
      <c r="E2943" s="1" t="s">
        <v>2752</v>
      </c>
      <c r="F2943">
        <v>413</v>
      </c>
      <c r="G2943">
        <v>3400</v>
      </c>
      <c r="H2943">
        <v>1230</v>
      </c>
      <c r="I2943">
        <v>9410</v>
      </c>
      <c r="J2943">
        <v>13.8</v>
      </c>
      <c r="K2943">
        <v>402</v>
      </c>
      <c r="L2943">
        <v>30.1</v>
      </c>
      <c r="M2943">
        <v>293</v>
      </c>
      <c r="N2943">
        <v>48.6</v>
      </c>
      <c r="O2943">
        <v>62.8</v>
      </c>
      <c r="P2943">
        <v>0.39</v>
      </c>
    </row>
    <row r="2944" spans="1:16">
      <c r="A2944" s="1" t="s">
        <v>2958</v>
      </c>
      <c r="B2944" s="1" t="s">
        <v>2970</v>
      </c>
      <c r="C2944" s="1" t="s">
        <v>18</v>
      </c>
      <c r="D2944" s="1" t="s">
        <v>19</v>
      </c>
      <c r="E2944" s="1" t="s">
        <v>2752</v>
      </c>
      <c r="F2944">
        <v>298</v>
      </c>
      <c r="G2944">
        <v>2280</v>
      </c>
      <c r="H2944">
        <v>1052</v>
      </c>
      <c r="I2944">
        <v>9390</v>
      </c>
      <c r="J2944">
        <v>23.4</v>
      </c>
      <c r="K2944">
        <v>227</v>
      </c>
      <c r="L2944">
        <v>28.3</v>
      </c>
      <c r="M2944">
        <v>338</v>
      </c>
      <c r="N2944">
        <v>14.5</v>
      </c>
      <c r="O2944">
        <v>42.4</v>
      </c>
      <c r="P2944">
        <v>0.81</v>
      </c>
    </row>
    <row r="2945" spans="1:16">
      <c r="A2945" s="1" t="s">
        <v>2958</v>
      </c>
      <c r="B2945" s="1" t="s">
        <v>2971</v>
      </c>
      <c r="C2945" s="1" t="s">
        <v>18</v>
      </c>
      <c r="D2945" s="1" t="s">
        <v>19</v>
      </c>
      <c r="E2945" s="1" t="s">
        <v>2752</v>
      </c>
      <c r="F2945">
        <v>842</v>
      </c>
      <c r="G2945">
        <v>2204</v>
      </c>
      <c r="H2945">
        <v>2180</v>
      </c>
      <c r="I2945">
        <v>9390</v>
      </c>
      <c r="J2945">
        <v>9.6999999999999993</v>
      </c>
      <c r="K2945">
        <v>2250</v>
      </c>
      <c r="L2945">
        <v>19.5</v>
      </c>
      <c r="M2945">
        <v>277</v>
      </c>
      <c r="N2945">
        <v>39.200000000000003</v>
      </c>
      <c r="O2945">
        <v>57.4</v>
      </c>
      <c r="P2945" s="11">
        <f>0.49/2</f>
        <v>0.245</v>
      </c>
    </row>
    <row r="2946" spans="1:16">
      <c r="A2946" s="1" t="s">
        <v>2958</v>
      </c>
      <c r="B2946" s="1" t="s">
        <v>2972</v>
      </c>
      <c r="C2946" s="1" t="s">
        <v>18</v>
      </c>
      <c r="D2946" s="1" t="s">
        <v>19</v>
      </c>
      <c r="E2946" s="1" t="s">
        <v>2752</v>
      </c>
      <c r="F2946">
        <v>508</v>
      </c>
      <c r="G2946">
        <v>3680</v>
      </c>
      <c r="H2946">
        <v>1720</v>
      </c>
      <c r="I2946">
        <v>9390</v>
      </c>
      <c r="J2946">
        <v>17.8</v>
      </c>
      <c r="K2946">
        <v>250</v>
      </c>
      <c r="L2946">
        <v>31.3</v>
      </c>
      <c r="M2946">
        <v>263.8</v>
      </c>
      <c r="N2946">
        <v>62.5</v>
      </c>
      <c r="O2946">
        <v>60.4</v>
      </c>
      <c r="P2946">
        <v>0.77</v>
      </c>
    </row>
    <row r="2947" spans="1:16">
      <c r="A2947" s="1" t="s">
        <v>2958</v>
      </c>
      <c r="B2947" s="1" t="s">
        <v>2973</v>
      </c>
      <c r="C2947" s="1" t="s">
        <v>18</v>
      </c>
      <c r="D2947" s="1" t="s">
        <v>19</v>
      </c>
      <c r="E2947" s="1" t="s">
        <v>2752</v>
      </c>
      <c r="F2947">
        <v>135.30000000000001</v>
      </c>
      <c r="G2947">
        <v>719</v>
      </c>
      <c r="H2947">
        <v>609</v>
      </c>
      <c r="I2947">
        <v>9370</v>
      </c>
      <c r="J2947">
        <v>16.899999999999999</v>
      </c>
      <c r="K2947">
        <v>321</v>
      </c>
      <c r="L2947">
        <v>18.8</v>
      </c>
      <c r="M2947">
        <v>338</v>
      </c>
      <c r="N2947">
        <v>11.8</v>
      </c>
      <c r="O2947">
        <v>25.3</v>
      </c>
      <c r="P2947" s="11">
        <f t="shared" ref="P2947:P2948" si="76">0.49/2</f>
        <v>0.245</v>
      </c>
    </row>
    <row r="2948" spans="1:16">
      <c r="A2948" s="1" t="s">
        <v>2958</v>
      </c>
      <c r="B2948" s="1" t="s">
        <v>2974</v>
      </c>
      <c r="C2948" s="1" t="s">
        <v>18</v>
      </c>
      <c r="D2948" s="1" t="s">
        <v>19</v>
      </c>
      <c r="E2948" s="1" t="s">
        <v>2752</v>
      </c>
      <c r="F2948">
        <v>213.1</v>
      </c>
      <c r="G2948">
        <v>1619</v>
      </c>
      <c r="H2948">
        <v>650</v>
      </c>
      <c r="I2948">
        <v>9300</v>
      </c>
      <c r="J2948">
        <v>19.100000000000001</v>
      </c>
      <c r="K2948">
        <v>294</v>
      </c>
      <c r="L2948">
        <v>21.4</v>
      </c>
      <c r="M2948">
        <v>311</v>
      </c>
      <c r="N2948">
        <v>5.5</v>
      </c>
      <c r="O2948">
        <v>36.1</v>
      </c>
      <c r="P2948" s="11">
        <f t="shared" si="76"/>
        <v>0.245</v>
      </c>
    </row>
    <row r="2949" spans="1:16">
      <c r="A2949" s="1" t="s">
        <v>2958</v>
      </c>
      <c r="B2949" s="1" t="s">
        <v>2975</v>
      </c>
      <c r="C2949" s="1" t="s">
        <v>18</v>
      </c>
      <c r="D2949" s="1" t="s">
        <v>19</v>
      </c>
      <c r="E2949" s="1" t="s">
        <v>2752</v>
      </c>
      <c r="F2949">
        <v>657</v>
      </c>
      <c r="G2949">
        <v>3480</v>
      </c>
      <c r="H2949">
        <v>737</v>
      </c>
      <c r="I2949">
        <v>9300</v>
      </c>
      <c r="J2949" s="11">
        <f>5.53/2</f>
        <v>2.7650000000000001</v>
      </c>
      <c r="K2949">
        <v>279</v>
      </c>
      <c r="L2949">
        <v>29.5</v>
      </c>
      <c r="M2949">
        <v>326</v>
      </c>
      <c r="N2949">
        <v>19.7</v>
      </c>
      <c r="O2949">
        <v>60.9</v>
      </c>
      <c r="P2949">
        <v>0.67</v>
      </c>
    </row>
    <row r="2950" spans="1:16">
      <c r="A2950" s="1" t="s">
        <v>2958</v>
      </c>
      <c r="B2950" s="1" t="s">
        <v>2976</v>
      </c>
      <c r="C2950" s="1" t="s">
        <v>18</v>
      </c>
      <c r="D2950" s="1" t="s">
        <v>19</v>
      </c>
      <c r="E2950" s="1" t="s">
        <v>2752</v>
      </c>
      <c r="F2950">
        <v>381</v>
      </c>
      <c r="G2950">
        <v>2295</v>
      </c>
      <c r="H2950">
        <v>1520</v>
      </c>
      <c r="I2950">
        <v>9270</v>
      </c>
      <c r="J2950">
        <v>14.9</v>
      </c>
      <c r="K2950">
        <v>963</v>
      </c>
      <c r="L2950">
        <v>19.45</v>
      </c>
      <c r="M2950">
        <v>277</v>
      </c>
      <c r="N2950">
        <v>25.9</v>
      </c>
      <c r="O2950">
        <v>47.3</v>
      </c>
      <c r="P2950">
        <v>0.56999999999999995</v>
      </c>
    </row>
    <row r="2951" spans="1:16">
      <c r="A2951" s="1" t="s">
        <v>2958</v>
      </c>
      <c r="B2951" s="1" t="s">
        <v>2977</v>
      </c>
      <c r="C2951" s="1" t="s">
        <v>18</v>
      </c>
      <c r="D2951" s="1" t="s">
        <v>19</v>
      </c>
      <c r="E2951" s="1" t="s">
        <v>2752</v>
      </c>
      <c r="F2951">
        <v>149.5</v>
      </c>
      <c r="G2951">
        <v>443</v>
      </c>
      <c r="H2951">
        <v>446</v>
      </c>
      <c r="I2951">
        <v>9250</v>
      </c>
      <c r="J2951">
        <v>18.600000000000001</v>
      </c>
      <c r="K2951">
        <v>290</v>
      </c>
      <c r="L2951">
        <v>14.7</v>
      </c>
      <c r="M2951">
        <v>224</v>
      </c>
      <c r="N2951">
        <v>6.6</v>
      </c>
      <c r="O2951">
        <v>21.39</v>
      </c>
      <c r="P2951" s="11">
        <f>0.49/2</f>
        <v>0.245</v>
      </c>
    </row>
    <row r="2952" spans="1:16">
      <c r="A2952" s="1" t="s">
        <v>2958</v>
      </c>
      <c r="B2952" s="1" t="s">
        <v>2978</v>
      </c>
      <c r="C2952" s="1" t="s">
        <v>18</v>
      </c>
      <c r="D2952" s="1" t="s">
        <v>19</v>
      </c>
      <c r="E2952" s="1" t="s">
        <v>2752</v>
      </c>
      <c r="F2952">
        <v>592</v>
      </c>
      <c r="G2952">
        <v>3240</v>
      </c>
      <c r="H2952">
        <v>1350</v>
      </c>
      <c r="I2952">
        <v>9250</v>
      </c>
      <c r="J2952">
        <v>10.3</v>
      </c>
      <c r="K2952">
        <v>264</v>
      </c>
      <c r="L2952">
        <v>29.2</v>
      </c>
      <c r="M2952">
        <v>264</v>
      </c>
      <c r="N2952">
        <v>26.1</v>
      </c>
      <c r="O2952">
        <v>67.099999999999994</v>
      </c>
      <c r="P2952">
        <v>0.64</v>
      </c>
    </row>
    <row r="2953" spans="1:16">
      <c r="A2953" s="1" t="s">
        <v>2958</v>
      </c>
      <c r="B2953" s="1" t="s">
        <v>2979</v>
      </c>
      <c r="C2953" s="1" t="s">
        <v>18</v>
      </c>
      <c r="D2953" s="1" t="s">
        <v>19</v>
      </c>
      <c r="E2953" s="1" t="s">
        <v>2752</v>
      </c>
      <c r="F2953">
        <v>259</v>
      </c>
      <c r="G2953">
        <v>2230</v>
      </c>
      <c r="H2953">
        <v>606</v>
      </c>
      <c r="I2953">
        <v>9220</v>
      </c>
      <c r="J2953">
        <v>24.7</v>
      </c>
      <c r="K2953">
        <v>235</v>
      </c>
      <c r="L2953">
        <v>25.3</v>
      </c>
      <c r="M2953">
        <v>323</v>
      </c>
      <c r="N2953">
        <v>13.3</v>
      </c>
      <c r="O2953">
        <v>41.4</v>
      </c>
      <c r="P2953" s="11">
        <f>0.49/2</f>
        <v>0.245</v>
      </c>
    </row>
    <row r="2954" spans="1:16">
      <c r="A2954" s="1" t="s">
        <v>2958</v>
      </c>
      <c r="B2954" s="1" t="s">
        <v>2980</v>
      </c>
      <c r="C2954" s="1" t="s">
        <v>18</v>
      </c>
      <c r="D2954" s="1" t="s">
        <v>19</v>
      </c>
      <c r="E2954" s="1" t="s">
        <v>2752</v>
      </c>
      <c r="F2954">
        <v>138</v>
      </c>
      <c r="G2954">
        <v>1777</v>
      </c>
      <c r="H2954">
        <v>672</v>
      </c>
      <c r="I2954">
        <v>9220</v>
      </c>
      <c r="J2954" s="11">
        <f>5.53/2</f>
        <v>2.7650000000000001</v>
      </c>
      <c r="K2954">
        <v>1409</v>
      </c>
      <c r="L2954">
        <v>18</v>
      </c>
      <c r="M2954">
        <v>314</v>
      </c>
      <c r="N2954">
        <v>25.5</v>
      </c>
      <c r="O2954">
        <v>40.299999999999997</v>
      </c>
      <c r="P2954">
        <v>0.53</v>
      </c>
    </row>
    <row r="2955" spans="1:16">
      <c r="A2955" s="1" t="s">
        <v>2958</v>
      </c>
      <c r="B2955" s="1" t="s">
        <v>2981</v>
      </c>
      <c r="C2955" s="1" t="s">
        <v>18</v>
      </c>
      <c r="D2955" s="1" t="s">
        <v>19</v>
      </c>
      <c r="E2955" s="1" t="s">
        <v>2752</v>
      </c>
      <c r="F2955">
        <v>379</v>
      </c>
      <c r="G2955">
        <v>2603</v>
      </c>
      <c r="H2955">
        <v>1549</v>
      </c>
      <c r="I2955">
        <v>9210</v>
      </c>
      <c r="J2955">
        <v>9.9</v>
      </c>
      <c r="K2955">
        <v>512</v>
      </c>
      <c r="L2955">
        <v>23.8</v>
      </c>
      <c r="M2955">
        <v>271</v>
      </c>
      <c r="N2955">
        <v>25.2</v>
      </c>
      <c r="O2955">
        <v>60.6</v>
      </c>
      <c r="P2955">
        <v>0.42</v>
      </c>
    </row>
    <row r="2956" spans="1:16">
      <c r="A2956" s="1" t="s">
        <v>2958</v>
      </c>
      <c r="B2956" s="1" t="s">
        <v>2982</v>
      </c>
      <c r="C2956" s="1" t="s">
        <v>18</v>
      </c>
      <c r="D2956" s="1" t="s">
        <v>19</v>
      </c>
      <c r="E2956" s="1" t="s">
        <v>2752</v>
      </c>
      <c r="F2956">
        <v>336</v>
      </c>
      <c r="G2956">
        <v>2586</v>
      </c>
      <c r="H2956">
        <v>730</v>
      </c>
      <c r="I2956">
        <v>9190</v>
      </c>
      <c r="J2956">
        <v>17.3</v>
      </c>
      <c r="K2956">
        <v>352</v>
      </c>
      <c r="L2956">
        <v>25.9</v>
      </c>
      <c r="M2956">
        <v>263</v>
      </c>
      <c r="N2956">
        <v>12</v>
      </c>
      <c r="O2956">
        <v>53.3</v>
      </c>
      <c r="P2956" s="11">
        <f>0.49/2</f>
        <v>0.245</v>
      </c>
    </row>
    <row r="2957" spans="1:16">
      <c r="A2957" s="1" t="s">
        <v>2958</v>
      </c>
      <c r="B2957" s="1" t="s">
        <v>2983</v>
      </c>
      <c r="C2957" s="1" t="s">
        <v>18</v>
      </c>
      <c r="D2957" s="1" t="s">
        <v>19</v>
      </c>
      <c r="E2957" s="1" t="s">
        <v>2752</v>
      </c>
      <c r="F2957">
        <v>187</v>
      </c>
      <c r="G2957">
        <v>1627</v>
      </c>
      <c r="H2957">
        <v>541</v>
      </c>
      <c r="I2957">
        <v>9170</v>
      </c>
      <c r="J2957">
        <v>13.5</v>
      </c>
      <c r="K2957">
        <v>312</v>
      </c>
      <c r="L2957">
        <v>19.899999999999999</v>
      </c>
      <c r="M2957">
        <v>323</v>
      </c>
      <c r="N2957">
        <v>9.8000000000000007</v>
      </c>
      <c r="O2957">
        <v>34.299999999999997</v>
      </c>
      <c r="P2957">
        <v>0.38</v>
      </c>
    </row>
    <row r="2958" spans="1:16">
      <c r="A2958" s="1" t="s">
        <v>2958</v>
      </c>
      <c r="B2958" s="1" t="s">
        <v>2984</v>
      </c>
      <c r="C2958" s="1" t="s">
        <v>18</v>
      </c>
      <c r="D2958" s="1" t="s">
        <v>19</v>
      </c>
      <c r="E2958" s="1" t="s">
        <v>2752</v>
      </c>
      <c r="F2958">
        <v>213.9</v>
      </c>
      <c r="G2958">
        <v>2182</v>
      </c>
      <c r="H2958">
        <v>934</v>
      </c>
      <c r="I2958">
        <v>9170</v>
      </c>
      <c r="J2958">
        <v>10.199999999999999</v>
      </c>
      <c r="K2958">
        <v>388</v>
      </c>
      <c r="L2958">
        <v>17.600000000000001</v>
      </c>
      <c r="M2958">
        <v>275</v>
      </c>
      <c r="N2958">
        <v>8.9</v>
      </c>
      <c r="O2958">
        <v>43.4</v>
      </c>
      <c r="P2958">
        <v>0.35</v>
      </c>
    </row>
    <row r="2959" spans="1:16">
      <c r="A2959" s="1" t="s">
        <v>2958</v>
      </c>
      <c r="B2959" s="1" t="s">
        <v>2985</v>
      </c>
      <c r="C2959" s="1" t="s">
        <v>18</v>
      </c>
      <c r="D2959" s="1" t="s">
        <v>19</v>
      </c>
      <c r="E2959" s="1" t="s">
        <v>2752</v>
      </c>
      <c r="F2959">
        <v>6340</v>
      </c>
      <c r="G2959">
        <v>16380</v>
      </c>
      <c r="H2959">
        <v>665</v>
      </c>
      <c r="I2959">
        <v>9160</v>
      </c>
      <c r="J2959">
        <v>16.2</v>
      </c>
      <c r="K2959">
        <v>969</v>
      </c>
      <c r="L2959">
        <v>16.899999999999999</v>
      </c>
      <c r="M2959">
        <v>264</v>
      </c>
      <c r="N2959">
        <v>39</v>
      </c>
      <c r="O2959">
        <v>29.7</v>
      </c>
      <c r="P2959">
        <v>0.18</v>
      </c>
    </row>
    <row r="2960" spans="1:16">
      <c r="A2960" s="1" t="s">
        <v>2958</v>
      </c>
      <c r="B2960" s="1" t="s">
        <v>2986</v>
      </c>
      <c r="C2960" s="1" t="s">
        <v>18</v>
      </c>
      <c r="D2960" s="1" t="s">
        <v>19</v>
      </c>
      <c r="E2960" s="1" t="s">
        <v>2752</v>
      </c>
      <c r="F2960">
        <v>306</v>
      </c>
      <c r="G2960">
        <v>2430</v>
      </c>
      <c r="H2960">
        <v>1162</v>
      </c>
      <c r="I2960">
        <v>9160</v>
      </c>
      <c r="J2960">
        <v>23.1</v>
      </c>
      <c r="K2960">
        <v>346</v>
      </c>
      <c r="L2960">
        <v>25.6</v>
      </c>
      <c r="M2960">
        <v>267</v>
      </c>
      <c r="N2960">
        <v>27.3</v>
      </c>
      <c r="O2960">
        <v>49.3</v>
      </c>
      <c r="P2960">
        <v>0.63</v>
      </c>
    </row>
    <row r="2961" spans="1:16">
      <c r="A2961" s="1" t="s">
        <v>2958</v>
      </c>
      <c r="B2961" s="1" t="s">
        <v>2987</v>
      </c>
      <c r="C2961" s="1" t="s">
        <v>18</v>
      </c>
      <c r="D2961" s="1" t="s">
        <v>19</v>
      </c>
      <c r="E2961" s="1" t="s">
        <v>2752</v>
      </c>
      <c r="F2961">
        <v>421</v>
      </c>
      <c r="G2961">
        <v>3310</v>
      </c>
      <c r="H2961">
        <v>1580</v>
      </c>
      <c r="I2961">
        <v>9130</v>
      </c>
      <c r="J2961">
        <v>10</v>
      </c>
      <c r="K2961">
        <v>274</v>
      </c>
      <c r="L2961">
        <v>32.799999999999997</v>
      </c>
      <c r="M2961">
        <v>264</v>
      </c>
      <c r="N2961">
        <v>45.8</v>
      </c>
      <c r="O2961">
        <v>58.2</v>
      </c>
      <c r="P2961">
        <v>0.6</v>
      </c>
    </row>
    <row r="2962" spans="1:16">
      <c r="A2962" s="1" t="s">
        <v>2958</v>
      </c>
      <c r="B2962" s="1" t="s">
        <v>2988</v>
      </c>
      <c r="C2962" s="1" t="s">
        <v>18</v>
      </c>
      <c r="D2962" s="1" t="s">
        <v>19</v>
      </c>
      <c r="E2962" s="1" t="s">
        <v>2752</v>
      </c>
      <c r="F2962">
        <v>329</v>
      </c>
      <c r="G2962">
        <v>2620</v>
      </c>
      <c r="H2962">
        <v>3870</v>
      </c>
      <c r="I2962">
        <v>9120</v>
      </c>
      <c r="J2962">
        <v>10.3</v>
      </c>
      <c r="K2962">
        <v>939</v>
      </c>
      <c r="L2962">
        <v>26.9</v>
      </c>
      <c r="M2962">
        <v>263</v>
      </c>
      <c r="N2962">
        <v>63.4</v>
      </c>
      <c r="O2962">
        <v>64.7</v>
      </c>
      <c r="P2962">
        <v>0.56000000000000005</v>
      </c>
    </row>
    <row r="2963" spans="1:16">
      <c r="A2963" s="1" t="s">
        <v>2958</v>
      </c>
      <c r="B2963" s="1" t="s">
        <v>2989</v>
      </c>
      <c r="C2963" s="1" t="s">
        <v>18</v>
      </c>
      <c r="D2963" s="1" t="s">
        <v>19</v>
      </c>
      <c r="E2963" s="1" t="s">
        <v>2752</v>
      </c>
      <c r="F2963">
        <v>1036</v>
      </c>
      <c r="G2963">
        <v>272</v>
      </c>
      <c r="H2963">
        <v>805</v>
      </c>
      <c r="I2963">
        <v>6590</v>
      </c>
      <c r="J2963">
        <v>13.7</v>
      </c>
      <c r="K2963">
        <v>318</v>
      </c>
      <c r="L2963">
        <v>12.1</v>
      </c>
      <c r="M2963">
        <v>259</v>
      </c>
      <c r="N2963">
        <v>16.7</v>
      </c>
      <c r="O2963">
        <v>43.6</v>
      </c>
      <c r="P2963">
        <v>0.31</v>
      </c>
    </row>
    <row r="2964" spans="1:16">
      <c r="A2964" s="1" t="s">
        <v>2958</v>
      </c>
      <c r="B2964" s="1" t="s">
        <v>2990</v>
      </c>
      <c r="C2964" s="1" t="s">
        <v>18</v>
      </c>
      <c r="D2964" s="1" t="s">
        <v>19</v>
      </c>
      <c r="E2964" s="1" t="s">
        <v>2752</v>
      </c>
      <c r="F2964">
        <v>1600</v>
      </c>
      <c r="G2964">
        <v>211</v>
      </c>
      <c r="H2964">
        <v>352</v>
      </c>
      <c r="I2964">
        <v>6020</v>
      </c>
      <c r="J2964" s="11">
        <f>5.53/2</f>
        <v>2.7650000000000001</v>
      </c>
      <c r="K2964">
        <v>907</v>
      </c>
      <c r="L2964">
        <v>25.9</v>
      </c>
      <c r="M2964">
        <v>342</v>
      </c>
      <c r="N2964">
        <v>26.6</v>
      </c>
      <c r="O2964">
        <v>37.799999999999997</v>
      </c>
      <c r="P2964">
        <v>0.22</v>
      </c>
    </row>
    <row r="2965" spans="1:16">
      <c r="A2965" s="1" t="s">
        <v>2958</v>
      </c>
      <c r="B2965" s="1" t="s">
        <v>2991</v>
      </c>
      <c r="C2965" s="1" t="s">
        <v>18</v>
      </c>
      <c r="D2965" s="1" t="s">
        <v>19</v>
      </c>
      <c r="E2965" s="1" t="s">
        <v>2752</v>
      </c>
      <c r="F2965">
        <v>1250</v>
      </c>
      <c r="G2965">
        <v>195</v>
      </c>
      <c r="H2965">
        <v>385</v>
      </c>
      <c r="I2965">
        <v>6050</v>
      </c>
      <c r="J2965">
        <v>8.8000000000000007</v>
      </c>
      <c r="K2965">
        <v>887</v>
      </c>
      <c r="L2965">
        <v>23.2</v>
      </c>
      <c r="M2965">
        <v>319</v>
      </c>
      <c r="N2965">
        <v>18.100000000000001</v>
      </c>
      <c r="O2965">
        <v>38.299999999999997</v>
      </c>
      <c r="P2965" s="11">
        <f t="shared" ref="P2965:P2981" si="77">0.49/2</f>
        <v>0.245</v>
      </c>
    </row>
    <row r="2966" spans="1:16">
      <c r="A2966" s="1" t="s">
        <v>2958</v>
      </c>
      <c r="B2966" s="1" t="s">
        <v>2992</v>
      </c>
      <c r="C2966" s="1" t="s">
        <v>18</v>
      </c>
      <c r="D2966" s="1" t="s">
        <v>19</v>
      </c>
      <c r="E2966" s="1" t="s">
        <v>2752</v>
      </c>
      <c r="F2966">
        <v>8340</v>
      </c>
      <c r="G2966">
        <v>571</v>
      </c>
      <c r="H2966">
        <v>438</v>
      </c>
      <c r="I2966">
        <v>6150</v>
      </c>
      <c r="J2966" s="11">
        <f>5.53/2</f>
        <v>2.7650000000000001</v>
      </c>
      <c r="K2966">
        <v>1316</v>
      </c>
      <c r="L2966">
        <v>118</v>
      </c>
      <c r="M2966">
        <v>338</v>
      </c>
      <c r="N2966">
        <v>23.8</v>
      </c>
      <c r="O2966">
        <v>39.700000000000003</v>
      </c>
      <c r="P2966" s="11">
        <f t="shared" si="77"/>
        <v>0.245</v>
      </c>
    </row>
    <row r="2967" spans="1:16">
      <c r="A2967" s="1" t="s">
        <v>2958</v>
      </c>
      <c r="B2967" s="1" t="s">
        <v>2993</v>
      </c>
      <c r="C2967" s="1" t="s">
        <v>18</v>
      </c>
      <c r="D2967" s="1" t="s">
        <v>19</v>
      </c>
      <c r="E2967" s="1" t="s">
        <v>2752</v>
      </c>
      <c r="F2967">
        <v>1390</v>
      </c>
      <c r="G2967">
        <v>206</v>
      </c>
      <c r="H2967">
        <v>429</v>
      </c>
      <c r="I2967">
        <v>6180</v>
      </c>
      <c r="J2967">
        <v>5.5</v>
      </c>
      <c r="K2967">
        <v>956</v>
      </c>
      <c r="L2967">
        <v>35.4</v>
      </c>
      <c r="M2967">
        <v>313</v>
      </c>
      <c r="N2967">
        <v>21.4</v>
      </c>
      <c r="O2967">
        <v>40.700000000000003</v>
      </c>
      <c r="P2967" s="11">
        <f t="shared" si="77"/>
        <v>0.245</v>
      </c>
    </row>
    <row r="2968" spans="1:16">
      <c r="A2968" s="1" t="s">
        <v>2958</v>
      </c>
      <c r="B2968" s="1" t="s">
        <v>2994</v>
      </c>
      <c r="C2968" s="1" t="s">
        <v>18</v>
      </c>
      <c r="D2968" s="1" t="s">
        <v>19</v>
      </c>
      <c r="E2968" s="1" t="s">
        <v>2752</v>
      </c>
      <c r="F2968">
        <v>454</v>
      </c>
      <c r="G2968">
        <v>154.4</v>
      </c>
      <c r="H2968">
        <v>513</v>
      </c>
      <c r="I2968">
        <v>6470</v>
      </c>
      <c r="J2968" s="11">
        <f>5.53/2</f>
        <v>2.7650000000000001</v>
      </c>
      <c r="K2968">
        <v>1628</v>
      </c>
      <c r="L2968">
        <v>259</v>
      </c>
      <c r="M2968">
        <v>269</v>
      </c>
      <c r="N2968">
        <v>18</v>
      </c>
      <c r="O2968">
        <v>41.3</v>
      </c>
      <c r="P2968" s="11">
        <f t="shared" si="77"/>
        <v>0.245</v>
      </c>
    </row>
    <row r="2969" spans="1:16">
      <c r="A2969" s="1" t="s">
        <v>2958</v>
      </c>
      <c r="B2969" s="1" t="s">
        <v>2995</v>
      </c>
      <c r="C2969" s="1" t="s">
        <v>18</v>
      </c>
      <c r="D2969" s="1" t="s">
        <v>19</v>
      </c>
      <c r="E2969" s="1" t="s">
        <v>2752</v>
      </c>
      <c r="F2969">
        <v>891</v>
      </c>
      <c r="G2969">
        <v>241</v>
      </c>
      <c r="H2969">
        <v>740</v>
      </c>
      <c r="I2969">
        <v>6550</v>
      </c>
      <c r="J2969">
        <v>17.899999999999999</v>
      </c>
      <c r="K2969">
        <v>702</v>
      </c>
      <c r="L2969">
        <v>22.6</v>
      </c>
      <c r="M2969">
        <v>268</v>
      </c>
      <c r="N2969">
        <v>27.4</v>
      </c>
      <c r="O2969">
        <v>42.9</v>
      </c>
      <c r="P2969" s="11">
        <f t="shared" si="77"/>
        <v>0.245</v>
      </c>
    </row>
    <row r="2970" spans="1:16">
      <c r="A2970" s="1" t="s">
        <v>2958</v>
      </c>
      <c r="B2970" s="1" t="s">
        <v>2996</v>
      </c>
      <c r="C2970" s="1" t="s">
        <v>18</v>
      </c>
      <c r="D2970" s="1" t="s">
        <v>19</v>
      </c>
      <c r="E2970" s="1" t="s">
        <v>2752</v>
      </c>
      <c r="F2970">
        <v>1516</v>
      </c>
      <c r="G2970">
        <v>410</v>
      </c>
      <c r="H2970">
        <v>776</v>
      </c>
      <c r="I2970">
        <v>6810</v>
      </c>
      <c r="J2970">
        <v>11.3</v>
      </c>
      <c r="K2970">
        <v>383</v>
      </c>
      <c r="L2970">
        <v>15.9</v>
      </c>
      <c r="M2970">
        <v>280</v>
      </c>
      <c r="N2970">
        <v>17.100000000000001</v>
      </c>
      <c r="O2970">
        <v>52.7</v>
      </c>
      <c r="P2970" s="11">
        <f t="shared" si="77"/>
        <v>0.245</v>
      </c>
    </row>
    <row r="2971" spans="1:16">
      <c r="A2971" s="1" t="s">
        <v>2958</v>
      </c>
      <c r="B2971" s="1" t="s">
        <v>2997</v>
      </c>
      <c r="C2971" s="1" t="s">
        <v>18</v>
      </c>
      <c r="D2971" s="1" t="s">
        <v>19</v>
      </c>
      <c r="E2971" s="1" t="s">
        <v>2752</v>
      </c>
      <c r="F2971">
        <v>645</v>
      </c>
      <c r="G2971">
        <v>201.2</v>
      </c>
      <c r="H2971">
        <v>549</v>
      </c>
      <c r="I2971">
        <v>6500</v>
      </c>
      <c r="J2971">
        <v>17.2</v>
      </c>
      <c r="K2971">
        <v>568</v>
      </c>
      <c r="L2971">
        <v>15.9</v>
      </c>
      <c r="M2971">
        <v>247.6</v>
      </c>
      <c r="N2971">
        <v>17.8</v>
      </c>
      <c r="O2971">
        <v>40.5</v>
      </c>
      <c r="P2971" s="11">
        <f t="shared" si="77"/>
        <v>0.245</v>
      </c>
    </row>
    <row r="2972" spans="1:16">
      <c r="A2972" s="1" t="s">
        <v>2958</v>
      </c>
      <c r="B2972" s="1" t="s">
        <v>2998</v>
      </c>
      <c r="C2972" s="1" t="s">
        <v>18</v>
      </c>
      <c r="D2972" s="1" t="s">
        <v>19</v>
      </c>
      <c r="E2972" s="1" t="s">
        <v>2752</v>
      </c>
      <c r="F2972">
        <v>271</v>
      </c>
      <c r="G2972">
        <v>136.6</v>
      </c>
      <c r="H2972">
        <v>418</v>
      </c>
      <c r="I2972">
        <v>6270</v>
      </c>
      <c r="J2972">
        <v>5.9</v>
      </c>
      <c r="K2972">
        <v>1090</v>
      </c>
      <c r="L2972">
        <v>77.2</v>
      </c>
      <c r="M2972">
        <v>292</v>
      </c>
      <c r="N2972">
        <v>18.3</v>
      </c>
      <c r="O2972">
        <v>39.1</v>
      </c>
      <c r="P2972" s="11">
        <f t="shared" si="77"/>
        <v>0.245</v>
      </c>
    </row>
    <row r="2973" spans="1:16">
      <c r="A2973" s="1" t="s">
        <v>2958</v>
      </c>
      <c r="B2973" s="1" t="s">
        <v>2999</v>
      </c>
      <c r="C2973" s="1" t="s">
        <v>18</v>
      </c>
      <c r="D2973" s="1" t="s">
        <v>19</v>
      </c>
      <c r="E2973" s="1" t="s">
        <v>2752</v>
      </c>
      <c r="F2973">
        <v>1730</v>
      </c>
      <c r="G2973">
        <v>195</v>
      </c>
      <c r="H2973">
        <v>290</v>
      </c>
      <c r="I2973">
        <v>5720</v>
      </c>
      <c r="J2973" s="11">
        <f t="shared" ref="J2973:J2974" si="78">5.53/2</f>
        <v>2.7650000000000001</v>
      </c>
      <c r="K2973">
        <v>1258</v>
      </c>
      <c r="L2973">
        <v>95.5</v>
      </c>
      <c r="M2973">
        <v>402</v>
      </c>
      <c r="N2973">
        <v>20</v>
      </c>
      <c r="O2973">
        <v>36.9</v>
      </c>
      <c r="P2973" s="11">
        <f t="shared" si="77"/>
        <v>0.245</v>
      </c>
    </row>
    <row r="2974" spans="1:16">
      <c r="A2974" s="1" t="s">
        <v>2958</v>
      </c>
      <c r="B2974" s="1" t="s">
        <v>3000</v>
      </c>
      <c r="C2974" s="1" t="s">
        <v>18</v>
      </c>
      <c r="D2974" s="1" t="s">
        <v>19</v>
      </c>
      <c r="E2974" s="1" t="s">
        <v>2752</v>
      </c>
      <c r="F2974">
        <v>5880</v>
      </c>
      <c r="G2974">
        <v>397</v>
      </c>
      <c r="H2974">
        <v>342</v>
      </c>
      <c r="I2974">
        <v>5810</v>
      </c>
      <c r="J2974" s="11">
        <f t="shared" si="78"/>
        <v>2.7650000000000001</v>
      </c>
      <c r="K2974">
        <v>1229</v>
      </c>
      <c r="L2974">
        <v>95</v>
      </c>
      <c r="M2974">
        <v>385</v>
      </c>
      <c r="N2974">
        <v>26.1</v>
      </c>
      <c r="O2974">
        <v>37.5</v>
      </c>
      <c r="P2974" s="11">
        <f t="shared" si="77"/>
        <v>0.245</v>
      </c>
    </row>
    <row r="2975" spans="1:16">
      <c r="A2975" s="1" t="s">
        <v>2958</v>
      </c>
      <c r="B2975" s="1" t="s">
        <v>3001</v>
      </c>
      <c r="C2975" s="1" t="s">
        <v>18</v>
      </c>
      <c r="D2975" s="1" t="s">
        <v>19</v>
      </c>
      <c r="E2975" s="1" t="s">
        <v>2752</v>
      </c>
      <c r="F2975">
        <v>397</v>
      </c>
      <c r="G2975">
        <v>113.8</v>
      </c>
      <c r="H2975">
        <v>307</v>
      </c>
      <c r="I2975">
        <v>5890</v>
      </c>
      <c r="J2975">
        <v>10</v>
      </c>
      <c r="K2975">
        <v>912</v>
      </c>
      <c r="L2975">
        <v>36</v>
      </c>
      <c r="M2975">
        <v>345</v>
      </c>
      <c r="N2975">
        <v>15.4</v>
      </c>
      <c r="O2975">
        <v>36.799999999999997</v>
      </c>
      <c r="P2975" s="11">
        <f t="shared" si="77"/>
        <v>0.245</v>
      </c>
    </row>
    <row r="2976" spans="1:16">
      <c r="A2976" s="1" t="s">
        <v>2958</v>
      </c>
      <c r="B2976" s="1" t="s">
        <v>3002</v>
      </c>
      <c r="C2976" s="1" t="s">
        <v>18</v>
      </c>
      <c r="D2976" s="1" t="s">
        <v>19</v>
      </c>
      <c r="E2976" s="1" t="s">
        <v>2752</v>
      </c>
      <c r="F2976">
        <v>5240</v>
      </c>
      <c r="G2976">
        <v>381</v>
      </c>
      <c r="H2976">
        <v>461</v>
      </c>
      <c r="I2976">
        <v>6000</v>
      </c>
      <c r="J2976">
        <v>9.9</v>
      </c>
      <c r="K2976">
        <v>962</v>
      </c>
      <c r="L2976">
        <v>29.2</v>
      </c>
      <c r="M2976">
        <v>332</v>
      </c>
      <c r="N2976">
        <v>26.1</v>
      </c>
      <c r="O2976">
        <v>39.799999999999997</v>
      </c>
      <c r="P2976" s="11">
        <f t="shared" si="77"/>
        <v>0.245</v>
      </c>
    </row>
    <row r="2977" spans="1:16">
      <c r="A2977" s="1" t="s">
        <v>2958</v>
      </c>
      <c r="B2977" s="1" t="s">
        <v>3003</v>
      </c>
      <c r="C2977" s="1" t="s">
        <v>18</v>
      </c>
      <c r="D2977" s="1" t="s">
        <v>19</v>
      </c>
      <c r="E2977" s="1" t="s">
        <v>2752</v>
      </c>
      <c r="F2977">
        <v>870</v>
      </c>
      <c r="G2977">
        <v>174</v>
      </c>
      <c r="H2977">
        <v>486</v>
      </c>
      <c r="I2977">
        <v>6470</v>
      </c>
      <c r="J2977">
        <v>18.7</v>
      </c>
      <c r="K2977">
        <v>604</v>
      </c>
      <c r="L2977">
        <v>25.6</v>
      </c>
      <c r="M2977">
        <v>264</v>
      </c>
      <c r="N2977">
        <v>15.2</v>
      </c>
      <c r="O2977">
        <v>42.9</v>
      </c>
      <c r="P2977" s="11">
        <f t="shared" si="77"/>
        <v>0.245</v>
      </c>
    </row>
    <row r="2978" spans="1:16">
      <c r="A2978" s="1" t="s">
        <v>2958</v>
      </c>
      <c r="B2978" s="1" t="s">
        <v>3004</v>
      </c>
      <c r="C2978" s="1" t="s">
        <v>18</v>
      </c>
      <c r="D2978" s="1" t="s">
        <v>19</v>
      </c>
      <c r="E2978" s="1" t="s">
        <v>2752</v>
      </c>
      <c r="F2978">
        <v>414</v>
      </c>
      <c r="G2978">
        <v>168.6</v>
      </c>
      <c r="H2978">
        <v>472</v>
      </c>
      <c r="I2978">
        <v>6400</v>
      </c>
      <c r="J2978">
        <v>16</v>
      </c>
      <c r="K2978">
        <v>840</v>
      </c>
      <c r="L2978">
        <v>21.6</v>
      </c>
      <c r="M2978">
        <v>278.8</v>
      </c>
      <c r="N2978">
        <v>15.9</v>
      </c>
      <c r="O2978">
        <v>41.4</v>
      </c>
      <c r="P2978" s="11">
        <f t="shared" si="77"/>
        <v>0.245</v>
      </c>
    </row>
    <row r="2979" spans="1:16">
      <c r="A2979" s="1" t="s">
        <v>2958</v>
      </c>
      <c r="B2979" s="1" t="s">
        <v>3005</v>
      </c>
      <c r="C2979" s="1" t="s">
        <v>18</v>
      </c>
      <c r="D2979" s="1" t="s">
        <v>19</v>
      </c>
      <c r="E2979" s="1" t="s">
        <v>2752</v>
      </c>
      <c r="F2979">
        <v>1510</v>
      </c>
      <c r="G2979">
        <v>185.4</v>
      </c>
      <c r="H2979">
        <v>338</v>
      </c>
      <c r="I2979">
        <v>5970</v>
      </c>
      <c r="J2979" s="11">
        <f>5.53/2</f>
        <v>2.7650000000000001</v>
      </c>
      <c r="K2979">
        <v>1042</v>
      </c>
      <c r="L2979">
        <v>33</v>
      </c>
      <c r="M2979">
        <v>348</v>
      </c>
      <c r="N2979">
        <v>19.899999999999999</v>
      </c>
      <c r="O2979">
        <v>37.200000000000003</v>
      </c>
      <c r="P2979" s="11">
        <f t="shared" si="77"/>
        <v>0.245</v>
      </c>
    </row>
    <row r="2980" spans="1:16">
      <c r="A2980" s="1" t="s">
        <v>2958</v>
      </c>
      <c r="B2980" s="1" t="s">
        <v>3006</v>
      </c>
      <c r="C2980" s="1" t="s">
        <v>18</v>
      </c>
      <c r="D2980" s="1" t="s">
        <v>19</v>
      </c>
      <c r="E2980" s="1" t="s">
        <v>2752</v>
      </c>
      <c r="F2980">
        <v>2230</v>
      </c>
      <c r="G2980">
        <v>195</v>
      </c>
      <c r="H2980">
        <v>300</v>
      </c>
      <c r="I2980">
        <v>5730</v>
      </c>
      <c r="J2980">
        <v>14.3</v>
      </c>
      <c r="K2980">
        <v>948</v>
      </c>
      <c r="L2980">
        <v>40.200000000000003</v>
      </c>
      <c r="M2980">
        <v>356</v>
      </c>
      <c r="N2980">
        <v>18.399999999999999</v>
      </c>
      <c r="O2980">
        <v>36.6</v>
      </c>
      <c r="P2980" s="11">
        <f t="shared" si="77"/>
        <v>0.245</v>
      </c>
    </row>
    <row r="2981" spans="1:16">
      <c r="A2981" s="1" t="s">
        <v>2958</v>
      </c>
      <c r="B2981" s="1" t="s">
        <v>3007</v>
      </c>
      <c r="C2981" s="1" t="s">
        <v>18</v>
      </c>
      <c r="D2981" s="1" t="s">
        <v>19</v>
      </c>
      <c r="E2981" s="1" t="s">
        <v>2752</v>
      </c>
      <c r="F2981">
        <v>1330</v>
      </c>
      <c r="G2981">
        <v>184</v>
      </c>
      <c r="H2981">
        <v>380</v>
      </c>
      <c r="I2981">
        <v>6260</v>
      </c>
      <c r="J2981">
        <v>6.4</v>
      </c>
      <c r="K2981">
        <v>1214</v>
      </c>
      <c r="L2981">
        <v>37</v>
      </c>
      <c r="M2981">
        <v>316</v>
      </c>
      <c r="N2981">
        <v>26.5</v>
      </c>
      <c r="O2981">
        <v>38.1</v>
      </c>
      <c r="P2981" s="11">
        <f t="shared" si="77"/>
        <v>0.245</v>
      </c>
    </row>
    <row r="2982" spans="1:16">
      <c r="A2982" s="1" t="s">
        <v>2958</v>
      </c>
      <c r="B2982" s="1" t="s">
        <v>3008</v>
      </c>
      <c r="C2982" s="1" t="s">
        <v>18</v>
      </c>
      <c r="D2982" s="1" t="s">
        <v>19</v>
      </c>
      <c r="E2982" s="1" t="s">
        <v>2752</v>
      </c>
      <c r="F2982">
        <v>329</v>
      </c>
      <c r="G2982">
        <v>153.69999999999999</v>
      </c>
      <c r="H2982">
        <v>441</v>
      </c>
      <c r="I2982">
        <v>6600</v>
      </c>
      <c r="J2982" s="11">
        <f t="shared" ref="J2982:J2983" si="79">5.53/2</f>
        <v>2.7650000000000001</v>
      </c>
      <c r="K2982">
        <v>1087</v>
      </c>
      <c r="L2982">
        <v>77</v>
      </c>
      <c r="M2982">
        <v>269</v>
      </c>
      <c r="N2982">
        <v>13.2</v>
      </c>
      <c r="O2982">
        <v>39.1</v>
      </c>
      <c r="P2982">
        <v>0.23</v>
      </c>
    </row>
    <row r="2983" spans="1:16">
      <c r="A2983" s="1" t="s">
        <v>2958</v>
      </c>
      <c r="B2983" s="1" t="s">
        <v>3009</v>
      </c>
      <c r="C2983" s="1" t="s">
        <v>18</v>
      </c>
      <c r="D2983" s="1" t="s">
        <v>19</v>
      </c>
      <c r="E2983" s="1" t="s">
        <v>2752</v>
      </c>
      <c r="F2983">
        <v>3260</v>
      </c>
      <c r="G2983">
        <v>908</v>
      </c>
      <c r="H2983">
        <v>4600</v>
      </c>
      <c r="I2983">
        <v>14480</v>
      </c>
      <c r="J2983" s="11">
        <f t="shared" si="79"/>
        <v>2.7650000000000001</v>
      </c>
      <c r="K2983">
        <v>667</v>
      </c>
      <c r="L2983">
        <v>29.7</v>
      </c>
      <c r="M2983">
        <v>231.4</v>
      </c>
      <c r="N2983">
        <v>20.6</v>
      </c>
      <c r="O2983">
        <v>47.6</v>
      </c>
      <c r="P2983">
        <v>0.96</v>
      </c>
    </row>
    <row r="2984" spans="1:16">
      <c r="A2984" s="1" t="s">
        <v>2958</v>
      </c>
      <c r="B2984" s="1" t="s">
        <v>3010</v>
      </c>
      <c r="C2984" s="1" t="s">
        <v>18</v>
      </c>
      <c r="D2984" s="1" t="s">
        <v>19</v>
      </c>
      <c r="E2984" s="1" t="s">
        <v>2752</v>
      </c>
      <c r="F2984">
        <v>3990</v>
      </c>
      <c r="G2984">
        <v>712</v>
      </c>
      <c r="H2984">
        <v>7910</v>
      </c>
      <c r="I2984">
        <v>11570</v>
      </c>
      <c r="J2984">
        <v>5</v>
      </c>
      <c r="K2984">
        <v>591</v>
      </c>
      <c r="L2984">
        <v>27.9</v>
      </c>
      <c r="M2984">
        <v>185.1</v>
      </c>
      <c r="N2984">
        <v>15.6</v>
      </c>
      <c r="O2984">
        <v>42.7</v>
      </c>
      <c r="P2984">
        <v>0.85</v>
      </c>
    </row>
    <row r="2985" spans="1:16">
      <c r="A2985" s="1" t="s">
        <v>2958</v>
      </c>
      <c r="B2985" s="1" t="s">
        <v>3011</v>
      </c>
      <c r="C2985" s="1" t="s">
        <v>18</v>
      </c>
      <c r="D2985" s="1" t="s">
        <v>19</v>
      </c>
      <c r="E2985" s="1" t="s">
        <v>2752</v>
      </c>
      <c r="F2985">
        <v>2352</v>
      </c>
      <c r="G2985">
        <v>722</v>
      </c>
      <c r="H2985">
        <v>2750</v>
      </c>
      <c r="I2985">
        <v>13060</v>
      </c>
      <c r="J2985">
        <v>8.4</v>
      </c>
      <c r="K2985">
        <v>311</v>
      </c>
      <c r="L2985">
        <v>18.54</v>
      </c>
      <c r="M2985">
        <v>176</v>
      </c>
      <c r="N2985">
        <v>12.4</v>
      </c>
      <c r="O2985">
        <v>42.5</v>
      </c>
      <c r="P2985">
        <v>0.66</v>
      </c>
    </row>
    <row r="2986" spans="1:16">
      <c r="A2986" s="1" t="s">
        <v>2958</v>
      </c>
      <c r="B2986" s="1" t="s">
        <v>3012</v>
      </c>
      <c r="C2986" s="1" t="s">
        <v>18</v>
      </c>
      <c r="D2986" s="1" t="s">
        <v>19</v>
      </c>
      <c r="E2986" s="1" t="s">
        <v>2752</v>
      </c>
      <c r="F2986">
        <v>1767</v>
      </c>
      <c r="G2986">
        <v>880</v>
      </c>
      <c r="H2986">
        <v>1060</v>
      </c>
      <c r="I2986">
        <v>16800</v>
      </c>
      <c r="J2986">
        <v>5.5</v>
      </c>
      <c r="K2986">
        <v>364</v>
      </c>
      <c r="L2986">
        <v>11.95</v>
      </c>
      <c r="M2986">
        <v>209.8</v>
      </c>
      <c r="N2986">
        <v>13.1</v>
      </c>
      <c r="O2986">
        <v>45.7</v>
      </c>
      <c r="P2986">
        <v>1.01</v>
      </c>
    </row>
    <row r="2987" spans="1:16">
      <c r="A2987" s="1" t="s">
        <v>2958</v>
      </c>
      <c r="B2987" s="1" t="s">
        <v>3013</v>
      </c>
      <c r="C2987" s="1" t="s">
        <v>18</v>
      </c>
      <c r="D2987" s="1" t="s">
        <v>19</v>
      </c>
      <c r="E2987" s="1" t="s">
        <v>2752</v>
      </c>
      <c r="F2987">
        <v>1640</v>
      </c>
      <c r="G2987">
        <v>824</v>
      </c>
      <c r="H2987">
        <v>681</v>
      </c>
      <c r="I2987">
        <v>13240</v>
      </c>
      <c r="J2987">
        <v>8</v>
      </c>
      <c r="K2987">
        <v>1186</v>
      </c>
      <c r="L2987">
        <v>23.5</v>
      </c>
      <c r="M2987">
        <v>236.8</v>
      </c>
      <c r="N2987">
        <v>19.5</v>
      </c>
      <c r="O2987">
        <v>45.3</v>
      </c>
      <c r="P2987">
        <v>0.59</v>
      </c>
    </row>
    <row r="2988" spans="1:16">
      <c r="A2988" s="1" t="s">
        <v>2958</v>
      </c>
      <c r="B2988" s="1" t="s">
        <v>3014</v>
      </c>
      <c r="C2988" s="1" t="s">
        <v>18</v>
      </c>
      <c r="D2988" s="1" t="s">
        <v>19</v>
      </c>
      <c r="E2988" s="1" t="s">
        <v>2752</v>
      </c>
      <c r="F2988">
        <v>2990</v>
      </c>
      <c r="G2988">
        <v>960</v>
      </c>
      <c r="H2988">
        <v>4090</v>
      </c>
      <c r="I2988">
        <v>14570</v>
      </c>
      <c r="J2988" s="11">
        <f>5.53/2</f>
        <v>2.7650000000000001</v>
      </c>
      <c r="K2988">
        <v>415</v>
      </c>
      <c r="L2988">
        <v>27.9</v>
      </c>
      <c r="M2988">
        <v>231</v>
      </c>
      <c r="N2988">
        <v>20.399999999999999</v>
      </c>
      <c r="O2988">
        <v>49</v>
      </c>
      <c r="P2988">
        <v>1.46</v>
      </c>
    </row>
    <row r="2989" spans="1:16">
      <c r="A2989" s="1" t="s">
        <v>2958</v>
      </c>
      <c r="B2989" s="1" t="s">
        <v>3015</v>
      </c>
      <c r="C2989" s="1" t="s">
        <v>18</v>
      </c>
      <c r="D2989" s="1" t="s">
        <v>19</v>
      </c>
      <c r="E2989" s="1" t="s">
        <v>2752</v>
      </c>
      <c r="F2989">
        <v>1134</v>
      </c>
      <c r="G2989">
        <v>706</v>
      </c>
      <c r="H2989">
        <v>521</v>
      </c>
      <c r="I2989">
        <v>12270</v>
      </c>
      <c r="J2989">
        <v>4.0999999999999996</v>
      </c>
      <c r="K2989">
        <v>1404</v>
      </c>
      <c r="L2989">
        <v>21.2</v>
      </c>
      <c r="M2989">
        <v>213.9</v>
      </c>
      <c r="N2989">
        <v>20.100000000000001</v>
      </c>
      <c r="O2989">
        <v>40.5</v>
      </c>
      <c r="P2989">
        <v>0.39</v>
      </c>
    </row>
    <row r="2990" spans="1:16">
      <c r="A2990" s="1" t="s">
        <v>2958</v>
      </c>
      <c r="B2990" s="1" t="s">
        <v>3016</v>
      </c>
      <c r="C2990" s="1" t="s">
        <v>18</v>
      </c>
      <c r="D2990" s="1" t="s">
        <v>19</v>
      </c>
      <c r="E2990" s="1" t="s">
        <v>2752</v>
      </c>
      <c r="F2990">
        <v>3350</v>
      </c>
      <c r="G2990">
        <v>1036</v>
      </c>
      <c r="H2990">
        <v>3840</v>
      </c>
      <c r="I2990">
        <v>14550</v>
      </c>
      <c r="J2990">
        <v>7.8</v>
      </c>
      <c r="K2990">
        <v>239</v>
      </c>
      <c r="L2990">
        <v>26.8</v>
      </c>
      <c r="M2990">
        <v>248</v>
      </c>
      <c r="N2990">
        <v>16.5</v>
      </c>
      <c r="O2990">
        <v>48.2</v>
      </c>
      <c r="P2990">
        <v>1.29</v>
      </c>
    </row>
    <row r="2991" spans="1:16">
      <c r="A2991" s="1" t="s">
        <v>2958</v>
      </c>
      <c r="B2991" s="1" t="s">
        <v>3017</v>
      </c>
      <c r="C2991" s="1" t="s">
        <v>18</v>
      </c>
      <c r="D2991" s="1" t="s">
        <v>19</v>
      </c>
      <c r="E2991" s="1" t="s">
        <v>2752</v>
      </c>
      <c r="F2991">
        <v>2830</v>
      </c>
      <c r="G2991">
        <v>857</v>
      </c>
      <c r="H2991">
        <v>5880</v>
      </c>
      <c r="I2991">
        <v>14740</v>
      </c>
      <c r="J2991" s="11">
        <f t="shared" ref="J2991:J2992" si="80">5.53/2</f>
        <v>2.7650000000000001</v>
      </c>
      <c r="K2991">
        <v>305</v>
      </c>
      <c r="L2991">
        <v>15.9</v>
      </c>
      <c r="M2991">
        <v>235</v>
      </c>
      <c r="N2991">
        <v>10.5</v>
      </c>
      <c r="O2991">
        <v>47.6</v>
      </c>
      <c r="P2991">
        <v>1.53</v>
      </c>
    </row>
    <row r="2992" spans="1:16">
      <c r="A2992" s="1" t="s">
        <v>2958</v>
      </c>
      <c r="B2992" s="1" t="s">
        <v>3018</v>
      </c>
      <c r="C2992" s="1" t="s">
        <v>18</v>
      </c>
      <c r="D2992" s="1" t="s">
        <v>19</v>
      </c>
      <c r="E2992" s="1" t="s">
        <v>2752</v>
      </c>
      <c r="F2992">
        <v>2700</v>
      </c>
      <c r="G2992">
        <v>778</v>
      </c>
      <c r="H2992">
        <v>2340</v>
      </c>
      <c r="I2992">
        <v>13540</v>
      </c>
      <c r="J2992" s="11">
        <f t="shared" si="80"/>
        <v>2.7650000000000001</v>
      </c>
      <c r="K2992">
        <v>245</v>
      </c>
      <c r="L2992">
        <v>23.1</v>
      </c>
      <c r="M2992">
        <v>250</v>
      </c>
      <c r="N2992">
        <v>11.3</v>
      </c>
      <c r="O2992">
        <v>49.3</v>
      </c>
      <c r="P2992">
        <v>0.61</v>
      </c>
    </row>
    <row r="2993" spans="1:16">
      <c r="A2993" s="1" t="s">
        <v>2958</v>
      </c>
      <c r="B2993" s="1" t="s">
        <v>3019</v>
      </c>
      <c r="C2993" s="1" t="s">
        <v>18</v>
      </c>
      <c r="D2993" s="1" t="s">
        <v>19</v>
      </c>
      <c r="E2993" s="1" t="s">
        <v>2752</v>
      </c>
      <c r="F2993">
        <v>2840</v>
      </c>
      <c r="G2993">
        <v>831</v>
      </c>
      <c r="H2993">
        <v>4050</v>
      </c>
      <c r="I2993">
        <v>13990</v>
      </c>
      <c r="J2993">
        <v>9.1</v>
      </c>
      <c r="K2993">
        <v>414</v>
      </c>
      <c r="L2993">
        <v>25.3</v>
      </c>
      <c r="M2993">
        <v>267</v>
      </c>
      <c r="N2993">
        <v>29.1</v>
      </c>
      <c r="O2993">
        <v>51.8</v>
      </c>
      <c r="P2993">
        <v>1.1000000000000001</v>
      </c>
    </row>
    <row r="2994" spans="1:16">
      <c r="A2994" s="1" t="s">
        <v>2958</v>
      </c>
      <c r="B2994" s="1" t="s">
        <v>3020</v>
      </c>
      <c r="C2994" s="1" t="s">
        <v>18</v>
      </c>
      <c r="D2994" s="1" t="s">
        <v>19</v>
      </c>
      <c r="E2994" s="1" t="s">
        <v>2752</v>
      </c>
      <c r="F2994">
        <v>1724</v>
      </c>
      <c r="G2994">
        <v>705</v>
      </c>
      <c r="H2994">
        <v>692</v>
      </c>
      <c r="I2994">
        <v>12180</v>
      </c>
      <c r="J2994">
        <v>8.9</v>
      </c>
      <c r="K2994">
        <v>366</v>
      </c>
      <c r="L2994">
        <v>16.2</v>
      </c>
      <c r="M2994">
        <v>267.5</v>
      </c>
      <c r="N2994">
        <v>14.8</v>
      </c>
      <c r="O2994">
        <v>48.9</v>
      </c>
      <c r="P2994">
        <v>0.56999999999999995</v>
      </c>
    </row>
    <row r="2995" spans="1:16">
      <c r="A2995" s="1" t="s">
        <v>2958</v>
      </c>
      <c r="B2995" s="1" t="s">
        <v>3021</v>
      </c>
      <c r="C2995" s="1" t="s">
        <v>18</v>
      </c>
      <c r="D2995" s="1" t="s">
        <v>19</v>
      </c>
      <c r="E2995" s="1" t="s">
        <v>2752</v>
      </c>
      <c r="F2995">
        <v>2292</v>
      </c>
      <c r="G2995">
        <v>885</v>
      </c>
      <c r="H2995">
        <v>2380</v>
      </c>
      <c r="I2995">
        <v>14200</v>
      </c>
      <c r="J2995">
        <v>5.4</v>
      </c>
      <c r="K2995">
        <v>198</v>
      </c>
      <c r="L2995">
        <v>16.399999999999999</v>
      </c>
      <c r="M2995">
        <v>232.5</v>
      </c>
      <c r="N2995">
        <v>15.2</v>
      </c>
      <c r="O2995">
        <v>49.2</v>
      </c>
      <c r="P2995">
        <v>1.1299999999999999</v>
      </c>
    </row>
    <row r="2996" spans="1:16">
      <c r="A2996" s="1" t="s">
        <v>2958</v>
      </c>
      <c r="B2996" s="1" t="s">
        <v>3022</v>
      </c>
      <c r="C2996" s="1" t="s">
        <v>18</v>
      </c>
      <c r="D2996" s="1" t="s">
        <v>19</v>
      </c>
      <c r="E2996" s="1" t="s">
        <v>2752</v>
      </c>
      <c r="F2996">
        <v>1260</v>
      </c>
      <c r="G2996">
        <v>842</v>
      </c>
      <c r="H2996">
        <v>27900</v>
      </c>
      <c r="I2996">
        <v>13350</v>
      </c>
      <c r="J2996">
        <v>38.5</v>
      </c>
      <c r="K2996">
        <v>3390</v>
      </c>
      <c r="L2996">
        <v>8.08</v>
      </c>
      <c r="M2996">
        <v>193.6</v>
      </c>
      <c r="N2996">
        <v>25.8</v>
      </c>
      <c r="O2996">
        <v>40.799999999999997</v>
      </c>
      <c r="P2996">
        <v>0.98</v>
      </c>
    </row>
    <row r="2997" spans="1:16">
      <c r="A2997" s="1" t="s">
        <v>2958</v>
      </c>
      <c r="B2997" s="1" t="s">
        <v>3023</v>
      </c>
      <c r="C2997" s="1" t="s">
        <v>18</v>
      </c>
      <c r="D2997" s="1" t="s">
        <v>19</v>
      </c>
      <c r="E2997" s="1" t="s">
        <v>2752</v>
      </c>
      <c r="F2997">
        <v>1924</v>
      </c>
      <c r="G2997">
        <v>701</v>
      </c>
      <c r="H2997">
        <v>3300</v>
      </c>
      <c r="I2997">
        <v>15310</v>
      </c>
      <c r="J2997">
        <v>13.4</v>
      </c>
      <c r="K2997">
        <v>488</v>
      </c>
      <c r="L2997">
        <v>10.41</v>
      </c>
      <c r="M2997">
        <v>221</v>
      </c>
      <c r="N2997">
        <v>15.9</v>
      </c>
      <c r="O2997">
        <v>45.7</v>
      </c>
      <c r="P2997">
        <v>0.95</v>
      </c>
    </row>
    <row r="2998" spans="1:16">
      <c r="A2998" s="1" t="s">
        <v>2958</v>
      </c>
      <c r="B2998" s="1" t="s">
        <v>3024</v>
      </c>
      <c r="C2998" s="1" t="s">
        <v>18</v>
      </c>
      <c r="D2998" s="1" t="s">
        <v>19</v>
      </c>
      <c r="E2998" s="1" t="s">
        <v>2752</v>
      </c>
      <c r="F2998">
        <v>864</v>
      </c>
      <c r="G2998">
        <v>211.2</v>
      </c>
      <c r="H2998">
        <v>99000</v>
      </c>
      <c r="I2998">
        <v>12070</v>
      </c>
      <c r="J2998">
        <v>12.1</v>
      </c>
      <c r="K2998">
        <v>368</v>
      </c>
      <c r="L2998">
        <v>6.3</v>
      </c>
      <c r="M2998">
        <v>201</v>
      </c>
      <c r="N2998">
        <v>33.1</v>
      </c>
      <c r="O2998">
        <v>34.299999999999997</v>
      </c>
      <c r="P2998">
        <v>1.64</v>
      </c>
    </row>
    <row r="2999" spans="1:16">
      <c r="A2999" s="1" t="s">
        <v>2958</v>
      </c>
      <c r="B2999" s="1" t="s">
        <v>3025</v>
      </c>
      <c r="C2999" s="1" t="s">
        <v>18</v>
      </c>
      <c r="D2999" s="1" t="s">
        <v>19</v>
      </c>
      <c r="E2999" s="1" t="s">
        <v>2752</v>
      </c>
      <c r="F2999">
        <v>2013</v>
      </c>
      <c r="G2999">
        <v>439</v>
      </c>
      <c r="H2999">
        <v>2690</v>
      </c>
      <c r="I2999">
        <v>13160</v>
      </c>
      <c r="J2999">
        <v>5.8</v>
      </c>
      <c r="K2999">
        <v>262</v>
      </c>
      <c r="L2999">
        <v>7.91</v>
      </c>
      <c r="M2999">
        <v>216.6</v>
      </c>
      <c r="N2999">
        <v>18.899999999999999</v>
      </c>
      <c r="O2999">
        <v>42.4</v>
      </c>
      <c r="P2999">
        <v>0.62</v>
      </c>
    </row>
    <row r="3000" spans="1:16">
      <c r="A3000" s="1" t="s">
        <v>2958</v>
      </c>
      <c r="B3000" s="1" t="s">
        <v>3026</v>
      </c>
      <c r="C3000" s="1" t="s">
        <v>18</v>
      </c>
      <c r="D3000" s="1" t="s">
        <v>19</v>
      </c>
      <c r="E3000" s="1" t="s">
        <v>2752</v>
      </c>
      <c r="F3000">
        <v>1633</v>
      </c>
      <c r="G3000">
        <v>663</v>
      </c>
      <c r="H3000">
        <v>2870</v>
      </c>
      <c r="I3000">
        <v>15280</v>
      </c>
      <c r="J3000">
        <v>5.4</v>
      </c>
      <c r="K3000">
        <v>469</v>
      </c>
      <c r="L3000">
        <v>6.77</v>
      </c>
      <c r="M3000">
        <v>227.7</v>
      </c>
      <c r="N3000">
        <v>12.9</v>
      </c>
      <c r="O3000">
        <v>44.6</v>
      </c>
      <c r="P3000">
        <v>1.23</v>
      </c>
    </row>
    <row r="3001" spans="1:16">
      <c r="A3001" s="1" t="s">
        <v>2958</v>
      </c>
      <c r="B3001" s="1" t="s">
        <v>3027</v>
      </c>
      <c r="C3001" s="1" t="s">
        <v>18</v>
      </c>
      <c r="D3001" s="1" t="s">
        <v>19</v>
      </c>
      <c r="E3001" s="1" t="s">
        <v>2752</v>
      </c>
      <c r="F3001">
        <v>1650</v>
      </c>
      <c r="G3001">
        <v>648</v>
      </c>
      <c r="H3001">
        <v>1940</v>
      </c>
      <c r="I3001">
        <v>15500</v>
      </c>
      <c r="J3001">
        <v>8.5</v>
      </c>
      <c r="K3001">
        <v>471</v>
      </c>
      <c r="L3001">
        <v>6.88</v>
      </c>
      <c r="M3001">
        <v>247</v>
      </c>
      <c r="N3001">
        <v>9.8000000000000007</v>
      </c>
      <c r="O3001">
        <v>44.2</v>
      </c>
      <c r="P3001">
        <v>1.17</v>
      </c>
    </row>
    <row r="3002" spans="1:16">
      <c r="A3002" s="1" t="s">
        <v>2958</v>
      </c>
      <c r="B3002" s="1" t="s">
        <v>3028</v>
      </c>
      <c r="C3002" s="1" t="s">
        <v>18</v>
      </c>
      <c r="D3002" s="1" t="s">
        <v>19</v>
      </c>
      <c r="E3002" s="1" t="s">
        <v>2752</v>
      </c>
      <c r="F3002">
        <v>1055</v>
      </c>
      <c r="G3002">
        <v>603</v>
      </c>
      <c r="H3002">
        <v>76200</v>
      </c>
      <c r="I3002">
        <v>12460</v>
      </c>
      <c r="J3002">
        <v>23</v>
      </c>
      <c r="K3002">
        <v>721</v>
      </c>
      <c r="L3002">
        <v>5.23</v>
      </c>
      <c r="M3002">
        <v>236</v>
      </c>
      <c r="N3002">
        <v>35.700000000000003</v>
      </c>
      <c r="O3002">
        <v>35.799999999999997</v>
      </c>
      <c r="P3002">
        <v>5.03</v>
      </c>
    </row>
    <row r="3003" spans="1:16">
      <c r="A3003" s="1" t="s">
        <v>2958</v>
      </c>
      <c r="B3003" s="1" t="s">
        <v>3029</v>
      </c>
      <c r="C3003" s="1" t="s">
        <v>18</v>
      </c>
      <c r="D3003" s="1" t="s">
        <v>19</v>
      </c>
      <c r="E3003" s="1" t="s">
        <v>2752</v>
      </c>
      <c r="F3003">
        <v>1310</v>
      </c>
      <c r="G3003">
        <v>502</v>
      </c>
      <c r="H3003">
        <v>383</v>
      </c>
      <c r="I3003">
        <v>14910</v>
      </c>
      <c r="J3003">
        <v>17.3</v>
      </c>
      <c r="K3003">
        <v>343</v>
      </c>
      <c r="L3003">
        <v>3.39</v>
      </c>
      <c r="M3003">
        <v>214</v>
      </c>
      <c r="N3003">
        <v>11.9</v>
      </c>
      <c r="O3003">
        <v>41.4</v>
      </c>
      <c r="P3003">
        <v>0.71</v>
      </c>
    </row>
    <row r="3004" spans="1:16">
      <c r="A3004" s="1" t="s">
        <v>2958</v>
      </c>
      <c r="B3004" s="1" t="s">
        <v>3030</v>
      </c>
      <c r="C3004" s="1" t="s">
        <v>18</v>
      </c>
      <c r="D3004" s="1" t="s">
        <v>19</v>
      </c>
      <c r="E3004" s="1" t="s">
        <v>2752</v>
      </c>
      <c r="F3004">
        <v>1118</v>
      </c>
      <c r="G3004">
        <v>778</v>
      </c>
      <c r="H3004">
        <v>840</v>
      </c>
      <c r="I3004">
        <v>15720</v>
      </c>
      <c r="J3004">
        <v>9</v>
      </c>
      <c r="K3004">
        <v>375</v>
      </c>
      <c r="L3004">
        <v>3.97</v>
      </c>
      <c r="M3004">
        <v>206.9</v>
      </c>
      <c r="N3004">
        <v>7.4</v>
      </c>
      <c r="O3004">
        <v>42.8</v>
      </c>
      <c r="P3004">
        <v>0.69</v>
      </c>
    </row>
    <row r="3005" spans="1:16">
      <c r="A3005" s="1" t="s">
        <v>2958</v>
      </c>
      <c r="B3005" s="1" t="s">
        <v>3031</v>
      </c>
      <c r="C3005" s="1" t="s">
        <v>18</v>
      </c>
      <c r="D3005" s="1" t="s">
        <v>19</v>
      </c>
      <c r="E3005" s="1" t="s">
        <v>2752</v>
      </c>
      <c r="F3005">
        <v>1423</v>
      </c>
      <c r="G3005">
        <v>563</v>
      </c>
      <c r="H3005">
        <v>563</v>
      </c>
      <c r="I3005">
        <v>12940</v>
      </c>
      <c r="J3005">
        <v>10.199999999999999</v>
      </c>
      <c r="K3005">
        <v>297.5</v>
      </c>
      <c r="L3005">
        <v>5.62</v>
      </c>
      <c r="M3005">
        <v>218.9</v>
      </c>
      <c r="N3005">
        <v>10.199999999999999</v>
      </c>
      <c r="O3005">
        <v>42.8</v>
      </c>
      <c r="P3005">
        <v>0.57999999999999996</v>
      </c>
    </row>
    <row r="3006" spans="1:16">
      <c r="A3006" s="1" t="s">
        <v>2958</v>
      </c>
      <c r="B3006" s="1" t="s">
        <v>3032</v>
      </c>
      <c r="C3006" s="1" t="s">
        <v>18</v>
      </c>
      <c r="D3006" s="1" t="s">
        <v>19</v>
      </c>
      <c r="E3006" s="1" t="s">
        <v>2752</v>
      </c>
      <c r="F3006">
        <v>456</v>
      </c>
      <c r="G3006">
        <v>322</v>
      </c>
      <c r="H3006">
        <v>566</v>
      </c>
      <c r="I3006">
        <v>8950</v>
      </c>
      <c r="J3006">
        <v>51.2</v>
      </c>
      <c r="K3006">
        <v>279</v>
      </c>
      <c r="L3006">
        <v>7.28</v>
      </c>
      <c r="M3006">
        <v>227</v>
      </c>
      <c r="N3006">
        <v>16.100000000000001</v>
      </c>
      <c r="O3006">
        <v>42.9</v>
      </c>
      <c r="P3006" s="11">
        <f t="shared" ref="P3006:P3017" si="81">0.49/2</f>
        <v>0.245</v>
      </c>
    </row>
    <row r="3007" spans="1:16">
      <c r="A3007" s="1" t="s">
        <v>2958</v>
      </c>
      <c r="B3007" s="1" t="s">
        <v>3033</v>
      </c>
      <c r="C3007" s="1" t="s">
        <v>18</v>
      </c>
      <c r="D3007" s="1" t="s">
        <v>19</v>
      </c>
      <c r="E3007" s="1" t="s">
        <v>2752</v>
      </c>
      <c r="F3007">
        <v>373</v>
      </c>
      <c r="G3007">
        <v>364</v>
      </c>
      <c r="H3007">
        <v>711</v>
      </c>
      <c r="I3007">
        <v>6800</v>
      </c>
      <c r="J3007">
        <v>17.100000000000001</v>
      </c>
      <c r="K3007">
        <v>151.4</v>
      </c>
      <c r="L3007">
        <v>2.66</v>
      </c>
      <c r="M3007">
        <v>240</v>
      </c>
      <c r="N3007">
        <v>9.9</v>
      </c>
      <c r="O3007">
        <v>44.1</v>
      </c>
      <c r="P3007" s="11">
        <f t="shared" si="81"/>
        <v>0.245</v>
      </c>
    </row>
    <row r="3008" spans="1:16">
      <c r="A3008" s="1" t="s">
        <v>2958</v>
      </c>
      <c r="B3008" s="1" t="s">
        <v>3034</v>
      </c>
      <c r="C3008" s="1" t="s">
        <v>18</v>
      </c>
      <c r="D3008" s="1" t="s">
        <v>19</v>
      </c>
      <c r="E3008" s="1" t="s">
        <v>2752</v>
      </c>
      <c r="F3008">
        <v>237.7</v>
      </c>
      <c r="G3008">
        <v>231.5</v>
      </c>
      <c r="H3008">
        <v>512</v>
      </c>
      <c r="I3008">
        <v>6980</v>
      </c>
      <c r="J3008">
        <v>27.3</v>
      </c>
      <c r="K3008">
        <v>223.2</v>
      </c>
      <c r="L3008">
        <v>3.73</v>
      </c>
      <c r="M3008">
        <v>209.5</v>
      </c>
      <c r="N3008">
        <v>5.6</v>
      </c>
      <c r="O3008">
        <v>41.8</v>
      </c>
      <c r="P3008" s="11">
        <f t="shared" si="81"/>
        <v>0.245</v>
      </c>
    </row>
    <row r="3009" spans="1:16">
      <c r="A3009" s="1" t="s">
        <v>2958</v>
      </c>
      <c r="B3009" s="1" t="s">
        <v>3035</v>
      </c>
      <c r="C3009" s="1" t="s">
        <v>18</v>
      </c>
      <c r="D3009" s="1" t="s">
        <v>19</v>
      </c>
      <c r="E3009" s="1" t="s">
        <v>2752</v>
      </c>
      <c r="F3009">
        <v>311</v>
      </c>
      <c r="G3009">
        <v>230.9</v>
      </c>
      <c r="H3009">
        <v>443</v>
      </c>
      <c r="I3009">
        <v>6760</v>
      </c>
      <c r="J3009">
        <v>32.200000000000003</v>
      </c>
      <c r="K3009">
        <v>542</v>
      </c>
      <c r="L3009">
        <v>14</v>
      </c>
      <c r="M3009">
        <v>245</v>
      </c>
      <c r="N3009">
        <v>20.100000000000001</v>
      </c>
      <c r="O3009">
        <v>42.6</v>
      </c>
      <c r="P3009" s="11">
        <f t="shared" si="81"/>
        <v>0.245</v>
      </c>
    </row>
    <row r="3010" spans="1:16">
      <c r="A3010" s="1" t="s">
        <v>2958</v>
      </c>
      <c r="B3010" s="1" t="s">
        <v>3036</v>
      </c>
      <c r="C3010" s="1" t="s">
        <v>18</v>
      </c>
      <c r="D3010" s="1" t="s">
        <v>19</v>
      </c>
      <c r="E3010" s="1" t="s">
        <v>2752</v>
      </c>
      <c r="F3010">
        <v>326</v>
      </c>
      <c r="G3010">
        <v>279</v>
      </c>
      <c r="H3010">
        <v>635</v>
      </c>
      <c r="I3010">
        <v>6380</v>
      </c>
      <c r="J3010">
        <v>8.3000000000000007</v>
      </c>
      <c r="K3010">
        <v>461</v>
      </c>
      <c r="L3010">
        <v>9.7799999999999994</v>
      </c>
      <c r="M3010">
        <v>256</v>
      </c>
      <c r="N3010">
        <v>20.2</v>
      </c>
      <c r="O3010">
        <v>44.6</v>
      </c>
      <c r="P3010" s="11">
        <f t="shared" si="81"/>
        <v>0.245</v>
      </c>
    </row>
    <row r="3011" spans="1:16">
      <c r="A3011" s="1" t="s">
        <v>2958</v>
      </c>
      <c r="B3011" s="1" t="s">
        <v>3037</v>
      </c>
      <c r="C3011" s="1" t="s">
        <v>18</v>
      </c>
      <c r="D3011" s="1" t="s">
        <v>19</v>
      </c>
      <c r="E3011" s="1" t="s">
        <v>2752</v>
      </c>
      <c r="F3011">
        <v>305.60000000000002</v>
      </c>
      <c r="G3011">
        <v>252.4</v>
      </c>
      <c r="H3011">
        <v>608</v>
      </c>
      <c r="I3011">
        <v>6940</v>
      </c>
      <c r="J3011">
        <v>9.9</v>
      </c>
      <c r="K3011">
        <v>382</v>
      </c>
      <c r="L3011">
        <v>10.63</v>
      </c>
      <c r="M3011">
        <v>241.5</v>
      </c>
      <c r="N3011">
        <v>17.8</v>
      </c>
      <c r="O3011">
        <v>44.4</v>
      </c>
      <c r="P3011" s="11">
        <f t="shared" si="81"/>
        <v>0.245</v>
      </c>
    </row>
    <row r="3012" spans="1:16">
      <c r="A3012" s="1" t="s">
        <v>2958</v>
      </c>
      <c r="B3012" s="1" t="s">
        <v>3038</v>
      </c>
      <c r="C3012" s="1" t="s">
        <v>18</v>
      </c>
      <c r="D3012" s="1" t="s">
        <v>19</v>
      </c>
      <c r="E3012" s="1" t="s">
        <v>2752</v>
      </c>
      <c r="F3012">
        <v>356</v>
      </c>
      <c r="G3012">
        <v>249.4</v>
      </c>
      <c r="H3012">
        <v>618</v>
      </c>
      <c r="I3012">
        <v>6720</v>
      </c>
      <c r="J3012">
        <v>10.6</v>
      </c>
      <c r="K3012">
        <v>323.8</v>
      </c>
      <c r="L3012">
        <v>10.039999999999999</v>
      </c>
      <c r="M3012">
        <v>266</v>
      </c>
      <c r="N3012">
        <v>16.399999999999999</v>
      </c>
      <c r="O3012">
        <v>45.5</v>
      </c>
      <c r="P3012" s="11">
        <f t="shared" si="81"/>
        <v>0.245</v>
      </c>
    </row>
    <row r="3013" spans="1:16">
      <c r="A3013" s="1" t="s">
        <v>2958</v>
      </c>
      <c r="B3013" s="1" t="s">
        <v>3039</v>
      </c>
      <c r="C3013" s="1" t="s">
        <v>18</v>
      </c>
      <c r="D3013" s="1" t="s">
        <v>19</v>
      </c>
      <c r="E3013" s="1" t="s">
        <v>2752</v>
      </c>
      <c r="F3013">
        <v>180.8</v>
      </c>
      <c r="G3013">
        <v>226.1</v>
      </c>
      <c r="H3013">
        <v>3150</v>
      </c>
      <c r="I3013">
        <v>6310</v>
      </c>
      <c r="J3013">
        <v>15</v>
      </c>
      <c r="K3013">
        <v>291.39999999999998</v>
      </c>
      <c r="L3013">
        <v>2.66</v>
      </c>
      <c r="M3013">
        <v>238.3</v>
      </c>
      <c r="N3013">
        <v>5.0999999999999996</v>
      </c>
      <c r="O3013">
        <v>36.700000000000003</v>
      </c>
      <c r="P3013" s="11">
        <f t="shared" si="81"/>
        <v>0.245</v>
      </c>
    </row>
    <row r="3014" spans="1:16">
      <c r="A3014" s="1" t="s">
        <v>2958</v>
      </c>
      <c r="B3014" s="1" t="s">
        <v>3040</v>
      </c>
      <c r="C3014" s="1" t="s">
        <v>18</v>
      </c>
      <c r="D3014" s="1" t="s">
        <v>19</v>
      </c>
      <c r="E3014" s="1" t="s">
        <v>2752</v>
      </c>
      <c r="F3014">
        <v>353</v>
      </c>
      <c r="G3014">
        <v>223</v>
      </c>
      <c r="H3014">
        <v>481</v>
      </c>
      <c r="I3014">
        <v>6360</v>
      </c>
      <c r="J3014">
        <v>11.4</v>
      </c>
      <c r="K3014">
        <v>298</v>
      </c>
      <c r="L3014">
        <v>8.1999999999999993</v>
      </c>
      <c r="M3014">
        <v>253</v>
      </c>
      <c r="N3014">
        <v>13.6</v>
      </c>
      <c r="O3014">
        <v>43.1</v>
      </c>
      <c r="P3014" s="11">
        <f t="shared" si="81"/>
        <v>0.245</v>
      </c>
    </row>
    <row r="3015" spans="1:16">
      <c r="A3015" s="1" t="s">
        <v>2958</v>
      </c>
      <c r="B3015" s="1" t="s">
        <v>3041</v>
      </c>
      <c r="C3015" s="1" t="s">
        <v>18</v>
      </c>
      <c r="D3015" s="1" t="s">
        <v>19</v>
      </c>
      <c r="E3015" s="1" t="s">
        <v>2752</v>
      </c>
      <c r="F3015">
        <v>421</v>
      </c>
      <c r="G3015">
        <v>264</v>
      </c>
      <c r="H3015">
        <v>556</v>
      </c>
      <c r="I3015">
        <v>6030</v>
      </c>
      <c r="J3015">
        <v>6.9</v>
      </c>
      <c r="K3015">
        <v>260.60000000000002</v>
      </c>
      <c r="L3015">
        <v>7.26</v>
      </c>
      <c r="M3015">
        <v>257</v>
      </c>
      <c r="N3015">
        <v>19.100000000000001</v>
      </c>
      <c r="O3015">
        <v>42.6</v>
      </c>
      <c r="P3015" s="11">
        <f t="shared" si="81"/>
        <v>0.245</v>
      </c>
    </row>
    <row r="3016" spans="1:16">
      <c r="A3016" s="1" t="s">
        <v>2958</v>
      </c>
      <c r="B3016" s="1" t="s">
        <v>3042</v>
      </c>
      <c r="C3016" s="1" t="s">
        <v>18</v>
      </c>
      <c r="D3016" s="1" t="s">
        <v>19</v>
      </c>
      <c r="E3016" s="1" t="s">
        <v>2752</v>
      </c>
      <c r="F3016">
        <v>422</v>
      </c>
      <c r="G3016">
        <v>271</v>
      </c>
      <c r="H3016">
        <v>518</v>
      </c>
      <c r="I3016">
        <v>6010</v>
      </c>
      <c r="J3016">
        <v>15.5</v>
      </c>
      <c r="K3016">
        <v>226.2</v>
      </c>
      <c r="L3016">
        <v>12</v>
      </c>
      <c r="M3016">
        <v>259</v>
      </c>
      <c r="N3016">
        <v>18.3</v>
      </c>
      <c r="O3016">
        <v>46.9</v>
      </c>
      <c r="P3016" s="11">
        <f t="shared" si="81"/>
        <v>0.245</v>
      </c>
    </row>
    <row r="3017" spans="1:16">
      <c r="A3017" s="1" t="s">
        <v>2958</v>
      </c>
      <c r="B3017" s="1" t="s">
        <v>3043</v>
      </c>
      <c r="C3017" s="1" t="s">
        <v>18</v>
      </c>
      <c r="D3017" s="1" t="s">
        <v>19</v>
      </c>
      <c r="E3017" s="1" t="s">
        <v>2752</v>
      </c>
      <c r="F3017">
        <v>396</v>
      </c>
      <c r="G3017">
        <v>337</v>
      </c>
      <c r="H3017">
        <v>625</v>
      </c>
      <c r="I3017">
        <v>4790</v>
      </c>
      <c r="J3017">
        <v>29.1</v>
      </c>
      <c r="K3017">
        <v>163.1</v>
      </c>
      <c r="L3017">
        <v>6.71</v>
      </c>
      <c r="M3017">
        <v>207.4</v>
      </c>
      <c r="N3017">
        <v>17.100000000000001</v>
      </c>
      <c r="O3017">
        <v>41.4</v>
      </c>
      <c r="P3017" s="11">
        <f t="shared" si="81"/>
        <v>0.245</v>
      </c>
    </row>
    <row r="3018" spans="1:16">
      <c r="A3018" s="1" t="s">
        <v>2958</v>
      </c>
      <c r="B3018" s="1" t="s">
        <v>3044</v>
      </c>
      <c r="C3018" s="1" t="s">
        <v>18</v>
      </c>
      <c r="D3018" s="1" t="s">
        <v>19</v>
      </c>
      <c r="E3018" s="1" t="s">
        <v>2752</v>
      </c>
      <c r="F3018">
        <v>636</v>
      </c>
      <c r="G3018">
        <v>299</v>
      </c>
      <c r="H3018">
        <v>6850</v>
      </c>
      <c r="I3018">
        <v>5040</v>
      </c>
      <c r="J3018">
        <v>14.7</v>
      </c>
      <c r="K3018">
        <v>392</v>
      </c>
      <c r="L3018">
        <f>1.08/2</f>
        <v>0.54</v>
      </c>
      <c r="M3018">
        <v>205.1</v>
      </c>
      <c r="N3018">
        <v>7.9</v>
      </c>
      <c r="O3018">
        <v>39.1</v>
      </c>
      <c r="P3018">
        <v>0.31</v>
      </c>
    </row>
    <row r="3019" spans="1:16">
      <c r="A3019" s="1" t="s">
        <v>2958</v>
      </c>
      <c r="B3019" s="1" t="s">
        <v>3045</v>
      </c>
      <c r="C3019" s="1" t="s">
        <v>18</v>
      </c>
      <c r="D3019" s="1" t="s">
        <v>19</v>
      </c>
      <c r="E3019" s="1" t="s">
        <v>2752</v>
      </c>
      <c r="F3019">
        <v>383</v>
      </c>
      <c r="G3019">
        <v>320</v>
      </c>
      <c r="H3019">
        <v>630</v>
      </c>
      <c r="I3019">
        <v>6330</v>
      </c>
      <c r="J3019">
        <v>10.5</v>
      </c>
      <c r="K3019">
        <v>150.1</v>
      </c>
      <c r="L3019" s="11">
        <f t="shared" ref="L3019:L3020" si="82">1.08/2</f>
        <v>0.54</v>
      </c>
      <c r="M3019">
        <v>222.9</v>
      </c>
      <c r="N3019">
        <v>5</v>
      </c>
      <c r="O3019">
        <v>39.200000000000003</v>
      </c>
      <c r="P3019" s="11">
        <f t="shared" ref="P3019:P3021" si="83">0.49/2</f>
        <v>0.245</v>
      </c>
    </row>
    <row r="3020" spans="1:16">
      <c r="A3020" s="1" t="s">
        <v>2958</v>
      </c>
      <c r="B3020" s="1" t="s">
        <v>3046</v>
      </c>
      <c r="C3020" s="1" t="s">
        <v>18</v>
      </c>
      <c r="D3020" s="1" t="s">
        <v>19</v>
      </c>
      <c r="E3020" s="1" t="s">
        <v>2752</v>
      </c>
      <c r="F3020">
        <v>308.10000000000002</v>
      </c>
      <c r="G3020">
        <v>245.3</v>
      </c>
      <c r="H3020">
        <v>498</v>
      </c>
      <c r="I3020">
        <v>7000</v>
      </c>
      <c r="J3020">
        <v>12.4</v>
      </c>
      <c r="K3020">
        <v>166.4</v>
      </c>
      <c r="L3020" s="11">
        <f t="shared" si="82"/>
        <v>0.54</v>
      </c>
      <c r="M3020">
        <v>229.6</v>
      </c>
      <c r="N3020">
        <v>4.2</v>
      </c>
      <c r="O3020">
        <v>38.799999999999997</v>
      </c>
      <c r="P3020" s="11">
        <f t="shared" si="83"/>
        <v>0.245</v>
      </c>
    </row>
    <row r="3021" spans="1:16">
      <c r="A3021" s="1" t="s">
        <v>2958</v>
      </c>
      <c r="B3021" s="1" t="s">
        <v>3047</v>
      </c>
      <c r="C3021" s="1" t="s">
        <v>18</v>
      </c>
      <c r="D3021" s="1" t="s">
        <v>19</v>
      </c>
      <c r="E3021" s="1" t="s">
        <v>2752</v>
      </c>
      <c r="F3021">
        <v>424</v>
      </c>
      <c r="G3021">
        <v>289</v>
      </c>
      <c r="H3021">
        <v>520</v>
      </c>
      <c r="I3021">
        <v>5930</v>
      </c>
      <c r="J3021">
        <v>18.399999999999999</v>
      </c>
      <c r="K3021">
        <v>274</v>
      </c>
      <c r="L3021">
        <v>1.33</v>
      </c>
      <c r="M3021">
        <v>205</v>
      </c>
      <c r="N3021">
        <v>18.7</v>
      </c>
      <c r="O3021">
        <v>42.4</v>
      </c>
      <c r="P3021" s="11">
        <f t="shared" si="83"/>
        <v>0.245</v>
      </c>
    </row>
    <row r="3022" spans="1:16">
      <c r="A3022" s="1" t="s">
        <v>2958</v>
      </c>
      <c r="B3022" s="1" t="s">
        <v>3048</v>
      </c>
      <c r="C3022" s="1" t="s">
        <v>18</v>
      </c>
      <c r="D3022" s="1" t="s">
        <v>19</v>
      </c>
      <c r="E3022" s="1" t="s">
        <v>2752</v>
      </c>
      <c r="F3022">
        <v>395</v>
      </c>
      <c r="G3022">
        <v>305.89999999999998</v>
      </c>
      <c r="H3022">
        <v>605</v>
      </c>
      <c r="I3022">
        <v>6080</v>
      </c>
      <c r="J3022">
        <v>16.899999999999999</v>
      </c>
      <c r="K3022">
        <v>133.30000000000001</v>
      </c>
      <c r="L3022" s="11">
        <f t="shared" ref="L3022:L3023" si="84">1.08/2</f>
        <v>0.54</v>
      </c>
      <c r="M3022">
        <v>220</v>
      </c>
      <c r="N3022">
        <v>5.5</v>
      </c>
      <c r="O3022">
        <v>39.9</v>
      </c>
      <c r="P3022">
        <v>0.21</v>
      </c>
    </row>
    <row r="3023" spans="1:16">
      <c r="A3023" s="1" t="s">
        <v>2958</v>
      </c>
      <c r="B3023" s="1" t="s">
        <v>3049</v>
      </c>
      <c r="C3023" s="1" t="s">
        <v>18</v>
      </c>
      <c r="D3023" s="1" t="s">
        <v>19</v>
      </c>
      <c r="E3023" s="1" t="s">
        <v>2752</v>
      </c>
      <c r="F3023">
        <v>338</v>
      </c>
      <c r="G3023">
        <v>310</v>
      </c>
      <c r="H3023">
        <v>525</v>
      </c>
      <c r="I3023">
        <v>6770</v>
      </c>
      <c r="J3023">
        <v>27.9</v>
      </c>
      <c r="K3023">
        <v>147.30000000000001</v>
      </c>
      <c r="L3023" s="11">
        <f t="shared" si="84"/>
        <v>0.54</v>
      </c>
      <c r="M3023">
        <v>220</v>
      </c>
      <c r="N3023">
        <v>6.9</v>
      </c>
      <c r="O3023">
        <v>41</v>
      </c>
      <c r="P3023" s="11">
        <f t="shared" ref="P3023:P3037" si="85">0.49/2</f>
        <v>0.245</v>
      </c>
    </row>
    <row r="3024" spans="1:16">
      <c r="A3024" s="1" t="s">
        <v>2958</v>
      </c>
      <c r="B3024" s="1" t="s">
        <v>3050</v>
      </c>
      <c r="C3024" s="1" t="s">
        <v>18</v>
      </c>
      <c r="D3024" s="1" t="s">
        <v>19</v>
      </c>
      <c r="E3024" s="1" t="s">
        <v>2752</v>
      </c>
      <c r="F3024">
        <v>414</v>
      </c>
      <c r="G3024">
        <v>377</v>
      </c>
      <c r="H3024">
        <v>664</v>
      </c>
      <c r="I3024">
        <v>7530</v>
      </c>
      <c r="J3024">
        <v>7.3</v>
      </c>
      <c r="K3024">
        <v>162.4</v>
      </c>
      <c r="L3024">
        <v>4.76</v>
      </c>
      <c r="M3024">
        <v>223</v>
      </c>
      <c r="N3024">
        <v>11</v>
      </c>
      <c r="O3024">
        <v>45.4</v>
      </c>
      <c r="P3024" s="11">
        <f t="shared" si="85"/>
        <v>0.245</v>
      </c>
    </row>
    <row r="3025" spans="1:16">
      <c r="A3025" s="1" t="s">
        <v>2958</v>
      </c>
      <c r="B3025" s="1" t="s">
        <v>3051</v>
      </c>
      <c r="C3025" s="1" t="s">
        <v>18</v>
      </c>
      <c r="D3025" s="1" t="s">
        <v>19</v>
      </c>
      <c r="E3025" s="1" t="s">
        <v>2752</v>
      </c>
      <c r="F3025">
        <v>869</v>
      </c>
      <c r="G3025">
        <v>212.3</v>
      </c>
      <c r="H3025">
        <v>579</v>
      </c>
      <c r="I3025">
        <v>4950</v>
      </c>
      <c r="J3025" s="11">
        <f t="shared" ref="J3025:J3035" si="86">5.53/2</f>
        <v>2.7650000000000001</v>
      </c>
      <c r="K3025">
        <v>190.6</v>
      </c>
      <c r="L3025">
        <v>4.99</v>
      </c>
      <c r="M3025">
        <v>203.1</v>
      </c>
      <c r="N3025">
        <v>11.3</v>
      </c>
      <c r="O3025">
        <v>41.9</v>
      </c>
      <c r="P3025" s="11">
        <f t="shared" si="85"/>
        <v>0.245</v>
      </c>
    </row>
    <row r="3026" spans="1:16">
      <c r="A3026" s="1" t="s">
        <v>2958</v>
      </c>
      <c r="B3026" s="1" t="s">
        <v>3052</v>
      </c>
      <c r="C3026" s="1" t="s">
        <v>18</v>
      </c>
      <c r="D3026" s="1" t="s">
        <v>19</v>
      </c>
      <c r="E3026" s="1" t="s">
        <v>2752</v>
      </c>
      <c r="F3026">
        <v>1870</v>
      </c>
      <c r="G3026">
        <v>334</v>
      </c>
      <c r="H3026">
        <v>4760</v>
      </c>
      <c r="I3026">
        <v>6020</v>
      </c>
      <c r="J3026" s="11">
        <f t="shared" si="86"/>
        <v>2.7650000000000001</v>
      </c>
      <c r="K3026">
        <v>561</v>
      </c>
      <c r="L3026">
        <v>7.46</v>
      </c>
      <c r="M3026">
        <v>228</v>
      </c>
      <c r="N3026">
        <v>28.4</v>
      </c>
      <c r="O3026">
        <v>42.5</v>
      </c>
      <c r="P3026" s="11">
        <f t="shared" si="85"/>
        <v>0.245</v>
      </c>
    </row>
    <row r="3027" spans="1:16">
      <c r="A3027" s="1" t="s">
        <v>2958</v>
      </c>
      <c r="B3027" s="1" t="s">
        <v>3053</v>
      </c>
      <c r="C3027" s="1" t="s">
        <v>18</v>
      </c>
      <c r="D3027" s="1" t="s">
        <v>19</v>
      </c>
      <c r="E3027" s="1" t="s">
        <v>2752</v>
      </c>
      <c r="F3027">
        <v>2225</v>
      </c>
      <c r="G3027">
        <v>243</v>
      </c>
      <c r="H3027">
        <v>581</v>
      </c>
      <c r="I3027">
        <v>5240</v>
      </c>
      <c r="J3027" s="11">
        <f t="shared" si="86"/>
        <v>2.7650000000000001</v>
      </c>
      <c r="K3027">
        <v>182.2</v>
      </c>
      <c r="L3027">
        <v>26.3</v>
      </c>
      <c r="M3027">
        <v>279</v>
      </c>
      <c r="N3027">
        <v>17.7</v>
      </c>
      <c r="O3027">
        <v>38.700000000000003</v>
      </c>
      <c r="P3027" s="11">
        <f t="shared" si="85"/>
        <v>0.245</v>
      </c>
    </row>
    <row r="3028" spans="1:16">
      <c r="A3028" s="1" t="s">
        <v>2958</v>
      </c>
      <c r="B3028" s="1" t="s">
        <v>3054</v>
      </c>
      <c r="C3028" s="1" t="s">
        <v>18</v>
      </c>
      <c r="D3028" s="1" t="s">
        <v>19</v>
      </c>
      <c r="E3028" s="1" t="s">
        <v>2752</v>
      </c>
      <c r="F3028">
        <v>2094</v>
      </c>
      <c r="G3028">
        <v>361</v>
      </c>
      <c r="H3028">
        <v>649</v>
      </c>
      <c r="I3028">
        <v>6400</v>
      </c>
      <c r="J3028" s="11">
        <f t="shared" si="86"/>
        <v>2.7650000000000001</v>
      </c>
      <c r="K3028">
        <v>395</v>
      </c>
      <c r="L3028">
        <v>23.4</v>
      </c>
      <c r="M3028">
        <v>281</v>
      </c>
      <c r="N3028">
        <v>17.2</v>
      </c>
      <c r="O3028">
        <v>39.6</v>
      </c>
      <c r="P3028" s="11">
        <f t="shared" si="85"/>
        <v>0.245</v>
      </c>
    </row>
    <row r="3029" spans="1:16">
      <c r="A3029" s="1" t="s">
        <v>2958</v>
      </c>
      <c r="B3029" s="1" t="s">
        <v>3055</v>
      </c>
      <c r="C3029" s="1" t="s">
        <v>18</v>
      </c>
      <c r="D3029" s="1" t="s">
        <v>19</v>
      </c>
      <c r="E3029" s="1" t="s">
        <v>2752</v>
      </c>
      <c r="F3029">
        <v>2160</v>
      </c>
      <c r="G3029">
        <v>190.4</v>
      </c>
      <c r="H3029">
        <v>426</v>
      </c>
      <c r="I3029">
        <v>5630</v>
      </c>
      <c r="J3029" s="11">
        <f t="shared" si="86"/>
        <v>2.7650000000000001</v>
      </c>
      <c r="K3029">
        <v>242.4</v>
      </c>
      <c r="L3029">
        <v>24</v>
      </c>
      <c r="M3029">
        <v>295.8</v>
      </c>
      <c r="N3029">
        <v>8.8000000000000007</v>
      </c>
      <c r="O3029">
        <v>39.700000000000003</v>
      </c>
      <c r="P3029" s="11">
        <f t="shared" si="85"/>
        <v>0.245</v>
      </c>
    </row>
    <row r="3030" spans="1:16">
      <c r="A3030" s="1" t="s">
        <v>2958</v>
      </c>
      <c r="B3030" s="1" t="s">
        <v>3056</v>
      </c>
      <c r="C3030" s="1" t="s">
        <v>18</v>
      </c>
      <c r="D3030" s="1" t="s">
        <v>19</v>
      </c>
      <c r="E3030" s="1" t="s">
        <v>2752</v>
      </c>
      <c r="F3030">
        <v>2131</v>
      </c>
      <c r="G3030">
        <v>181</v>
      </c>
      <c r="H3030">
        <v>412</v>
      </c>
      <c r="I3030">
        <v>5370</v>
      </c>
      <c r="J3030" s="11">
        <f t="shared" si="86"/>
        <v>2.7650000000000001</v>
      </c>
      <c r="K3030">
        <v>163.30000000000001</v>
      </c>
      <c r="L3030">
        <v>22</v>
      </c>
      <c r="M3030">
        <v>294.39999999999998</v>
      </c>
      <c r="N3030">
        <v>8.3000000000000007</v>
      </c>
      <c r="O3030">
        <v>39</v>
      </c>
      <c r="P3030" s="11">
        <f t="shared" si="85"/>
        <v>0.245</v>
      </c>
    </row>
    <row r="3031" spans="1:16">
      <c r="A3031" s="1" t="s">
        <v>2958</v>
      </c>
      <c r="B3031" s="1" t="s">
        <v>3057</v>
      </c>
      <c r="C3031" s="1" t="s">
        <v>18</v>
      </c>
      <c r="D3031" s="1" t="s">
        <v>19</v>
      </c>
      <c r="E3031" s="1" t="s">
        <v>2752</v>
      </c>
      <c r="F3031">
        <v>785</v>
      </c>
      <c r="G3031">
        <v>198</v>
      </c>
      <c r="H3031">
        <v>257</v>
      </c>
      <c r="I3031">
        <v>5170</v>
      </c>
      <c r="J3031" s="11">
        <f t="shared" si="86"/>
        <v>2.7650000000000001</v>
      </c>
      <c r="K3031">
        <v>584</v>
      </c>
      <c r="L3031">
        <v>17.399999999999999</v>
      </c>
      <c r="M3031">
        <v>343</v>
      </c>
      <c r="N3031">
        <v>25.7</v>
      </c>
      <c r="O3031">
        <v>38.299999999999997</v>
      </c>
      <c r="P3031" s="11">
        <f t="shared" si="85"/>
        <v>0.245</v>
      </c>
    </row>
    <row r="3032" spans="1:16">
      <c r="A3032" s="1" t="s">
        <v>2958</v>
      </c>
      <c r="B3032" s="1" t="s">
        <v>3058</v>
      </c>
      <c r="C3032" s="1" t="s">
        <v>18</v>
      </c>
      <c r="D3032" s="1" t="s">
        <v>19</v>
      </c>
      <c r="E3032" s="1" t="s">
        <v>2752</v>
      </c>
      <c r="F3032">
        <v>930</v>
      </c>
      <c r="G3032">
        <v>360</v>
      </c>
      <c r="H3032">
        <v>3970</v>
      </c>
      <c r="I3032">
        <v>6200</v>
      </c>
      <c r="J3032" s="11">
        <f t="shared" si="86"/>
        <v>2.7650000000000001</v>
      </c>
      <c r="K3032">
        <v>680</v>
      </c>
      <c r="L3032">
        <v>3.51</v>
      </c>
      <c r="M3032">
        <v>218.3</v>
      </c>
      <c r="N3032">
        <v>17.399999999999999</v>
      </c>
      <c r="O3032">
        <v>40.4</v>
      </c>
      <c r="P3032" s="11">
        <f t="shared" si="85"/>
        <v>0.245</v>
      </c>
    </row>
    <row r="3033" spans="1:16">
      <c r="A3033" s="1" t="s">
        <v>2958</v>
      </c>
      <c r="B3033" s="1" t="s">
        <v>3059</v>
      </c>
      <c r="C3033" s="1" t="s">
        <v>18</v>
      </c>
      <c r="D3033" s="1" t="s">
        <v>19</v>
      </c>
      <c r="E3033" s="1" t="s">
        <v>2752</v>
      </c>
      <c r="F3033">
        <v>1150</v>
      </c>
      <c r="G3033">
        <v>157</v>
      </c>
      <c r="H3033">
        <v>159</v>
      </c>
      <c r="I3033">
        <v>4990</v>
      </c>
      <c r="J3033" s="11">
        <f t="shared" si="86"/>
        <v>2.7650000000000001</v>
      </c>
      <c r="K3033">
        <v>747</v>
      </c>
      <c r="L3033">
        <v>23.6</v>
      </c>
      <c r="M3033">
        <v>332</v>
      </c>
      <c r="N3033">
        <v>57</v>
      </c>
      <c r="O3033">
        <v>32.1</v>
      </c>
      <c r="P3033" s="11">
        <f t="shared" si="85"/>
        <v>0.245</v>
      </c>
    </row>
    <row r="3034" spans="1:16">
      <c r="A3034" s="1" t="s">
        <v>2958</v>
      </c>
      <c r="B3034" s="1" t="s">
        <v>3060</v>
      </c>
      <c r="C3034" s="1" t="s">
        <v>18</v>
      </c>
      <c r="D3034" s="1" t="s">
        <v>19</v>
      </c>
      <c r="E3034" s="1" t="s">
        <v>2752</v>
      </c>
      <c r="F3034">
        <v>1339</v>
      </c>
      <c r="G3034">
        <v>304</v>
      </c>
      <c r="H3034">
        <v>671</v>
      </c>
      <c r="I3034">
        <v>5270</v>
      </c>
      <c r="J3034" s="11">
        <f t="shared" si="86"/>
        <v>2.7650000000000001</v>
      </c>
      <c r="K3034">
        <v>190.7</v>
      </c>
      <c r="L3034">
        <v>4.8600000000000003</v>
      </c>
      <c r="M3034">
        <v>232.3</v>
      </c>
      <c r="N3034">
        <v>14.6</v>
      </c>
      <c r="O3034">
        <v>41.2</v>
      </c>
      <c r="P3034" s="11">
        <f t="shared" si="85"/>
        <v>0.245</v>
      </c>
    </row>
    <row r="3035" spans="1:16">
      <c r="A3035" s="1" t="s">
        <v>2958</v>
      </c>
      <c r="B3035" s="1" t="s">
        <v>3061</v>
      </c>
      <c r="C3035" s="1" t="s">
        <v>18</v>
      </c>
      <c r="D3035" s="1" t="s">
        <v>19</v>
      </c>
      <c r="E3035" s="1" t="s">
        <v>2752</v>
      </c>
      <c r="F3035">
        <v>1541</v>
      </c>
      <c r="G3035">
        <v>363</v>
      </c>
      <c r="H3035">
        <v>567</v>
      </c>
      <c r="I3035">
        <v>4860</v>
      </c>
      <c r="J3035" s="11">
        <f t="shared" si="86"/>
        <v>2.7650000000000001</v>
      </c>
      <c r="K3035">
        <v>300.5</v>
      </c>
      <c r="L3035">
        <v>12.29</v>
      </c>
      <c r="M3035">
        <v>260.10000000000002</v>
      </c>
      <c r="N3035">
        <v>18.2</v>
      </c>
      <c r="O3035">
        <v>42.4</v>
      </c>
      <c r="P3035" s="11">
        <f t="shared" si="85"/>
        <v>0.245</v>
      </c>
    </row>
    <row r="3036" spans="1:16">
      <c r="A3036" s="1" t="s">
        <v>2958</v>
      </c>
      <c r="B3036" s="1" t="s">
        <v>3062</v>
      </c>
      <c r="C3036" s="1" t="s">
        <v>18</v>
      </c>
      <c r="D3036" s="1" t="s">
        <v>19</v>
      </c>
      <c r="E3036" s="1" t="s">
        <v>2752</v>
      </c>
      <c r="F3036">
        <v>1472</v>
      </c>
      <c r="G3036">
        <v>314</v>
      </c>
      <c r="H3036">
        <v>764</v>
      </c>
      <c r="I3036">
        <v>4760</v>
      </c>
      <c r="J3036">
        <v>6.3</v>
      </c>
      <c r="K3036">
        <v>639</v>
      </c>
      <c r="L3036">
        <v>24.5</v>
      </c>
      <c r="M3036">
        <v>150.4</v>
      </c>
      <c r="N3036">
        <v>41.2</v>
      </c>
      <c r="O3036">
        <v>37.299999999999997</v>
      </c>
      <c r="P3036" s="11">
        <f t="shared" si="85"/>
        <v>0.245</v>
      </c>
    </row>
    <row r="3037" spans="1:16">
      <c r="A3037" s="1" t="s">
        <v>2958</v>
      </c>
      <c r="B3037" s="1" t="s">
        <v>3063</v>
      </c>
      <c r="C3037" s="1" t="s">
        <v>18</v>
      </c>
      <c r="D3037" s="1" t="s">
        <v>19</v>
      </c>
      <c r="E3037" s="1" t="s">
        <v>2752</v>
      </c>
      <c r="F3037">
        <v>1577</v>
      </c>
      <c r="G3037">
        <v>295</v>
      </c>
      <c r="H3037">
        <v>589</v>
      </c>
      <c r="I3037">
        <v>5740</v>
      </c>
      <c r="J3037" s="11">
        <f t="shared" ref="J3037:J3041" si="87">5.53/2</f>
        <v>2.7650000000000001</v>
      </c>
      <c r="K3037">
        <v>226</v>
      </c>
      <c r="L3037">
        <v>18.8</v>
      </c>
      <c r="M3037">
        <v>275</v>
      </c>
      <c r="N3037">
        <v>21.2</v>
      </c>
      <c r="O3037">
        <v>41.3</v>
      </c>
      <c r="P3037" s="11">
        <f t="shared" si="85"/>
        <v>0.245</v>
      </c>
    </row>
    <row r="3038" spans="1:16">
      <c r="A3038" s="1" t="s">
        <v>2958</v>
      </c>
      <c r="B3038" s="1" t="s">
        <v>3064</v>
      </c>
      <c r="C3038" s="1" t="s">
        <v>18</v>
      </c>
      <c r="D3038" s="1" t="s">
        <v>19</v>
      </c>
      <c r="E3038" s="1" t="s">
        <v>2752</v>
      </c>
      <c r="F3038">
        <v>1453</v>
      </c>
      <c r="G3038">
        <v>396</v>
      </c>
      <c r="H3038">
        <v>611</v>
      </c>
      <c r="I3038">
        <v>4980</v>
      </c>
      <c r="J3038" s="11">
        <f t="shared" si="87"/>
        <v>2.7650000000000001</v>
      </c>
      <c r="K3038">
        <v>151.80000000000001</v>
      </c>
      <c r="L3038">
        <v>9.9499999999999993</v>
      </c>
      <c r="M3038">
        <v>224</v>
      </c>
      <c r="N3038">
        <v>7.7</v>
      </c>
      <c r="O3038">
        <v>39.299999999999997</v>
      </c>
      <c r="P3038">
        <v>0.37</v>
      </c>
    </row>
    <row r="3039" spans="1:16">
      <c r="A3039" s="1" t="s">
        <v>2958</v>
      </c>
      <c r="B3039" s="1" t="s">
        <v>3065</v>
      </c>
      <c r="C3039" s="1" t="s">
        <v>18</v>
      </c>
      <c r="D3039" s="1" t="s">
        <v>19</v>
      </c>
      <c r="E3039" s="1" t="s">
        <v>2752</v>
      </c>
      <c r="F3039">
        <v>1580</v>
      </c>
      <c r="G3039">
        <v>249.4</v>
      </c>
      <c r="H3039">
        <v>499</v>
      </c>
      <c r="I3039">
        <v>4810</v>
      </c>
      <c r="J3039" s="11">
        <f t="shared" si="87"/>
        <v>2.7650000000000001</v>
      </c>
      <c r="K3039">
        <v>200.5</v>
      </c>
      <c r="L3039">
        <v>13.81</v>
      </c>
      <c r="M3039">
        <v>279</v>
      </c>
      <c r="N3039">
        <v>13.7</v>
      </c>
      <c r="O3039">
        <v>42.9</v>
      </c>
      <c r="P3039" s="11">
        <f t="shared" ref="P3039:P3044" si="88">0.49/2</f>
        <v>0.245</v>
      </c>
    </row>
    <row r="3040" spans="1:16">
      <c r="A3040" s="1" t="s">
        <v>2958</v>
      </c>
      <c r="B3040" s="1" t="s">
        <v>3066</v>
      </c>
      <c r="C3040" s="1" t="s">
        <v>18</v>
      </c>
      <c r="D3040" s="1" t="s">
        <v>19</v>
      </c>
      <c r="E3040" s="1" t="s">
        <v>2752</v>
      </c>
      <c r="F3040">
        <v>1035</v>
      </c>
      <c r="G3040">
        <v>207.6</v>
      </c>
      <c r="H3040">
        <v>543</v>
      </c>
      <c r="I3040">
        <v>5850</v>
      </c>
      <c r="J3040" s="11">
        <f t="shared" si="87"/>
        <v>2.7650000000000001</v>
      </c>
      <c r="K3040">
        <v>293.10000000000002</v>
      </c>
      <c r="L3040">
        <v>11.03</v>
      </c>
      <c r="M3040">
        <v>233.1</v>
      </c>
      <c r="N3040">
        <v>21.1</v>
      </c>
      <c r="O3040">
        <v>44</v>
      </c>
      <c r="P3040" s="11">
        <f t="shared" si="88"/>
        <v>0.245</v>
      </c>
    </row>
    <row r="3041" spans="1:16">
      <c r="A3041" s="1" t="s">
        <v>2958</v>
      </c>
      <c r="B3041" s="1" t="s">
        <v>3067</v>
      </c>
      <c r="C3041" s="1" t="s">
        <v>18</v>
      </c>
      <c r="D3041" s="1" t="s">
        <v>19</v>
      </c>
      <c r="E3041" s="1" t="s">
        <v>2752</v>
      </c>
      <c r="F3041">
        <v>1092</v>
      </c>
      <c r="G3041">
        <v>207</v>
      </c>
      <c r="H3041">
        <v>585</v>
      </c>
      <c r="I3041">
        <v>5030</v>
      </c>
      <c r="J3041" s="11">
        <f t="shared" si="87"/>
        <v>2.7650000000000001</v>
      </c>
      <c r="K3041">
        <v>397</v>
      </c>
      <c r="L3041">
        <v>13.3</v>
      </c>
      <c r="M3041">
        <v>176</v>
      </c>
      <c r="N3041">
        <v>21.6</v>
      </c>
      <c r="O3041">
        <v>39.4</v>
      </c>
      <c r="P3041" s="11">
        <f t="shared" si="88"/>
        <v>0.245</v>
      </c>
    </row>
    <row r="3042" spans="1:16">
      <c r="A3042" s="1" t="s">
        <v>2958</v>
      </c>
      <c r="B3042" s="1" t="s">
        <v>3068</v>
      </c>
      <c r="C3042" s="1" t="s">
        <v>18</v>
      </c>
      <c r="D3042" s="1" t="s">
        <v>19</v>
      </c>
      <c r="E3042" s="1" t="s">
        <v>2752</v>
      </c>
      <c r="F3042">
        <v>1637</v>
      </c>
      <c r="G3042">
        <v>204.2</v>
      </c>
      <c r="H3042">
        <v>469</v>
      </c>
      <c r="I3042">
        <v>6360</v>
      </c>
      <c r="J3042">
        <v>5.4</v>
      </c>
      <c r="K3042">
        <v>233.8</v>
      </c>
      <c r="L3042">
        <v>15.6</v>
      </c>
      <c r="M3042">
        <v>255</v>
      </c>
      <c r="N3042">
        <v>14.7</v>
      </c>
      <c r="O3042">
        <v>43.1</v>
      </c>
      <c r="P3042" s="11">
        <f t="shared" si="88"/>
        <v>0.245</v>
      </c>
    </row>
    <row r="3043" spans="1:16">
      <c r="A3043" s="1" t="s">
        <v>2958</v>
      </c>
      <c r="B3043" s="1" t="s">
        <v>3069</v>
      </c>
      <c r="C3043" s="1" t="s">
        <v>18</v>
      </c>
      <c r="D3043" s="1" t="s">
        <v>19</v>
      </c>
      <c r="E3043" s="1" t="s">
        <v>2752</v>
      </c>
      <c r="F3043">
        <v>1851</v>
      </c>
      <c r="G3043">
        <v>181.5</v>
      </c>
      <c r="H3043">
        <v>357</v>
      </c>
      <c r="I3043">
        <v>6420</v>
      </c>
      <c r="J3043" s="11">
        <f t="shared" ref="J3043:J3044" si="89">5.53/2</f>
        <v>2.7650000000000001</v>
      </c>
      <c r="K3043">
        <v>174</v>
      </c>
      <c r="L3043">
        <v>17.829999999999998</v>
      </c>
      <c r="M3043">
        <v>288.3</v>
      </c>
      <c r="N3043">
        <v>10</v>
      </c>
      <c r="O3043">
        <v>40.799999999999997</v>
      </c>
      <c r="P3043" s="11">
        <f t="shared" si="88"/>
        <v>0.245</v>
      </c>
    </row>
    <row r="3044" spans="1:16">
      <c r="A3044" s="1" t="s">
        <v>2958</v>
      </c>
      <c r="B3044" s="1" t="s">
        <v>3070</v>
      </c>
      <c r="C3044" s="1" t="s">
        <v>18</v>
      </c>
      <c r="D3044" s="1" t="s">
        <v>19</v>
      </c>
      <c r="E3044" s="1" t="s">
        <v>2752</v>
      </c>
      <c r="F3044">
        <v>1683</v>
      </c>
      <c r="G3044">
        <v>295</v>
      </c>
      <c r="H3044">
        <v>524</v>
      </c>
      <c r="I3044">
        <v>6480</v>
      </c>
      <c r="J3044" s="11">
        <f t="shared" si="89"/>
        <v>2.7650000000000001</v>
      </c>
      <c r="K3044">
        <v>637</v>
      </c>
      <c r="L3044">
        <v>23.5</v>
      </c>
      <c r="M3044">
        <v>282</v>
      </c>
      <c r="N3044">
        <v>35.700000000000003</v>
      </c>
      <c r="O3044">
        <v>40.9</v>
      </c>
      <c r="P3044" s="11">
        <f t="shared" si="88"/>
        <v>0.245</v>
      </c>
    </row>
    <row r="3045" spans="1:16">
      <c r="A3045" s="1" t="s">
        <v>2958</v>
      </c>
      <c r="B3045" s="1" t="s">
        <v>3071</v>
      </c>
      <c r="C3045" s="1" t="s">
        <v>18</v>
      </c>
      <c r="D3045" s="1" t="s">
        <v>19</v>
      </c>
      <c r="E3045" s="1" t="s">
        <v>2752</v>
      </c>
      <c r="F3045" s="11">
        <f>2.79/2</f>
        <v>1.395</v>
      </c>
      <c r="G3045">
        <v>362</v>
      </c>
      <c r="H3045" s="11">
        <f t="shared" ref="H3045:H3064" si="90">11.1/2</f>
        <v>5.55</v>
      </c>
      <c r="I3045">
        <v>15230</v>
      </c>
      <c r="J3045">
        <v>25.2</v>
      </c>
      <c r="K3045">
        <v>1065</v>
      </c>
      <c r="L3045">
        <v>4.49</v>
      </c>
      <c r="M3045">
        <v>234</v>
      </c>
      <c r="N3045">
        <v>32.799999999999997</v>
      </c>
      <c r="O3045">
        <v>37.799999999999997</v>
      </c>
      <c r="P3045">
        <v>7.25</v>
      </c>
    </row>
    <row r="3046" spans="1:16">
      <c r="A3046" s="1" t="s">
        <v>2958</v>
      </c>
      <c r="B3046" s="1" t="s">
        <v>3072</v>
      </c>
      <c r="C3046" s="1" t="s">
        <v>18</v>
      </c>
      <c r="D3046" s="1" t="s">
        <v>19</v>
      </c>
      <c r="E3046" s="1" t="s">
        <v>2752</v>
      </c>
      <c r="F3046">
        <v>287</v>
      </c>
      <c r="G3046">
        <v>445</v>
      </c>
      <c r="H3046" s="11">
        <f t="shared" si="90"/>
        <v>5.55</v>
      </c>
      <c r="I3046">
        <v>14910</v>
      </c>
      <c r="J3046">
        <v>27.5</v>
      </c>
      <c r="K3046">
        <v>802</v>
      </c>
      <c r="L3046">
        <v>4.5</v>
      </c>
      <c r="M3046">
        <v>206</v>
      </c>
      <c r="N3046">
        <v>30.4</v>
      </c>
      <c r="O3046">
        <v>36.799999999999997</v>
      </c>
      <c r="P3046">
        <v>2.35</v>
      </c>
    </row>
    <row r="3047" spans="1:16">
      <c r="A3047" s="1" t="s">
        <v>2958</v>
      </c>
      <c r="B3047" s="1" t="s">
        <v>3073</v>
      </c>
      <c r="C3047" s="1" t="s">
        <v>18</v>
      </c>
      <c r="D3047" s="1" t="s">
        <v>19</v>
      </c>
      <c r="E3047" s="1" t="s">
        <v>2752</v>
      </c>
      <c r="F3047" s="11">
        <f t="shared" ref="F3047:F3048" si="91">2.79/2</f>
        <v>1.395</v>
      </c>
      <c r="G3047">
        <v>590</v>
      </c>
      <c r="H3047" s="11">
        <f t="shared" si="90"/>
        <v>5.55</v>
      </c>
      <c r="I3047">
        <v>12750</v>
      </c>
      <c r="J3047">
        <v>30.5</v>
      </c>
      <c r="K3047">
        <v>1514</v>
      </c>
      <c r="L3047">
        <v>4.2699999999999996</v>
      </c>
      <c r="M3047">
        <v>190</v>
      </c>
      <c r="N3047">
        <v>103</v>
      </c>
      <c r="O3047">
        <v>37.799999999999997</v>
      </c>
      <c r="P3047">
        <v>11.6</v>
      </c>
    </row>
    <row r="3048" spans="1:16">
      <c r="A3048" s="1" t="s">
        <v>2958</v>
      </c>
      <c r="B3048" s="1" t="s">
        <v>3074</v>
      </c>
      <c r="C3048" s="1" t="s">
        <v>18</v>
      </c>
      <c r="D3048" s="1" t="s">
        <v>19</v>
      </c>
      <c r="E3048" s="1" t="s">
        <v>2752</v>
      </c>
      <c r="F3048" s="11">
        <f t="shared" si="91"/>
        <v>1.395</v>
      </c>
      <c r="G3048">
        <v>447</v>
      </c>
      <c r="H3048" s="11">
        <f t="shared" si="90"/>
        <v>5.55</v>
      </c>
      <c r="I3048">
        <v>12950</v>
      </c>
      <c r="J3048">
        <v>30.1</v>
      </c>
      <c r="K3048">
        <v>872</v>
      </c>
      <c r="L3048">
        <v>6.73</v>
      </c>
      <c r="M3048">
        <v>184.2</v>
      </c>
      <c r="N3048">
        <v>23.5</v>
      </c>
      <c r="O3048">
        <v>34</v>
      </c>
      <c r="P3048">
        <v>2.5299999999999998</v>
      </c>
    </row>
    <row r="3049" spans="1:16">
      <c r="A3049" s="1" t="s">
        <v>2958</v>
      </c>
      <c r="B3049" s="1" t="s">
        <v>3075</v>
      </c>
      <c r="C3049" s="1" t="s">
        <v>18</v>
      </c>
      <c r="D3049" s="1" t="s">
        <v>19</v>
      </c>
      <c r="E3049" s="1" t="s">
        <v>2752</v>
      </c>
      <c r="F3049">
        <v>229</v>
      </c>
      <c r="G3049">
        <v>250</v>
      </c>
      <c r="H3049" s="11">
        <f t="shared" si="90"/>
        <v>5.55</v>
      </c>
      <c r="I3049">
        <v>13910</v>
      </c>
      <c r="J3049">
        <v>34.299999999999997</v>
      </c>
      <c r="K3049">
        <v>1478</v>
      </c>
      <c r="L3049">
        <v>6.8</v>
      </c>
      <c r="M3049">
        <v>213</v>
      </c>
      <c r="N3049">
        <v>87</v>
      </c>
      <c r="O3049">
        <v>35</v>
      </c>
      <c r="P3049">
        <v>17.399999999999999</v>
      </c>
    </row>
    <row r="3050" spans="1:16">
      <c r="A3050" s="1" t="s">
        <v>2958</v>
      </c>
      <c r="B3050" s="1" t="s">
        <v>3076</v>
      </c>
      <c r="C3050" s="1" t="s">
        <v>18</v>
      </c>
      <c r="D3050" s="1" t="s">
        <v>19</v>
      </c>
      <c r="E3050" s="1" t="s">
        <v>2752</v>
      </c>
      <c r="F3050">
        <v>514</v>
      </c>
      <c r="G3050">
        <v>394</v>
      </c>
      <c r="H3050" s="11">
        <f t="shared" si="90"/>
        <v>5.55</v>
      </c>
      <c r="I3050">
        <v>9170</v>
      </c>
      <c r="J3050">
        <v>22.3</v>
      </c>
      <c r="K3050">
        <v>987</v>
      </c>
      <c r="L3050">
        <v>2.79</v>
      </c>
      <c r="M3050">
        <v>167.7</v>
      </c>
      <c r="N3050">
        <v>63.4</v>
      </c>
      <c r="O3050">
        <v>34.5</v>
      </c>
      <c r="P3050">
        <v>5.97</v>
      </c>
    </row>
    <row r="3051" spans="1:16">
      <c r="A3051" s="1" t="s">
        <v>2958</v>
      </c>
      <c r="B3051" s="1" t="s">
        <v>3077</v>
      </c>
      <c r="C3051" s="1" t="s">
        <v>18</v>
      </c>
      <c r="D3051" s="1" t="s">
        <v>19</v>
      </c>
      <c r="E3051" s="1" t="s">
        <v>2752</v>
      </c>
      <c r="F3051">
        <v>1084</v>
      </c>
      <c r="G3051">
        <v>874</v>
      </c>
      <c r="H3051" s="11">
        <f t="shared" si="90"/>
        <v>5.55</v>
      </c>
      <c r="I3051">
        <v>8440</v>
      </c>
      <c r="J3051">
        <v>19.8</v>
      </c>
      <c r="K3051">
        <v>833</v>
      </c>
      <c r="L3051">
        <v>4.92</v>
      </c>
      <c r="M3051">
        <v>196</v>
      </c>
      <c r="N3051">
        <v>31.8</v>
      </c>
      <c r="O3051">
        <v>35.299999999999997</v>
      </c>
      <c r="P3051">
        <v>4.18</v>
      </c>
    </row>
    <row r="3052" spans="1:16">
      <c r="A3052" s="1" t="s">
        <v>2958</v>
      </c>
      <c r="B3052" s="1" t="s">
        <v>3078</v>
      </c>
      <c r="C3052" s="1" t="s">
        <v>18</v>
      </c>
      <c r="D3052" s="1" t="s">
        <v>19</v>
      </c>
      <c r="E3052" s="1" t="s">
        <v>2752</v>
      </c>
      <c r="F3052">
        <v>586</v>
      </c>
      <c r="G3052">
        <v>374</v>
      </c>
      <c r="H3052" s="11">
        <f t="shared" si="90"/>
        <v>5.55</v>
      </c>
      <c r="I3052">
        <v>10780</v>
      </c>
      <c r="J3052">
        <v>28.4</v>
      </c>
      <c r="K3052">
        <v>1152</v>
      </c>
      <c r="L3052">
        <v>6.39</v>
      </c>
      <c r="M3052">
        <v>185</v>
      </c>
      <c r="N3052">
        <v>38.1</v>
      </c>
      <c r="O3052">
        <v>36.299999999999997</v>
      </c>
      <c r="P3052">
        <v>4.92</v>
      </c>
    </row>
    <row r="3053" spans="1:16">
      <c r="A3053" s="1" t="s">
        <v>2958</v>
      </c>
      <c r="B3053" s="1" t="s">
        <v>3079</v>
      </c>
      <c r="C3053" s="1" t="s">
        <v>18</v>
      </c>
      <c r="D3053" s="1" t="s">
        <v>19</v>
      </c>
      <c r="E3053" s="1" t="s">
        <v>2752</v>
      </c>
      <c r="F3053">
        <v>346</v>
      </c>
      <c r="G3053">
        <v>810</v>
      </c>
      <c r="H3053" s="11">
        <f t="shared" si="90"/>
        <v>5.55</v>
      </c>
      <c r="I3053">
        <v>8150</v>
      </c>
      <c r="J3053">
        <v>35.700000000000003</v>
      </c>
      <c r="K3053">
        <v>1186</v>
      </c>
      <c r="L3053">
        <v>5.9</v>
      </c>
      <c r="M3053">
        <v>137.69999999999999</v>
      </c>
      <c r="N3053">
        <v>70.900000000000006</v>
      </c>
      <c r="O3053">
        <v>34</v>
      </c>
      <c r="P3053">
        <v>4.7699999999999996</v>
      </c>
    </row>
    <row r="3054" spans="1:16">
      <c r="A3054" s="1" t="s">
        <v>2958</v>
      </c>
      <c r="B3054" s="1" t="s">
        <v>3080</v>
      </c>
      <c r="C3054" s="1" t="s">
        <v>18</v>
      </c>
      <c r="D3054" s="1" t="s">
        <v>19</v>
      </c>
      <c r="E3054" s="1" t="s">
        <v>2752</v>
      </c>
      <c r="F3054">
        <v>318</v>
      </c>
      <c r="G3054">
        <v>366</v>
      </c>
      <c r="H3054" s="11">
        <f t="shared" si="90"/>
        <v>5.55</v>
      </c>
      <c r="I3054">
        <v>8460</v>
      </c>
      <c r="J3054">
        <v>34.1</v>
      </c>
      <c r="K3054">
        <v>870</v>
      </c>
      <c r="L3054">
        <v>6.52</v>
      </c>
      <c r="M3054">
        <v>156</v>
      </c>
      <c r="N3054">
        <v>28.9</v>
      </c>
      <c r="O3054">
        <v>35.5</v>
      </c>
      <c r="P3054">
        <v>3.4</v>
      </c>
    </row>
    <row r="3055" spans="1:16">
      <c r="A3055" s="1" t="s">
        <v>2958</v>
      </c>
      <c r="B3055" s="1" t="s">
        <v>3081</v>
      </c>
      <c r="C3055" s="1" t="s">
        <v>18</v>
      </c>
      <c r="D3055" s="1" t="s">
        <v>19</v>
      </c>
      <c r="E3055" s="1" t="s">
        <v>2752</v>
      </c>
      <c r="F3055">
        <v>400</v>
      </c>
      <c r="G3055">
        <v>414</v>
      </c>
      <c r="H3055" s="11">
        <f t="shared" si="90"/>
        <v>5.55</v>
      </c>
      <c r="I3055">
        <v>9020</v>
      </c>
      <c r="J3055">
        <v>44.6</v>
      </c>
      <c r="K3055">
        <v>1082</v>
      </c>
      <c r="L3055">
        <v>7.88</v>
      </c>
      <c r="M3055">
        <v>134.69999999999999</v>
      </c>
      <c r="N3055">
        <v>43.7</v>
      </c>
      <c r="O3055">
        <v>31.9</v>
      </c>
      <c r="P3055">
        <v>3.23</v>
      </c>
    </row>
    <row r="3056" spans="1:16">
      <c r="A3056" s="1" t="s">
        <v>2958</v>
      </c>
      <c r="B3056" s="1" t="s">
        <v>3082</v>
      </c>
      <c r="C3056" s="1" t="s">
        <v>18</v>
      </c>
      <c r="D3056" s="1" t="s">
        <v>19</v>
      </c>
      <c r="E3056" s="1" t="s">
        <v>2752</v>
      </c>
      <c r="F3056">
        <v>1018</v>
      </c>
      <c r="G3056">
        <v>831</v>
      </c>
      <c r="H3056" s="11">
        <f t="shared" si="90"/>
        <v>5.55</v>
      </c>
      <c r="I3056">
        <v>11640</v>
      </c>
      <c r="J3056">
        <v>3.6</v>
      </c>
      <c r="K3056">
        <v>328</v>
      </c>
      <c r="L3056">
        <v>7.79</v>
      </c>
      <c r="M3056">
        <v>171.4</v>
      </c>
      <c r="N3056">
        <v>8</v>
      </c>
      <c r="O3056">
        <v>42.7</v>
      </c>
      <c r="P3056">
        <v>0.34</v>
      </c>
    </row>
    <row r="3057" spans="1:16">
      <c r="A3057" s="1" t="s">
        <v>2958</v>
      </c>
      <c r="B3057" s="1" t="s">
        <v>3083</v>
      </c>
      <c r="C3057" s="1" t="s">
        <v>18</v>
      </c>
      <c r="D3057" s="1" t="s">
        <v>19</v>
      </c>
      <c r="E3057" s="1" t="s">
        <v>2752</v>
      </c>
      <c r="F3057">
        <v>958</v>
      </c>
      <c r="G3057">
        <v>720</v>
      </c>
      <c r="H3057" s="11">
        <f t="shared" si="90"/>
        <v>5.55</v>
      </c>
      <c r="I3057">
        <v>11920</v>
      </c>
      <c r="J3057">
        <v>10.199999999999999</v>
      </c>
      <c r="K3057">
        <v>477</v>
      </c>
      <c r="L3057">
        <v>6.72</v>
      </c>
      <c r="M3057">
        <v>183.4</v>
      </c>
      <c r="N3057">
        <v>12.2</v>
      </c>
      <c r="O3057">
        <v>44.3</v>
      </c>
      <c r="P3057">
        <v>0.23</v>
      </c>
    </row>
    <row r="3058" spans="1:16">
      <c r="A3058" s="1" t="s">
        <v>2958</v>
      </c>
      <c r="B3058" s="1" t="s">
        <v>3084</v>
      </c>
      <c r="C3058" s="1" t="s">
        <v>18</v>
      </c>
      <c r="D3058" s="1" t="s">
        <v>19</v>
      </c>
      <c r="E3058" s="1" t="s">
        <v>2752</v>
      </c>
      <c r="F3058">
        <v>1157</v>
      </c>
      <c r="G3058">
        <v>633</v>
      </c>
      <c r="H3058" s="11">
        <f t="shared" si="90"/>
        <v>5.55</v>
      </c>
      <c r="I3058">
        <v>11650</v>
      </c>
      <c r="J3058" s="11">
        <f>5.53/2</f>
        <v>2.7650000000000001</v>
      </c>
      <c r="K3058">
        <v>325</v>
      </c>
      <c r="L3058">
        <v>4.0199999999999996</v>
      </c>
      <c r="M3058">
        <v>170.7</v>
      </c>
      <c r="N3058">
        <v>6.8</v>
      </c>
      <c r="O3058">
        <v>44.5</v>
      </c>
      <c r="P3058">
        <v>0.39</v>
      </c>
    </row>
    <row r="3059" spans="1:16">
      <c r="A3059" s="1" t="s">
        <v>2958</v>
      </c>
      <c r="B3059" s="1" t="s">
        <v>3085</v>
      </c>
      <c r="C3059" s="1" t="s">
        <v>18</v>
      </c>
      <c r="D3059" s="1" t="s">
        <v>19</v>
      </c>
      <c r="E3059" s="1" t="s">
        <v>2752</v>
      </c>
      <c r="F3059">
        <v>1095</v>
      </c>
      <c r="G3059">
        <v>610</v>
      </c>
      <c r="H3059" s="11">
        <f t="shared" si="90"/>
        <v>5.55</v>
      </c>
      <c r="I3059">
        <v>11950</v>
      </c>
      <c r="J3059">
        <v>37.799999999999997</v>
      </c>
      <c r="K3059">
        <v>712</v>
      </c>
      <c r="L3059">
        <v>5.56</v>
      </c>
      <c r="M3059">
        <v>182.7</v>
      </c>
      <c r="N3059">
        <v>43.3</v>
      </c>
      <c r="O3059">
        <v>36.799999999999997</v>
      </c>
      <c r="P3059">
        <v>2.2599999999999998</v>
      </c>
    </row>
    <row r="3060" spans="1:16">
      <c r="A3060" s="1" t="s">
        <v>2958</v>
      </c>
      <c r="B3060" s="1" t="s">
        <v>3086</v>
      </c>
      <c r="C3060" s="1" t="s">
        <v>18</v>
      </c>
      <c r="D3060" s="1" t="s">
        <v>19</v>
      </c>
      <c r="E3060" s="1" t="s">
        <v>2752</v>
      </c>
      <c r="F3060">
        <v>1130</v>
      </c>
      <c r="G3060">
        <v>466</v>
      </c>
      <c r="H3060" s="11">
        <f t="shared" si="90"/>
        <v>5.55</v>
      </c>
      <c r="I3060">
        <v>11950</v>
      </c>
      <c r="J3060">
        <v>34.700000000000003</v>
      </c>
      <c r="K3060">
        <v>457</v>
      </c>
      <c r="L3060">
        <v>2.61</v>
      </c>
      <c r="M3060">
        <v>199.8</v>
      </c>
      <c r="N3060">
        <v>51.8</v>
      </c>
      <c r="O3060">
        <v>35.200000000000003</v>
      </c>
      <c r="P3060">
        <v>2.71</v>
      </c>
    </row>
    <row r="3061" spans="1:16">
      <c r="A3061" s="1" t="s">
        <v>2958</v>
      </c>
      <c r="B3061" s="1" t="s">
        <v>3087</v>
      </c>
      <c r="C3061" s="1" t="s">
        <v>18</v>
      </c>
      <c r="D3061" s="1" t="s">
        <v>19</v>
      </c>
      <c r="E3061" s="1" t="s">
        <v>2752</v>
      </c>
      <c r="F3061">
        <v>1384</v>
      </c>
      <c r="G3061">
        <v>1045</v>
      </c>
      <c r="H3061" s="11">
        <f t="shared" si="90"/>
        <v>5.55</v>
      </c>
      <c r="I3061">
        <v>13890</v>
      </c>
      <c r="J3061">
        <v>28.1</v>
      </c>
      <c r="K3061">
        <v>599</v>
      </c>
      <c r="L3061">
        <v>10.199999999999999</v>
      </c>
      <c r="M3061">
        <v>184.8</v>
      </c>
      <c r="N3061">
        <v>13</v>
      </c>
      <c r="O3061">
        <v>42.4</v>
      </c>
      <c r="P3061">
        <v>0.9</v>
      </c>
    </row>
    <row r="3062" spans="1:16">
      <c r="A3062" s="1" t="s">
        <v>2958</v>
      </c>
      <c r="B3062" s="1" t="s">
        <v>3088</v>
      </c>
      <c r="C3062" s="1" t="s">
        <v>18</v>
      </c>
      <c r="D3062" s="1" t="s">
        <v>19</v>
      </c>
      <c r="E3062" s="1" t="s">
        <v>2752</v>
      </c>
      <c r="F3062">
        <v>1308</v>
      </c>
      <c r="G3062">
        <v>874</v>
      </c>
      <c r="H3062" s="11">
        <f t="shared" si="90"/>
        <v>5.55</v>
      </c>
      <c r="I3062">
        <v>14650</v>
      </c>
      <c r="J3062">
        <v>31.3</v>
      </c>
      <c r="K3062">
        <v>470</v>
      </c>
      <c r="L3062">
        <v>6.11</v>
      </c>
      <c r="M3062">
        <v>173.8</v>
      </c>
      <c r="N3062">
        <v>10.199999999999999</v>
      </c>
      <c r="O3062">
        <v>42</v>
      </c>
      <c r="P3062" s="11">
        <f>0.49/2</f>
        <v>0.245</v>
      </c>
    </row>
    <row r="3063" spans="1:16">
      <c r="A3063" s="1" t="s">
        <v>2958</v>
      </c>
      <c r="B3063" s="1" t="s">
        <v>3089</v>
      </c>
      <c r="C3063" s="1" t="s">
        <v>18</v>
      </c>
      <c r="D3063" s="1" t="s">
        <v>19</v>
      </c>
      <c r="E3063" s="1" t="s">
        <v>2752</v>
      </c>
      <c r="F3063">
        <v>2970</v>
      </c>
      <c r="G3063">
        <v>876</v>
      </c>
      <c r="H3063" s="11">
        <f t="shared" si="90"/>
        <v>5.55</v>
      </c>
      <c r="I3063">
        <v>11620</v>
      </c>
      <c r="J3063">
        <v>44.4</v>
      </c>
      <c r="K3063">
        <v>8400</v>
      </c>
      <c r="L3063">
        <v>10.45</v>
      </c>
      <c r="M3063">
        <v>136.1</v>
      </c>
      <c r="N3063">
        <v>75.2</v>
      </c>
      <c r="O3063">
        <v>34.5</v>
      </c>
      <c r="P3063">
        <v>3.86</v>
      </c>
    </row>
    <row r="3064" spans="1:16">
      <c r="A3064" s="1" t="s">
        <v>2958</v>
      </c>
      <c r="B3064" s="1" t="s">
        <v>3090</v>
      </c>
      <c r="C3064" s="1" t="s">
        <v>18</v>
      </c>
      <c r="D3064" s="1" t="s">
        <v>19</v>
      </c>
      <c r="E3064" s="1" t="s">
        <v>2752</v>
      </c>
      <c r="F3064">
        <v>383</v>
      </c>
      <c r="G3064">
        <v>196</v>
      </c>
      <c r="H3064" s="11">
        <f t="shared" si="90"/>
        <v>5.55</v>
      </c>
      <c r="I3064">
        <v>6150</v>
      </c>
      <c r="J3064">
        <v>35.700000000000003</v>
      </c>
      <c r="K3064">
        <v>437</v>
      </c>
      <c r="L3064">
        <v>3.5</v>
      </c>
      <c r="M3064">
        <v>123.2</v>
      </c>
      <c r="N3064">
        <v>65.599999999999994</v>
      </c>
      <c r="O3064">
        <v>21.7</v>
      </c>
      <c r="P3064">
        <v>2.2599999999999998</v>
      </c>
    </row>
    <row r="3065" spans="1:16">
      <c r="A3065" s="1" t="s">
        <v>3091</v>
      </c>
      <c r="B3065" s="1" t="s">
        <v>3092</v>
      </c>
      <c r="C3065" s="1" t="s">
        <v>18</v>
      </c>
      <c r="D3065" s="1" t="s">
        <v>19</v>
      </c>
      <c r="E3065" s="1" t="s">
        <v>2752</v>
      </c>
      <c r="F3065">
        <v>292</v>
      </c>
      <c r="G3065">
        <v>338</v>
      </c>
      <c r="H3065">
        <v>1220</v>
      </c>
      <c r="I3065">
        <v>1423</v>
      </c>
      <c r="J3065" s="11">
        <f t="shared" ref="J3065:J3128" si="92">5.53/2</f>
        <v>2.7650000000000001</v>
      </c>
      <c r="K3065">
        <v>483</v>
      </c>
      <c r="L3065">
        <v>18.600000000000001</v>
      </c>
      <c r="M3065">
        <v>87.8</v>
      </c>
      <c r="N3065">
        <v>14.2</v>
      </c>
      <c r="O3065">
        <v>19.3</v>
      </c>
      <c r="P3065">
        <v>0.96</v>
      </c>
    </row>
    <row r="3066" spans="1:16">
      <c r="A3066" s="1" t="s">
        <v>3091</v>
      </c>
      <c r="B3066" s="1" t="s">
        <v>3093</v>
      </c>
      <c r="C3066" s="1" t="s">
        <v>18</v>
      </c>
      <c r="D3066" s="1" t="s">
        <v>19</v>
      </c>
      <c r="E3066" s="1" t="s">
        <v>2752</v>
      </c>
      <c r="F3066">
        <v>379</v>
      </c>
      <c r="G3066">
        <v>272</v>
      </c>
      <c r="H3066">
        <v>279</v>
      </c>
      <c r="I3066">
        <v>1334</v>
      </c>
      <c r="J3066" s="11">
        <f t="shared" si="92"/>
        <v>2.7650000000000001</v>
      </c>
      <c r="K3066">
        <v>471</v>
      </c>
      <c r="L3066">
        <v>18.2</v>
      </c>
      <c r="M3066">
        <v>91.5</v>
      </c>
      <c r="N3066">
        <v>11.5</v>
      </c>
      <c r="O3066">
        <v>17.64</v>
      </c>
      <c r="P3066">
        <v>0.94</v>
      </c>
    </row>
    <row r="3067" spans="1:16">
      <c r="A3067" s="1" t="s">
        <v>3091</v>
      </c>
      <c r="B3067" s="1" t="s">
        <v>3094</v>
      </c>
      <c r="C3067" s="1" t="s">
        <v>18</v>
      </c>
      <c r="D3067" s="1" t="s">
        <v>19</v>
      </c>
      <c r="E3067" s="1" t="s">
        <v>2752</v>
      </c>
      <c r="F3067">
        <v>528</v>
      </c>
      <c r="G3067">
        <v>528</v>
      </c>
      <c r="H3067">
        <v>347</v>
      </c>
      <c r="I3067">
        <v>1232</v>
      </c>
      <c r="J3067" s="11">
        <f t="shared" si="92"/>
        <v>2.7650000000000001</v>
      </c>
      <c r="K3067">
        <v>481</v>
      </c>
      <c r="L3067">
        <v>16.5</v>
      </c>
      <c r="M3067">
        <v>109.6</v>
      </c>
      <c r="N3067">
        <v>14.7</v>
      </c>
      <c r="O3067">
        <v>19.2</v>
      </c>
      <c r="P3067">
        <v>0.83</v>
      </c>
    </row>
    <row r="3068" spans="1:16">
      <c r="A3068" s="1" t="s">
        <v>3091</v>
      </c>
      <c r="B3068" s="1" t="s">
        <v>3095</v>
      </c>
      <c r="C3068" s="1" t="s">
        <v>18</v>
      </c>
      <c r="D3068" s="1" t="s">
        <v>19</v>
      </c>
      <c r="E3068" s="1" t="s">
        <v>2752</v>
      </c>
      <c r="F3068">
        <v>606</v>
      </c>
      <c r="G3068">
        <v>407</v>
      </c>
      <c r="H3068">
        <v>463</v>
      </c>
      <c r="I3068">
        <v>1238</v>
      </c>
      <c r="J3068" s="11">
        <f t="shared" si="92"/>
        <v>2.7650000000000001</v>
      </c>
      <c r="K3068">
        <v>505</v>
      </c>
      <c r="L3068">
        <v>17.100000000000001</v>
      </c>
      <c r="M3068">
        <v>113.8</v>
      </c>
      <c r="N3068">
        <v>13.5</v>
      </c>
      <c r="O3068">
        <v>18.52</v>
      </c>
      <c r="P3068">
        <v>1.1000000000000001</v>
      </c>
    </row>
    <row r="3069" spans="1:16">
      <c r="A3069" s="1" t="s">
        <v>3091</v>
      </c>
      <c r="B3069" s="1" t="s">
        <v>3096</v>
      </c>
      <c r="C3069" s="1" t="s">
        <v>18</v>
      </c>
      <c r="D3069" s="1" t="s">
        <v>19</v>
      </c>
      <c r="E3069" s="1" t="s">
        <v>2752</v>
      </c>
      <c r="F3069">
        <v>749</v>
      </c>
      <c r="G3069">
        <v>557</v>
      </c>
      <c r="H3069">
        <v>253</v>
      </c>
      <c r="I3069">
        <v>1239</v>
      </c>
      <c r="J3069" s="11">
        <f t="shared" si="92"/>
        <v>2.7650000000000001</v>
      </c>
      <c r="K3069">
        <v>458</v>
      </c>
      <c r="L3069">
        <v>16.3</v>
      </c>
      <c r="M3069">
        <v>144</v>
      </c>
      <c r="N3069">
        <v>14.8</v>
      </c>
      <c r="O3069">
        <v>26.3</v>
      </c>
      <c r="P3069" s="11">
        <f t="shared" ref="P3069:P3080" si="93">0.49/2</f>
        <v>0.245</v>
      </c>
    </row>
    <row r="3070" spans="1:16">
      <c r="A3070" s="1" t="s">
        <v>3091</v>
      </c>
      <c r="B3070" s="1" t="s">
        <v>3097</v>
      </c>
      <c r="C3070" s="1" t="s">
        <v>18</v>
      </c>
      <c r="D3070" s="1" t="s">
        <v>19</v>
      </c>
      <c r="E3070" s="1" t="s">
        <v>2752</v>
      </c>
      <c r="F3070">
        <v>402</v>
      </c>
      <c r="G3070">
        <v>531</v>
      </c>
      <c r="H3070">
        <v>278</v>
      </c>
      <c r="I3070">
        <v>1286</v>
      </c>
      <c r="J3070" s="11">
        <f t="shared" si="92"/>
        <v>2.7650000000000001</v>
      </c>
      <c r="K3070">
        <v>525</v>
      </c>
      <c r="L3070">
        <v>14.9</v>
      </c>
      <c r="M3070">
        <v>123</v>
      </c>
      <c r="N3070">
        <v>7.9</v>
      </c>
      <c r="O3070">
        <v>24.7</v>
      </c>
      <c r="P3070" s="11">
        <f t="shared" si="93"/>
        <v>0.245</v>
      </c>
    </row>
    <row r="3071" spans="1:16">
      <c r="A3071" s="1" t="s">
        <v>3091</v>
      </c>
      <c r="B3071" s="1" t="s">
        <v>3098</v>
      </c>
      <c r="C3071" s="1" t="s">
        <v>18</v>
      </c>
      <c r="D3071" s="1" t="s">
        <v>19</v>
      </c>
      <c r="E3071" s="1" t="s">
        <v>2752</v>
      </c>
      <c r="F3071">
        <v>259</v>
      </c>
      <c r="G3071">
        <v>268</v>
      </c>
      <c r="H3071">
        <v>175</v>
      </c>
      <c r="I3071">
        <v>1289</v>
      </c>
      <c r="J3071" s="11">
        <f t="shared" si="92"/>
        <v>2.7650000000000001</v>
      </c>
      <c r="K3071">
        <v>488</v>
      </c>
      <c r="L3071">
        <v>16.7</v>
      </c>
      <c r="M3071">
        <v>135</v>
      </c>
      <c r="N3071">
        <v>13.8</v>
      </c>
      <c r="O3071">
        <v>21.2</v>
      </c>
      <c r="P3071" s="11">
        <f t="shared" si="93"/>
        <v>0.245</v>
      </c>
    </row>
    <row r="3072" spans="1:16">
      <c r="A3072" s="1" t="s">
        <v>3091</v>
      </c>
      <c r="B3072" s="1" t="s">
        <v>3099</v>
      </c>
      <c r="C3072" s="1" t="s">
        <v>18</v>
      </c>
      <c r="D3072" s="1" t="s">
        <v>19</v>
      </c>
      <c r="E3072" s="1" t="s">
        <v>2752</v>
      </c>
      <c r="F3072">
        <v>42.8</v>
      </c>
      <c r="G3072">
        <v>169</v>
      </c>
      <c r="H3072" s="11">
        <f>11.1/2</f>
        <v>5.55</v>
      </c>
      <c r="I3072">
        <v>1453</v>
      </c>
      <c r="J3072" s="11">
        <f t="shared" si="92"/>
        <v>2.7650000000000001</v>
      </c>
      <c r="K3072">
        <v>541</v>
      </c>
      <c r="L3072">
        <v>19.5</v>
      </c>
      <c r="M3072">
        <v>104</v>
      </c>
      <c r="N3072">
        <v>6</v>
      </c>
      <c r="O3072">
        <v>19.7</v>
      </c>
      <c r="P3072" s="11">
        <f t="shared" si="93"/>
        <v>0.245</v>
      </c>
    </row>
    <row r="3073" spans="1:16">
      <c r="A3073" s="1" t="s">
        <v>3091</v>
      </c>
      <c r="B3073" s="1" t="s">
        <v>3100</v>
      </c>
      <c r="C3073" s="1" t="s">
        <v>18</v>
      </c>
      <c r="D3073" s="1" t="s">
        <v>19</v>
      </c>
      <c r="E3073" s="1" t="s">
        <v>2752</v>
      </c>
      <c r="F3073">
        <v>171</v>
      </c>
      <c r="G3073">
        <v>318</v>
      </c>
      <c r="H3073">
        <v>357</v>
      </c>
      <c r="I3073">
        <v>1401</v>
      </c>
      <c r="J3073" s="11">
        <f t="shared" si="92"/>
        <v>2.7650000000000001</v>
      </c>
      <c r="K3073">
        <v>512</v>
      </c>
      <c r="L3073">
        <v>19</v>
      </c>
      <c r="M3073">
        <v>101.6</v>
      </c>
      <c r="N3073">
        <v>17</v>
      </c>
      <c r="O3073">
        <v>18.559999999999999</v>
      </c>
      <c r="P3073" s="11">
        <f t="shared" si="93"/>
        <v>0.245</v>
      </c>
    </row>
    <row r="3074" spans="1:16">
      <c r="A3074" s="1" t="s">
        <v>3091</v>
      </c>
      <c r="B3074" s="1" t="s">
        <v>3101</v>
      </c>
      <c r="C3074" s="1" t="s">
        <v>18</v>
      </c>
      <c r="D3074" s="1" t="s">
        <v>19</v>
      </c>
      <c r="E3074" s="1" t="s">
        <v>2752</v>
      </c>
      <c r="F3074">
        <v>148</v>
      </c>
      <c r="G3074">
        <v>196</v>
      </c>
      <c r="H3074">
        <v>113</v>
      </c>
      <c r="I3074">
        <v>1267</v>
      </c>
      <c r="J3074" s="11">
        <f t="shared" si="92"/>
        <v>2.7650000000000001</v>
      </c>
      <c r="K3074">
        <v>461</v>
      </c>
      <c r="L3074">
        <v>17.2</v>
      </c>
      <c r="M3074">
        <v>108</v>
      </c>
      <c r="N3074">
        <f>5.36/2</f>
        <v>2.68</v>
      </c>
      <c r="O3074">
        <v>17.899999999999999</v>
      </c>
      <c r="P3074" s="11">
        <f t="shared" si="93"/>
        <v>0.245</v>
      </c>
    </row>
    <row r="3075" spans="1:16">
      <c r="A3075" s="1" t="s">
        <v>3091</v>
      </c>
      <c r="B3075" s="1" t="s">
        <v>3102</v>
      </c>
      <c r="C3075" s="1" t="s">
        <v>18</v>
      </c>
      <c r="D3075" s="1" t="s">
        <v>19</v>
      </c>
      <c r="E3075" s="1" t="s">
        <v>2752</v>
      </c>
      <c r="F3075">
        <v>252</v>
      </c>
      <c r="G3075">
        <v>347</v>
      </c>
      <c r="H3075">
        <v>231</v>
      </c>
      <c r="I3075">
        <v>1378</v>
      </c>
      <c r="J3075" s="11">
        <f t="shared" si="92"/>
        <v>2.7650000000000001</v>
      </c>
      <c r="K3075">
        <v>510</v>
      </c>
      <c r="L3075">
        <v>18.3</v>
      </c>
      <c r="M3075">
        <v>111.4</v>
      </c>
      <c r="N3075">
        <v>15.9</v>
      </c>
      <c r="O3075">
        <v>19.559999999999999</v>
      </c>
      <c r="P3075" s="11">
        <f t="shared" si="93"/>
        <v>0.245</v>
      </c>
    </row>
    <row r="3076" spans="1:16">
      <c r="A3076" s="1" t="s">
        <v>3091</v>
      </c>
      <c r="B3076" s="1" t="s">
        <v>3103</v>
      </c>
      <c r="C3076" s="1" t="s">
        <v>18</v>
      </c>
      <c r="D3076" s="1" t="s">
        <v>19</v>
      </c>
      <c r="E3076" s="1" t="s">
        <v>2752</v>
      </c>
      <c r="F3076">
        <v>174</v>
      </c>
      <c r="G3076">
        <v>84.9</v>
      </c>
      <c r="H3076">
        <v>85</v>
      </c>
      <c r="I3076">
        <v>1312</v>
      </c>
      <c r="J3076" s="11">
        <f t="shared" si="92"/>
        <v>2.7650000000000001</v>
      </c>
      <c r="K3076">
        <v>478</v>
      </c>
      <c r="L3076">
        <v>18.2</v>
      </c>
      <c r="M3076">
        <v>136</v>
      </c>
      <c r="N3076">
        <v>10.199999999999999</v>
      </c>
      <c r="O3076">
        <v>18</v>
      </c>
      <c r="P3076" s="11">
        <f t="shared" si="93"/>
        <v>0.245</v>
      </c>
    </row>
    <row r="3077" spans="1:16">
      <c r="A3077" s="1" t="s">
        <v>3091</v>
      </c>
      <c r="B3077" s="1" t="s">
        <v>3104</v>
      </c>
      <c r="C3077" s="1" t="s">
        <v>18</v>
      </c>
      <c r="D3077" s="1" t="s">
        <v>19</v>
      </c>
      <c r="E3077" s="1" t="s">
        <v>2752</v>
      </c>
      <c r="F3077">
        <v>759</v>
      </c>
      <c r="G3077">
        <v>800</v>
      </c>
      <c r="H3077">
        <v>352</v>
      </c>
      <c r="I3077">
        <v>1314</v>
      </c>
      <c r="J3077" s="11">
        <f t="shared" si="92"/>
        <v>2.7650000000000001</v>
      </c>
      <c r="K3077">
        <v>574</v>
      </c>
      <c r="L3077">
        <v>19.600000000000001</v>
      </c>
      <c r="M3077">
        <v>134</v>
      </c>
      <c r="N3077">
        <v>29</v>
      </c>
      <c r="O3077">
        <v>28.1</v>
      </c>
      <c r="P3077" s="11">
        <f t="shared" si="93"/>
        <v>0.245</v>
      </c>
    </row>
    <row r="3078" spans="1:16">
      <c r="A3078" s="1" t="s">
        <v>3091</v>
      </c>
      <c r="B3078" s="1" t="s">
        <v>3105</v>
      </c>
      <c r="C3078" s="1" t="s">
        <v>18</v>
      </c>
      <c r="D3078" s="1" t="s">
        <v>19</v>
      </c>
      <c r="E3078" s="1" t="s">
        <v>2752</v>
      </c>
      <c r="F3078">
        <v>37</v>
      </c>
      <c r="G3078">
        <v>160</v>
      </c>
      <c r="H3078">
        <v>45</v>
      </c>
      <c r="I3078">
        <v>1443</v>
      </c>
      <c r="J3078" s="11">
        <f t="shared" si="92"/>
        <v>2.7650000000000001</v>
      </c>
      <c r="K3078">
        <v>529</v>
      </c>
      <c r="L3078">
        <v>16.5</v>
      </c>
      <c r="M3078">
        <v>131</v>
      </c>
      <c r="N3078">
        <v>21.3</v>
      </c>
      <c r="O3078">
        <v>18.5</v>
      </c>
      <c r="P3078" s="11">
        <f t="shared" si="93"/>
        <v>0.245</v>
      </c>
    </row>
    <row r="3079" spans="1:16">
      <c r="A3079" s="1" t="s">
        <v>3091</v>
      </c>
      <c r="B3079" s="1" t="s">
        <v>3106</v>
      </c>
      <c r="C3079" s="1" t="s">
        <v>18</v>
      </c>
      <c r="D3079" s="1" t="s">
        <v>19</v>
      </c>
      <c r="E3079" s="1" t="s">
        <v>2752</v>
      </c>
      <c r="F3079">
        <v>960</v>
      </c>
      <c r="G3079">
        <v>328</v>
      </c>
      <c r="H3079">
        <v>310</v>
      </c>
      <c r="I3079">
        <v>1380</v>
      </c>
      <c r="J3079" s="11">
        <f t="shared" si="92"/>
        <v>2.7650000000000001</v>
      </c>
      <c r="K3079">
        <v>524</v>
      </c>
      <c r="L3079">
        <v>16</v>
      </c>
      <c r="M3079">
        <v>123.6</v>
      </c>
      <c r="N3079">
        <v>15.2</v>
      </c>
      <c r="O3079">
        <v>17.71</v>
      </c>
      <c r="P3079" s="11">
        <f t="shared" si="93"/>
        <v>0.245</v>
      </c>
    </row>
    <row r="3080" spans="1:16">
      <c r="A3080" s="1" t="s">
        <v>3091</v>
      </c>
      <c r="B3080" s="1" t="s">
        <v>3107</v>
      </c>
      <c r="C3080" s="1" t="s">
        <v>18</v>
      </c>
      <c r="D3080" s="1" t="s">
        <v>19</v>
      </c>
      <c r="E3080" s="1" t="s">
        <v>2752</v>
      </c>
      <c r="F3080">
        <v>263</v>
      </c>
      <c r="G3080">
        <v>142</v>
      </c>
      <c r="H3080">
        <v>160</v>
      </c>
      <c r="I3080">
        <v>1486</v>
      </c>
      <c r="J3080" s="11">
        <f t="shared" si="92"/>
        <v>2.7650000000000001</v>
      </c>
      <c r="K3080">
        <v>497</v>
      </c>
      <c r="L3080">
        <v>13.6</v>
      </c>
      <c r="M3080">
        <v>135</v>
      </c>
      <c r="N3080">
        <v>12.3</v>
      </c>
      <c r="O3080">
        <v>17.5</v>
      </c>
      <c r="P3080" s="11">
        <f t="shared" si="93"/>
        <v>0.245</v>
      </c>
    </row>
    <row r="3081" spans="1:16">
      <c r="A3081" s="1" t="s">
        <v>3091</v>
      </c>
      <c r="B3081" s="1" t="s">
        <v>3108</v>
      </c>
      <c r="C3081" s="1" t="s">
        <v>18</v>
      </c>
      <c r="D3081" s="1" t="s">
        <v>19</v>
      </c>
      <c r="E3081" s="1" t="s">
        <v>2752</v>
      </c>
      <c r="F3081">
        <v>270</v>
      </c>
      <c r="G3081">
        <v>344</v>
      </c>
      <c r="H3081">
        <v>299</v>
      </c>
      <c r="I3081">
        <v>1392</v>
      </c>
      <c r="J3081" s="11">
        <f t="shared" si="92"/>
        <v>2.7650000000000001</v>
      </c>
      <c r="K3081">
        <v>491</v>
      </c>
      <c r="L3081">
        <v>17.55</v>
      </c>
      <c r="M3081">
        <v>90.3</v>
      </c>
      <c r="N3081">
        <v>13.7</v>
      </c>
      <c r="O3081">
        <v>18.3</v>
      </c>
      <c r="P3081">
        <v>1.03</v>
      </c>
    </row>
    <row r="3082" spans="1:16">
      <c r="A3082" s="1" t="s">
        <v>3091</v>
      </c>
      <c r="B3082" s="1" t="s">
        <v>3109</v>
      </c>
      <c r="C3082" s="1" t="s">
        <v>18</v>
      </c>
      <c r="D3082" s="1" t="s">
        <v>19</v>
      </c>
      <c r="E3082" s="1" t="s">
        <v>2752</v>
      </c>
      <c r="F3082">
        <v>750</v>
      </c>
      <c r="G3082">
        <v>728</v>
      </c>
      <c r="H3082">
        <v>1200</v>
      </c>
      <c r="I3082">
        <v>1417</v>
      </c>
      <c r="J3082" s="11">
        <f t="shared" si="92"/>
        <v>2.7650000000000001</v>
      </c>
      <c r="K3082">
        <v>519</v>
      </c>
      <c r="L3082">
        <v>18.8</v>
      </c>
      <c r="M3082">
        <v>93</v>
      </c>
      <c r="N3082">
        <v>20.8</v>
      </c>
      <c r="O3082">
        <v>18.760000000000002</v>
      </c>
      <c r="P3082">
        <v>2.54</v>
      </c>
    </row>
    <row r="3083" spans="1:16">
      <c r="A3083" s="1" t="s">
        <v>3091</v>
      </c>
      <c r="B3083" s="1" t="s">
        <v>3110</v>
      </c>
      <c r="C3083" s="1" t="s">
        <v>18</v>
      </c>
      <c r="D3083" s="1" t="s">
        <v>19</v>
      </c>
      <c r="E3083" s="1" t="s">
        <v>2752</v>
      </c>
      <c r="F3083">
        <v>548</v>
      </c>
      <c r="G3083">
        <v>1050</v>
      </c>
      <c r="H3083">
        <v>860</v>
      </c>
      <c r="I3083">
        <v>1474</v>
      </c>
      <c r="J3083" s="11">
        <f t="shared" si="92"/>
        <v>2.7650000000000001</v>
      </c>
      <c r="K3083">
        <v>532</v>
      </c>
      <c r="L3083">
        <v>18.68</v>
      </c>
      <c r="M3083">
        <v>77.099999999999994</v>
      </c>
      <c r="N3083">
        <v>20.100000000000001</v>
      </c>
      <c r="O3083">
        <v>18.989999999999998</v>
      </c>
      <c r="P3083">
        <v>2.29</v>
      </c>
    </row>
    <row r="3084" spans="1:16">
      <c r="A3084" s="1" t="s">
        <v>3091</v>
      </c>
      <c r="B3084" s="1" t="s">
        <v>3111</v>
      </c>
      <c r="C3084" s="1" t="s">
        <v>18</v>
      </c>
      <c r="D3084" s="1" t="s">
        <v>19</v>
      </c>
      <c r="E3084" s="1" t="s">
        <v>2752</v>
      </c>
      <c r="F3084">
        <v>386</v>
      </c>
      <c r="G3084">
        <v>532</v>
      </c>
      <c r="H3084">
        <v>352</v>
      </c>
      <c r="I3084">
        <v>1495</v>
      </c>
      <c r="J3084" s="11">
        <f t="shared" si="92"/>
        <v>2.7650000000000001</v>
      </c>
      <c r="K3084">
        <v>507</v>
      </c>
      <c r="L3084">
        <v>19</v>
      </c>
      <c r="M3084">
        <v>78.8</v>
      </c>
      <c r="N3084">
        <v>19.600000000000001</v>
      </c>
      <c r="O3084">
        <v>19.05</v>
      </c>
      <c r="P3084">
        <v>1.44</v>
      </c>
    </row>
    <row r="3085" spans="1:16">
      <c r="A3085" s="1" t="s">
        <v>3091</v>
      </c>
      <c r="B3085" s="1" t="s">
        <v>3112</v>
      </c>
      <c r="C3085" s="1" t="s">
        <v>18</v>
      </c>
      <c r="D3085" s="1" t="s">
        <v>19</v>
      </c>
      <c r="E3085" s="1" t="s">
        <v>2752</v>
      </c>
      <c r="F3085">
        <v>489</v>
      </c>
      <c r="G3085">
        <v>798</v>
      </c>
      <c r="H3085">
        <v>770</v>
      </c>
      <c r="I3085">
        <v>1421</v>
      </c>
      <c r="J3085" s="11">
        <f t="shared" si="92"/>
        <v>2.7650000000000001</v>
      </c>
      <c r="K3085">
        <v>536</v>
      </c>
      <c r="L3085">
        <v>19.3</v>
      </c>
      <c r="M3085">
        <v>72.900000000000006</v>
      </c>
      <c r="N3085">
        <v>24.2</v>
      </c>
      <c r="O3085">
        <v>19.2</v>
      </c>
      <c r="P3085">
        <v>1.39</v>
      </c>
    </row>
    <row r="3086" spans="1:16">
      <c r="A3086" s="1" t="s">
        <v>3091</v>
      </c>
      <c r="B3086" s="1" t="s">
        <v>3113</v>
      </c>
      <c r="C3086" s="1" t="s">
        <v>18</v>
      </c>
      <c r="D3086" s="1" t="s">
        <v>19</v>
      </c>
      <c r="E3086" s="1" t="s">
        <v>2752</v>
      </c>
      <c r="F3086">
        <v>510</v>
      </c>
      <c r="G3086">
        <v>800</v>
      </c>
      <c r="H3086">
        <v>512</v>
      </c>
      <c r="I3086">
        <v>1419</v>
      </c>
      <c r="J3086" s="11">
        <f t="shared" si="92"/>
        <v>2.7650000000000001</v>
      </c>
      <c r="K3086">
        <v>531</v>
      </c>
      <c r="L3086">
        <v>20</v>
      </c>
      <c r="M3086">
        <v>88.4</v>
      </c>
      <c r="N3086">
        <v>21.8</v>
      </c>
      <c r="O3086">
        <v>19.809999999999999</v>
      </c>
      <c r="P3086">
        <v>1.24</v>
      </c>
    </row>
    <row r="3087" spans="1:16">
      <c r="A3087" s="1" t="s">
        <v>3091</v>
      </c>
      <c r="B3087" s="1" t="s">
        <v>3114</v>
      </c>
      <c r="C3087" s="1" t="s">
        <v>18</v>
      </c>
      <c r="D3087" s="1" t="s">
        <v>19</v>
      </c>
      <c r="E3087" s="1" t="s">
        <v>2752</v>
      </c>
      <c r="F3087">
        <v>593</v>
      </c>
      <c r="G3087">
        <v>608</v>
      </c>
      <c r="H3087">
        <v>690</v>
      </c>
      <c r="I3087">
        <v>1354</v>
      </c>
      <c r="J3087" s="11">
        <f t="shared" si="92"/>
        <v>2.7650000000000001</v>
      </c>
      <c r="K3087">
        <v>516</v>
      </c>
      <c r="L3087">
        <v>18.3</v>
      </c>
      <c r="M3087">
        <v>100.2</v>
      </c>
      <c r="N3087">
        <v>18.2</v>
      </c>
      <c r="O3087">
        <v>18.489999999999998</v>
      </c>
      <c r="P3087">
        <v>1.72</v>
      </c>
    </row>
    <row r="3088" spans="1:16">
      <c r="A3088" s="1" t="s">
        <v>3091</v>
      </c>
      <c r="B3088" s="1" t="s">
        <v>3115</v>
      </c>
      <c r="C3088" s="1" t="s">
        <v>18</v>
      </c>
      <c r="D3088" s="1" t="s">
        <v>19</v>
      </c>
      <c r="E3088" s="1" t="s">
        <v>2752</v>
      </c>
      <c r="F3088">
        <v>840</v>
      </c>
      <c r="G3088">
        <v>1030</v>
      </c>
      <c r="H3088">
        <v>1160</v>
      </c>
      <c r="I3088">
        <v>1451</v>
      </c>
      <c r="J3088" s="11">
        <f t="shared" si="92"/>
        <v>2.7650000000000001</v>
      </c>
      <c r="K3088">
        <v>535</v>
      </c>
      <c r="L3088">
        <v>23</v>
      </c>
      <c r="M3088">
        <v>74.599999999999994</v>
      </c>
      <c r="N3088">
        <v>20.5</v>
      </c>
      <c r="O3088">
        <v>20</v>
      </c>
      <c r="P3088">
        <v>2.5499999999999998</v>
      </c>
    </row>
    <row r="3089" spans="1:16">
      <c r="A3089" s="1" t="s">
        <v>3091</v>
      </c>
      <c r="B3089" s="1" t="s">
        <v>3116</v>
      </c>
      <c r="C3089" s="1" t="s">
        <v>18</v>
      </c>
      <c r="D3089" s="1" t="s">
        <v>19</v>
      </c>
      <c r="E3089" s="1" t="s">
        <v>2752</v>
      </c>
      <c r="F3089">
        <v>639</v>
      </c>
      <c r="G3089">
        <v>746</v>
      </c>
      <c r="H3089">
        <v>310</v>
      </c>
      <c r="I3089">
        <v>1485</v>
      </c>
      <c r="J3089" s="11">
        <f t="shared" si="92"/>
        <v>2.7650000000000001</v>
      </c>
      <c r="K3089">
        <v>503</v>
      </c>
      <c r="L3089">
        <v>23.9</v>
      </c>
      <c r="M3089">
        <v>70.2</v>
      </c>
      <c r="N3089">
        <v>12.7</v>
      </c>
      <c r="O3089">
        <v>19</v>
      </c>
      <c r="P3089">
        <v>1.28</v>
      </c>
    </row>
    <row r="3090" spans="1:16">
      <c r="A3090" s="1" t="s">
        <v>3091</v>
      </c>
      <c r="B3090" s="1" t="s">
        <v>3117</v>
      </c>
      <c r="C3090" s="1" t="s">
        <v>18</v>
      </c>
      <c r="D3090" s="1" t="s">
        <v>19</v>
      </c>
      <c r="E3090" s="1" t="s">
        <v>2752</v>
      </c>
      <c r="F3090">
        <v>534</v>
      </c>
      <c r="G3090">
        <v>407</v>
      </c>
      <c r="H3090">
        <v>106</v>
      </c>
      <c r="I3090">
        <v>1429</v>
      </c>
      <c r="J3090" s="11">
        <f t="shared" si="92"/>
        <v>2.7650000000000001</v>
      </c>
      <c r="K3090">
        <v>447</v>
      </c>
      <c r="L3090">
        <v>20.7</v>
      </c>
      <c r="M3090">
        <v>68.599999999999994</v>
      </c>
      <c r="N3090">
        <v>8.3000000000000007</v>
      </c>
      <c r="O3090">
        <v>18.2</v>
      </c>
      <c r="P3090" s="11">
        <f>0.49/2</f>
        <v>0.245</v>
      </c>
    </row>
    <row r="3091" spans="1:16">
      <c r="A3091" s="1" t="s">
        <v>3091</v>
      </c>
      <c r="B3091" s="1" t="s">
        <v>3118</v>
      </c>
      <c r="C3091" s="1" t="s">
        <v>18</v>
      </c>
      <c r="D3091" s="1" t="s">
        <v>19</v>
      </c>
      <c r="E3091" s="1" t="s">
        <v>2752</v>
      </c>
      <c r="F3091">
        <v>1590</v>
      </c>
      <c r="G3091">
        <v>1900</v>
      </c>
      <c r="H3091">
        <v>1100</v>
      </c>
      <c r="I3091">
        <v>1493</v>
      </c>
      <c r="J3091" s="11">
        <f t="shared" si="92"/>
        <v>2.7650000000000001</v>
      </c>
      <c r="K3091">
        <v>598</v>
      </c>
      <c r="L3091">
        <v>21.9</v>
      </c>
      <c r="M3091">
        <v>79.5</v>
      </c>
      <c r="N3091">
        <v>25</v>
      </c>
      <c r="O3091">
        <v>20.97</v>
      </c>
      <c r="P3091">
        <v>2.27</v>
      </c>
    </row>
    <row r="3092" spans="1:16">
      <c r="A3092" s="1" t="s">
        <v>3091</v>
      </c>
      <c r="B3092" s="1" t="s">
        <v>3119</v>
      </c>
      <c r="C3092" s="1" t="s">
        <v>18</v>
      </c>
      <c r="D3092" s="1" t="s">
        <v>19</v>
      </c>
      <c r="E3092" s="1" t="s">
        <v>2752</v>
      </c>
      <c r="F3092">
        <v>113</v>
      </c>
      <c r="G3092">
        <v>213.5</v>
      </c>
      <c r="H3092">
        <v>79.3</v>
      </c>
      <c r="I3092">
        <v>1374</v>
      </c>
      <c r="J3092" s="11">
        <f t="shared" si="92"/>
        <v>2.7650000000000001</v>
      </c>
      <c r="K3092">
        <v>468</v>
      </c>
      <c r="L3092">
        <v>20.100000000000001</v>
      </c>
      <c r="M3092">
        <v>86.1</v>
      </c>
      <c r="N3092">
        <v>10.7</v>
      </c>
      <c r="O3092">
        <v>17.440000000000001</v>
      </c>
      <c r="P3092" s="11">
        <f t="shared" ref="P3092:P3094" si="94">0.49/2</f>
        <v>0.245</v>
      </c>
    </row>
    <row r="3093" spans="1:16">
      <c r="A3093" s="1" t="s">
        <v>3091</v>
      </c>
      <c r="B3093" s="1" t="s">
        <v>3120</v>
      </c>
      <c r="C3093" s="1" t="s">
        <v>18</v>
      </c>
      <c r="D3093" s="1" t="s">
        <v>19</v>
      </c>
      <c r="E3093" s="1" t="s">
        <v>2752</v>
      </c>
      <c r="F3093">
        <v>42</v>
      </c>
      <c r="G3093">
        <v>137.80000000000001</v>
      </c>
      <c r="H3093">
        <v>96.9</v>
      </c>
      <c r="I3093">
        <v>1213</v>
      </c>
      <c r="J3093" s="11">
        <f t="shared" si="92"/>
        <v>2.7650000000000001</v>
      </c>
      <c r="K3093">
        <v>441</v>
      </c>
      <c r="L3093">
        <v>17.2</v>
      </c>
      <c r="M3093">
        <v>100.7</v>
      </c>
      <c r="N3093">
        <v>10.199999999999999</v>
      </c>
      <c r="O3093">
        <v>17.07</v>
      </c>
      <c r="P3093" s="11">
        <f t="shared" si="94"/>
        <v>0.245</v>
      </c>
    </row>
    <row r="3094" spans="1:16">
      <c r="A3094" s="1" t="s">
        <v>3091</v>
      </c>
      <c r="B3094" s="1" t="s">
        <v>3121</v>
      </c>
      <c r="C3094" s="1" t="s">
        <v>18</v>
      </c>
      <c r="D3094" s="1" t="s">
        <v>19</v>
      </c>
      <c r="E3094" s="1" t="s">
        <v>2752</v>
      </c>
      <c r="F3094">
        <v>159</v>
      </c>
      <c r="G3094">
        <v>179</v>
      </c>
      <c r="H3094">
        <v>113</v>
      </c>
      <c r="I3094">
        <v>1233</v>
      </c>
      <c r="J3094" s="11">
        <f t="shared" si="92"/>
        <v>2.7650000000000001</v>
      </c>
      <c r="K3094">
        <v>460</v>
      </c>
      <c r="L3094">
        <v>19.3</v>
      </c>
      <c r="M3094">
        <v>100.3</v>
      </c>
      <c r="N3094">
        <v>9.1999999999999993</v>
      </c>
      <c r="O3094">
        <v>18.5</v>
      </c>
      <c r="P3094" s="11">
        <f t="shared" si="94"/>
        <v>0.245</v>
      </c>
    </row>
    <row r="3095" spans="1:16">
      <c r="A3095" s="1" t="s">
        <v>3091</v>
      </c>
      <c r="B3095" s="1" t="s">
        <v>3122</v>
      </c>
      <c r="C3095" s="1" t="s">
        <v>18</v>
      </c>
      <c r="D3095" s="1" t="s">
        <v>19</v>
      </c>
      <c r="E3095" s="1" t="s">
        <v>2752</v>
      </c>
      <c r="F3095">
        <v>1020</v>
      </c>
      <c r="G3095">
        <v>813</v>
      </c>
      <c r="H3095">
        <v>411</v>
      </c>
      <c r="I3095">
        <v>1312</v>
      </c>
      <c r="J3095" s="11">
        <f t="shared" si="92"/>
        <v>2.7650000000000001</v>
      </c>
      <c r="K3095">
        <v>587</v>
      </c>
      <c r="L3095">
        <v>17.7</v>
      </c>
      <c r="M3095">
        <v>104.6</v>
      </c>
      <c r="N3095">
        <v>13.9</v>
      </c>
      <c r="O3095">
        <v>30.3</v>
      </c>
      <c r="P3095">
        <v>0.16</v>
      </c>
    </row>
    <row r="3096" spans="1:16">
      <c r="A3096" s="1" t="s">
        <v>3091</v>
      </c>
      <c r="B3096" s="1" t="s">
        <v>3123</v>
      </c>
      <c r="C3096" s="1" t="s">
        <v>18</v>
      </c>
      <c r="D3096" s="1" t="s">
        <v>19</v>
      </c>
      <c r="E3096" s="1" t="s">
        <v>2752</v>
      </c>
      <c r="F3096">
        <v>1620</v>
      </c>
      <c r="G3096">
        <v>973</v>
      </c>
      <c r="H3096">
        <v>1100</v>
      </c>
      <c r="I3096">
        <v>1219</v>
      </c>
      <c r="J3096" s="11">
        <f t="shared" si="92"/>
        <v>2.7650000000000001</v>
      </c>
      <c r="K3096">
        <v>555</v>
      </c>
      <c r="L3096">
        <v>25.2</v>
      </c>
      <c r="M3096">
        <v>81.400000000000006</v>
      </c>
      <c r="N3096">
        <v>26.1</v>
      </c>
      <c r="O3096">
        <v>20.3</v>
      </c>
      <c r="P3096">
        <v>2.36</v>
      </c>
    </row>
    <row r="3097" spans="1:16">
      <c r="A3097" s="1" t="s">
        <v>3091</v>
      </c>
      <c r="B3097" s="1" t="s">
        <v>3124</v>
      </c>
      <c r="C3097" s="1" t="s">
        <v>18</v>
      </c>
      <c r="D3097" s="1" t="s">
        <v>19</v>
      </c>
      <c r="E3097" s="1" t="s">
        <v>2752</v>
      </c>
      <c r="F3097">
        <v>1330</v>
      </c>
      <c r="G3097">
        <v>1010</v>
      </c>
      <c r="H3097">
        <v>490</v>
      </c>
      <c r="I3097">
        <v>1185</v>
      </c>
      <c r="J3097" s="11">
        <f t="shared" si="92"/>
        <v>2.7650000000000001</v>
      </c>
      <c r="K3097">
        <v>554</v>
      </c>
      <c r="L3097">
        <v>24.5</v>
      </c>
      <c r="M3097">
        <v>84.8</v>
      </c>
      <c r="N3097">
        <v>23.4</v>
      </c>
      <c r="O3097">
        <v>20.04</v>
      </c>
      <c r="P3097">
        <v>1.3</v>
      </c>
    </row>
    <row r="3098" spans="1:16">
      <c r="A3098" s="1" t="s">
        <v>3091</v>
      </c>
      <c r="B3098" s="1" t="s">
        <v>3125</v>
      </c>
      <c r="C3098" s="1" t="s">
        <v>18</v>
      </c>
      <c r="D3098" s="1" t="s">
        <v>19</v>
      </c>
      <c r="E3098" s="1" t="s">
        <v>2752</v>
      </c>
      <c r="F3098">
        <v>720</v>
      </c>
      <c r="G3098">
        <v>345</v>
      </c>
      <c r="H3098">
        <v>129</v>
      </c>
      <c r="I3098">
        <v>1114</v>
      </c>
      <c r="J3098" s="11">
        <f t="shared" si="92"/>
        <v>2.7650000000000001</v>
      </c>
      <c r="K3098">
        <v>490</v>
      </c>
      <c r="L3098">
        <v>24.1</v>
      </c>
      <c r="M3098">
        <v>82</v>
      </c>
      <c r="N3098">
        <v>21.2</v>
      </c>
      <c r="O3098">
        <v>19.8</v>
      </c>
      <c r="P3098" s="11">
        <f>0.49/2</f>
        <v>0.245</v>
      </c>
    </row>
    <row r="3099" spans="1:16">
      <c r="A3099" s="1" t="s">
        <v>3091</v>
      </c>
      <c r="B3099" s="1" t="s">
        <v>3126</v>
      </c>
      <c r="C3099" s="1" t="s">
        <v>18</v>
      </c>
      <c r="D3099" s="1" t="s">
        <v>19</v>
      </c>
      <c r="E3099" s="1" t="s">
        <v>2752</v>
      </c>
      <c r="F3099">
        <v>497</v>
      </c>
      <c r="G3099">
        <v>488</v>
      </c>
      <c r="H3099">
        <v>570</v>
      </c>
      <c r="I3099">
        <v>1177</v>
      </c>
      <c r="J3099" s="11">
        <f t="shared" si="92"/>
        <v>2.7650000000000001</v>
      </c>
      <c r="K3099">
        <v>534</v>
      </c>
      <c r="L3099">
        <v>23.2</v>
      </c>
      <c r="M3099">
        <v>88.2</v>
      </c>
      <c r="N3099">
        <v>31.5</v>
      </c>
      <c r="O3099">
        <v>19.34</v>
      </c>
      <c r="P3099">
        <v>1.5</v>
      </c>
    </row>
    <row r="3100" spans="1:16">
      <c r="A3100" s="1" t="s">
        <v>3091</v>
      </c>
      <c r="B3100" s="1" t="s">
        <v>3127</v>
      </c>
      <c r="C3100" s="1" t="s">
        <v>18</v>
      </c>
      <c r="D3100" s="1" t="s">
        <v>19</v>
      </c>
      <c r="E3100" s="1" t="s">
        <v>2752</v>
      </c>
      <c r="F3100">
        <v>1270</v>
      </c>
      <c r="G3100">
        <v>820</v>
      </c>
      <c r="H3100">
        <v>1030</v>
      </c>
      <c r="I3100">
        <v>1172</v>
      </c>
      <c r="J3100" s="11">
        <f t="shared" si="92"/>
        <v>2.7650000000000001</v>
      </c>
      <c r="K3100">
        <v>546</v>
      </c>
      <c r="L3100">
        <v>24.1</v>
      </c>
      <c r="M3100">
        <v>98.3</v>
      </c>
      <c r="N3100">
        <v>26</v>
      </c>
      <c r="O3100">
        <v>20.7</v>
      </c>
      <c r="P3100">
        <v>2.27</v>
      </c>
    </row>
    <row r="3101" spans="1:16">
      <c r="A3101" s="1" t="s">
        <v>3091</v>
      </c>
      <c r="B3101" s="1" t="s">
        <v>3128</v>
      </c>
      <c r="C3101" s="1" t="s">
        <v>18</v>
      </c>
      <c r="D3101" s="1" t="s">
        <v>19</v>
      </c>
      <c r="E3101" s="1" t="s">
        <v>2752</v>
      </c>
      <c r="F3101">
        <v>50.6</v>
      </c>
      <c r="G3101">
        <v>214.1</v>
      </c>
      <c r="H3101">
        <v>80.099999999999994</v>
      </c>
      <c r="I3101">
        <v>1128</v>
      </c>
      <c r="J3101" s="11">
        <f t="shared" si="92"/>
        <v>2.7650000000000001</v>
      </c>
      <c r="K3101">
        <v>471</v>
      </c>
      <c r="L3101">
        <v>24</v>
      </c>
      <c r="M3101">
        <v>99.3</v>
      </c>
      <c r="N3101">
        <v>16.2</v>
      </c>
      <c r="O3101">
        <v>18.95</v>
      </c>
      <c r="P3101">
        <v>0.41</v>
      </c>
    </row>
    <row r="3102" spans="1:16">
      <c r="A3102" s="1" t="s">
        <v>3091</v>
      </c>
      <c r="B3102" s="1" t="s">
        <v>3129</v>
      </c>
      <c r="C3102" s="1" t="s">
        <v>18</v>
      </c>
      <c r="D3102" s="1" t="s">
        <v>19</v>
      </c>
      <c r="E3102" s="1" t="s">
        <v>2752</v>
      </c>
      <c r="F3102">
        <v>394</v>
      </c>
      <c r="G3102">
        <v>326</v>
      </c>
      <c r="H3102">
        <v>426</v>
      </c>
      <c r="I3102">
        <v>1099</v>
      </c>
      <c r="J3102" s="11">
        <f t="shared" si="92"/>
        <v>2.7650000000000001</v>
      </c>
      <c r="K3102">
        <v>480</v>
      </c>
      <c r="L3102">
        <v>23.6</v>
      </c>
      <c r="M3102">
        <v>99.8</v>
      </c>
      <c r="N3102">
        <v>20.3</v>
      </c>
      <c r="O3102">
        <v>19.350000000000001</v>
      </c>
      <c r="P3102">
        <v>0.89</v>
      </c>
    </row>
    <row r="3103" spans="1:16">
      <c r="A3103" s="1" t="s">
        <v>3091</v>
      </c>
      <c r="B3103" s="1" t="s">
        <v>3130</v>
      </c>
      <c r="C3103" s="1" t="s">
        <v>18</v>
      </c>
      <c r="D3103" s="1" t="s">
        <v>19</v>
      </c>
      <c r="E3103" s="1" t="s">
        <v>2752</v>
      </c>
      <c r="F3103">
        <v>341</v>
      </c>
      <c r="G3103">
        <v>213</v>
      </c>
      <c r="H3103">
        <v>108</v>
      </c>
      <c r="I3103">
        <v>1099</v>
      </c>
      <c r="J3103" s="11">
        <f t="shared" si="92"/>
        <v>2.7650000000000001</v>
      </c>
      <c r="K3103">
        <v>451</v>
      </c>
      <c r="L3103">
        <v>23.8</v>
      </c>
      <c r="M3103">
        <v>92.5</v>
      </c>
      <c r="N3103">
        <v>19.600000000000001</v>
      </c>
      <c r="O3103">
        <v>18.72</v>
      </c>
      <c r="P3103">
        <v>0.18</v>
      </c>
    </row>
    <row r="3104" spans="1:16">
      <c r="A3104" s="1" t="s">
        <v>3091</v>
      </c>
      <c r="B3104" s="1" t="s">
        <v>3131</v>
      </c>
      <c r="C3104" s="1" t="s">
        <v>18</v>
      </c>
      <c r="D3104" s="1" t="s">
        <v>19</v>
      </c>
      <c r="E3104" s="1" t="s">
        <v>2752</v>
      </c>
      <c r="F3104">
        <v>1310</v>
      </c>
      <c r="G3104">
        <v>520</v>
      </c>
      <c r="H3104">
        <v>473</v>
      </c>
      <c r="I3104">
        <v>1051</v>
      </c>
      <c r="J3104" s="11">
        <f t="shared" si="92"/>
        <v>2.7650000000000001</v>
      </c>
      <c r="K3104">
        <v>526</v>
      </c>
      <c r="L3104">
        <v>25.1</v>
      </c>
      <c r="M3104">
        <v>96.9</v>
      </c>
      <c r="N3104">
        <v>18.8</v>
      </c>
      <c r="O3104">
        <v>19.13</v>
      </c>
      <c r="P3104">
        <v>0.87</v>
      </c>
    </row>
    <row r="3105" spans="1:16">
      <c r="A3105" s="1" t="s">
        <v>3091</v>
      </c>
      <c r="B3105" s="1" t="s">
        <v>3132</v>
      </c>
      <c r="C3105" s="1" t="s">
        <v>18</v>
      </c>
      <c r="D3105" s="1" t="s">
        <v>19</v>
      </c>
      <c r="E3105" s="1" t="s">
        <v>2752</v>
      </c>
      <c r="F3105">
        <v>1500</v>
      </c>
      <c r="G3105">
        <v>730</v>
      </c>
      <c r="H3105">
        <v>840</v>
      </c>
      <c r="I3105">
        <v>1060</v>
      </c>
      <c r="J3105" s="11">
        <f t="shared" si="92"/>
        <v>2.7650000000000001</v>
      </c>
      <c r="K3105">
        <v>561</v>
      </c>
      <c r="L3105">
        <v>25.3</v>
      </c>
      <c r="M3105">
        <v>99.6</v>
      </c>
      <c r="N3105">
        <v>27.1</v>
      </c>
      <c r="O3105">
        <v>18.27</v>
      </c>
      <c r="P3105">
        <v>1.37</v>
      </c>
    </row>
    <row r="3106" spans="1:16">
      <c r="A3106" s="1" t="s">
        <v>3091</v>
      </c>
      <c r="B3106" s="1" t="s">
        <v>3133</v>
      </c>
      <c r="C3106" s="1" t="s">
        <v>18</v>
      </c>
      <c r="D3106" s="1" t="s">
        <v>19</v>
      </c>
      <c r="E3106" s="1" t="s">
        <v>2752</v>
      </c>
      <c r="F3106">
        <v>142</v>
      </c>
      <c r="G3106">
        <v>202</v>
      </c>
      <c r="H3106">
        <v>108</v>
      </c>
      <c r="I3106">
        <v>1125</v>
      </c>
      <c r="J3106" s="11">
        <f t="shared" si="92"/>
        <v>2.7650000000000001</v>
      </c>
      <c r="K3106">
        <v>484</v>
      </c>
      <c r="L3106">
        <v>24.7</v>
      </c>
      <c r="M3106">
        <v>99</v>
      </c>
      <c r="N3106">
        <v>10.1</v>
      </c>
      <c r="O3106">
        <v>19.399999999999999</v>
      </c>
      <c r="P3106" s="11">
        <f>0.49/2</f>
        <v>0.245</v>
      </c>
    </row>
    <row r="3107" spans="1:16">
      <c r="A3107" s="1" t="s">
        <v>3091</v>
      </c>
      <c r="B3107" s="1" t="s">
        <v>3134</v>
      </c>
      <c r="C3107" s="1" t="s">
        <v>18</v>
      </c>
      <c r="D3107" s="1" t="s">
        <v>19</v>
      </c>
      <c r="E3107" s="1" t="s">
        <v>2752</v>
      </c>
      <c r="F3107">
        <v>560</v>
      </c>
      <c r="G3107">
        <v>295</v>
      </c>
      <c r="H3107">
        <v>324</v>
      </c>
      <c r="I3107">
        <v>1092</v>
      </c>
      <c r="J3107" s="11">
        <f t="shared" si="92"/>
        <v>2.7650000000000001</v>
      </c>
      <c r="K3107">
        <v>521</v>
      </c>
      <c r="L3107">
        <v>22.5</v>
      </c>
      <c r="M3107">
        <v>104.4</v>
      </c>
      <c r="N3107">
        <v>21.7</v>
      </c>
      <c r="O3107">
        <v>17.690000000000001</v>
      </c>
      <c r="P3107">
        <v>0.87</v>
      </c>
    </row>
    <row r="3108" spans="1:16">
      <c r="A3108" s="1" t="s">
        <v>3091</v>
      </c>
      <c r="B3108" s="1" t="s">
        <v>3135</v>
      </c>
      <c r="C3108" s="1" t="s">
        <v>18</v>
      </c>
      <c r="D3108" s="1" t="s">
        <v>19</v>
      </c>
      <c r="E3108" s="1" t="s">
        <v>2752</v>
      </c>
      <c r="F3108">
        <v>650</v>
      </c>
      <c r="G3108">
        <v>480</v>
      </c>
      <c r="H3108">
        <v>690</v>
      </c>
      <c r="I3108">
        <v>1116</v>
      </c>
      <c r="J3108" s="11">
        <f t="shared" si="92"/>
        <v>2.7650000000000001</v>
      </c>
      <c r="K3108">
        <v>556</v>
      </c>
      <c r="L3108">
        <v>22.8</v>
      </c>
      <c r="M3108">
        <v>102.2</v>
      </c>
      <c r="N3108">
        <v>23.2</v>
      </c>
      <c r="O3108">
        <v>18.63</v>
      </c>
      <c r="P3108">
        <v>1.9</v>
      </c>
    </row>
    <row r="3109" spans="1:16">
      <c r="A3109" s="1" t="s">
        <v>3091</v>
      </c>
      <c r="B3109" s="1" t="s">
        <v>3136</v>
      </c>
      <c r="C3109" s="1" t="s">
        <v>18</v>
      </c>
      <c r="D3109" s="1" t="s">
        <v>19</v>
      </c>
      <c r="E3109" s="1" t="s">
        <v>2752</v>
      </c>
      <c r="F3109">
        <v>104</v>
      </c>
      <c r="G3109">
        <v>208</v>
      </c>
      <c r="H3109">
        <v>61</v>
      </c>
      <c r="I3109">
        <v>1160</v>
      </c>
      <c r="J3109" s="11">
        <f t="shared" si="92"/>
        <v>2.7650000000000001</v>
      </c>
      <c r="K3109">
        <v>509</v>
      </c>
      <c r="L3109">
        <v>23.8</v>
      </c>
      <c r="M3109">
        <v>108.6</v>
      </c>
      <c r="N3109">
        <v>10.7</v>
      </c>
      <c r="O3109">
        <v>18.899999999999999</v>
      </c>
      <c r="P3109" s="11">
        <f t="shared" ref="P3109:P3112" si="95">0.49/2</f>
        <v>0.245</v>
      </c>
    </row>
    <row r="3110" spans="1:16">
      <c r="A3110" s="1" t="s">
        <v>3091</v>
      </c>
      <c r="B3110" s="1" t="s">
        <v>3137</v>
      </c>
      <c r="C3110" s="1" t="s">
        <v>18</v>
      </c>
      <c r="D3110" s="1" t="s">
        <v>19</v>
      </c>
      <c r="E3110" s="1" t="s">
        <v>2752</v>
      </c>
      <c r="F3110">
        <v>137</v>
      </c>
      <c r="G3110">
        <v>293</v>
      </c>
      <c r="H3110">
        <v>104</v>
      </c>
      <c r="I3110">
        <v>1114</v>
      </c>
      <c r="J3110" s="11">
        <f t="shared" si="92"/>
        <v>2.7650000000000001</v>
      </c>
      <c r="K3110">
        <v>488</v>
      </c>
      <c r="L3110">
        <v>23.8</v>
      </c>
      <c r="M3110">
        <v>111.2</v>
      </c>
      <c r="N3110">
        <v>8.1999999999999993</v>
      </c>
      <c r="O3110">
        <v>18.100000000000001</v>
      </c>
      <c r="P3110" s="11">
        <f t="shared" si="95"/>
        <v>0.245</v>
      </c>
    </row>
    <row r="3111" spans="1:16">
      <c r="A3111" s="1" t="s">
        <v>3091</v>
      </c>
      <c r="B3111" s="1" t="s">
        <v>3138</v>
      </c>
      <c r="C3111" s="1" t="s">
        <v>18</v>
      </c>
      <c r="D3111" s="1" t="s">
        <v>19</v>
      </c>
      <c r="E3111" s="1" t="s">
        <v>2752</v>
      </c>
      <c r="F3111">
        <v>111</v>
      </c>
      <c r="G3111">
        <v>86.8</v>
      </c>
      <c r="H3111">
        <v>87</v>
      </c>
      <c r="I3111">
        <v>1017</v>
      </c>
      <c r="J3111" s="11">
        <f t="shared" si="92"/>
        <v>2.7650000000000001</v>
      </c>
      <c r="K3111">
        <v>437</v>
      </c>
      <c r="L3111">
        <v>23.6</v>
      </c>
      <c r="M3111">
        <v>122.5</v>
      </c>
      <c r="N3111">
        <v>15</v>
      </c>
      <c r="O3111">
        <v>17.28</v>
      </c>
      <c r="P3111" s="11">
        <f t="shared" si="95"/>
        <v>0.245</v>
      </c>
    </row>
    <row r="3112" spans="1:16">
      <c r="A3112" s="1" t="s">
        <v>3091</v>
      </c>
      <c r="B3112" s="1" t="s">
        <v>3139</v>
      </c>
      <c r="C3112" s="1" t="s">
        <v>18</v>
      </c>
      <c r="D3112" s="1" t="s">
        <v>19</v>
      </c>
      <c r="E3112" s="1" t="s">
        <v>2752</v>
      </c>
      <c r="F3112">
        <v>71</v>
      </c>
      <c r="G3112">
        <v>88.5</v>
      </c>
      <c r="H3112">
        <v>71</v>
      </c>
      <c r="I3112">
        <v>1027</v>
      </c>
      <c r="J3112" s="11">
        <f t="shared" si="92"/>
        <v>2.7650000000000001</v>
      </c>
      <c r="K3112">
        <v>416</v>
      </c>
      <c r="L3112">
        <v>17.100000000000001</v>
      </c>
      <c r="M3112">
        <v>118.7</v>
      </c>
      <c r="N3112">
        <v>14.3</v>
      </c>
      <c r="O3112">
        <v>17.09</v>
      </c>
      <c r="P3112" s="11">
        <f t="shared" si="95"/>
        <v>0.245</v>
      </c>
    </row>
    <row r="3113" spans="1:16">
      <c r="A3113" s="1" t="s">
        <v>3091</v>
      </c>
      <c r="B3113" s="1" t="s">
        <v>3140</v>
      </c>
      <c r="C3113" s="1" t="s">
        <v>18</v>
      </c>
      <c r="D3113" s="1" t="s">
        <v>19</v>
      </c>
      <c r="E3113" s="1" t="s">
        <v>2752</v>
      </c>
      <c r="F3113">
        <v>572</v>
      </c>
      <c r="G3113">
        <v>185.3</v>
      </c>
      <c r="H3113">
        <v>483</v>
      </c>
      <c r="I3113">
        <v>1017</v>
      </c>
      <c r="J3113" s="11">
        <f t="shared" si="92"/>
        <v>2.7650000000000001</v>
      </c>
      <c r="K3113">
        <v>484</v>
      </c>
      <c r="L3113">
        <v>18.899999999999999</v>
      </c>
      <c r="M3113">
        <v>111.1</v>
      </c>
      <c r="N3113">
        <v>22.3</v>
      </c>
      <c r="O3113">
        <v>17.53</v>
      </c>
      <c r="P3113">
        <v>0.62</v>
      </c>
    </row>
    <row r="3114" spans="1:16">
      <c r="A3114" s="1" t="s">
        <v>3091</v>
      </c>
      <c r="B3114" s="1" t="s">
        <v>3141</v>
      </c>
      <c r="C3114" s="1" t="s">
        <v>18</v>
      </c>
      <c r="D3114" s="1" t="s">
        <v>19</v>
      </c>
      <c r="E3114" s="1" t="s">
        <v>2752</v>
      </c>
      <c r="F3114">
        <v>26.2</v>
      </c>
      <c r="G3114">
        <v>100.9</v>
      </c>
      <c r="H3114">
        <v>57.6</v>
      </c>
      <c r="I3114">
        <v>1045</v>
      </c>
      <c r="J3114" s="11">
        <f t="shared" si="92"/>
        <v>2.7650000000000001</v>
      </c>
      <c r="K3114">
        <v>444</v>
      </c>
      <c r="L3114">
        <v>17.7</v>
      </c>
      <c r="M3114">
        <v>118</v>
      </c>
      <c r="N3114">
        <v>12.6</v>
      </c>
      <c r="O3114">
        <v>17.59</v>
      </c>
      <c r="P3114">
        <v>0.26</v>
      </c>
    </row>
    <row r="3115" spans="1:16">
      <c r="A3115" s="1" t="s">
        <v>3091</v>
      </c>
      <c r="B3115" s="1" t="s">
        <v>3142</v>
      </c>
      <c r="C3115" s="1" t="s">
        <v>18</v>
      </c>
      <c r="D3115" s="1" t="s">
        <v>19</v>
      </c>
      <c r="E3115" s="1" t="s">
        <v>2752</v>
      </c>
      <c r="F3115">
        <v>3680</v>
      </c>
      <c r="G3115">
        <v>1310</v>
      </c>
      <c r="H3115">
        <v>593</v>
      </c>
      <c r="I3115">
        <v>2624</v>
      </c>
      <c r="J3115" s="11">
        <f t="shared" si="92"/>
        <v>2.7650000000000001</v>
      </c>
      <c r="K3115">
        <v>330</v>
      </c>
      <c r="L3115">
        <v>52</v>
      </c>
      <c r="M3115">
        <v>56.3</v>
      </c>
      <c r="N3115">
        <v>11.2</v>
      </c>
      <c r="O3115">
        <v>54.1</v>
      </c>
      <c r="P3115">
        <v>0.61</v>
      </c>
    </row>
    <row r="3116" spans="1:16">
      <c r="A3116" s="1" t="s">
        <v>3091</v>
      </c>
      <c r="B3116" s="1" t="s">
        <v>3143</v>
      </c>
      <c r="C3116" s="1" t="s">
        <v>18</v>
      </c>
      <c r="D3116" s="1" t="s">
        <v>19</v>
      </c>
      <c r="E3116" s="1" t="s">
        <v>2752</v>
      </c>
      <c r="F3116">
        <v>6220</v>
      </c>
      <c r="G3116">
        <v>2290</v>
      </c>
      <c r="H3116">
        <v>169</v>
      </c>
      <c r="I3116">
        <v>2530</v>
      </c>
      <c r="J3116" s="11">
        <f t="shared" si="92"/>
        <v>2.7650000000000001</v>
      </c>
      <c r="K3116">
        <v>285</v>
      </c>
      <c r="L3116">
        <v>45.7</v>
      </c>
      <c r="M3116">
        <v>58.1</v>
      </c>
      <c r="N3116">
        <v>10.4</v>
      </c>
      <c r="O3116">
        <v>54.4</v>
      </c>
      <c r="P3116">
        <v>1.1399999999999999</v>
      </c>
    </row>
    <row r="3117" spans="1:16">
      <c r="A3117" s="1" t="s">
        <v>3091</v>
      </c>
      <c r="B3117" s="1" t="s">
        <v>3144</v>
      </c>
      <c r="C3117" s="1" t="s">
        <v>18</v>
      </c>
      <c r="D3117" s="1" t="s">
        <v>19</v>
      </c>
      <c r="E3117" s="1" t="s">
        <v>2752</v>
      </c>
      <c r="F3117">
        <v>3830</v>
      </c>
      <c r="G3117">
        <v>1023</v>
      </c>
      <c r="H3117">
        <v>465</v>
      </c>
      <c r="I3117">
        <v>2512</v>
      </c>
      <c r="J3117" s="11">
        <f t="shared" si="92"/>
        <v>2.7650000000000001</v>
      </c>
      <c r="K3117">
        <v>282</v>
      </c>
      <c r="L3117">
        <v>49.1</v>
      </c>
      <c r="M3117">
        <v>58.7</v>
      </c>
      <c r="N3117">
        <v>8.1999999999999993</v>
      </c>
      <c r="O3117">
        <v>53.7</v>
      </c>
      <c r="P3117">
        <v>0.86</v>
      </c>
    </row>
    <row r="3118" spans="1:16">
      <c r="A3118" s="1" t="s">
        <v>3091</v>
      </c>
      <c r="B3118" s="1" t="s">
        <v>3145</v>
      </c>
      <c r="C3118" s="1" t="s">
        <v>18</v>
      </c>
      <c r="D3118" s="1" t="s">
        <v>19</v>
      </c>
      <c r="E3118" s="1" t="s">
        <v>2752</v>
      </c>
      <c r="F3118">
        <v>82</v>
      </c>
      <c r="G3118">
        <v>311</v>
      </c>
      <c r="H3118">
        <v>217</v>
      </c>
      <c r="I3118">
        <v>2779</v>
      </c>
      <c r="J3118" s="11">
        <f t="shared" si="92"/>
        <v>2.7650000000000001</v>
      </c>
      <c r="K3118">
        <v>218.9</v>
      </c>
      <c r="L3118">
        <v>47.1</v>
      </c>
      <c r="M3118">
        <v>62.8</v>
      </c>
      <c r="N3118" s="11">
        <f t="shared" ref="N3118:N3120" si="96">5.36/2</f>
        <v>2.68</v>
      </c>
      <c r="O3118">
        <v>54.4</v>
      </c>
      <c r="P3118">
        <v>1.21</v>
      </c>
    </row>
    <row r="3119" spans="1:16">
      <c r="A3119" s="1" t="s">
        <v>3091</v>
      </c>
      <c r="B3119" s="1" t="s">
        <v>3146</v>
      </c>
      <c r="C3119" s="1" t="s">
        <v>18</v>
      </c>
      <c r="D3119" s="1" t="s">
        <v>19</v>
      </c>
      <c r="E3119" s="1" t="s">
        <v>2752</v>
      </c>
      <c r="F3119">
        <v>171</v>
      </c>
      <c r="G3119">
        <v>229</v>
      </c>
      <c r="H3119">
        <v>65</v>
      </c>
      <c r="I3119">
        <v>2679</v>
      </c>
      <c r="J3119" s="11">
        <f t="shared" si="92"/>
        <v>2.7650000000000001</v>
      </c>
      <c r="K3119">
        <v>204.9</v>
      </c>
      <c r="L3119">
        <v>41.6</v>
      </c>
      <c r="M3119">
        <v>54.4</v>
      </c>
      <c r="N3119" s="11">
        <f t="shared" si="96"/>
        <v>2.68</v>
      </c>
      <c r="O3119">
        <v>51.6</v>
      </c>
      <c r="P3119" s="11">
        <f t="shared" ref="P3119:P3120" si="97">0.49/2</f>
        <v>0.245</v>
      </c>
    </row>
    <row r="3120" spans="1:16">
      <c r="A3120" s="1" t="s">
        <v>3091</v>
      </c>
      <c r="B3120" s="1" t="s">
        <v>3147</v>
      </c>
      <c r="C3120" s="1" t="s">
        <v>18</v>
      </c>
      <c r="D3120" s="1" t="s">
        <v>19</v>
      </c>
      <c r="E3120" s="1" t="s">
        <v>2752</v>
      </c>
      <c r="F3120">
        <v>73.5</v>
      </c>
      <c r="G3120">
        <v>291</v>
      </c>
      <c r="H3120">
        <v>122</v>
      </c>
      <c r="I3120">
        <v>2706</v>
      </c>
      <c r="J3120" s="11">
        <f t="shared" si="92"/>
        <v>2.7650000000000001</v>
      </c>
      <c r="K3120">
        <v>215.8</v>
      </c>
      <c r="L3120">
        <v>43.5</v>
      </c>
      <c r="M3120">
        <v>55.4</v>
      </c>
      <c r="N3120" s="11">
        <f t="shared" si="96"/>
        <v>2.68</v>
      </c>
      <c r="O3120">
        <v>53.9</v>
      </c>
      <c r="P3120" s="11">
        <f t="shared" si="97"/>
        <v>0.245</v>
      </c>
    </row>
    <row r="3121" spans="1:16">
      <c r="A3121" s="1" t="s">
        <v>3091</v>
      </c>
      <c r="B3121" s="1" t="s">
        <v>3148</v>
      </c>
      <c r="C3121" s="1" t="s">
        <v>18</v>
      </c>
      <c r="D3121" s="1" t="s">
        <v>19</v>
      </c>
      <c r="E3121" s="1" t="s">
        <v>2752</v>
      </c>
      <c r="F3121">
        <v>2620</v>
      </c>
      <c r="G3121">
        <v>1410</v>
      </c>
      <c r="H3121">
        <v>840</v>
      </c>
      <c r="I3121">
        <v>2734</v>
      </c>
      <c r="J3121" s="11">
        <f t="shared" si="92"/>
        <v>2.7650000000000001</v>
      </c>
      <c r="K3121">
        <v>234.2</v>
      </c>
      <c r="L3121">
        <v>46.5</v>
      </c>
      <c r="M3121">
        <v>62.1</v>
      </c>
      <c r="N3121">
        <v>3.8</v>
      </c>
      <c r="O3121">
        <v>55.9</v>
      </c>
      <c r="P3121">
        <v>1.52</v>
      </c>
    </row>
    <row r="3122" spans="1:16">
      <c r="A3122" s="1" t="s">
        <v>3091</v>
      </c>
      <c r="B3122" s="1" t="s">
        <v>3149</v>
      </c>
      <c r="C3122" s="1" t="s">
        <v>18</v>
      </c>
      <c r="D3122" s="1" t="s">
        <v>19</v>
      </c>
      <c r="E3122" s="1" t="s">
        <v>2752</v>
      </c>
      <c r="F3122">
        <v>3810</v>
      </c>
      <c r="G3122">
        <v>1480</v>
      </c>
      <c r="H3122">
        <v>660</v>
      </c>
      <c r="I3122">
        <v>2605</v>
      </c>
      <c r="J3122" s="11">
        <f t="shared" si="92"/>
        <v>2.7650000000000001</v>
      </c>
      <c r="K3122">
        <v>355.8</v>
      </c>
      <c r="L3122">
        <v>48.7</v>
      </c>
      <c r="M3122">
        <v>59.7</v>
      </c>
      <c r="N3122">
        <v>17.399999999999999</v>
      </c>
      <c r="O3122">
        <v>57.2</v>
      </c>
      <c r="P3122">
        <v>1.63</v>
      </c>
    </row>
    <row r="3123" spans="1:16">
      <c r="A3123" s="1" t="s">
        <v>3091</v>
      </c>
      <c r="B3123" s="1" t="s">
        <v>3150</v>
      </c>
      <c r="C3123" s="1" t="s">
        <v>18</v>
      </c>
      <c r="D3123" s="1" t="s">
        <v>19</v>
      </c>
      <c r="E3123" s="1" t="s">
        <v>2752</v>
      </c>
      <c r="F3123">
        <v>3630</v>
      </c>
      <c r="G3123">
        <v>1640</v>
      </c>
      <c r="H3123">
        <v>681</v>
      </c>
      <c r="I3123">
        <v>2557</v>
      </c>
      <c r="J3123" s="11">
        <f t="shared" si="92"/>
        <v>2.7650000000000001</v>
      </c>
      <c r="K3123">
        <v>357</v>
      </c>
      <c r="L3123">
        <v>48</v>
      </c>
      <c r="M3123">
        <v>56.9</v>
      </c>
      <c r="N3123">
        <v>21.1</v>
      </c>
      <c r="O3123">
        <v>55.2</v>
      </c>
      <c r="P3123">
        <v>1.93</v>
      </c>
    </row>
    <row r="3124" spans="1:16">
      <c r="A3124" s="1" t="s">
        <v>3091</v>
      </c>
      <c r="B3124" s="1" t="s">
        <v>3151</v>
      </c>
      <c r="C3124" s="1" t="s">
        <v>18</v>
      </c>
      <c r="D3124" s="1" t="s">
        <v>19</v>
      </c>
      <c r="E3124" s="1" t="s">
        <v>2752</v>
      </c>
      <c r="F3124">
        <v>3330</v>
      </c>
      <c r="G3124">
        <v>1920</v>
      </c>
      <c r="H3124">
        <v>708</v>
      </c>
      <c r="I3124">
        <v>2567</v>
      </c>
      <c r="J3124" s="11">
        <f t="shared" si="92"/>
        <v>2.7650000000000001</v>
      </c>
      <c r="K3124">
        <v>258.39999999999998</v>
      </c>
      <c r="L3124">
        <v>44.8</v>
      </c>
      <c r="M3124">
        <v>58.3</v>
      </c>
      <c r="N3124">
        <v>7.6</v>
      </c>
      <c r="O3124">
        <v>55.1</v>
      </c>
      <c r="P3124">
        <v>1.08</v>
      </c>
    </row>
    <row r="3125" spans="1:16">
      <c r="A3125" s="1" t="s">
        <v>3091</v>
      </c>
      <c r="B3125" s="1" t="s">
        <v>3152</v>
      </c>
      <c r="C3125" s="1" t="s">
        <v>18</v>
      </c>
      <c r="D3125" s="1" t="s">
        <v>19</v>
      </c>
      <c r="E3125" s="1" t="s">
        <v>2752</v>
      </c>
      <c r="F3125" s="11">
        <f>2.79/2</f>
        <v>1.395</v>
      </c>
      <c r="G3125">
        <v>1170</v>
      </c>
      <c r="H3125">
        <v>1020</v>
      </c>
      <c r="I3125">
        <v>2712</v>
      </c>
      <c r="J3125" s="11">
        <f t="shared" si="92"/>
        <v>2.7650000000000001</v>
      </c>
      <c r="K3125">
        <v>274</v>
      </c>
      <c r="L3125">
        <v>50.1</v>
      </c>
      <c r="M3125">
        <v>67</v>
      </c>
      <c r="N3125" s="11">
        <f>5.36/2</f>
        <v>2.68</v>
      </c>
      <c r="O3125">
        <v>55</v>
      </c>
      <c r="P3125">
        <v>5.7</v>
      </c>
    </row>
    <row r="3126" spans="1:16">
      <c r="A3126" s="1" t="s">
        <v>3091</v>
      </c>
      <c r="B3126" s="1" t="s">
        <v>3153</v>
      </c>
      <c r="C3126" s="1" t="s">
        <v>18</v>
      </c>
      <c r="D3126" s="1" t="s">
        <v>19</v>
      </c>
      <c r="E3126" s="1" t="s">
        <v>2752</v>
      </c>
      <c r="F3126">
        <v>3490</v>
      </c>
      <c r="G3126">
        <v>1088</v>
      </c>
      <c r="H3126">
        <v>343</v>
      </c>
      <c r="I3126">
        <v>2627</v>
      </c>
      <c r="J3126" s="11">
        <f t="shared" si="92"/>
        <v>2.7650000000000001</v>
      </c>
      <c r="K3126">
        <v>290</v>
      </c>
      <c r="L3126">
        <v>46.3</v>
      </c>
      <c r="M3126">
        <v>61.2</v>
      </c>
      <c r="N3126">
        <v>9.6</v>
      </c>
      <c r="O3126">
        <v>55.8</v>
      </c>
      <c r="P3126">
        <v>3.5</v>
      </c>
    </row>
    <row r="3127" spans="1:16">
      <c r="A3127" s="1" t="s">
        <v>3091</v>
      </c>
      <c r="B3127" s="1" t="s">
        <v>3154</v>
      </c>
      <c r="C3127" s="1" t="s">
        <v>18</v>
      </c>
      <c r="D3127" s="1" t="s">
        <v>19</v>
      </c>
      <c r="E3127" s="1" t="s">
        <v>2752</v>
      </c>
      <c r="F3127">
        <v>2880</v>
      </c>
      <c r="G3127">
        <v>1156</v>
      </c>
      <c r="H3127">
        <v>1160</v>
      </c>
      <c r="I3127">
        <v>2594</v>
      </c>
      <c r="J3127" s="11">
        <f t="shared" si="92"/>
        <v>2.7650000000000001</v>
      </c>
      <c r="K3127">
        <v>282.39999999999998</v>
      </c>
      <c r="L3127">
        <v>44.2</v>
      </c>
      <c r="M3127">
        <v>60.2</v>
      </c>
      <c r="N3127">
        <v>9.5</v>
      </c>
      <c r="O3127">
        <v>55.8</v>
      </c>
      <c r="P3127">
        <v>4.4000000000000004</v>
      </c>
    </row>
    <row r="3128" spans="1:16">
      <c r="A3128" s="1" t="s">
        <v>3091</v>
      </c>
      <c r="B3128" s="1" t="s">
        <v>3155</v>
      </c>
      <c r="C3128" s="1" t="s">
        <v>18</v>
      </c>
      <c r="D3128" s="1" t="s">
        <v>19</v>
      </c>
      <c r="E3128" s="1" t="s">
        <v>2752</v>
      </c>
      <c r="F3128">
        <v>53.2</v>
      </c>
      <c r="G3128">
        <v>156</v>
      </c>
      <c r="H3128">
        <v>67</v>
      </c>
      <c r="I3128">
        <v>2500</v>
      </c>
      <c r="J3128" s="11">
        <f t="shared" si="92"/>
        <v>2.7650000000000001</v>
      </c>
      <c r="K3128">
        <v>186.4</v>
      </c>
      <c r="L3128">
        <v>40.5</v>
      </c>
      <c r="M3128">
        <v>48.9</v>
      </c>
      <c r="N3128" s="11">
        <f>5.36/2</f>
        <v>2.68</v>
      </c>
      <c r="O3128">
        <v>50.3</v>
      </c>
      <c r="P3128">
        <v>0.31</v>
      </c>
    </row>
    <row r="3129" spans="1:16">
      <c r="A3129" s="1" t="s">
        <v>3091</v>
      </c>
      <c r="B3129" s="1" t="s">
        <v>3156</v>
      </c>
      <c r="C3129" s="1" t="s">
        <v>18</v>
      </c>
      <c r="D3129" s="1" t="s">
        <v>19</v>
      </c>
      <c r="E3129" s="1" t="s">
        <v>2752</v>
      </c>
      <c r="F3129">
        <v>2110</v>
      </c>
      <c r="G3129">
        <v>770</v>
      </c>
      <c r="H3129">
        <v>311</v>
      </c>
      <c r="I3129">
        <v>2595</v>
      </c>
      <c r="J3129" s="11">
        <f t="shared" ref="J3129:J3152" si="98">5.53/2</f>
        <v>2.7650000000000001</v>
      </c>
      <c r="K3129">
        <v>274</v>
      </c>
      <c r="L3129">
        <v>40.9</v>
      </c>
      <c r="M3129">
        <v>55.5</v>
      </c>
      <c r="N3129">
        <v>13.6</v>
      </c>
      <c r="O3129">
        <v>51.6</v>
      </c>
      <c r="P3129">
        <v>0.45</v>
      </c>
    </row>
    <row r="3130" spans="1:16">
      <c r="A3130" s="1" t="s">
        <v>3091</v>
      </c>
      <c r="B3130" s="1" t="s">
        <v>3157</v>
      </c>
      <c r="C3130" s="1" t="s">
        <v>18</v>
      </c>
      <c r="D3130" s="1" t="s">
        <v>19</v>
      </c>
      <c r="E3130" s="1" t="s">
        <v>2752</v>
      </c>
      <c r="F3130">
        <v>2800</v>
      </c>
      <c r="G3130">
        <v>991</v>
      </c>
      <c r="H3130">
        <v>440</v>
      </c>
      <c r="I3130">
        <v>2648</v>
      </c>
      <c r="J3130" s="11">
        <f t="shared" si="98"/>
        <v>2.7650000000000001</v>
      </c>
      <c r="K3130">
        <v>282.60000000000002</v>
      </c>
      <c r="L3130">
        <v>43.8</v>
      </c>
      <c r="M3130">
        <v>53.5</v>
      </c>
      <c r="N3130">
        <v>12.9</v>
      </c>
      <c r="O3130">
        <v>54.5</v>
      </c>
      <c r="P3130">
        <v>1.47</v>
      </c>
    </row>
    <row r="3131" spans="1:16">
      <c r="A3131" s="1" t="s">
        <v>3091</v>
      </c>
      <c r="B3131" s="1" t="s">
        <v>3158</v>
      </c>
      <c r="C3131" s="1" t="s">
        <v>18</v>
      </c>
      <c r="D3131" s="1" t="s">
        <v>19</v>
      </c>
      <c r="E3131" s="1" t="s">
        <v>2752</v>
      </c>
      <c r="F3131">
        <v>2820</v>
      </c>
      <c r="G3131">
        <v>1470</v>
      </c>
      <c r="H3131">
        <v>740</v>
      </c>
      <c r="I3131">
        <v>2864</v>
      </c>
      <c r="J3131" s="11">
        <f t="shared" si="98"/>
        <v>2.7650000000000001</v>
      </c>
      <c r="K3131">
        <v>308</v>
      </c>
      <c r="L3131">
        <v>51.8</v>
      </c>
      <c r="M3131">
        <v>67.8</v>
      </c>
      <c r="N3131">
        <v>12.9</v>
      </c>
      <c r="O3131">
        <v>60.9</v>
      </c>
      <c r="P3131">
        <v>6.1</v>
      </c>
    </row>
    <row r="3132" spans="1:16">
      <c r="A3132" s="1" t="s">
        <v>3091</v>
      </c>
      <c r="B3132" s="1" t="s">
        <v>3159</v>
      </c>
      <c r="C3132" s="1" t="s">
        <v>18</v>
      </c>
      <c r="D3132" s="1" t="s">
        <v>19</v>
      </c>
      <c r="E3132" s="1" t="s">
        <v>2752</v>
      </c>
      <c r="F3132">
        <v>1840</v>
      </c>
      <c r="G3132">
        <v>482</v>
      </c>
      <c r="H3132">
        <v>93</v>
      </c>
      <c r="I3132">
        <v>2750</v>
      </c>
      <c r="J3132" s="11">
        <f t="shared" si="98"/>
        <v>2.7650000000000001</v>
      </c>
      <c r="K3132">
        <v>218</v>
      </c>
      <c r="L3132">
        <v>48.2</v>
      </c>
      <c r="M3132">
        <v>92</v>
      </c>
      <c r="N3132">
        <v>13</v>
      </c>
      <c r="O3132">
        <v>57.5</v>
      </c>
      <c r="P3132">
        <v>25.6</v>
      </c>
    </row>
    <row r="3133" spans="1:16">
      <c r="A3133" s="1" t="s">
        <v>3091</v>
      </c>
      <c r="B3133" s="1" t="s">
        <v>3160</v>
      </c>
      <c r="C3133" s="1" t="s">
        <v>18</v>
      </c>
      <c r="D3133" s="1" t="s">
        <v>19</v>
      </c>
      <c r="E3133" s="1" t="s">
        <v>2752</v>
      </c>
      <c r="F3133">
        <v>3680</v>
      </c>
      <c r="G3133">
        <v>1210</v>
      </c>
      <c r="H3133">
        <v>376</v>
      </c>
      <c r="I3133">
        <v>2549</v>
      </c>
      <c r="J3133" s="11">
        <f t="shared" si="98"/>
        <v>2.7650000000000001</v>
      </c>
      <c r="K3133">
        <v>254</v>
      </c>
      <c r="L3133">
        <v>46.3</v>
      </c>
      <c r="M3133">
        <v>54.7</v>
      </c>
      <c r="N3133">
        <v>8.8000000000000007</v>
      </c>
      <c r="O3133">
        <v>54.4</v>
      </c>
      <c r="P3133">
        <v>0.83</v>
      </c>
    </row>
    <row r="3134" spans="1:16">
      <c r="A3134" s="1" t="s">
        <v>3091</v>
      </c>
      <c r="B3134" s="1" t="s">
        <v>3161</v>
      </c>
      <c r="C3134" s="1" t="s">
        <v>18</v>
      </c>
      <c r="D3134" s="1" t="s">
        <v>19</v>
      </c>
      <c r="E3134" s="1" t="s">
        <v>2752</v>
      </c>
      <c r="F3134">
        <v>4260</v>
      </c>
      <c r="G3134">
        <v>1230</v>
      </c>
      <c r="H3134">
        <v>429</v>
      </c>
      <c r="I3134">
        <v>2617</v>
      </c>
      <c r="J3134" s="11">
        <f t="shared" si="98"/>
        <v>2.7650000000000001</v>
      </c>
      <c r="K3134">
        <v>306</v>
      </c>
      <c r="L3134">
        <v>49.8</v>
      </c>
      <c r="M3134">
        <v>58.3</v>
      </c>
      <c r="N3134">
        <v>11.3</v>
      </c>
      <c r="O3134">
        <v>57.5</v>
      </c>
      <c r="P3134" s="11">
        <f t="shared" ref="P3134:P3135" si="99">0.49/2</f>
        <v>0.245</v>
      </c>
    </row>
    <row r="3135" spans="1:16">
      <c r="A3135" s="1" t="s">
        <v>3091</v>
      </c>
      <c r="B3135" s="1" t="s">
        <v>3162</v>
      </c>
      <c r="C3135" s="1" t="s">
        <v>18</v>
      </c>
      <c r="D3135" s="1" t="s">
        <v>19</v>
      </c>
      <c r="E3135" s="1" t="s">
        <v>2752</v>
      </c>
      <c r="F3135">
        <v>3490</v>
      </c>
      <c r="G3135">
        <v>1480</v>
      </c>
      <c r="H3135">
        <v>251</v>
      </c>
      <c r="I3135">
        <v>2543</v>
      </c>
      <c r="J3135" s="11">
        <f t="shared" si="98"/>
        <v>2.7650000000000001</v>
      </c>
      <c r="K3135">
        <v>253</v>
      </c>
      <c r="L3135">
        <v>42.6</v>
      </c>
      <c r="M3135">
        <v>56</v>
      </c>
      <c r="N3135" s="11">
        <f t="shared" ref="N3135:N3141" si="100">5.36/2</f>
        <v>2.68</v>
      </c>
      <c r="O3135">
        <v>53</v>
      </c>
      <c r="P3135" s="11">
        <f t="shared" si="99"/>
        <v>0.245</v>
      </c>
    </row>
    <row r="3136" spans="1:16">
      <c r="A3136" s="1" t="s">
        <v>3091</v>
      </c>
      <c r="B3136" s="1" t="s">
        <v>3163</v>
      </c>
      <c r="C3136" s="1" t="s">
        <v>18</v>
      </c>
      <c r="D3136" s="1" t="s">
        <v>19</v>
      </c>
      <c r="E3136" s="1" t="s">
        <v>2752</v>
      </c>
      <c r="F3136">
        <v>3210</v>
      </c>
      <c r="G3136">
        <v>814</v>
      </c>
      <c r="H3136">
        <v>282</v>
      </c>
      <c r="I3136">
        <v>2539</v>
      </c>
      <c r="J3136" s="11">
        <f t="shared" si="98"/>
        <v>2.7650000000000001</v>
      </c>
      <c r="K3136">
        <v>231.4</v>
      </c>
      <c r="L3136">
        <v>42.1</v>
      </c>
      <c r="M3136">
        <v>55.4</v>
      </c>
      <c r="N3136" s="11">
        <f t="shared" si="100"/>
        <v>2.68</v>
      </c>
      <c r="O3136">
        <v>52.7</v>
      </c>
      <c r="P3136">
        <v>0.78</v>
      </c>
    </row>
    <row r="3137" spans="1:16">
      <c r="A3137" s="1" t="s">
        <v>3091</v>
      </c>
      <c r="B3137" s="1" t="s">
        <v>3164</v>
      </c>
      <c r="C3137" s="1" t="s">
        <v>18</v>
      </c>
      <c r="D3137" s="1" t="s">
        <v>19</v>
      </c>
      <c r="E3137" s="1" t="s">
        <v>2752</v>
      </c>
      <c r="F3137">
        <v>2590</v>
      </c>
      <c r="G3137">
        <v>830</v>
      </c>
      <c r="H3137">
        <v>203</v>
      </c>
      <c r="I3137">
        <v>2550</v>
      </c>
      <c r="J3137" s="11">
        <f t="shared" si="98"/>
        <v>2.7650000000000001</v>
      </c>
      <c r="K3137">
        <v>225</v>
      </c>
      <c r="L3137">
        <v>44</v>
      </c>
      <c r="M3137">
        <v>56.3</v>
      </c>
      <c r="N3137" s="11">
        <f t="shared" si="100"/>
        <v>2.68</v>
      </c>
      <c r="O3137">
        <v>49.9</v>
      </c>
      <c r="P3137" s="11">
        <f t="shared" ref="P3137:P3141" si="101">0.49/2</f>
        <v>0.245</v>
      </c>
    </row>
    <row r="3138" spans="1:16">
      <c r="A3138" s="1" t="s">
        <v>3091</v>
      </c>
      <c r="B3138" s="1" t="s">
        <v>3165</v>
      </c>
      <c r="C3138" s="1" t="s">
        <v>18</v>
      </c>
      <c r="D3138" s="1" t="s">
        <v>19</v>
      </c>
      <c r="E3138" s="1" t="s">
        <v>2752</v>
      </c>
      <c r="F3138">
        <v>99</v>
      </c>
      <c r="G3138">
        <v>293.3</v>
      </c>
      <c r="H3138">
        <v>112.6</v>
      </c>
      <c r="I3138">
        <v>2495</v>
      </c>
      <c r="J3138" s="11">
        <f t="shared" si="98"/>
        <v>2.7650000000000001</v>
      </c>
      <c r="K3138">
        <v>207.3</v>
      </c>
      <c r="L3138">
        <v>41.8</v>
      </c>
      <c r="M3138">
        <v>49.7</v>
      </c>
      <c r="N3138" s="11">
        <f t="shared" si="100"/>
        <v>2.68</v>
      </c>
      <c r="O3138">
        <v>49.9</v>
      </c>
      <c r="P3138" s="11">
        <f t="shared" si="101"/>
        <v>0.245</v>
      </c>
    </row>
    <row r="3139" spans="1:16">
      <c r="A3139" s="1" t="s">
        <v>3091</v>
      </c>
      <c r="B3139" s="1" t="s">
        <v>3166</v>
      </c>
      <c r="C3139" s="1" t="s">
        <v>18</v>
      </c>
      <c r="D3139" s="1" t="s">
        <v>19</v>
      </c>
      <c r="E3139" s="1" t="s">
        <v>2752</v>
      </c>
      <c r="F3139">
        <v>96.9</v>
      </c>
      <c r="G3139">
        <v>299</v>
      </c>
      <c r="H3139">
        <v>103</v>
      </c>
      <c r="I3139">
        <v>2580</v>
      </c>
      <c r="J3139" s="11">
        <f t="shared" si="98"/>
        <v>2.7650000000000001</v>
      </c>
      <c r="K3139">
        <v>210</v>
      </c>
      <c r="L3139">
        <v>40.4</v>
      </c>
      <c r="M3139">
        <v>55.4</v>
      </c>
      <c r="N3139" s="11">
        <f t="shared" si="100"/>
        <v>2.68</v>
      </c>
      <c r="O3139">
        <v>48.8</v>
      </c>
      <c r="P3139" s="11">
        <f t="shared" si="101"/>
        <v>0.245</v>
      </c>
    </row>
    <row r="3140" spans="1:16">
      <c r="A3140" s="1" t="s">
        <v>3091</v>
      </c>
      <c r="B3140" s="1" t="s">
        <v>3167</v>
      </c>
      <c r="C3140" s="1" t="s">
        <v>18</v>
      </c>
      <c r="D3140" s="1" t="s">
        <v>19</v>
      </c>
      <c r="E3140" s="1" t="s">
        <v>2752</v>
      </c>
      <c r="F3140">
        <v>7640</v>
      </c>
      <c r="G3140">
        <v>1280</v>
      </c>
      <c r="H3140">
        <v>158</v>
      </c>
      <c r="I3140">
        <v>2621</v>
      </c>
      <c r="J3140" s="11">
        <f t="shared" si="98"/>
        <v>2.7650000000000001</v>
      </c>
      <c r="K3140">
        <v>258.39999999999998</v>
      </c>
      <c r="L3140">
        <v>47.4</v>
      </c>
      <c r="M3140">
        <v>53.1</v>
      </c>
      <c r="N3140" s="11">
        <f t="shared" si="100"/>
        <v>2.68</v>
      </c>
      <c r="O3140">
        <v>51.7</v>
      </c>
      <c r="P3140" s="11">
        <f t="shared" si="101"/>
        <v>0.245</v>
      </c>
    </row>
    <row r="3141" spans="1:16">
      <c r="A3141" s="1" t="s">
        <v>3091</v>
      </c>
      <c r="B3141" s="1" t="s">
        <v>3168</v>
      </c>
      <c r="C3141" s="1" t="s">
        <v>18</v>
      </c>
      <c r="D3141" s="1" t="s">
        <v>19</v>
      </c>
      <c r="E3141" s="1" t="s">
        <v>2752</v>
      </c>
      <c r="F3141">
        <v>270</v>
      </c>
      <c r="G3141">
        <v>195</v>
      </c>
      <c r="H3141">
        <v>69</v>
      </c>
      <c r="I3141">
        <v>2760</v>
      </c>
      <c r="J3141" s="11">
        <f t="shared" si="98"/>
        <v>2.7650000000000001</v>
      </c>
      <c r="K3141">
        <v>211</v>
      </c>
      <c r="L3141">
        <v>43.6</v>
      </c>
      <c r="M3141">
        <v>57.2</v>
      </c>
      <c r="N3141" s="11">
        <f t="shared" si="100"/>
        <v>2.68</v>
      </c>
      <c r="O3141">
        <v>52.7</v>
      </c>
      <c r="P3141" s="11">
        <f t="shared" si="101"/>
        <v>0.245</v>
      </c>
    </row>
    <row r="3142" spans="1:16">
      <c r="A3142" s="1" t="s">
        <v>3091</v>
      </c>
      <c r="B3142" s="1" t="s">
        <v>3169</v>
      </c>
      <c r="C3142" s="1" t="s">
        <v>18</v>
      </c>
      <c r="D3142" s="1" t="s">
        <v>19</v>
      </c>
      <c r="E3142" s="1" t="s">
        <v>2752</v>
      </c>
      <c r="F3142">
        <v>4180</v>
      </c>
      <c r="G3142">
        <v>1440</v>
      </c>
      <c r="H3142">
        <v>587</v>
      </c>
      <c r="I3142">
        <v>2526</v>
      </c>
      <c r="J3142" s="11">
        <f t="shared" si="98"/>
        <v>2.7650000000000001</v>
      </c>
      <c r="K3142">
        <v>299</v>
      </c>
      <c r="L3142">
        <v>44.2</v>
      </c>
      <c r="M3142">
        <v>51.5</v>
      </c>
      <c r="N3142">
        <v>10.4</v>
      </c>
      <c r="O3142">
        <v>53</v>
      </c>
      <c r="P3142">
        <v>0.54</v>
      </c>
    </row>
    <row r="3143" spans="1:16">
      <c r="A3143" s="1" t="s">
        <v>3091</v>
      </c>
      <c r="B3143" s="1" t="s">
        <v>3170</v>
      </c>
      <c r="C3143" s="1" t="s">
        <v>18</v>
      </c>
      <c r="D3143" s="1" t="s">
        <v>19</v>
      </c>
      <c r="E3143" s="1" t="s">
        <v>2752</v>
      </c>
      <c r="F3143">
        <v>3990</v>
      </c>
      <c r="G3143">
        <v>1450</v>
      </c>
      <c r="H3143">
        <v>628</v>
      </c>
      <c r="I3143">
        <v>2569</v>
      </c>
      <c r="J3143" s="11">
        <f t="shared" si="98"/>
        <v>2.7650000000000001</v>
      </c>
      <c r="K3143">
        <v>290.10000000000002</v>
      </c>
      <c r="L3143">
        <v>44.5</v>
      </c>
      <c r="M3143">
        <v>53.8</v>
      </c>
      <c r="N3143">
        <v>9.3000000000000007</v>
      </c>
      <c r="O3143">
        <v>53.1</v>
      </c>
      <c r="P3143">
        <v>0.77</v>
      </c>
    </row>
    <row r="3144" spans="1:16">
      <c r="A3144" s="1" t="s">
        <v>3091</v>
      </c>
      <c r="B3144" s="1" t="s">
        <v>3171</v>
      </c>
      <c r="C3144" s="1" t="s">
        <v>18</v>
      </c>
      <c r="D3144" s="1" t="s">
        <v>19</v>
      </c>
      <c r="E3144" s="1" t="s">
        <v>2752</v>
      </c>
      <c r="F3144">
        <v>7130</v>
      </c>
      <c r="G3144">
        <v>2290</v>
      </c>
      <c r="H3144">
        <v>680</v>
      </c>
      <c r="I3144">
        <v>2520</v>
      </c>
      <c r="J3144" s="11">
        <f t="shared" si="98"/>
        <v>2.7650000000000001</v>
      </c>
      <c r="K3144">
        <v>304</v>
      </c>
      <c r="L3144">
        <v>42.1</v>
      </c>
      <c r="M3144">
        <v>54.6</v>
      </c>
      <c r="N3144">
        <v>8.1999999999999993</v>
      </c>
      <c r="O3144">
        <v>55.7</v>
      </c>
      <c r="P3144">
        <v>1.1200000000000001</v>
      </c>
    </row>
    <row r="3145" spans="1:16">
      <c r="A3145" s="1" t="s">
        <v>3091</v>
      </c>
      <c r="B3145" s="1" t="s">
        <v>3172</v>
      </c>
      <c r="C3145" s="1" t="s">
        <v>18</v>
      </c>
      <c r="D3145" s="1" t="s">
        <v>19</v>
      </c>
      <c r="E3145" s="1" t="s">
        <v>2752</v>
      </c>
      <c r="F3145">
        <v>4440</v>
      </c>
      <c r="G3145">
        <v>2150</v>
      </c>
      <c r="H3145">
        <v>1180</v>
      </c>
      <c r="I3145">
        <v>2500</v>
      </c>
      <c r="J3145" s="11">
        <f t="shared" si="98"/>
        <v>2.7650000000000001</v>
      </c>
      <c r="K3145">
        <v>269</v>
      </c>
      <c r="L3145">
        <v>43.6</v>
      </c>
      <c r="M3145">
        <v>53.8</v>
      </c>
      <c r="N3145">
        <v>5.5</v>
      </c>
      <c r="O3145">
        <v>54.5</v>
      </c>
      <c r="P3145">
        <v>1.52</v>
      </c>
    </row>
    <row r="3146" spans="1:16">
      <c r="A3146" s="1" t="s">
        <v>3091</v>
      </c>
      <c r="B3146" s="1" t="s">
        <v>3173</v>
      </c>
      <c r="C3146" s="1" t="s">
        <v>18</v>
      </c>
      <c r="D3146" s="1" t="s">
        <v>19</v>
      </c>
      <c r="E3146" s="1" t="s">
        <v>2752</v>
      </c>
      <c r="F3146">
        <v>4220</v>
      </c>
      <c r="G3146">
        <v>2250</v>
      </c>
      <c r="H3146">
        <v>3920</v>
      </c>
      <c r="I3146">
        <v>2770</v>
      </c>
      <c r="J3146" s="11">
        <f t="shared" si="98"/>
        <v>2.7650000000000001</v>
      </c>
      <c r="K3146">
        <v>301</v>
      </c>
      <c r="L3146">
        <v>46.7</v>
      </c>
      <c r="M3146">
        <v>60.2</v>
      </c>
      <c r="N3146">
        <v>9.1</v>
      </c>
      <c r="O3146">
        <v>60.2</v>
      </c>
      <c r="P3146">
        <v>4</v>
      </c>
    </row>
    <row r="3147" spans="1:16">
      <c r="A3147" s="1" t="s">
        <v>3091</v>
      </c>
      <c r="B3147" s="1" t="s">
        <v>3174</v>
      </c>
      <c r="C3147" s="1" t="s">
        <v>18</v>
      </c>
      <c r="D3147" s="1" t="s">
        <v>19</v>
      </c>
      <c r="E3147" s="1" t="s">
        <v>2752</v>
      </c>
      <c r="F3147">
        <v>2630</v>
      </c>
      <c r="G3147">
        <v>1950</v>
      </c>
      <c r="H3147">
        <v>1170</v>
      </c>
      <c r="I3147">
        <v>2531</v>
      </c>
      <c r="J3147" s="11">
        <f t="shared" si="98"/>
        <v>2.7650000000000001</v>
      </c>
      <c r="K3147">
        <v>254.1</v>
      </c>
      <c r="L3147">
        <v>43.1</v>
      </c>
      <c r="M3147">
        <v>52.5</v>
      </c>
      <c r="N3147">
        <v>6.1</v>
      </c>
      <c r="O3147">
        <v>52.2</v>
      </c>
      <c r="P3147">
        <v>1.26</v>
      </c>
    </row>
    <row r="3148" spans="1:16">
      <c r="A3148" s="1" t="s">
        <v>3091</v>
      </c>
      <c r="B3148" s="1" t="s">
        <v>3175</v>
      </c>
      <c r="C3148" s="1" t="s">
        <v>18</v>
      </c>
      <c r="D3148" s="1" t="s">
        <v>19</v>
      </c>
      <c r="E3148" s="1" t="s">
        <v>2752</v>
      </c>
      <c r="F3148">
        <v>3050</v>
      </c>
      <c r="G3148">
        <v>720</v>
      </c>
      <c r="H3148">
        <v>141</v>
      </c>
      <c r="I3148">
        <v>2640</v>
      </c>
      <c r="J3148" s="11">
        <f t="shared" si="98"/>
        <v>2.7650000000000001</v>
      </c>
      <c r="K3148">
        <v>240</v>
      </c>
      <c r="L3148">
        <v>43.9</v>
      </c>
      <c r="M3148">
        <v>57.2</v>
      </c>
      <c r="N3148" s="11">
        <f>5.36/2</f>
        <v>2.68</v>
      </c>
      <c r="O3148">
        <v>52.3</v>
      </c>
      <c r="P3148" s="11">
        <f>0.49/2</f>
        <v>0.245</v>
      </c>
    </row>
    <row r="3149" spans="1:16">
      <c r="A3149" s="1" t="s">
        <v>3091</v>
      </c>
      <c r="B3149" s="1" t="s">
        <v>3176</v>
      </c>
      <c r="C3149" s="1" t="s">
        <v>18</v>
      </c>
      <c r="D3149" s="1" t="s">
        <v>19</v>
      </c>
      <c r="E3149" s="1" t="s">
        <v>2752</v>
      </c>
      <c r="F3149">
        <v>2270</v>
      </c>
      <c r="G3149">
        <v>1259</v>
      </c>
      <c r="H3149">
        <v>1180</v>
      </c>
      <c r="I3149">
        <v>2543</v>
      </c>
      <c r="J3149" s="11">
        <f t="shared" si="98"/>
        <v>2.7650000000000001</v>
      </c>
      <c r="K3149">
        <v>268.8</v>
      </c>
      <c r="L3149">
        <v>42.9</v>
      </c>
      <c r="M3149">
        <v>56.1</v>
      </c>
      <c r="N3149">
        <v>10</v>
      </c>
      <c r="O3149">
        <v>54.4</v>
      </c>
      <c r="P3149">
        <v>1.38</v>
      </c>
    </row>
    <row r="3150" spans="1:16">
      <c r="A3150" s="1" t="s">
        <v>3091</v>
      </c>
      <c r="B3150" s="1" t="s">
        <v>3177</v>
      </c>
      <c r="C3150" s="1" t="s">
        <v>18</v>
      </c>
      <c r="D3150" s="1" t="s">
        <v>19</v>
      </c>
      <c r="E3150" s="1" t="s">
        <v>2752</v>
      </c>
      <c r="F3150">
        <v>7130</v>
      </c>
      <c r="G3150">
        <v>1185</v>
      </c>
      <c r="H3150">
        <v>1070</v>
      </c>
      <c r="I3150">
        <v>2543</v>
      </c>
      <c r="J3150" s="11">
        <f t="shared" si="98"/>
        <v>2.7650000000000001</v>
      </c>
      <c r="K3150">
        <v>273.5</v>
      </c>
      <c r="L3150">
        <v>42.7</v>
      </c>
      <c r="M3150">
        <v>58.1</v>
      </c>
      <c r="N3150">
        <v>7.2</v>
      </c>
      <c r="O3150">
        <v>50.8</v>
      </c>
      <c r="P3150">
        <v>1.43</v>
      </c>
    </row>
    <row r="3151" spans="1:16">
      <c r="A3151" s="1" t="s">
        <v>3091</v>
      </c>
      <c r="B3151" s="1" t="s">
        <v>3178</v>
      </c>
      <c r="C3151" s="1" t="s">
        <v>18</v>
      </c>
      <c r="D3151" s="1" t="s">
        <v>19</v>
      </c>
      <c r="E3151" s="1" t="s">
        <v>2752</v>
      </c>
      <c r="F3151">
        <v>2580</v>
      </c>
      <c r="G3151">
        <v>880</v>
      </c>
      <c r="H3151">
        <v>640</v>
      </c>
      <c r="I3151">
        <v>2821</v>
      </c>
      <c r="J3151" s="11">
        <f t="shared" si="98"/>
        <v>2.7650000000000001</v>
      </c>
      <c r="K3151">
        <v>285.2</v>
      </c>
      <c r="L3151">
        <v>46.9</v>
      </c>
      <c r="M3151">
        <v>54.7</v>
      </c>
      <c r="N3151" s="11">
        <f>5.36/2</f>
        <v>2.68</v>
      </c>
      <c r="O3151">
        <v>59.3</v>
      </c>
      <c r="P3151">
        <v>1.24</v>
      </c>
    </row>
    <row r="3152" spans="1:16">
      <c r="A3152" s="1" t="s">
        <v>3091</v>
      </c>
      <c r="B3152" s="1" t="s">
        <v>3179</v>
      </c>
      <c r="C3152" s="1" t="s">
        <v>18</v>
      </c>
      <c r="D3152" s="1" t="s">
        <v>19</v>
      </c>
      <c r="E3152" s="1" t="s">
        <v>2752</v>
      </c>
      <c r="F3152">
        <v>3630</v>
      </c>
      <c r="G3152">
        <v>2140</v>
      </c>
      <c r="H3152">
        <v>710</v>
      </c>
      <c r="I3152">
        <v>2792</v>
      </c>
      <c r="J3152" s="11">
        <f t="shared" si="98"/>
        <v>2.7650000000000001</v>
      </c>
      <c r="K3152">
        <v>308</v>
      </c>
      <c r="L3152">
        <v>47.9</v>
      </c>
      <c r="M3152">
        <v>64.7</v>
      </c>
      <c r="N3152">
        <v>11.3</v>
      </c>
      <c r="O3152">
        <v>59.1</v>
      </c>
      <c r="P3152" s="11">
        <f t="shared" ref="P3152:P3153" si="102">0.49/2</f>
        <v>0.245</v>
      </c>
    </row>
    <row r="3153" spans="1:16">
      <c r="A3153" s="1" t="s">
        <v>3091</v>
      </c>
      <c r="B3153" s="1" t="s">
        <v>3180</v>
      </c>
      <c r="C3153" s="1" t="s">
        <v>18</v>
      </c>
      <c r="D3153" s="1" t="s">
        <v>19</v>
      </c>
      <c r="E3153" s="1" t="s">
        <v>2752</v>
      </c>
      <c r="F3153">
        <v>290</v>
      </c>
      <c r="G3153">
        <f>9.48/2</f>
        <v>4.74</v>
      </c>
      <c r="H3153">
        <v>2732</v>
      </c>
      <c r="I3153">
        <v>3.5</v>
      </c>
      <c r="J3153">
        <v>218.3</v>
      </c>
      <c r="K3153">
        <v>45.6</v>
      </c>
      <c r="L3153">
        <v>57.5</v>
      </c>
      <c r="M3153">
        <v>0.3</v>
      </c>
      <c r="N3153">
        <v>53.3</v>
      </c>
      <c r="O3153">
        <f>0.94/2</f>
        <v>0.47</v>
      </c>
      <c r="P3153" s="11">
        <f t="shared" si="102"/>
        <v>0.245</v>
      </c>
    </row>
    <row r="3154" spans="1:16">
      <c r="A3154" s="1" t="s">
        <v>3181</v>
      </c>
      <c r="B3154" s="3" t="s">
        <v>3182</v>
      </c>
      <c r="C3154" s="1" t="s">
        <v>18</v>
      </c>
      <c r="D3154" s="1" t="s">
        <v>19</v>
      </c>
      <c r="E3154" s="1" t="s">
        <v>3183</v>
      </c>
      <c r="F3154">
        <v>228.1</v>
      </c>
      <c r="G3154">
        <v>215</v>
      </c>
      <c r="H3154">
        <f>4/2</f>
        <v>2</v>
      </c>
      <c r="I3154">
        <v>8.3800000000000008</v>
      </c>
      <c r="J3154">
        <v>9.1999999999999993</v>
      </c>
      <c r="K3154">
        <v>76</v>
      </c>
      <c r="L3154">
        <v>20.7</v>
      </c>
      <c r="M3154">
        <v>344</v>
      </c>
      <c r="N3154">
        <v>4</v>
      </c>
      <c r="O3154">
        <v>17.8</v>
      </c>
      <c r="P3154">
        <v>0.85</v>
      </c>
    </row>
    <row r="3155" spans="1:16">
      <c r="A3155" s="1" t="s">
        <v>3181</v>
      </c>
      <c r="B3155" s="3" t="s">
        <v>3184</v>
      </c>
      <c r="C3155" s="1" t="s">
        <v>18</v>
      </c>
      <c r="D3155" s="1" t="s">
        <v>19</v>
      </c>
      <c r="E3155" s="1" t="s">
        <v>3183</v>
      </c>
      <c r="F3155">
        <v>259</v>
      </c>
      <c r="G3155">
        <v>371</v>
      </c>
      <c r="H3155" s="11">
        <f t="shared" ref="H3155:H3162" si="103">4/2</f>
        <v>2</v>
      </c>
      <c r="I3155">
        <v>53.8</v>
      </c>
      <c r="J3155">
        <f>2.4/2</f>
        <v>1.2</v>
      </c>
      <c r="K3155">
        <v>74.099999999999994</v>
      </c>
      <c r="L3155">
        <v>20.7</v>
      </c>
      <c r="M3155">
        <v>56.3</v>
      </c>
      <c r="N3155">
        <v>10.4</v>
      </c>
      <c r="O3155">
        <v>13.98</v>
      </c>
      <c r="P3155">
        <f>0.4/2</f>
        <v>0.2</v>
      </c>
    </row>
    <row r="3156" spans="1:16">
      <c r="A3156" s="1" t="s">
        <v>3181</v>
      </c>
      <c r="B3156" s="3" t="s">
        <v>3185</v>
      </c>
      <c r="C3156" s="1" t="s">
        <v>18</v>
      </c>
      <c r="D3156" s="1" t="s">
        <v>19</v>
      </c>
      <c r="E3156" s="1" t="s">
        <v>3186</v>
      </c>
      <c r="F3156">
        <v>2050</v>
      </c>
      <c r="G3156">
        <v>522</v>
      </c>
      <c r="H3156" s="11">
        <f t="shared" si="103"/>
        <v>2</v>
      </c>
      <c r="I3156">
        <v>25</v>
      </c>
      <c r="J3156" s="11">
        <f t="shared" ref="J3156:J3192" si="104">2.4/2</f>
        <v>1.2</v>
      </c>
      <c r="K3156">
        <v>89.8</v>
      </c>
      <c r="L3156">
        <v>19.399999999999999</v>
      </c>
      <c r="M3156">
        <v>53.6</v>
      </c>
      <c r="N3156">
        <v>4.5</v>
      </c>
      <c r="O3156">
        <v>15.9</v>
      </c>
      <c r="P3156">
        <v>0.75</v>
      </c>
    </row>
    <row r="3157" spans="1:16">
      <c r="A3157" s="1" t="s">
        <v>3181</v>
      </c>
      <c r="B3157" s="3" t="s">
        <v>3187</v>
      </c>
      <c r="C3157" s="1" t="s">
        <v>18</v>
      </c>
      <c r="D3157" s="1" t="s">
        <v>19</v>
      </c>
      <c r="E3157" s="1" t="s">
        <v>3186</v>
      </c>
      <c r="F3157">
        <v>121.6</v>
      </c>
      <c r="G3157">
        <v>176.5</v>
      </c>
      <c r="H3157" s="11">
        <f t="shared" si="103"/>
        <v>2</v>
      </c>
      <c r="I3157">
        <v>96.1</v>
      </c>
      <c r="J3157" s="11">
        <f t="shared" si="104"/>
        <v>1.2</v>
      </c>
      <c r="K3157">
        <v>70.7</v>
      </c>
      <c r="L3157">
        <v>19.5</v>
      </c>
      <c r="M3157">
        <v>32.200000000000003</v>
      </c>
      <c r="N3157">
        <v>7.3</v>
      </c>
      <c r="O3157">
        <v>12.6</v>
      </c>
      <c r="P3157" s="11">
        <f t="shared" ref="P3157:P3160" si="105">0.4/2</f>
        <v>0.2</v>
      </c>
    </row>
    <row r="3158" spans="1:16">
      <c r="A3158" s="1" t="s">
        <v>3181</v>
      </c>
      <c r="B3158" s="3" t="s">
        <v>3188</v>
      </c>
      <c r="C3158" s="1" t="s">
        <v>18</v>
      </c>
      <c r="D3158" s="1" t="s">
        <v>19</v>
      </c>
      <c r="E3158" s="1" t="s">
        <v>3186</v>
      </c>
      <c r="F3158">
        <v>104</v>
      </c>
      <c r="G3158">
        <v>200</v>
      </c>
      <c r="H3158" s="11">
        <f t="shared" si="103"/>
        <v>2</v>
      </c>
      <c r="I3158">
        <v>157.69999999999999</v>
      </c>
      <c r="J3158" s="11">
        <f t="shared" si="104"/>
        <v>1.2</v>
      </c>
      <c r="K3158">
        <v>54.4</v>
      </c>
      <c r="L3158">
        <v>21</v>
      </c>
      <c r="M3158">
        <v>30</v>
      </c>
      <c r="N3158">
        <v>4.8</v>
      </c>
      <c r="O3158">
        <v>12.5</v>
      </c>
      <c r="P3158" s="11">
        <f t="shared" si="105"/>
        <v>0.2</v>
      </c>
    </row>
    <row r="3159" spans="1:16">
      <c r="A3159" s="1" t="s">
        <v>3181</v>
      </c>
      <c r="B3159" s="3" t="s">
        <v>3189</v>
      </c>
      <c r="C3159" s="1" t="s">
        <v>18</v>
      </c>
      <c r="D3159" s="1" t="s">
        <v>19</v>
      </c>
      <c r="E3159" s="1" t="s">
        <v>3186</v>
      </c>
      <c r="F3159">
        <v>86.4</v>
      </c>
      <c r="G3159">
        <v>211.9</v>
      </c>
      <c r="H3159" s="11">
        <f t="shared" si="103"/>
        <v>2</v>
      </c>
      <c r="I3159">
        <v>71.400000000000006</v>
      </c>
      <c r="J3159" s="11">
        <f t="shared" si="104"/>
        <v>1.2</v>
      </c>
      <c r="K3159">
        <v>57</v>
      </c>
      <c r="L3159">
        <v>19.899999999999999</v>
      </c>
      <c r="M3159">
        <v>111.1</v>
      </c>
      <c r="N3159">
        <v>1.1000000000000001</v>
      </c>
      <c r="O3159">
        <v>16.170000000000002</v>
      </c>
      <c r="P3159" s="11">
        <f t="shared" si="105"/>
        <v>0.2</v>
      </c>
    </row>
    <row r="3160" spans="1:16">
      <c r="A3160" s="1" t="s">
        <v>3181</v>
      </c>
      <c r="B3160" s="3" t="s">
        <v>3190</v>
      </c>
      <c r="C3160" s="1" t="s">
        <v>18</v>
      </c>
      <c r="D3160" s="1" t="s">
        <v>19</v>
      </c>
      <c r="E3160" s="1" t="s">
        <v>3186</v>
      </c>
      <c r="F3160">
        <v>3890</v>
      </c>
      <c r="G3160">
        <v>226</v>
      </c>
      <c r="H3160" s="11">
        <f t="shared" si="103"/>
        <v>2</v>
      </c>
      <c r="I3160">
        <v>268</v>
      </c>
      <c r="J3160" s="11">
        <f t="shared" si="104"/>
        <v>1.2</v>
      </c>
      <c r="K3160">
        <v>153.80000000000001</v>
      </c>
      <c r="L3160">
        <v>35</v>
      </c>
      <c r="M3160">
        <v>42.9</v>
      </c>
      <c r="N3160">
        <v>14</v>
      </c>
      <c r="O3160">
        <v>14.8</v>
      </c>
      <c r="P3160" s="11">
        <f t="shared" si="105"/>
        <v>0.2</v>
      </c>
    </row>
    <row r="3161" spans="1:16">
      <c r="A3161" s="1" t="s">
        <v>3181</v>
      </c>
      <c r="B3161" s="3" t="s">
        <v>3191</v>
      </c>
      <c r="C3161" s="1" t="s">
        <v>18</v>
      </c>
      <c r="D3161" s="1" t="s">
        <v>19</v>
      </c>
      <c r="E3161" s="1" t="s">
        <v>3186</v>
      </c>
      <c r="F3161">
        <v>3820</v>
      </c>
      <c r="G3161">
        <v>258</v>
      </c>
      <c r="H3161" s="11">
        <f t="shared" si="103"/>
        <v>2</v>
      </c>
      <c r="I3161">
        <v>292</v>
      </c>
      <c r="J3161" s="11">
        <f t="shared" si="104"/>
        <v>1.2</v>
      </c>
      <c r="K3161">
        <v>122.6</v>
      </c>
      <c r="L3161">
        <v>129</v>
      </c>
      <c r="M3161">
        <v>42.3</v>
      </c>
      <c r="N3161">
        <v>19.100000000000001</v>
      </c>
      <c r="O3161">
        <v>15.2</v>
      </c>
      <c r="P3161">
        <v>0.74</v>
      </c>
    </row>
    <row r="3162" spans="1:16">
      <c r="A3162" s="1" t="s">
        <v>3181</v>
      </c>
      <c r="B3162" s="3" t="s">
        <v>3192</v>
      </c>
      <c r="C3162" s="1" t="s">
        <v>18</v>
      </c>
      <c r="D3162" s="1" t="s">
        <v>19</v>
      </c>
      <c r="E3162" s="1" t="s">
        <v>3186</v>
      </c>
      <c r="F3162">
        <v>1075</v>
      </c>
      <c r="G3162">
        <v>192</v>
      </c>
      <c r="H3162" s="11">
        <f t="shared" si="103"/>
        <v>2</v>
      </c>
      <c r="I3162">
        <v>274</v>
      </c>
      <c r="J3162" s="11">
        <f t="shared" si="104"/>
        <v>1.2</v>
      </c>
      <c r="K3162">
        <v>51.6</v>
      </c>
      <c r="L3162">
        <v>22.5</v>
      </c>
      <c r="M3162">
        <v>42.8</v>
      </c>
      <c r="N3162">
        <f>3/2</f>
        <v>1.5</v>
      </c>
      <c r="O3162">
        <v>13.8</v>
      </c>
      <c r="P3162" s="11">
        <f t="shared" ref="P3162:P3168" si="106">0.4/2</f>
        <v>0.2</v>
      </c>
    </row>
    <row r="3163" spans="1:16">
      <c r="A3163" s="1" t="s">
        <v>3181</v>
      </c>
      <c r="B3163" s="3" t="s">
        <v>3193</v>
      </c>
      <c r="C3163" s="1" t="s">
        <v>18</v>
      </c>
      <c r="D3163" s="1" t="s">
        <v>19</v>
      </c>
      <c r="E3163" s="1" t="s">
        <v>3186</v>
      </c>
      <c r="F3163">
        <v>38.4</v>
      </c>
      <c r="G3163">
        <v>171.9</v>
      </c>
      <c r="H3163">
        <v>5.3</v>
      </c>
      <c r="I3163">
        <v>284</v>
      </c>
      <c r="J3163" s="11">
        <f t="shared" si="104"/>
        <v>1.2</v>
      </c>
      <c r="K3163">
        <v>54.2</v>
      </c>
      <c r="L3163">
        <v>21.1</v>
      </c>
      <c r="M3163">
        <v>43.6</v>
      </c>
      <c r="N3163" s="11">
        <f t="shared" ref="N3163:N3164" si="107">3/2</f>
        <v>1.5</v>
      </c>
      <c r="O3163">
        <v>12.3</v>
      </c>
      <c r="P3163" s="11">
        <f t="shared" si="106"/>
        <v>0.2</v>
      </c>
    </row>
    <row r="3164" spans="1:16">
      <c r="A3164" s="1" t="s">
        <v>3181</v>
      </c>
      <c r="B3164" s="3" t="s">
        <v>3194</v>
      </c>
      <c r="C3164" s="1" t="s">
        <v>18</v>
      </c>
      <c r="D3164" s="1" t="s">
        <v>19</v>
      </c>
      <c r="E3164" s="1" t="s">
        <v>3186</v>
      </c>
      <c r="F3164">
        <v>44.1</v>
      </c>
      <c r="G3164">
        <v>165</v>
      </c>
      <c r="H3164" s="11">
        <f t="shared" ref="H3164:H3167" si="108">4/2</f>
        <v>2</v>
      </c>
      <c r="I3164">
        <v>281</v>
      </c>
      <c r="J3164" s="11">
        <f t="shared" si="104"/>
        <v>1.2</v>
      </c>
      <c r="K3164">
        <v>48.8</v>
      </c>
      <c r="L3164">
        <v>21.2</v>
      </c>
      <c r="M3164">
        <v>44.6</v>
      </c>
      <c r="N3164" s="11">
        <f t="shared" si="107"/>
        <v>1.5</v>
      </c>
      <c r="O3164">
        <v>11.2</v>
      </c>
      <c r="P3164" s="11">
        <f t="shared" si="106"/>
        <v>0.2</v>
      </c>
    </row>
    <row r="3165" spans="1:16">
      <c r="A3165" s="1" t="s">
        <v>3181</v>
      </c>
      <c r="B3165" s="3" t="s">
        <v>3195</v>
      </c>
      <c r="C3165" s="1" t="s">
        <v>18</v>
      </c>
      <c r="D3165" s="1" t="s">
        <v>19</v>
      </c>
      <c r="E3165" s="1" t="s">
        <v>3186</v>
      </c>
      <c r="F3165">
        <v>237</v>
      </c>
      <c r="G3165">
        <v>205</v>
      </c>
      <c r="H3165" s="11">
        <f t="shared" si="108"/>
        <v>2</v>
      </c>
      <c r="I3165">
        <v>230.3</v>
      </c>
      <c r="J3165" s="11">
        <f t="shared" si="104"/>
        <v>1.2</v>
      </c>
      <c r="K3165">
        <v>98.1</v>
      </c>
      <c r="L3165">
        <v>31.7</v>
      </c>
      <c r="M3165">
        <v>43.7</v>
      </c>
      <c r="N3165">
        <v>5.9</v>
      </c>
      <c r="O3165">
        <v>14.55</v>
      </c>
      <c r="P3165" s="11">
        <f t="shared" si="106"/>
        <v>0.2</v>
      </c>
    </row>
    <row r="3166" spans="1:16">
      <c r="A3166" s="1" t="s">
        <v>3181</v>
      </c>
      <c r="B3166" s="3" t="s">
        <v>3196</v>
      </c>
      <c r="C3166" s="1" t="s">
        <v>18</v>
      </c>
      <c r="D3166" s="1" t="s">
        <v>19</v>
      </c>
      <c r="E3166" s="1" t="s">
        <v>3186</v>
      </c>
      <c r="F3166">
        <v>2740</v>
      </c>
      <c r="G3166">
        <v>210</v>
      </c>
      <c r="H3166" s="11">
        <f t="shared" si="108"/>
        <v>2</v>
      </c>
      <c r="I3166">
        <v>215</v>
      </c>
      <c r="J3166" s="11">
        <f t="shared" si="104"/>
        <v>1.2</v>
      </c>
      <c r="K3166">
        <v>79.3</v>
      </c>
      <c r="L3166">
        <v>28.7</v>
      </c>
      <c r="M3166">
        <v>41.1</v>
      </c>
      <c r="N3166">
        <v>6.4</v>
      </c>
      <c r="O3166">
        <v>12.2</v>
      </c>
      <c r="P3166" s="11">
        <f t="shared" si="106"/>
        <v>0.2</v>
      </c>
    </row>
    <row r="3167" spans="1:16">
      <c r="A3167" s="1" t="s">
        <v>3181</v>
      </c>
      <c r="B3167" s="3" t="s">
        <v>3197</v>
      </c>
      <c r="C3167" s="1" t="s">
        <v>18</v>
      </c>
      <c r="D3167" s="1" t="s">
        <v>19</v>
      </c>
      <c r="E3167" s="1" t="s">
        <v>3186</v>
      </c>
      <c r="F3167">
        <v>890</v>
      </c>
      <c r="G3167">
        <v>243</v>
      </c>
      <c r="H3167" s="11">
        <f t="shared" si="108"/>
        <v>2</v>
      </c>
      <c r="I3167">
        <v>218</v>
      </c>
      <c r="J3167" s="11">
        <f t="shared" si="104"/>
        <v>1.2</v>
      </c>
      <c r="K3167">
        <v>48</v>
      </c>
      <c r="L3167">
        <v>25.9</v>
      </c>
      <c r="M3167">
        <v>52.9</v>
      </c>
      <c r="N3167" s="11">
        <f>3/2</f>
        <v>1.5</v>
      </c>
      <c r="O3167">
        <v>12.1</v>
      </c>
      <c r="P3167" s="11">
        <f t="shared" si="106"/>
        <v>0.2</v>
      </c>
    </row>
    <row r="3168" spans="1:16">
      <c r="A3168" s="1" t="s">
        <v>3181</v>
      </c>
      <c r="B3168" s="3" t="s">
        <v>3198</v>
      </c>
      <c r="C3168" s="1" t="s">
        <v>18</v>
      </c>
      <c r="D3168" s="1" t="s">
        <v>19</v>
      </c>
      <c r="E3168" s="1" t="s">
        <v>3186</v>
      </c>
      <c r="F3168">
        <v>3070</v>
      </c>
      <c r="G3168">
        <v>246</v>
      </c>
      <c r="H3168">
        <v>8.6999999999999993</v>
      </c>
      <c r="I3168">
        <v>229</v>
      </c>
      <c r="J3168" s="11">
        <f t="shared" si="104"/>
        <v>1.2</v>
      </c>
      <c r="K3168">
        <v>80.2</v>
      </c>
      <c r="L3168">
        <v>30.1</v>
      </c>
      <c r="M3168">
        <v>38.799999999999997</v>
      </c>
      <c r="N3168">
        <v>9.1</v>
      </c>
      <c r="O3168">
        <v>13.7</v>
      </c>
      <c r="P3168" s="11">
        <f t="shared" si="106"/>
        <v>0.2</v>
      </c>
    </row>
    <row r="3169" spans="1:16">
      <c r="A3169" s="1" t="s">
        <v>3181</v>
      </c>
      <c r="B3169" s="3" t="s">
        <v>3199</v>
      </c>
      <c r="C3169" s="1" t="s">
        <v>18</v>
      </c>
      <c r="D3169" s="1" t="s">
        <v>19</v>
      </c>
      <c r="E3169" s="1" t="s">
        <v>3186</v>
      </c>
      <c r="F3169">
        <v>2760</v>
      </c>
      <c r="G3169">
        <v>240</v>
      </c>
      <c r="H3169" s="11">
        <f t="shared" ref="H3169:H3170" si="109">4/2</f>
        <v>2</v>
      </c>
      <c r="I3169">
        <v>246</v>
      </c>
      <c r="J3169" s="11">
        <f t="shared" si="104"/>
        <v>1.2</v>
      </c>
      <c r="K3169">
        <v>129</v>
      </c>
      <c r="L3169">
        <v>36</v>
      </c>
      <c r="M3169">
        <v>41.8</v>
      </c>
      <c r="N3169">
        <v>10.6</v>
      </c>
      <c r="O3169">
        <v>16.100000000000001</v>
      </c>
      <c r="P3169">
        <v>1.1100000000000001</v>
      </c>
    </row>
    <row r="3170" spans="1:16">
      <c r="A3170" s="1" t="s">
        <v>3181</v>
      </c>
      <c r="B3170" s="3" t="s">
        <v>3200</v>
      </c>
      <c r="C3170" s="1" t="s">
        <v>18</v>
      </c>
      <c r="D3170" s="1" t="s">
        <v>19</v>
      </c>
      <c r="E3170" s="1" t="s">
        <v>3186</v>
      </c>
      <c r="F3170">
        <v>2440</v>
      </c>
      <c r="G3170">
        <v>224</v>
      </c>
      <c r="H3170" s="11">
        <f t="shared" si="109"/>
        <v>2</v>
      </c>
      <c r="I3170">
        <v>220.4</v>
      </c>
      <c r="J3170" s="11">
        <f t="shared" si="104"/>
        <v>1.2</v>
      </c>
      <c r="K3170">
        <v>86.1</v>
      </c>
      <c r="L3170">
        <v>29.6</v>
      </c>
      <c r="M3170">
        <v>39.299999999999997</v>
      </c>
      <c r="N3170" s="11">
        <f>3/2</f>
        <v>1.5</v>
      </c>
      <c r="O3170">
        <v>13.57</v>
      </c>
      <c r="P3170">
        <v>0.85</v>
      </c>
    </row>
    <row r="3171" spans="1:16">
      <c r="A3171" s="1" t="s">
        <v>3181</v>
      </c>
      <c r="B3171" s="3" t="s">
        <v>3201</v>
      </c>
      <c r="C3171" s="1" t="s">
        <v>18</v>
      </c>
      <c r="D3171" s="1" t="s">
        <v>19</v>
      </c>
      <c r="E3171" s="1" t="s">
        <v>3186</v>
      </c>
      <c r="F3171">
        <v>116</v>
      </c>
      <c r="G3171">
        <v>134</v>
      </c>
      <c r="H3171">
        <v>8.5</v>
      </c>
      <c r="I3171">
        <v>311</v>
      </c>
      <c r="J3171" s="11">
        <f t="shared" si="104"/>
        <v>1.2</v>
      </c>
      <c r="K3171">
        <v>124</v>
      </c>
      <c r="L3171">
        <v>19.100000000000001</v>
      </c>
      <c r="M3171">
        <v>58.2</v>
      </c>
      <c r="N3171">
        <v>8</v>
      </c>
      <c r="O3171">
        <v>13.4</v>
      </c>
      <c r="P3171" s="11">
        <f t="shared" ref="P3171:P3175" si="110">0.4/2</f>
        <v>0.2</v>
      </c>
    </row>
    <row r="3172" spans="1:16">
      <c r="A3172" s="1" t="s">
        <v>3181</v>
      </c>
      <c r="B3172" s="3" t="s">
        <v>3202</v>
      </c>
      <c r="C3172" s="1" t="s">
        <v>18</v>
      </c>
      <c r="D3172" s="1" t="s">
        <v>19</v>
      </c>
      <c r="E3172" s="1" t="s">
        <v>3186</v>
      </c>
      <c r="F3172">
        <v>4360</v>
      </c>
      <c r="G3172">
        <v>236</v>
      </c>
      <c r="H3172">
        <v>8.5</v>
      </c>
      <c r="I3172">
        <v>313</v>
      </c>
      <c r="J3172" s="11">
        <f t="shared" si="104"/>
        <v>1.2</v>
      </c>
      <c r="K3172">
        <v>139.80000000000001</v>
      </c>
      <c r="L3172">
        <v>24.2</v>
      </c>
      <c r="M3172">
        <v>38.4</v>
      </c>
      <c r="N3172">
        <v>8.8000000000000007</v>
      </c>
      <c r="O3172">
        <v>14.8</v>
      </c>
      <c r="P3172" s="11">
        <f t="shared" si="110"/>
        <v>0.2</v>
      </c>
    </row>
    <row r="3173" spans="1:16">
      <c r="A3173" s="1" t="s">
        <v>3181</v>
      </c>
      <c r="B3173" s="3" t="s">
        <v>3203</v>
      </c>
      <c r="C3173" s="1" t="s">
        <v>18</v>
      </c>
      <c r="D3173" s="1" t="s">
        <v>19</v>
      </c>
      <c r="E3173" s="1" t="s">
        <v>3186</v>
      </c>
      <c r="F3173">
        <v>800</v>
      </c>
      <c r="G3173">
        <v>126</v>
      </c>
      <c r="H3173" s="11">
        <f>4/2</f>
        <v>2</v>
      </c>
      <c r="I3173">
        <v>326</v>
      </c>
      <c r="J3173" s="11">
        <f t="shared" si="104"/>
        <v>1.2</v>
      </c>
      <c r="K3173">
        <v>94.1</v>
      </c>
      <c r="L3173">
        <v>17.399999999999999</v>
      </c>
      <c r="M3173">
        <v>37.700000000000003</v>
      </c>
      <c r="N3173">
        <v>7.5</v>
      </c>
      <c r="O3173">
        <v>12.3</v>
      </c>
      <c r="P3173" s="11">
        <f t="shared" si="110"/>
        <v>0.2</v>
      </c>
    </row>
    <row r="3174" spans="1:16">
      <c r="A3174" s="1" t="s">
        <v>3181</v>
      </c>
      <c r="B3174" s="3" t="s">
        <v>3204</v>
      </c>
      <c r="C3174" s="1" t="s">
        <v>18</v>
      </c>
      <c r="D3174" s="1" t="s">
        <v>19</v>
      </c>
      <c r="E3174" s="1" t="s">
        <v>3186</v>
      </c>
      <c r="F3174">
        <v>4270</v>
      </c>
      <c r="G3174">
        <v>319</v>
      </c>
      <c r="H3174">
        <v>5.7</v>
      </c>
      <c r="I3174">
        <v>312</v>
      </c>
      <c r="J3174" s="11">
        <f t="shared" si="104"/>
        <v>1.2</v>
      </c>
      <c r="K3174">
        <v>100.6</v>
      </c>
      <c r="L3174">
        <v>20.5</v>
      </c>
      <c r="M3174">
        <v>42.7</v>
      </c>
      <c r="N3174">
        <v>9.5</v>
      </c>
      <c r="O3174">
        <v>15.8</v>
      </c>
      <c r="P3174" s="11">
        <f t="shared" si="110"/>
        <v>0.2</v>
      </c>
    </row>
    <row r="3175" spans="1:16">
      <c r="A3175" s="1" t="s">
        <v>3181</v>
      </c>
      <c r="B3175" s="3" t="s">
        <v>3205</v>
      </c>
      <c r="C3175" s="1" t="s">
        <v>18</v>
      </c>
      <c r="D3175" s="1" t="s">
        <v>19</v>
      </c>
      <c r="E3175" s="1" t="s">
        <v>3186</v>
      </c>
      <c r="F3175">
        <v>539</v>
      </c>
      <c r="G3175">
        <v>120.2</v>
      </c>
      <c r="H3175">
        <v>5.2</v>
      </c>
      <c r="I3175">
        <v>324</v>
      </c>
      <c r="J3175" s="11">
        <f t="shared" si="104"/>
        <v>1.2</v>
      </c>
      <c r="K3175">
        <v>132.9</v>
      </c>
      <c r="L3175">
        <v>17.100000000000001</v>
      </c>
      <c r="M3175">
        <v>38.799999999999997</v>
      </c>
      <c r="N3175">
        <v>9.5</v>
      </c>
      <c r="O3175">
        <v>13.6</v>
      </c>
      <c r="P3175" s="11">
        <f t="shared" si="110"/>
        <v>0.2</v>
      </c>
    </row>
    <row r="3176" spans="1:16">
      <c r="A3176" s="1" t="s">
        <v>3181</v>
      </c>
      <c r="B3176" s="3" t="s">
        <v>3206</v>
      </c>
      <c r="C3176" s="1" t="s">
        <v>18</v>
      </c>
      <c r="D3176" s="1" t="s">
        <v>19</v>
      </c>
      <c r="E3176" s="1" t="s">
        <v>3186</v>
      </c>
      <c r="F3176">
        <v>1230</v>
      </c>
      <c r="G3176">
        <v>154</v>
      </c>
      <c r="H3176">
        <v>9.1999999999999993</v>
      </c>
      <c r="I3176">
        <v>307</v>
      </c>
      <c r="J3176" s="11">
        <f t="shared" si="104"/>
        <v>1.2</v>
      </c>
      <c r="K3176">
        <v>148</v>
      </c>
      <c r="L3176">
        <v>18.3</v>
      </c>
      <c r="M3176">
        <v>40.299999999999997</v>
      </c>
      <c r="N3176">
        <v>14.3</v>
      </c>
      <c r="O3176">
        <v>14.5</v>
      </c>
      <c r="P3176">
        <v>0.76</v>
      </c>
    </row>
    <row r="3177" spans="1:16">
      <c r="A3177" s="1" t="s">
        <v>3181</v>
      </c>
      <c r="B3177" s="3" t="s">
        <v>3207</v>
      </c>
      <c r="C3177" s="1" t="s">
        <v>18</v>
      </c>
      <c r="D3177" s="1" t="s">
        <v>19</v>
      </c>
      <c r="E3177" s="1" t="s">
        <v>3186</v>
      </c>
      <c r="F3177">
        <v>1380</v>
      </c>
      <c r="G3177">
        <v>338</v>
      </c>
      <c r="H3177">
        <v>5.0999999999999996</v>
      </c>
      <c r="I3177">
        <v>325</v>
      </c>
      <c r="J3177" s="11">
        <f t="shared" si="104"/>
        <v>1.2</v>
      </c>
      <c r="K3177">
        <v>89</v>
      </c>
      <c r="L3177">
        <v>19</v>
      </c>
      <c r="M3177">
        <v>38.4</v>
      </c>
      <c r="N3177">
        <v>7.5</v>
      </c>
      <c r="O3177">
        <v>13.9</v>
      </c>
      <c r="P3177">
        <v>0.65</v>
      </c>
    </row>
    <row r="3178" spans="1:16">
      <c r="A3178" s="1" t="s">
        <v>3181</v>
      </c>
      <c r="B3178" s="3" t="s">
        <v>3208</v>
      </c>
      <c r="C3178" s="1" t="s">
        <v>18</v>
      </c>
      <c r="D3178" s="1" t="s">
        <v>19</v>
      </c>
      <c r="E3178" s="1" t="s">
        <v>3186</v>
      </c>
      <c r="F3178">
        <v>159</v>
      </c>
      <c r="G3178">
        <v>214</v>
      </c>
      <c r="H3178">
        <v>13.1</v>
      </c>
      <c r="I3178">
        <v>336</v>
      </c>
      <c r="J3178" s="11">
        <f t="shared" si="104"/>
        <v>1.2</v>
      </c>
      <c r="K3178">
        <v>77.7</v>
      </c>
      <c r="L3178">
        <v>21.7</v>
      </c>
      <c r="M3178">
        <v>44.7</v>
      </c>
      <c r="N3178">
        <v>6.5</v>
      </c>
      <c r="O3178">
        <v>13.2</v>
      </c>
      <c r="P3178">
        <v>0.74</v>
      </c>
    </row>
    <row r="3179" spans="1:16">
      <c r="A3179" s="1" t="s">
        <v>3181</v>
      </c>
      <c r="B3179" s="3" t="s">
        <v>3209</v>
      </c>
      <c r="C3179" s="1" t="s">
        <v>18</v>
      </c>
      <c r="D3179" s="1" t="s">
        <v>19</v>
      </c>
      <c r="E3179" s="1" t="s">
        <v>3186</v>
      </c>
      <c r="F3179">
        <v>17.2</v>
      </c>
      <c r="G3179">
        <v>67.3</v>
      </c>
      <c r="H3179">
        <v>6.1</v>
      </c>
      <c r="I3179">
        <v>234</v>
      </c>
      <c r="J3179" s="11">
        <f t="shared" si="104"/>
        <v>1.2</v>
      </c>
      <c r="K3179">
        <v>48</v>
      </c>
      <c r="L3179">
        <v>11.58</v>
      </c>
      <c r="M3179">
        <v>382</v>
      </c>
      <c r="N3179" s="11">
        <f t="shared" ref="N3179:N3182" si="111">3/2</f>
        <v>1.5</v>
      </c>
      <c r="O3179">
        <v>13.4</v>
      </c>
      <c r="P3179" s="11">
        <f t="shared" ref="P3179:P3186" si="112">0.4/2</f>
        <v>0.2</v>
      </c>
    </row>
    <row r="3180" spans="1:16">
      <c r="A3180" s="1" t="s">
        <v>3181</v>
      </c>
      <c r="B3180" s="3" t="s">
        <v>3210</v>
      </c>
      <c r="C3180" s="1" t="s">
        <v>18</v>
      </c>
      <c r="D3180" s="1" t="s">
        <v>19</v>
      </c>
      <c r="E3180" s="1" t="s">
        <v>3186</v>
      </c>
      <c r="F3180">
        <v>143</v>
      </c>
      <c r="G3180">
        <v>104.6</v>
      </c>
      <c r="H3180">
        <v>6.2</v>
      </c>
      <c r="I3180">
        <v>247</v>
      </c>
      <c r="J3180" s="11">
        <f t="shared" si="104"/>
        <v>1.2</v>
      </c>
      <c r="K3180">
        <v>75.7</v>
      </c>
      <c r="L3180">
        <v>16.399999999999999</v>
      </c>
      <c r="M3180">
        <v>235</v>
      </c>
      <c r="N3180" s="11">
        <f t="shared" si="111"/>
        <v>1.5</v>
      </c>
      <c r="O3180">
        <v>14.1</v>
      </c>
      <c r="P3180" s="11">
        <f t="shared" si="112"/>
        <v>0.2</v>
      </c>
    </row>
    <row r="3181" spans="1:16">
      <c r="A3181" s="1" t="s">
        <v>3181</v>
      </c>
      <c r="B3181" s="3" t="s">
        <v>3211</v>
      </c>
      <c r="C3181" s="1" t="s">
        <v>18</v>
      </c>
      <c r="D3181" s="1" t="s">
        <v>19</v>
      </c>
      <c r="E3181" s="1" t="s">
        <v>3186</v>
      </c>
      <c r="F3181">
        <v>1070</v>
      </c>
      <c r="G3181">
        <v>205</v>
      </c>
      <c r="H3181">
        <v>8.3000000000000007</v>
      </c>
      <c r="I3181">
        <v>279</v>
      </c>
      <c r="J3181" s="11">
        <f t="shared" si="104"/>
        <v>1.2</v>
      </c>
      <c r="K3181">
        <v>94.8</v>
      </c>
      <c r="L3181">
        <v>21.8</v>
      </c>
      <c r="M3181">
        <v>74.7</v>
      </c>
      <c r="N3181" s="11">
        <f t="shared" si="111"/>
        <v>1.5</v>
      </c>
      <c r="O3181">
        <v>13.7</v>
      </c>
      <c r="P3181" s="11">
        <f t="shared" si="112"/>
        <v>0.2</v>
      </c>
    </row>
    <row r="3182" spans="1:16">
      <c r="A3182" s="1" t="s">
        <v>3181</v>
      </c>
      <c r="B3182" s="3" t="s">
        <v>3212</v>
      </c>
      <c r="C3182" s="1" t="s">
        <v>18</v>
      </c>
      <c r="D3182" s="1" t="s">
        <v>19</v>
      </c>
      <c r="E3182" s="1" t="s">
        <v>3186</v>
      </c>
      <c r="F3182">
        <v>450</v>
      </c>
      <c r="G3182">
        <v>215</v>
      </c>
      <c r="H3182">
        <v>7.9</v>
      </c>
      <c r="I3182">
        <v>283</v>
      </c>
      <c r="J3182" s="11">
        <f t="shared" si="104"/>
        <v>1.2</v>
      </c>
      <c r="K3182">
        <v>55.1</v>
      </c>
      <c r="L3182">
        <v>16.600000000000001</v>
      </c>
      <c r="M3182">
        <v>49.5</v>
      </c>
      <c r="N3182" s="11">
        <f t="shared" si="111"/>
        <v>1.5</v>
      </c>
      <c r="O3182">
        <v>13</v>
      </c>
      <c r="P3182" s="11">
        <f t="shared" si="112"/>
        <v>0.2</v>
      </c>
    </row>
    <row r="3183" spans="1:16">
      <c r="A3183" s="1" t="s">
        <v>3181</v>
      </c>
      <c r="B3183" s="3" t="s">
        <v>3213</v>
      </c>
      <c r="C3183" s="1" t="s">
        <v>18</v>
      </c>
      <c r="D3183" s="1" t="s">
        <v>19</v>
      </c>
      <c r="E3183" s="1" t="s">
        <v>3186</v>
      </c>
      <c r="F3183">
        <v>237</v>
      </c>
      <c r="G3183">
        <v>200</v>
      </c>
      <c r="H3183">
        <v>9.5</v>
      </c>
      <c r="I3183">
        <v>272</v>
      </c>
      <c r="J3183" s="11">
        <f t="shared" si="104"/>
        <v>1.2</v>
      </c>
      <c r="K3183">
        <v>128</v>
      </c>
      <c r="L3183">
        <v>20.6</v>
      </c>
      <c r="M3183">
        <v>36.5</v>
      </c>
      <c r="N3183">
        <v>5.5</v>
      </c>
      <c r="O3183">
        <v>13.18</v>
      </c>
      <c r="P3183" s="11">
        <f t="shared" si="112"/>
        <v>0.2</v>
      </c>
    </row>
    <row r="3184" spans="1:16">
      <c r="A3184" s="1" t="s">
        <v>3181</v>
      </c>
      <c r="B3184" s="3" t="s">
        <v>3214</v>
      </c>
      <c r="C3184" s="1" t="s">
        <v>18</v>
      </c>
      <c r="D3184" s="1" t="s">
        <v>19</v>
      </c>
      <c r="E3184" s="1" t="s">
        <v>3186</v>
      </c>
      <c r="F3184">
        <v>3190</v>
      </c>
      <c r="G3184">
        <v>232</v>
      </c>
      <c r="H3184">
        <v>6.4</v>
      </c>
      <c r="I3184">
        <v>284</v>
      </c>
      <c r="J3184" s="11">
        <f t="shared" si="104"/>
        <v>1.2</v>
      </c>
      <c r="K3184">
        <v>92.7</v>
      </c>
      <c r="L3184">
        <v>20.7</v>
      </c>
      <c r="M3184">
        <v>36.200000000000003</v>
      </c>
      <c r="N3184" s="11">
        <f>3/2</f>
        <v>1.5</v>
      </c>
      <c r="O3184">
        <v>14.5</v>
      </c>
      <c r="P3184" s="11">
        <f t="shared" si="112"/>
        <v>0.2</v>
      </c>
    </row>
    <row r="3185" spans="1:16">
      <c r="A3185" s="1" t="s">
        <v>3181</v>
      </c>
      <c r="B3185" s="3" t="s">
        <v>3215</v>
      </c>
      <c r="C3185" s="1" t="s">
        <v>18</v>
      </c>
      <c r="D3185" s="1" t="s">
        <v>19</v>
      </c>
      <c r="E3185" s="1" t="s">
        <v>3186</v>
      </c>
      <c r="F3185">
        <v>314</v>
      </c>
      <c r="G3185">
        <v>209</v>
      </c>
      <c r="H3185">
        <v>9.3000000000000007</v>
      </c>
      <c r="I3185">
        <v>272</v>
      </c>
      <c r="J3185" s="11">
        <f t="shared" si="104"/>
        <v>1.2</v>
      </c>
      <c r="K3185">
        <v>94</v>
      </c>
      <c r="L3185">
        <v>18.8</v>
      </c>
      <c r="M3185">
        <v>43</v>
      </c>
      <c r="N3185">
        <v>7.2</v>
      </c>
      <c r="O3185">
        <v>12.8</v>
      </c>
      <c r="P3185" s="11">
        <f t="shared" si="112"/>
        <v>0.2</v>
      </c>
    </row>
    <row r="3186" spans="1:16">
      <c r="A3186" s="1" t="s">
        <v>3181</v>
      </c>
      <c r="B3186" s="3" t="s">
        <v>3216</v>
      </c>
      <c r="C3186" s="1" t="s">
        <v>18</v>
      </c>
      <c r="D3186" s="1" t="s">
        <v>19</v>
      </c>
      <c r="E3186" s="1" t="s">
        <v>3186</v>
      </c>
      <c r="F3186">
        <v>238</v>
      </c>
      <c r="G3186">
        <v>174</v>
      </c>
      <c r="H3186" s="11">
        <f t="shared" ref="H3186:H3187" si="113">4/2</f>
        <v>2</v>
      </c>
      <c r="I3186">
        <v>247.5</v>
      </c>
      <c r="J3186" s="11">
        <f t="shared" si="104"/>
        <v>1.2</v>
      </c>
      <c r="K3186">
        <v>97</v>
      </c>
      <c r="L3186">
        <v>19.600000000000001</v>
      </c>
      <c r="M3186">
        <v>104.4</v>
      </c>
      <c r="N3186">
        <v>7.2</v>
      </c>
      <c r="O3186">
        <v>13.7</v>
      </c>
      <c r="P3186" s="11">
        <f t="shared" si="112"/>
        <v>0.2</v>
      </c>
    </row>
    <row r="3187" spans="1:16">
      <c r="A3187" s="1" t="s">
        <v>3181</v>
      </c>
      <c r="B3187" s="3" t="s">
        <v>3217</v>
      </c>
      <c r="C3187" s="1" t="s">
        <v>18</v>
      </c>
      <c r="D3187" s="1" t="s">
        <v>19</v>
      </c>
      <c r="E3187" s="1" t="s">
        <v>3186</v>
      </c>
      <c r="F3187">
        <v>661</v>
      </c>
      <c r="G3187">
        <v>116</v>
      </c>
      <c r="H3187" s="11">
        <f t="shared" si="113"/>
        <v>2</v>
      </c>
      <c r="I3187">
        <v>231</v>
      </c>
      <c r="J3187" s="11">
        <f t="shared" si="104"/>
        <v>1.2</v>
      </c>
      <c r="K3187">
        <v>96.5</v>
      </c>
      <c r="L3187">
        <v>14.6</v>
      </c>
      <c r="M3187">
        <v>354</v>
      </c>
      <c r="N3187">
        <v>5.8</v>
      </c>
      <c r="O3187">
        <v>14.5</v>
      </c>
      <c r="P3187">
        <v>0.89</v>
      </c>
    </row>
    <row r="3188" spans="1:16">
      <c r="A3188" s="1" t="s">
        <v>3181</v>
      </c>
      <c r="B3188" s="3" t="s">
        <v>3218</v>
      </c>
      <c r="C3188" s="1" t="s">
        <v>18</v>
      </c>
      <c r="D3188" s="1" t="s">
        <v>19</v>
      </c>
      <c r="E3188" s="1" t="s">
        <v>3186</v>
      </c>
      <c r="F3188">
        <v>32.299999999999997</v>
      </c>
      <c r="G3188">
        <v>68</v>
      </c>
      <c r="H3188">
        <v>6.3</v>
      </c>
      <c r="I3188">
        <v>205.5</v>
      </c>
      <c r="J3188" s="11">
        <f t="shared" si="104"/>
        <v>1.2</v>
      </c>
      <c r="K3188">
        <v>72</v>
      </c>
      <c r="L3188">
        <v>11.5</v>
      </c>
      <c r="M3188">
        <v>288</v>
      </c>
      <c r="N3188">
        <v>5.4</v>
      </c>
      <c r="O3188">
        <v>14.11</v>
      </c>
      <c r="P3188" s="11">
        <f t="shared" ref="P3188:P3198" si="114">0.4/2</f>
        <v>0.2</v>
      </c>
    </row>
    <row r="3189" spans="1:16">
      <c r="A3189" s="1" t="s">
        <v>3181</v>
      </c>
      <c r="B3189" s="3" t="s">
        <v>3219</v>
      </c>
      <c r="C3189" s="1" t="s">
        <v>18</v>
      </c>
      <c r="D3189" s="1" t="s">
        <v>19</v>
      </c>
      <c r="E3189" s="1" t="s">
        <v>3186</v>
      </c>
      <c r="F3189">
        <v>181</v>
      </c>
      <c r="G3189">
        <v>78.5</v>
      </c>
      <c r="H3189">
        <v>8.3000000000000007</v>
      </c>
      <c r="I3189">
        <v>178</v>
      </c>
      <c r="J3189" s="11">
        <f t="shared" si="104"/>
        <v>1.2</v>
      </c>
      <c r="K3189">
        <v>143.19999999999999</v>
      </c>
      <c r="L3189">
        <v>13.4</v>
      </c>
      <c r="M3189">
        <v>428</v>
      </c>
      <c r="N3189">
        <v>8.9</v>
      </c>
      <c r="O3189">
        <v>13.9</v>
      </c>
      <c r="P3189" s="11">
        <f t="shared" si="114"/>
        <v>0.2</v>
      </c>
    </row>
    <row r="3190" spans="1:16">
      <c r="A3190" s="1" t="s">
        <v>3181</v>
      </c>
      <c r="B3190" s="3" t="s">
        <v>3220</v>
      </c>
      <c r="C3190" s="1" t="s">
        <v>18</v>
      </c>
      <c r="D3190" s="1" t="s">
        <v>19</v>
      </c>
      <c r="E3190" s="1" t="s">
        <v>3186</v>
      </c>
      <c r="F3190">
        <v>1020</v>
      </c>
      <c r="G3190">
        <v>90.7</v>
      </c>
      <c r="H3190" s="11">
        <f>4/2</f>
        <v>2</v>
      </c>
      <c r="I3190">
        <v>204</v>
      </c>
      <c r="J3190" s="11">
        <f t="shared" si="104"/>
        <v>1.2</v>
      </c>
      <c r="K3190">
        <v>87</v>
      </c>
      <c r="L3190">
        <v>15</v>
      </c>
      <c r="M3190">
        <v>416</v>
      </c>
      <c r="N3190">
        <v>8.1</v>
      </c>
      <c r="O3190">
        <v>14.99</v>
      </c>
      <c r="P3190" s="11">
        <f t="shared" si="114"/>
        <v>0.2</v>
      </c>
    </row>
    <row r="3191" spans="1:16">
      <c r="A3191" s="1" t="s">
        <v>3181</v>
      </c>
      <c r="B3191" s="3" t="s">
        <v>3221</v>
      </c>
      <c r="C3191" s="1" t="s">
        <v>18</v>
      </c>
      <c r="D3191" s="1" t="s">
        <v>19</v>
      </c>
      <c r="E3191" s="1" t="s">
        <v>3186</v>
      </c>
      <c r="F3191">
        <v>29.9</v>
      </c>
      <c r="G3191">
        <v>133.1</v>
      </c>
      <c r="H3191">
        <v>6.2</v>
      </c>
      <c r="I3191">
        <v>235.9</v>
      </c>
      <c r="J3191" s="11">
        <f t="shared" si="104"/>
        <v>1.2</v>
      </c>
      <c r="K3191">
        <v>52</v>
      </c>
      <c r="L3191">
        <v>16.8</v>
      </c>
      <c r="M3191">
        <v>176.4</v>
      </c>
      <c r="N3191" s="11">
        <f t="shared" ref="N3191:N3194" si="115">3/2</f>
        <v>1.5</v>
      </c>
      <c r="O3191">
        <v>13.62</v>
      </c>
      <c r="P3191" s="11">
        <f t="shared" si="114"/>
        <v>0.2</v>
      </c>
    </row>
    <row r="3192" spans="1:16">
      <c r="A3192" s="1" t="s">
        <v>3181</v>
      </c>
      <c r="B3192" s="3" t="s">
        <v>3222</v>
      </c>
      <c r="C3192" s="1" t="s">
        <v>18</v>
      </c>
      <c r="D3192" s="1" t="s">
        <v>19</v>
      </c>
      <c r="E3192" s="1" t="s">
        <v>3186</v>
      </c>
      <c r="F3192">
        <v>615</v>
      </c>
      <c r="G3192">
        <v>249</v>
      </c>
      <c r="H3192">
        <v>5.2</v>
      </c>
      <c r="I3192">
        <v>246</v>
      </c>
      <c r="J3192" s="11">
        <f t="shared" si="104"/>
        <v>1.2</v>
      </c>
      <c r="K3192">
        <v>60.3</v>
      </c>
      <c r="L3192">
        <v>15.3</v>
      </c>
      <c r="M3192">
        <v>112</v>
      </c>
      <c r="N3192" s="11">
        <f t="shared" si="115"/>
        <v>1.5</v>
      </c>
      <c r="O3192">
        <v>13.8</v>
      </c>
      <c r="P3192" s="11">
        <f t="shared" si="114"/>
        <v>0.2</v>
      </c>
    </row>
    <row r="3193" spans="1:16">
      <c r="A3193" s="1" t="s">
        <v>3181</v>
      </c>
      <c r="B3193" s="3" t="s">
        <v>3223</v>
      </c>
      <c r="C3193" s="1" t="s">
        <v>18</v>
      </c>
      <c r="D3193" s="1" t="s">
        <v>19</v>
      </c>
      <c r="E3193" s="1" t="s">
        <v>3186</v>
      </c>
      <c r="F3193">
        <v>293</v>
      </c>
      <c r="G3193">
        <v>130</v>
      </c>
      <c r="H3193" s="11">
        <f>4/2</f>
        <v>2</v>
      </c>
      <c r="I3193">
        <v>246</v>
      </c>
      <c r="J3193">
        <v>4</v>
      </c>
      <c r="K3193">
        <v>51.8</v>
      </c>
      <c r="L3193">
        <v>15</v>
      </c>
      <c r="M3193">
        <v>217</v>
      </c>
      <c r="N3193" s="11">
        <f t="shared" si="115"/>
        <v>1.5</v>
      </c>
      <c r="O3193">
        <v>12.98</v>
      </c>
      <c r="P3193" s="11">
        <f t="shared" si="114"/>
        <v>0.2</v>
      </c>
    </row>
    <row r="3194" spans="1:16">
      <c r="A3194" s="1" t="s">
        <v>3181</v>
      </c>
      <c r="B3194" s="3" t="s">
        <v>3224</v>
      </c>
      <c r="C3194" s="1" t="s">
        <v>18</v>
      </c>
      <c r="D3194" s="1" t="s">
        <v>19</v>
      </c>
      <c r="E3194" s="1" t="s">
        <v>3186</v>
      </c>
      <c r="F3194">
        <v>284</v>
      </c>
      <c r="G3194">
        <v>214.8</v>
      </c>
      <c r="H3194">
        <v>4.0999999999999996</v>
      </c>
      <c r="I3194">
        <v>231.5</v>
      </c>
      <c r="J3194" s="11">
        <f t="shared" ref="J3194:J3255" si="116">2.4/2</f>
        <v>1.2</v>
      </c>
      <c r="K3194">
        <v>54.7</v>
      </c>
      <c r="L3194">
        <v>21.1</v>
      </c>
      <c r="M3194">
        <v>40.4</v>
      </c>
      <c r="N3194" s="11">
        <f t="shared" si="115"/>
        <v>1.5</v>
      </c>
      <c r="O3194">
        <v>13.02</v>
      </c>
      <c r="P3194" s="11">
        <f t="shared" si="114"/>
        <v>0.2</v>
      </c>
    </row>
    <row r="3195" spans="1:16">
      <c r="A3195" s="1" t="s">
        <v>3181</v>
      </c>
      <c r="B3195" s="3" t="s">
        <v>3225</v>
      </c>
      <c r="C3195" s="1" t="s">
        <v>18</v>
      </c>
      <c r="D3195" s="1" t="s">
        <v>19</v>
      </c>
      <c r="E3195" s="1" t="s">
        <v>3186</v>
      </c>
      <c r="F3195">
        <v>134</v>
      </c>
      <c r="G3195">
        <v>164</v>
      </c>
      <c r="H3195" s="11">
        <f t="shared" ref="H3195:H3196" si="117">4/2</f>
        <v>2</v>
      </c>
      <c r="I3195">
        <v>251</v>
      </c>
      <c r="J3195" s="11">
        <f t="shared" si="116"/>
        <v>1.2</v>
      </c>
      <c r="K3195">
        <v>69.599999999999994</v>
      </c>
      <c r="L3195">
        <v>17.5</v>
      </c>
      <c r="M3195">
        <v>139.19999999999999</v>
      </c>
      <c r="N3195">
        <v>5.6</v>
      </c>
      <c r="O3195">
        <v>12.8</v>
      </c>
      <c r="P3195" s="11">
        <f t="shared" si="114"/>
        <v>0.2</v>
      </c>
    </row>
    <row r="3196" spans="1:16">
      <c r="A3196" s="1" t="s">
        <v>3181</v>
      </c>
      <c r="B3196" s="3" t="s">
        <v>3226</v>
      </c>
      <c r="C3196" s="1" t="s">
        <v>18</v>
      </c>
      <c r="D3196" s="1" t="s">
        <v>19</v>
      </c>
      <c r="E3196" s="1" t="s">
        <v>3186</v>
      </c>
      <c r="F3196">
        <v>109.7</v>
      </c>
      <c r="G3196">
        <v>174.9</v>
      </c>
      <c r="H3196" s="11">
        <f t="shared" si="117"/>
        <v>2</v>
      </c>
      <c r="I3196">
        <v>136.80000000000001</v>
      </c>
      <c r="J3196" s="11">
        <f t="shared" si="116"/>
        <v>1.2</v>
      </c>
      <c r="K3196">
        <v>60.9</v>
      </c>
      <c r="L3196">
        <v>19.399999999999999</v>
      </c>
      <c r="M3196">
        <v>151.5</v>
      </c>
      <c r="N3196" s="11">
        <f t="shared" ref="N3196:N3201" si="118">3/2</f>
        <v>1.5</v>
      </c>
      <c r="O3196">
        <v>14.27</v>
      </c>
      <c r="P3196" s="11">
        <f t="shared" si="114"/>
        <v>0.2</v>
      </c>
    </row>
    <row r="3197" spans="1:16">
      <c r="A3197" s="1" t="s">
        <v>3181</v>
      </c>
      <c r="B3197" s="3" t="s">
        <v>3227</v>
      </c>
      <c r="C3197" s="1" t="s">
        <v>18</v>
      </c>
      <c r="D3197" s="1" t="s">
        <v>19</v>
      </c>
      <c r="E3197" s="1" t="s">
        <v>3186</v>
      </c>
      <c r="F3197">
        <v>2060</v>
      </c>
      <c r="G3197">
        <v>235</v>
      </c>
      <c r="H3197">
        <v>9.6999999999999993</v>
      </c>
      <c r="I3197">
        <v>198</v>
      </c>
      <c r="J3197" s="11">
        <f t="shared" si="116"/>
        <v>1.2</v>
      </c>
      <c r="K3197">
        <v>129</v>
      </c>
      <c r="L3197">
        <v>21.3</v>
      </c>
      <c r="M3197">
        <v>49.3</v>
      </c>
      <c r="N3197" s="11">
        <f t="shared" si="118"/>
        <v>1.5</v>
      </c>
      <c r="O3197">
        <v>15</v>
      </c>
      <c r="P3197" s="11">
        <f t="shared" si="114"/>
        <v>0.2</v>
      </c>
    </row>
    <row r="3198" spans="1:16">
      <c r="A3198" s="1" t="s">
        <v>3181</v>
      </c>
      <c r="B3198" s="3" t="s">
        <v>3228</v>
      </c>
      <c r="C3198" s="1" t="s">
        <v>18</v>
      </c>
      <c r="D3198" s="1" t="s">
        <v>19</v>
      </c>
      <c r="E3198" s="1" t="s">
        <v>3186</v>
      </c>
      <c r="F3198">
        <v>76.099999999999994</v>
      </c>
      <c r="G3198">
        <v>194.3</v>
      </c>
      <c r="H3198">
        <v>4.5999999999999996</v>
      </c>
      <c r="I3198">
        <v>162.1</v>
      </c>
      <c r="J3198" s="11">
        <f t="shared" si="116"/>
        <v>1.2</v>
      </c>
      <c r="K3198">
        <v>58.6</v>
      </c>
      <c r="L3198">
        <v>18.899999999999999</v>
      </c>
      <c r="M3198">
        <v>178.3</v>
      </c>
      <c r="N3198" s="11">
        <f t="shared" si="118"/>
        <v>1.5</v>
      </c>
      <c r="O3198">
        <v>15.54</v>
      </c>
      <c r="P3198" s="11">
        <f t="shared" si="114"/>
        <v>0.2</v>
      </c>
    </row>
    <row r="3199" spans="1:16">
      <c r="A3199" s="1" t="s">
        <v>3181</v>
      </c>
      <c r="B3199" s="3" t="s">
        <v>3229</v>
      </c>
      <c r="C3199" s="1" t="s">
        <v>18</v>
      </c>
      <c r="D3199" s="1" t="s">
        <v>19</v>
      </c>
      <c r="E3199" s="1" t="s">
        <v>3186</v>
      </c>
      <c r="F3199">
        <v>57.4</v>
      </c>
      <c r="G3199">
        <v>363</v>
      </c>
      <c r="H3199">
        <v>247</v>
      </c>
      <c r="I3199">
        <v>562</v>
      </c>
      <c r="J3199" s="11">
        <f t="shared" si="116"/>
        <v>1.2</v>
      </c>
      <c r="K3199">
        <v>107</v>
      </c>
      <c r="L3199">
        <v>22.2</v>
      </c>
      <c r="M3199">
        <v>155.6</v>
      </c>
      <c r="N3199" s="11">
        <f t="shared" si="118"/>
        <v>1.5</v>
      </c>
      <c r="O3199">
        <v>23.7</v>
      </c>
      <c r="P3199">
        <v>0.61</v>
      </c>
    </row>
    <row r="3200" spans="1:16">
      <c r="A3200" s="1" t="s">
        <v>3181</v>
      </c>
      <c r="B3200" s="3" t="s">
        <v>3230</v>
      </c>
      <c r="C3200" s="1" t="s">
        <v>18</v>
      </c>
      <c r="D3200" s="1" t="s">
        <v>19</v>
      </c>
      <c r="E3200" s="1" t="s">
        <v>3186</v>
      </c>
      <c r="F3200">
        <v>170.5</v>
      </c>
      <c r="G3200">
        <v>812</v>
      </c>
      <c r="H3200">
        <v>587</v>
      </c>
      <c r="I3200">
        <v>917</v>
      </c>
      <c r="J3200" s="11">
        <f t="shared" si="116"/>
        <v>1.2</v>
      </c>
      <c r="K3200">
        <v>125.4</v>
      </c>
      <c r="L3200">
        <v>21.2</v>
      </c>
      <c r="M3200">
        <v>95.8</v>
      </c>
      <c r="N3200" s="11">
        <f t="shared" si="118"/>
        <v>1.5</v>
      </c>
      <c r="O3200">
        <v>27.7</v>
      </c>
      <c r="P3200" s="11">
        <f>0.4/2</f>
        <v>0.2</v>
      </c>
    </row>
    <row r="3201" spans="1:16">
      <c r="A3201" s="1" t="s">
        <v>3181</v>
      </c>
      <c r="B3201" s="3" t="s">
        <v>3231</v>
      </c>
      <c r="C3201" s="1" t="s">
        <v>18</v>
      </c>
      <c r="D3201" s="1" t="s">
        <v>19</v>
      </c>
      <c r="E3201" s="1" t="s">
        <v>3186</v>
      </c>
      <c r="F3201">
        <v>166.3</v>
      </c>
      <c r="G3201">
        <v>856</v>
      </c>
      <c r="H3201">
        <v>596</v>
      </c>
      <c r="I3201">
        <v>923</v>
      </c>
      <c r="J3201" s="11">
        <f t="shared" si="116"/>
        <v>1.2</v>
      </c>
      <c r="K3201">
        <v>127</v>
      </c>
      <c r="L3201">
        <v>23.4</v>
      </c>
      <c r="M3201">
        <v>74.2</v>
      </c>
      <c r="N3201" s="11">
        <f t="shared" si="118"/>
        <v>1.5</v>
      </c>
      <c r="O3201">
        <v>27.9</v>
      </c>
      <c r="P3201">
        <v>0.64</v>
      </c>
    </row>
    <row r="3202" spans="1:16">
      <c r="A3202" s="1" t="s">
        <v>3181</v>
      </c>
      <c r="B3202" s="3" t="s">
        <v>3232</v>
      </c>
      <c r="C3202" s="1" t="s">
        <v>18</v>
      </c>
      <c r="D3202" s="1" t="s">
        <v>19</v>
      </c>
      <c r="E3202" s="1" t="s">
        <v>3186</v>
      </c>
      <c r="F3202">
        <v>1830</v>
      </c>
      <c r="G3202">
        <v>2650</v>
      </c>
      <c r="H3202">
        <v>870</v>
      </c>
      <c r="I3202">
        <v>952</v>
      </c>
      <c r="J3202" s="11">
        <f t="shared" si="116"/>
        <v>1.2</v>
      </c>
      <c r="K3202">
        <v>202</v>
      </c>
      <c r="L3202">
        <v>26.1</v>
      </c>
      <c r="M3202">
        <v>60.7</v>
      </c>
      <c r="N3202">
        <v>15.4</v>
      </c>
      <c r="O3202">
        <v>28.1</v>
      </c>
      <c r="P3202">
        <v>1.02</v>
      </c>
    </row>
    <row r="3203" spans="1:16">
      <c r="A3203" s="1" t="s">
        <v>3181</v>
      </c>
      <c r="B3203" s="3" t="s">
        <v>3233</v>
      </c>
      <c r="C3203" s="1" t="s">
        <v>18</v>
      </c>
      <c r="D3203" s="1" t="s">
        <v>19</v>
      </c>
      <c r="E3203" s="1" t="s">
        <v>3186</v>
      </c>
      <c r="F3203">
        <v>1230</v>
      </c>
      <c r="G3203">
        <v>1860</v>
      </c>
      <c r="H3203">
        <v>810</v>
      </c>
      <c r="I3203">
        <v>952</v>
      </c>
      <c r="J3203" s="11">
        <f t="shared" si="116"/>
        <v>1.2</v>
      </c>
      <c r="K3203">
        <v>141.6</v>
      </c>
      <c r="L3203">
        <v>28.6</v>
      </c>
      <c r="M3203">
        <v>58.3</v>
      </c>
      <c r="N3203">
        <v>6.3</v>
      </c>
      <c r="O3203">
        <v>26.1</v>
      </c>
      <c r="P3203" s="11">
        <f>0.4/2</f>
        <v>0.2</v>
      </c>
    </row>
    <row r="3204" spans="1:16">
      <c r="A3204" s="1" t="s">
        <v>3181</v>
      </c>
      <c r="B3204" s="3" t="s">
        <v>3234</v>
      </c>
      <c r="C3204" s="1" t="s">
        <v>18</v>
      </c>
      <c r="D3204" s="1" t="s">
        <v>19</v>
      </c>
      <c r="E3204" s="1" t="s">
        <v>3186</v>
      </c>
      <c r="F3204">
        <v>870</v>
      </c>
      <c r="G3204">
        <v>1640</v>
      </c>
      <c r="H3204">
        <v>820</v>
      </c>
      <c r="I3204">
        <v>967</v>
      </c>
      <c r="J3204" s="11">
        <f t="shared" si="116"/>
        <v>1.2</v>
      </c>
      <c r="K3204">
        <v>142.69999999999999</v>
      </c>
      <c r="L3204">
        <v>31.2</v>
      </c>
      <c r="M3204">
        <v>54.7</v>
      </c>
      <c r="N3204">
        <v>10.199999999999999</v>
      </c>
      <c r="O3204">
        <v>27.1</v>
      </c>
      <c r="P3204">
        <v>0.89</v>
      </c>
    </row>
    <row r="3205" spans="1:16">
      <c r="A3205" s="1" t="s">
        <v>3181</v>
      </c>
      <c r="B3205" s="3" t="s">
        <v>3235</v>
      </c>
      <c r="C3205" s="1" t="s">
        <v>18</v>
      </c>
      <c r="D3205" s="1" t="s">
        <v>19</v>
      </c>
      <c r="E3205" s="1" t="s">
        <v>3186</v>
      </c>
      <c r="F3205">
        <v>2500</v>
      </c>
      <c r="G3205">
        <v>2249</v>
      </c>
      <c r="H3205">
        <v>326</v>
      </c>
      <c r="I3205">
        <v>987</v>
      </c>
      <c r="J3205" s="11">
        <f t="shared" si="116"/>
        <v>1.2</v>
      </c>
      <c r="K3205">
        <v>186.2</v>
      </c>
      <c r="L3205">
        <v>30.9</v>
      </c>
      <c r="M3205">
        <v>53.1</v>
      </c>
      <c r="N3205">
        <v>11</v>
      </c>
      <c r="O3205">
        <v>27.1</v>
      </c>
      <c r="P3205" s="11">
        <f t="shared" ref="P3205:P3217" si="119">0.4/2</f>
        <v>0.2</v>
      </c>
    </row>
    <row r="3206" spans="1:16">
      <c r="A3206" s="1" t="s">
        <v>3181</v>
      </c>
      <c r="B3206" s="3" t="s">
        <v>3236</v>
      </c>
      <c r="C3206" s="1" t="s">
        <v>18</v>
      </c>
      <c r="D3206" s="1" t="s">
        <v>19</v>
      </c>
      <c r="E3206" s="1" t="s">
        <v>3186</v>
      </c>
      <c r="F3206">
        <v>149</v>
      </c>
      <c r="G3206">
        <v>880</v>
      </c>
      <c r="H3206">
        <v>304</v>
      </c>
      <c r="I3206">
        <v>887</v>
      </c>
      <c r="J3206" s="11">
        <f t="shared" si="116"/>
        <v>1.2</v>
      </c>
      <c r="K3206">
        <v>98.6</v>
      </c>
      <c r="L3206">
        <v>26.1</v>
      </c>
      <c r="M3206">
        <v>145</v>
      </c>
      <c r="N3206" s="11">
        <f t="shared" ref="N3206:N3207" si="120">3/2</f>
        <v>1.5</v>
      </c>
      <c r="O3206">
        <v>21.1</v>
      </c>
      <c r="P3206" s="11">
        <f t="shared" si="119"/>
        <v>0.2</v>
      </c>
    </row>
    <row r="3207" spans="1:16">
      <c r="A3207" s="1" t="s">
        <v>3181</v>
      </c>
      <c r="B3207" s="3" t="s">
        <v>3237</v>
      </c>
      <c r="C3207" s="1" t="s">
        <v>18</v>
      </c>
      <c r="D3207" s="1" t="s">
        <v>19</v>
      </c>
      <c r="E3207" s="1" t="s">
        <v>3186</v>
      </c>
      <c r="F3207">
        <v>1121</v>
      </c>
      <c r="G3207">
        <v>1900</v>
      </c>
      <c r="H3207">
        <v>392</v>
      </c>
      <c r="I3207">
        <v>1056</v>
      </c>
      <c r="J3207" s="11">
        <f t="shared" si="116"/>
        <v>1.2</v>
      </c>
      <c r="K3207">
        <v>104.6</v>
      </c>
      <c r="L3207">
        <v>27.6</v>
      </c>
      <c r="M3207">
        <v>96</v>
      </c>
      <c r="N3207" s="11">
        <f t="shared" si="120"/>
        <v>1.5</v>
      </c>
      <c r="O3207">
        <v>24.6</v>
      </c>
      <c r="P3207" s="11">
        <f t="shared" si="119"/>
        <v>0.2</v>
      </c>
    </row>
    <row r="3208" spans="1:16">
      <c r="A3208" s="1" t="s">
        <v>3181</v>
      </c>
      <c r="B3208" s="3" t="s">
        <v>3238</v>
      </c>
      <c r="C3208" s="1" t="s">
        <v>18</v>
      </c>
      <c r="D3208" s="1" t="s">
        <v>19</v>
      </c>
      <c r="E3208" s="1" t="s">
        <v>3186</v>
      </c>
      <c r="F3208">
        <v>1170</v>
      </c>
      <c r="G3208">
        <v>1420</v>
      </c>
      <c r="H3208">
        <v>247</v>
      </c>
      <c r="I3208">
        <v>1009</v>
      </c>
      <c r="J3208" s="11">
        <f t="shared" si="116"/>
        <v>1.2</v>
      </c>
      <c r="K3208">
        <v>214</v>
      </c>
      <c r="L3208">
        <v>29.7</v>
      </c>
      <c r="M3208">
        <v>59.5</v>
      </c>
      <c r="N3208">
        <v>9.6999999999999993</v>
      </c>
      <c r="O3208">
        <v>24.8</v>
      </c>
      <c r="P3208" s="11">
        <f t="shared" si="119"/>
        <v>0.2</v>
      </c>
    </row>
    <row r="3209" spans="1:16">
      <c r="A3209" s="1" t="s">
        <v>3181</v>
      </c>
      <c r="B3209" s="3" t="s">
        <v>3239</v>
      </c>
      <c r="C3209" s="1" t="s">
        <v>18</v>
      </c>
      <c r="D3209" s="1" t="s">
        <v>19</v>
      </c>
      <c r="E3209" s="1" t="s">
        <v>3186</v>
      </c>
      <c r="F3209">
        <v>746</v>
      </c>
      <c r="G3209">
        <v>1039</v>
      </c>
      <c r="H3209">
        <v>143</v>
      </c>
      <c r="I3209">
        <v>1089</v>
      </c>
      <c r="J3209" s="11">
        <f t="shared" si="116"/>
        <v>1.2</v>
      </c>
      <c r="K3209">
        <v>112.3</v>
      </c>
      <c r="L3209">
        <v>27.4</v>
      </c>
      <c r="M3209">
        <v>55.2</v>
      </c>
      <c r="N3209" s="11">
        <f>3/2</f>
        <v>1.5</v>
      </c>
      <c r="O3209">
        <v>23.1</v>
      </c>
      <c r="P3209" s="11">
        <f t="shared" si="119"/>
        <v>0.2</v>
      </c>
    </row>
    <row r="3210" spans="1:16">
      <c r="A3210" s="1" t="s">
        <v>3181</v>
      </c>
      <c r="B3210" s="3" t="s">
        <v>3240</v>
      </c>
      <c r="C3210" s="1" t="s">
        <v>18</v>
      </c>
      <c r="D3210" s="1" t="s">
        <v>19</v>
      </c>
      <c r="E3210" s="1" t="s">
        <v>3186</v>
      </c>
      <c r="F3210">
        <v>172</v>
      </c>
      <c r="G3210">
        <v>901</v>
      </c>
      <c r="H3210">
        <v>175</v>
      </c>
      <c r="I3210">
        <v>1085</v>
      </c>
      <c r="J3210" s="11">
        <f t="shared" si="116"/>
        <v>1.2</v>
      </c>
      <c r="K3210">
        <v>98.9</v>
      </c>
      <c r="L3210">
        <v>28.5</v>
      </c>
      <c r="M3210">
        <v>51.7</v>
      </c>
      <c r="N3210">
        <v>7.1</v>
      </c>
      <c r="O3210">
        <v>25.3</v>
      </c>
      <c r="P3210" s="11">
        <f t="shared" si="119"/>
        <v>0.2</v>
      </c>
    </row>
    <row r="3211" spans="1:16">
      <c r="A3211" s="1" t="s">
        <v>3181</v>
      </c>
      <c r="B3211" s="3" t="s">
        <v>3241</v>
      </c>
      <c r="C3211" s="1" t="s">
        <v>18</v>
      </c>
      <c r="D3211" s="1" t="s">
        <v>19</v>
      </c>
      <c r="E3211" s="1" t="s">
        <v>3186</v>
      </c>
      <c r="F3211">
        <v>550</v>
      </c>
      <c r="G3211">
        <v>1990</v>
      </c>
      <c r="H3211">
        <v>259</v>
      </c>
      <c r="I3211">
        <v>1220</v>
      </c>
      <c r="J3211" s="11">
        <f t="shared" si="116"/>
        <v>1.2</v>
      </c>
      <c r="K3211">
        <v>160.69999999999999</v>
      </c>
      <c r="L3211">
        <v>26.7</v>
      </c>
      <c r="M3211">
        <v>63</v>
      </c>
      <c r="N3211">
        <v>10.1</v>
      </c>
      <c r="O3211">
        <v>31.1</v>
      </c>
      <c r="P3211" s="11">
        <f t="shared" si="119"/>
        <v>0.2</v>
      </c>
    </row>
    <row r="3212" spans="1:16">
      <c r="A3212" s="1" t="s">
        <v>3181</v>
      </c>
      <c r="B3212" s="3" t="s">
        <v>3242</v>
      </c>
      <c r="C3212" s="1" t="s">
        <v>18</v>
      </c>
      <c r="D3212" s="1" t="s">
        <v>19</v>
      </c>
      <c r="E3212" s="1" t="s">
        <v>3186</v>
      </c>
      <c r="F3212">
        <v>556</v>
      </c>
      <c r="G3212">
        <v>1930</v>
      </c>
      <c r="H3212">
        <v>375</v>
      </c>
      <c r="I3212">
        <v>1230</v>
      </c>
      <c r="J3212" s="11">
        <f t="shared" si="116"/>
        <v>1.2</v>
      </c>
      <c r="K3212">
        <v>142.30000000000001</v>
      </c>
      <c r="L3212">
        <v>26.2</v>
      </c>
      <c r="M3212">
        <v>56.9</v>
      </c>
      <c r="N3212" s="11">
        <f>3/2</f>
        <v>1.5</v>
      </c>
      <c r="O3212">
        <v>29.5</v>
      </c>
      <c r="P3212" s="11">
        <f t="shared" si="119"/>
        <v>0.2</v>
      </c>
    </row>
    <row r="3213" spans="1:16">
      <c r="A3213" s="1" t="s">
        <v>3181</v>
      </c>
      <c r="B3213" s="3" t="s">
        <v>3243</v>
      </c>
      <c r="C3213" s="1" t="s">
        <v>18</v>
      </c>
      <c r="D3213" s="1" t="s">
        <v>19</v>
      </c>
      <c r="E3213" s="1" t="s">
        <v>3186</v>
      </c>
      <c r="F3213">
        <v>525</v>
      </c>
      <c r="G3213">
        <v>1730</v>
      </c>
      <c r="H3213">
        <v>630</v>
      </c>
      <c r="I3213">
        <v>1160</v>
      </c>
      <c r="J3213" s="11">
        <f t="shared" si="116"/>
        <v>1.2</v>
      </c>
      <c r="K3213">
        <v>151</v>
      </c>
      <c r="L3213">
        <v>24.8</v>
      </c>
      <c r="M3213">
        <v>50</v>
      </c>
      <c r="N3213">
        <v>7.3</v>
      </c>
      <c r="O3213">
        <v>30</v>
      </c>
      <c r="P3213" s="11">
        <f t="shared" si="119"/>
        <v>0.2</v>
      </c>
    </row>
    <row r="3214" spans="1:16">
      <c r="A3214" s="1" t="s">
        <v>3181</v>
      </c>
      <c r="B3214" s="3" t="s">
        <v>3244</v>
      </c>
      <c r="C3214" s="1" t="s">
        <v>18</v>
      </c>
      <c r="D3214" s="1" t="s">
        <v>19</v>
      </c>
      <c r="E3214" s="1" t="s">
        <v>3186</v>
      </c>
      <c r="F3214">
        <v>545</v>
      </c>
      <c r="G3214">
        <v>1800</v>
      </c>
      <c r="H3214">
        <v>450</v>
      </c>
      <c r="I3214">
        <v>1150</v>
      </c>
      <c r="J3214" s="11">
        <f t="shared" si="116"/>
        <v>1.2</v>
      </c>
      <c r="K3214">
        <v>170</v>
      </c>
      <c r="L3214">
        <v>24.6</v>
      </c>
      <c r="M3214">
        <v>58.5</v>
      </c>
      <c r="N3214">
        <v>13.4</v>
      </c>
      <c r="O3214">
        <v>30</v>
      </c>
      <c r="P3214" s="11">
        <f t="shared" si="119"/>
        <v>0.2</v>
      </c>
    </row>
    <row r="3215" spans="1:16">
      <c r="A3215" s="1" t="s">
        <v>3181</v>
      </c>
      <c r="B3215" s="3" t="s">
        <v>3245</v>
      </c>
      <c r="C3215" s="1" t="s">
        <v>18</v>
      </c>
      <c r="D3215" s="1" t="s">
        <v>19</v>
      </c>
      <c r="E3215" s="1" t="s">
        <v>3186</v>
      </c>
      <c r="F3215">
        <v>1650</v>
      </c>
      <c r="G3215">
        <v>1821</v>
      </c>
      <c r="H3215">
        <v>301</v>
      </c>
      <c r="I3215">
        <v>1087</v>
      </c>
      <c r="J3215" s="11">
        <f t="shared" si="116"/>
        <v>1.2</v>
      </c>
      <c r="K3215">
        <v>161.1</v>
      </c>
      <c r="L3215">
        <v>26.3</v>
      </c>
      <c r="M3215">
        <v>54.4</v>
      </c>
      <c r="N3215">
        <v>10.199999999999999</v>
      </c>
      <c r="O3215">
        <v>28.1</v>
      </c>
      <c r="P3215" s="11">
        <f t="shared" si="119"/>
        <v>0.2</v>
      </c>
    </row>
    <row r="3216" spans="1:16">
      <c r="A3216" s="1" t="s">
        <v>3181</v>
      </c>
      <c r="B3216" s="3" t="s">
        <v>3246</v>
      </c>
      <c r="C3216" s="1" t="s">
        <v>18</v>
      </c>
      <c r="D3216" s="1" t="s">
        <v>19</v>
      </c>
      <c r="E3216" s="1" t="s">
        <v>3186</v>
      </c>
      <c r="F3216">
        <v>1107</v>
      </c>
      <c r="G3216">
        <v>2270</v>
      </c>
      <c r="H3216">
        <v>252</v>
      </c>
      <c r="I3216">
        <v>1070</v>
      </c>
      <c r="J3216" s="11">
        <f t="shared" si="116"/>
        <v>1.2</v>
      </c>
      <c r="K3216">
        <v>156.6</v>
      </c>
      <c r="L3216">
        <v>25.5</v>
      </c>
      <c r="M3216">
        <v>58.6</v>
      </c>
      <c r="N3216" s="11">
        <f>3/2</f>
        <v>1.5</v>
      </c>
      <c r="O3216">
        <v>27.1</v>
      </c>
      <c r="P3216" s="11">
        <f t="shared" si="119"/>
        <v>0.2</v>
      </c>
    </row>
    <row r="3217" spans="1:16">
      <c r="A3217" s="1" t="s">
        <v>3181</v>
      </c>
      <c r="B3217" s="3" t="s">
        <v>3247</v>
      </c>
      <c r="C3217" s="1" t="s">
        <v>18</v>
      </c>
      <c r="D3217" s="1" t="s">
        <v>19</v>
      </c>
      <c r="E3217" s="1" t="s">
        <v>3186</v>
      </c>
      <c r="F3217">
        <v>259</v>
      </c>
      <c r="G3217">
        <v>953</v>
      </c>
      <c r="H3217">
        <v>186</v>
      </c>
      <c r="I3217">
        <v>1071</v>
      </c>
      <c r="J3217" s="11">
        <f t="shared" si="116"/>
        <v>1.2</v>
      </c>
      <c r="K3217">
        <v>132.1</v>
      </c>
      <c r="L3217">
        <v>25.6</v>
      </c>
      <c r="M3217">
        <v>56.1</v>
      </c>
      <c r="N3217">
        <v>7.2</v>
      </c>
      <c r="O3217">
        <v>26.7</v>
      </c>
      <c r="P3217" s="11">
        <f t="shared" si="119"/>
        <v>0.2</v>
      </c>
    </row>
    <row r="3218" spans="1:16">
      <c r="A3218" s="1" t="s">
        <v>3181</v>
      </c>
      <c r="B3218" s="3" t="s">
        <v>3248</v>
      </c>
      <c r="C3218" s="1" t="s">
        <v>18</v>
      </c>
      <c r="D3218" s="1" t="s">
        <v>19</v>
      </c>
      <c r="E3218" s="1" t="s">
        <v>3186</v>
      </c>
      <c r="F3218">
        <v>133</v>
      </c>
      <c r="G3218">
        <v>778</v>
      </c>
      <c r="H3218">
        <v>443</v>
      </c>
      <c r="I3218">
        <v>1100</v>
      </c>
      <c r="J3218" s="11">
        <f t="shared" si="116"/>
        <v>1.2</v>
      </c>
      <c r="K3218">
        <v>113.8</v>
      </c>
      <c r="L3218">
        <v>23.7</v>
      </c>
      <c r="M3218">
        <v>103.1</v>
      </c>
      <c r="N3218" s="11">
        <f>3/2</f>
        <v>1.5</v>
      </c>
      <c r="O3218">
        <v>25.5</v>
      </c>
      <c r="P3218">
        <v>0.86</v>
      </c>
    </row>
    <row r="3219" spans="1:16">
      <c r="A3219" s="1" t="s">
        <v>3181</v>
      </c>
      <c r="B3219" s="3" t="s">
        <v>3249</v>
      </c>
      <c r="C3219" s="1" t="s">
        <v>18</v>
      </c>
      <c r="D3219" s="1" t="s">
        <v>19</v>
      </c>
      <c r="E3219" s="1" t="s">
        <v>3186</v>
      </c>
      <c r="F3219">
        <v>306</v>
      </c>
      <c r="G3219">
        <v>1560</v>
      </c>
      <c r="H3219">
        <v>209</v>
      </c>
      <c r="I3219">
        <v>992</v>
      </c>
      <c r="J3219" s="11">
        <f t="shared" si="116"/>
        <v>1.2</v>
      </c>
      <c r="K3219">
        <v>119.2</v>
      </c>
      <c r="L3219">
        <v>22</v>
      </c>
      <c r="M3219">
        <v>53.9</v>
      </c>
      <c r="N3219">
        <v>7.1</v>
      </c>
      <c r="O3219">
        <v>30.2</v>
      </c>
      <c r="P3219" s="11">
        <f t="shared" ref="P3219:P3221" si="121">0.4/2</f>
        <v>0.2</v>
      </c>
    </row>
    <row r="3220" spans="1:16">
      <c r="A3220" s="1" t="s">
        <v>3181</v>
      </c>
      <c r="B3220" s="3" t="s">
        <v>3250</v>
      </c>
      <c r="C3220" s="1" t="s">
        <v>18</v>
      </c>
      <c r="D3220" s="1" t="s">
        <v>19</v>
      </c>
      <c r="E3220" s="1" t="s">
        <v>3186</v>
      </c>
      <c r="F3220">
        <v>348</v>
      </c>
      <c r="G3220">
        <v>1500</v>
      </c>
      <c r="H3220">
        <v>252</v>
      </c>
      <c r="I3220">
        <v>1014</v>
      </c>
      <c r="J3220" s="11">
        <f t="shared" si="116"/>
        <v>1.2</v>
      </c>
      <c r="K3220">
        <v>117.6</v>
      </c>
      <c r="L3220">
        <v>23.9</v>
      </c>
      <c r="M3220">
        <v>57.6</v>
      </c>
      <c r="N3220">
        <v>8.6999999999999993</v>
      </c>
      <c r="O3220">
        <v>27</v>
      </c>
      <c r="P3220" s="11">
        <f t="shared" si="121"/>
        <v>0.2</v>
      </c>
    </row>
    <row r="3221" spans="1:16">
      <c r="A3221" s="1" t="s">
        <v>3181</v>
      </c>
      <c r="B3221" s="3" t="s">
        <v>3251</v>
      </c>
      <c r="C3221" s="1" t="s">
        <v>18</v>
      </c>
      <c r="D3221" s="1" t="s">
        <v>19</v>
      </c>
      <c r="E3221" s="1" t="s">
        <v>3186</v>
      </c>
      <c r="F3221">
        <v>2360</v>
      </c>
      <c r="G3221">
        <v>2630</v>
      </c>
      <c r="H3221">
        <v>218</v>
      </c>
      <c r="I3221">
        <v>1013</v>
      </c>
      <c r="J3221" s="11">
        <f t="shared" si="116"/>
        <v>1.2</v>
      </c>
      <c r="K3221">
        <v>136.6</v>
      </c>
      <c r="L3221">
        <v>20.6</v>
      </c>
      <c r="M3221">
        <v>61</v>
      </c>
      <c r="N3221">
        <v>7.1</v>
      </c>
      <c r="O3221">
        <v>29.9</v>
      </c>
      <c r="P3221" s="11">
        <f t="shared" si="121"/>
        <v>0.2</v>
      </c>
    </row>
    <row r="3222" spans="1:16">
      <c r="A3222" s="1" t="s">
        <v>3181</v>
      </c>
      <c r="B3222" s="3" t="s">
        <v>3252</v>
      </c>
      <c r="C3222" s="1" t="s">
        <v>18</v>
      </c>
      <c r="D3222" s="1" t="s">
        <v>19</v>
      </c>
      <c r="E3222" s="1" t="s">
        <v>3186</v>
      </c>
      <c r="F3222">
        <v>2690</v>
      </c>
      <c r="G3222">
        <v>2200</v>
      </c>
      <c r="H3222">
        <v>292</v>
      </c>
      <c r="I3222">
        <v>952</v>
      </c>
      <c r="J3222" s="11">
        <f t="shared" si="116"/>
        <v>1.2</v>
      </c>
      <c r="K3222">
        <v>147.4</v>
      </c>
      <c r="L3222">
        <v>21.4</v>
      </c>
      <c r="M3222">
        <v>50.5</v>
      </c>
      <c r="N3222" s="11">
        <f t="shared" ref="N3222:N3225" si="122">3/2</f>
        <v>1.5</v>
      </c>
      <c r="O3222">
        <v>28.6</v>
      </c>
      <c r="P3222">
        <v>0.99</v>
      </c>
    </row>
    <row r="3223" spans="1:16">
      <c r="A3223" s="1" t="s">
        <v>3181</v>
      </c>
      <c r="B3223" s="3" t="s">
        <v>3253</v>
      </c>
      <c r="C3223" s="1" t="s">
        <v>18</v>
      </c>
      <c r="D3223" s="1" t="s">
        <v>19</v>
      </c>
      <c r="E3223" s="1" t="s">
        <v>3186</v>
      </c>
      <c r="F3223">
        <v>157.69999999999999</v>
      </c>
      <c r="G3223">
        <v>1223</v>
      </c>
      <c r="H3223">
        <v>509</v>
      </c>
      <c r="I3223">
        <v>93.3</v>
      </c>
      <c r="J3223" s="11">
        <f t="shared" si="116"/>
        <v>1.2</v>
      </c>
      <c r="K3223">
        <v>75.400000000000006</v>
      </c>
      <c r="L3223">
        <v>52</v>
      </c>
      <c r="M3223">
        <v>103</v>
      </c>
      <c r="N3223" s="11">
        <f t="shared" si="122"/>
        <v>1.5</v>
      </c>
      <c r="O3223">
        <v>26.5</v>
      </c>
      <c r="P3223" s="11">
        <f t="shared" ref="P3223:P3246" si="123">0.4/2</f>
        <v>0.2</v>
      </c>
    </row>
    <row r="3224" spans="1:16">
      <c r="A3224" s="1" t="s">
        <v>3181</v>
      </c>
      <c r="B3224" s="3" t="s">
        <v>3254</v>
      </c>
      <c r="C3224" s="1" t="s">
        <v>18</v>
      </c>
      <c r="D3224" s="1" t="s">
        <v>19</v>
      </c>
      <c r="E3224" s="1" t="s">
        <v>3186</v>
      </c>
      <c r="F3224">
        <v>35.9</v>
      </c>
      <c r="G3224">
        <v>435</v>
      </c>
      <c r="H3224">
        <v>218</v>
      </c>
      <c r="I3224">
        <v>100.6</v>
      </c>
      <c r="J3224" s="11">
        <f t="shared" si="116"/>
        <v>1.2</v>
      </c>
      <c r="K3224">
        <v>59.5</v>
      </c>
      <c r="L3224">
        <v>13.2</v>
      </c>
      <c r="M3224">
        <v>58.8</v>
      </c>
      <c r="N3224" s="11">
        <f t="shared" si="122"/>
        <v>1.5</v>
      </c>
      <c r="O3224">
        <v>18.8</v>
      </c>
      <c r="P3224" s="11">
        <f t="shared" si="123"/>
        <v>0.2</v>
      </c>
    </row>
    <row r="3225" spans="1:16">
      <c r="A3225" s="1" t="s">
        <v>3181</v>
      </c>
      <c r="B3225" s="3" t="s">
        <v>3255</v>
      </c>
      <c r="C3225" s="1" t="s">
        <v>18</v>
      </c>
      <c r="D3225" s="1" t="s">
        <v>19</v>
      </c>
      <c r="E3225" s="1" t="s">
        <v>3186</v>
      </c>
      <c r="F3225">
        <v>26.8</v>
      </c>
      <c r="G3225">
        <v>366.1</v>
      </c>
      <c r="H3225">
        <v>160</v>
      </c>
      <c r="I3225">
        <v>102.7</v>
      </c>
      <c r="J3225" s="11">
        <f t="shared" si="116"/>
        <v>1.2</v>
      </c>
      <c r="K3225">
        <v>53.8</v>
      </c>
      <c r="L3225">
        <v>12.45</v>
      </c>
      <c r="M3225">
        <v>73.099999999999994</v>
      </c>
      <c r="N3225" s="11">
        <f t="shared" si="122"/>
        <v>1.5</v>
      </c>
      <c r="O3225">
        <v>19</v>
      </c>
      <c r="P3225" s="11">
        <f t="shared" si="123"/>
        <v>0.2</v>
      </c>
    </row>
    <row r="3226" spans="1:16">
      <c r="A3226" s="1" t="s">
        <v>3181</v>
      </c>
      <c r="B3226" s="3" t="s">
        <v>3256</v>
      </c>
      <c r="C3226" s="1" t="s">
        <v>18</v>
      </c>
      <c r="D3226" s="1" t="s">
        <v>19</v>
      </c>
      <c r="E3226" s="1" t="s">
        <v>3186</v>
      </c>
      <c r="F3226">
        <v>143</v>
      </c>
      <c r="G3226">
        <v>1250</v>
      </c>
      <c r="H3226">
        <v>180</v>
      </c>
      <c r="I3226">
        <v>97.3</v>
      </c>
      <c r="J3226" s="11">
        <f t="shared" si="116"/>
        <v>1.2</v>
      </c>
      <c r="K3226">
        <v>62.9</v>
      </c>
      <c r="L3226">
        <v>12.6</v>
      </c>
      <c r="M3226">
        <v>21.3</v>
      </c>
      <c r="N3226">
        <v>6.7</v>
      </c>
      <c r="O3226">
        <v>24.5</v>
      </c>
      <c r="P3226" s="11">
        <f t="shared" si="123"/>
        <v>0.2</v>
      </c>
    </row>
    <row r="3227" spans="1:16">
      <c r="A3227" s="1" t="s">
        <v>3181</v>
      </c>
      <c r="B3227" s="3" t="s">
        <v>3257</v>
      </c>
      <c r="C3227" s="1" t="s">
        <v>18</v>
      </c>
      <c r="D3227" s="1" t="s">
        <v>19</v>
      </c>
      <c r="E3227" s="1" t="s">
        <v>3186</v>
      </c>
      <c r="F3227">
        <v>1440</v>
      </c>
      <c r="G3227">
        <v>1290</v>
      </c>
      <c r="H3227">
        <v>256</v>
      </c>
      <c r="I3227">
        <v>104</v>
      </c>
      <c r="J3227" s="11">
        <f t="shared" si="116"/>
        <v>1.2</v>
      </c>
      <c r="K3227">
        <v>46.6</v>
      </c>
      <c r="L3227">
        <v>11.3</v>
      </c>
      <c r="M3227">
        <v>18.7</v>
      </c>
      <c r="N3227" s="11">
        <f>3/2</f>
        <v>1.5</v>
      </c>
      <c r="O3227">
        <v>20.100000000000001</v>
      </c>
      <c r="P3227" s="11">
        <f t="shared" si="123"/>
        <v>0.2</v>
      </c>
    </row>
    <row r="3228" spans="1:16">
      <c r="A3228" s="1" t="s">
        <v>3181</v>
      </c>
      <c r="B3228" s="3" t="s">
        <v>3258</v>
      </c>
      <c r="C3228" s="1" t="s">
        <v>18</v>
      </c>
      <c r="D3228" s="1" t="s">
        <v>19</v>
      </c>
      <c r="E3228" s="1" t="s">
        <v>3186</v>
      </c>
      <c r="F3228">
        <v>421</v>
      </c>
      <c r="G3228">
        <v>756</v>
      </c>
      <c r="H3228">
        <v>274</v>
      </c>
      <c r="I3228">
        <v>96.6</v>
      </c>
      <c r="J3228" s="11">
        <f t="shared" si="116"/>
        <v>1.2</v>
      </c>
      <c r="K3228">
        <v>71.5</v>
      </c>
      <c r="L3228">
        <v>10.8</v>
      </c>
      <c r="M3228">
        <v>82.7</v>
      </c>
      <c r="N3228">
        <v>8.3000000000000007</v>
      </c>
      <c r="O3228">
        <v>22.2</v>
      </c>
      <c r="P3228" s="11">
        <f t="shared" si="123"/>
        <v>0.2</v>
      </c>
    </row>
    <row r="3229" spans="1:16">
      <c r="A3229" s="1" t="s">
        <v>3181</v>
      </c>
      <c r="B3229" s="3" t="s">
        <v>3259</v>
      </c>
      <c r="C3229" s="1" t="s">
        <v>18</v>
      </c>
      <c r="D3229" s="1" t="s">
        <v>19</v>
      </c>
      <c r="E3229" s="1" t="s">
        <v>3186</v>
      </c>
      <c r="F3229">
        <v>32.799999999999997</v>
      </c>
      <c r="G3229">
        <v>429</v>
      </c>
      <c r="H3229">
        <v>160</v>
      </c>
      <c r="I3229">
        <v>97.1</v>
      </c>
      <c r="J3229" s="11">
        <f t="shared" si="116"/>
        <v>1.2</v>
      </c>
      <c r="K3229">
        <v>56.2</v>
      </c>
      <c r="L3229">
        <v>12.47</v>
      </c>
      <c r="M3229">
        <v>77.7</v>
      </c>
      <c r="N3229" s="11">
        <f t="shared" ref="N3229:N3236" si="124">3/2</f>
        <v>1.5</v>
      </c>
      <c r="O3229">
        <v>20.8</v>
      </c>
      <c r="P3229" s="11">
        <f t="shared" si="123"/>
        <v>0.2</v>
      </c>
    </row>
    <row r="3230" spans="1:16">
      <c r="A3230" s="1" t="s">
        <v>3181</v>
      </c>
      <c r="B3230" s="3" t="s">
        <v>3260</v>
      </c>
      <c r="C3230" s="1" t="s">
        <v>18</v>
      </c>
      <c r="D3230" s="1" t="s">
        <v>19</v>
      </c>
      <c r="E3230" s="1" t="s">
        <v>3186</v>
      </c>
      <c r="F3230">
        <v>35</v>
      </c>
      <c r="G3230">
        <v>253</v>
      </c>
      <c r="H3230">
        <v>150</v>
      </c>
      <c r="I3230">
        <v>97.3</v>
      </c>
      <c r="J3230" s="11">
        <f t="shared" si="116"/>
        <v>1.2</v>
      </c>
      <c r="K3230">
        <v>54.4</v>
      </c>
      <c r="L3230">
        <v>13.2</v>
      </c>
      <c r="M3230">
        <v>100</v>
      </c>
      <c r="N3230" s="11">
        <f t="shared" si="124"/>
        <v>1.5</v>
      </c>
      <c r="O3230">
        <v>21.7</v>
      </c>
      <c r="P3230" s="11">
        <f t="shared" si="123"/>
        <v>0.2</v>
      </c>
    </row>
    <row r="3231" spans="1:16">
      <c r="A3231" s="1" t="s">
        <v>3181</v>
      </c>
      <c r="B3231" s="3" t="s">
        <v>3261</v>
      </c>
      <c r="C3231" s="1" t="s">
        <v>18</v>
      </c>
      <c r="D3231" s="1" t="s">
        <v>19</v>
      </c>
      <c r="E3231" s="1" t="s">
        <v>3186</v>
      </c>
      <c r="F3231">
        <v>8.5399999999999991</v>
      </c>
      <c r="G3231">
        <v>94.6</v>
      </c>
      <c r="H3231">
        <v>80</v>
      </c>
      <c r="I3231">
        <v>99.6</v>
      </c>
      <c r="J3231" s="11">
        <f t="shared" si="116"/>
        <v>1.2</v>
      </c>
      <c r="K3231">
        <v>45.7</v>
      </c>
      <c r="L3231">
        <v>9.18</v>
      </c>
      <c r="M3231">
        <v>106.6</v>
      </c>
      <c r="N3231" s="11">
        <f t="shared" si="124"/>
        <v>1.5</v>
      </c>
      <c r="O3231">
        <v>19.2</v>
      </c>
      <c r="P3231" s="11">
        <f t="shared" si="123"/>
        <v>0.2</v>
      </c>
    </row>
    <row r="3232" spans="1:16">
      <c r="A3232" s="1" t="s">
        <v>3181</v>
      </c>
      <c r="B3232" s="3" t="s">
        <v>3262</v>
      </c>
      <c r="C3232" s="1" t="s">
        <v>18</v>
      </c>
      <c r="D3232" s="1" t="s">
        <v>19</v>
      </c>
      <c r="E3232" s="1" t="s">
        <v>3186</v>
      </c>
      <c r="F3232">
        <v>18.3</v>
      </c>
      <c r="G3232">
        <v>284.3</v>
      </c>
      <c r="H3232">
        <v>118.9</v>
      </c>
      <c r="I3232">
        <v>1836</v>
      </c>
      <c r="J3232" s="11">
        <f t="shared" si="116"/>
        <v>1.2</v>
      </c>
      <c r="K3232">
        <v>18.940000000000001</v>
      </c>
      <c r="L3232">
        <v>20.02</v>
      </c>
      <c r="M3232">
        <v>101.5</v>
      </c>
      <c r="N3232" s="11">
        <f t="shared" si="124"/>
        <v>1.5</v>
      </c>
      <c r="O3232">
        <v>36.799999999999997</v>
      </c>
      <c r="P3232" s="11">
        <f t="shared" si="123"/>
        <v>0.2</v>
      </c>
    </row>
    <row r="3233" spans="1:16">
      <c r="A3233" s="1" t="s">
        <v>3181</v>
      </c>
      <c r="B3233" s="3" t="s">
        <v>3263</v>
      </c>
      <c r="C3233" s="1" t="s">
        <v>18</v>
      </c>
      <c r="D3233" s="1" t="s">
        <v>19</v>
      </c>
      <c r="E3233" s="1" t="s">
        <v>3186</v>
      </c>
      <c r="F3233">
        <v>38.6</v>
      </c>
      <c r="G3233">
        <v>453.8</v>
      </c>
      <c r="H3233">
        <v>148</v>
      </c>
      <c r="I3233">
        <v>1708</v>
      </c>
      <c r="J3233" s="11">
        <f t="shared" si="116"/>
        <v>1.2</v>
      </c>
      <c r="K3233">
        <v>35.700000000000003</v>
      </c>
      <c r="L3233">
        <v>20.27</v>
      </c>
      <c r="M3233">
        <v>101.5</v>
      </c>
      <c r="N3233" s="11">
        <f t="shared" si="124"/>
        <v>1.5</v>
      </c>
      <c r="O3233">
        <v>39.6</v>
      </c>
      <c r="P3233" s="11">
        <f t="shared" si="123"/>
        <v>0.2</v>
      </c>
    </row>
    <row r="3234" spans="1:16">
      <c r="A3234" s="1" t="s">
        <v>3181</v>
      </c>
      <c r="B3234" s="3" t="s">
        <v>3264</v>
      </c>
      <c r="C3234" s="1" t="s">
        <v>18</v>
      </c>
      <c r="D3234" s="1" t="s">
        <v>19</v>
      </c>
      <c r="E3234" s="1" t="s">
        <v>3186</v>
      </c>
      <c r="F3234">
        <v>70.8</v>
      </c>
      <c r="G3234">
        <v>604</v>
      </c>
      <c r="H3234">
        <v>171</v>
      </c>
      <c r="I3234">
        <v>1530</v>
      </c>
      <c r="J3234" s="11">
        <f t="shared" si="116"/>
        <v>1.2</v>
      </c>
      <c r="K3234">
        <v>76.5</v>
      </c>
      <c r="L3234">
        <v>21.1</v>
      </c>
      <c r="M3234">
        <v>107.4</v>
      </c>
      <c r="N3234" s="11">
        <f t="shared" si="124"/>
        <v>1.5</v>
      </c>
      <c r="O3234">
        <v>41.6</v>
      </c>
      <c r="P3234" s="11">
        <f t="shared" si="123"/>
        <v>0.2</v>
      </c>
    </row>
    <row r="3235" spans="1:16">
      <c r="A3235" s="1" t="s">
        <v>3181</v>
      </c>
      <c r="B3235" s="3" t="s">
        <v>3265</v>
      </c>
      <c r="C3235" s="1" t="s">
        <v>18</v>
      </c>
      <c r="D3235" s="1" t="s">
        <v>19</v>
      </c>
      <c r="E3235" s="1" t="s">
        <v>3186</v>
      </c>
      <c r="F3235">
        <v>54.1</v>
      </c>
      <c r="G3235">
        <v>553</v>
      </c>
      <c r="H3235">
        <v>176</v>
      </c>
      <c r="I3235">
        <v>1689</v>
      </c>
      <c r="J3235" s="11">
        <f t="shared" si="116"/>
        <v>1.2</v>
      </c>
      <c r="K3235">
        <v>52.9</v>
      </c>
      <c r="L3235">
        <v>20.51</v>
      </c>
      <c r="M3235">
        <v>109</v>
      </c>
      <c r="N3235" s="11">
        <f t="shared" si="124"/>
        <v>1.5</v>
      </c>
      <c r="O3235">
        <v>38.4</v>
      </c>
      <c r="P3235" s="11">
        <f t="shared" si="123"/>
        <v>0.2</v>
      </c>
    </row>
    <row r="3236" spans="1:16">
      <c r="A3236" s="1" t="s">
        <v>3181</v>
      </c>
      <c r="B3236" s="3" t="s">
        <v>3266</v>
      </c>
      <c r="C3236" s="1" t="s">
        <v>18</v>
      </c>
      <c r="D3236" s="1" t="s">
        <v>19</v>
      </c>
      <c r="E3236" s="1" t="s">
        <v>3186</v>
      </c>
      <c r="F3236">
        <v>1930</v>
      </c>
      <c r="G3236">
        <v>600</v>
      </c>
      <c r="H3236">
        <v>188</v>
      </c>
      <c r="I3236">
        <v>1726</v>
      </c>
      <c r="J3236" s="11">
        <f t="shared" si="116"/>
        <v>1.2</v>
      </c>
      <c r="K3236">
        <v>84.2</v>
      </c>
      <c r="L3236">
        <v>21.7</v>
      </c>
      <c r="M3236">
        <v>108</v>
      </c>
      <c r="N3236" s="11">
        <f t="shared" si="124"/>
        <v>1.5</v>
      </c>
      <c r="O3236">
        <v>41.1</v>
      </c>
      <c r="P3236" s="11">
        <f t="shared" si="123"/>
        <v>0.2</v>
      </c>
    </row>
    <row r="3237" spans="1:16">
      <c r="A3237" s="1" t="s">
        <v>3181</v>
      </c>
      <c r="B3237" s="3" t="s">
        <v>3267</v>
      </c>
      <c r="C3237" s="1" t="s">
        <v>18</v>
      </c>
      <c r="D3237" s="1" t="s">
        <v>19</v>
      </c>
      <c r="E3237" s="1" t="s">
        <v>3186</v>
      </c>
      <c r="F3237">
        <v>1870</v>
      </c>
      <c r="G3237">
        <v>947</v>
      </c>
      <c r="H3237">
        <v>306</v>
      </c>
      <c r="I3237">
        <v>1605</v>
      </c>
      <c r="J3237" s="11">
        <f t="shared" si="116"/>
        <v>1.2</v>
      </c>
      <c r="K3237">
        <v>124.5</v>
      </c>
      <c r="L3237">
        <v>22.4</v>
      </c>
      <c r="M3237">
        <v>106.8</v>
      </c>
      <c r="N3237">
        <v>8.8000000000000007</v>
      </c>
      <c r="O3237">
        <v>48.9</v>
      </c>
      <c r="P3237" s="11">
        <f t="shared" si="123"/>
        <v>0.2</v>
      </c>
    </row>
    <row r="3238" spans="1:16">
      <c r="A3238" s="1" t="s">
        <v>3181</v>
      </c>
      <c r="B3238" s="3" t="s">
        <v>3268</v>
      </c>
      <c r="C3238" s="1" t="s">
        <v>18</v>
      </c>
      <c r="D3238" s="1" t="s">
        <v>19</v>
      </c>
      <c r="E3238" s="1" t="s">
        <v>3186</v>
      </c>
      <c r="F3238">
        <v>17.2</v>
      </c>
      <c r="G3238">
        <v>266</v>
      </c>
      <c r="H3238">
        <v>90</v>
      </c>
      <c r="I3238">
        <v>1471</v>
      </c>
      <c r="J3238" s="11">
        <f t="shared" si="116"/>
        <v>1.2</v>
      </c>
      <c r="K3238">
        <v>39.799999999999997</v>
      </c>
      <c r="L3238">
        <v>31.8</v>
      </c>
      <c r="M3238">
        <v>116.2</v>
      </c>
      <c r="N3238">
        <v>3.1</v>
      </c>
      <c r="O3238">
        <v>30.8</v>
      </c>
      <c r="P3238" s="11">
        <f t="shared" si="123"/>
        <v>0.2</v>
      </c>
    </row>
    <row r="3239" spans="1:16">
      <c r="A3239" s="1" t="s">
        <v>3181</v>
      </c>
      <c r="B3239" s="3" t="s">
        <v>3269</v>
      </c>
      <c r="C3239" s="1" t="s">
        <v>18</v>
      </c>
      <c r="D3239" s="1" t="s">
        <v>19</v>
      </c>
      <c r="E3239" s="1" t="s">
        <v>3186</v>
      </c>
      <c r="F3239">
        <v>83</v>
      </c>
      <c r="G3239">
        <v>435</v>
      </c>
      <c r="H3239">
        <v>101.5</v>
      </c>
      <c r="I3239">
        <v>1479</v>
      </c>
      <c r="J3239" s="11">
        <f t="shared" si="116"/>
        <v>1.2</v>
      </c>
      <c r="K3239">
        <v>99.3</v>
      </c>
      <c r="L3239">
        <v>33.5</v>
      </c>
      <c r="M3239">
        <v>121</v>
      </c>
      <c r="N3239" s="11">
        <f t="shared" ref="N3239:N3240" si="125">3/2</f>
        <v>1.5</v>
      </c>
      <c r="O3239">
        <v>32.700000000000003</v>
      </c>
      <c r="P3239" s="11">
        <f t="shared" si="123"/>
        <v>0.2</v>
      </c>
    </row>
    <row r="3240" spans="1:16">
      <c r="A3240" s="1" t="s">
        <v>3181</v>
      </c>
      <c r="B3240" s="3" t="s">
        <v>3270</v>
      </c>
      <c r="C3240" s="1" t="s">
        <v>18</v>
      </c>
      <c r="D3240" s="1" t="s">
        <v>19</v>
      </c>
      <c r="E3240" s="1" t="s">
        <v>3186</v>
      </c>
      <c r="F3240">
        <v>33.4</v>
      </c>
      <c r="G3240">
        <v>262</v>
      </c>
      <c r="H3240">
        <v>76</v>
      </c>
      <c r="I3240">
        <v>1455</v>
      </c>
      <c r="J3240" s="11">
        <f t="shared" si="116"/>
        <v>1.2</v>
      </c>
      <c r="K3240">
        <v>52.6</v>
      </c>
      <c r="L3240">
        <v>30.2</v>
      </c>
      <c r="M3240">
        <v>117</v>
      </c>
      <c r="N3240" s="11">
        <f t="shared" si="125"/>
        <v>1.5</v>
      </c>
      <c r="O3240">
        <v>31</v>
      </c>
      <c r="P3240" s="11">
        <f t="shared" si="123"/>
        <v>0.2</v>
      </c>
    </row>
    <row r="3241" spans="1:16">
      <c r="A3241" s="1" t="s">
        <v>3181</v>
      </c>
      <c r="B3241" s="3" t="s">
        <v>3271</v>
      </c>
      <c r="C3241" s="1" t="s">
        <v>18</v>
      </c>
      <c r="D3241" s="1" t="s">
        <v>19</v>
      </c>
      <c r="E3241" s="1" t="s">
        <v>3186</v>
      </c>
      <c r="F3241">
        <v>4000</v>
      </c>
      <c r="G3241">
        <v>773</v>
      </c>
      <c r="H3241">
        <v>168</v>
      </c>
      <c r="I3241">
        <v>1513</v>
      </c>
      <c r="J3241" s="11">
        <f t="shared" si="116"/>
        <v>1.2</v>
      </c>
      <c r="K3241">
        <v>123.1</v>
      </c>
      <c r="L3241">
        <v>33.1</v>
      </c>
      <c r="M3241">
        <v>123.4</v>
      </c>
      <c r="N3241">
        <v>11.1</v>
      </c>
      <c r="O3241">
        <v>36.200000000000003</v>
      </c>
      <c r="P3241" s="11">
        <f t="shared" si="123"/>
        <v>0.2</v>
      </c>
    </row>
    <row r="3242" spans="1:16">
      <c r="A3242" s="1" t="s">
        <v>3181</v>
      </c>
      <c r="B3242" s="3" t="s">
        <v>3272</v>
      </c>
      <c r="C3242" s="1" t="s">
        <v>18</v>
      </c>
      <c r="D3242" s="1" t="s">
        <v>19</v>
      </c>
      <c r="E3242" s="1" t="s">
        <v>3186</v>
      </c>
      <c r="F3242">
        <v>2440</v>
      </c>
      <c r="G3242">
        <v>629</v>
      </c>
      <c r="H3242">
        <v>136</v>
      </c>
      <c r="I3242">
        <v>1479</v>
      </c>
      <c r="J3242" s="11">
        <f t="shared" si="116"/>
        <v>1.2</v>
      </c>
      <c r="K3242">
        <v>120.6</v>
      </c>
      <c r="L3242">
        <v>34.700000000000003</v>
      </c>
      <c r="M3242">
        <v>115.8</v>
      </c>
      <c r="N3242">
        <v>13</v>
      </c>
      <c r="O3242">
        <v>36.299999999999997</v>
      </c>
      <c r="P3242" s="11">
        <f t="shared" si="123"/>
        <v>0.2</v>
      </c>
    </row>
    <row r="3243" spans="1:16">
      <c r="A3243" s="1" t="s">
        <v>3181</v>
      </c>
      <c r="B3243" s="3" t="s">
        <v>3273</v>
      </c>
      <c r="C3243" s="1" t="s">
        <v>18</v>
      </c>
      <c r="D3243" s="1" t="s">
        <v>19</v>
      </c>
      <c r="E3243" s="1" t="s">
        <v>3186</v>
      </c>
      <c r="F3243">
        <v>3620</v>
      </c>
      <c r="G3243">
        <v>765</v>
      </c>
      <c r="H3243">
        <v>182</v>
      </c>
      <c r="I3243">
        <v>1541</v>
      </c>
      <c r="J3243" s="11">
        <f t="shared" si="116"/>
        <v>1.2</v>
      </c>
      <c r="K3243">
        <v>139.1</v>
      </c>
      <c r="L3243">
        <v>34.700000000000003</v>
      </c>
      <c r="M3243">
        <v>113.9</v>
      </c>
      <c r="N3243">
        <v>10.8</v>
      </c>
      <c r="O3243">
        <v>40.9</v>
      </c>
      <c r="P3243" s="11">
        <f t="shared" si="123"/>
        <v>0.2</v>
      </c>
    </row>
    <row r="3244" spans="1:16">
      <c r="A3244" s="1" t="s">
        <v>3181</v>
      </c>
      <c r="B3244" s="3" t="s">
        <v>3274</v>
      </c>
      <c r="C3244" s="1" t="s">
        <v>18</v>
      </c>
      <c r="D3244" s="1" t="s">
        <v>19</v>
      </c>
      <c r="E3244" s="1" t="s">
        <v>3186</v>
      </c>
      <c r="F3244">
        <v>4050</v>
      </c>
      <c r="G3244">
        <v>808</v>
      </c>
      <c r="H3244">
        <v>170</v>
      </c>
      <c r="I3244">
        <v>1602</v>
      </c>
      <c r="J3244" s="11">
        <f t="shared" si="116"/>
        <v>1.2</v>
      </c>
      <c r="K3244">
        <v>202</v>
      </c>
      <c r="L3244">
        <v>37.1</v>
      </c>
      <c r="M3244">
        <v>137.80000000000001</v>
      </c>
      <c r="N3244">
        <v>31.3</v>
      </c>
      <c r="O3244">
        <v>39.299999999999997</v>
      </c>
      <c r="P3244" s="11">
        <f t="shared" si="123"/>
        <v>0.2</v>
      </c>
    </row>
    <row r="3245" spans="1:16">
      <c r="A3245" s="1" t="s">
        <v>3181</v>
      </c>
      <c r="B3245" s="3" t="s">
        <v>3275</v>
      </c>
      <c r="C3245" s="1" t="s">
        <v>18</v>
      </c>
      <c r="D3245" s="1" t="s">
        <v>19</v>
      </c>
      <c r="E3245" s="1" t="s">
        <v>3186</v>
      </c>
      <c r="F3245">
        <v>3560</v>
      </c>
      <c r="G3245">
        <v>671</v>
      </c>
      <c r="H3245">
        <v>115</v>
      </c>
      <c r="I3245">
        <v>1507</v>
      </c>
      <c r="J3245" s="11">
        <f t="shared" si="116"/>
        <v>1.2</v>
      </c>
      <c r="K3245">
        <v>101.8</v>
      </c>
      <c r="L3245">
        <v>30</v>
      </c>
      <c r="M3245">
        <v>129.80000000000001</v>
      </c>
      <c r="N3245">
        <v>13.4</v>
      </c>
      <c r="O3245">
        <v>35.4</v>
      </c>
      <c r="P3245" s="11">
        <f t="shared" si="123"/>
        <v>0.2</v>
      </c>
    </row>
    <row r="3246" spans="1:16">
      <c r="A3246" s="1" t="s">
        <v>3181</v>
      </c>
      <c r="B3246" s="3" t="s">
        <v>3276</v>
      </c>
      <c r="C3246" s="1" t="s">
        <v>18</v>
      </c>
      <c r="D3246" s="1" t="s">
        <v>19</v>
      </c>
      <c r="E3246" s="1" t="s">
        <v>3186</v>
      </c>
      <c r="F3246">
        <v>32.6</v>
      </c>
      <c r="G3246">
        <v>130.1</v>
      </c>
      <c r="H3246">
        <v>70</v>
      </c>
      <c r="I3246">
        <v>1581</v>
      </c>
      <c r="J3246" s="11">
        <f t="shared" si="116"/>
        <v>1.2</v>
      </c>
      <c r="K3246">
        <v>37.5</v>
      </c>
      <c r="L3246">
        <v>18.7</v>
      </c>
      <c r="M3246">
        <v>178</v>
      </c>
      <c r="N3246" s="11">
        <f t="shared" ref="N3246:N3250" si="126">3/2</f>
        <v>1.5</v>
      </c>
      <c r="O3246">
        <v>29.1</v>
      </c>
      <c r="P3246" s="11">
        <f t="shared" si="123"/>
        <v>0.2</v>
      </c>
    </row>
    <row r="3247" spans="1:16">
      <c r="A3247" s="1" t="s">
        <v>3181</v>
      </c>
      <c r="B3247" s="3" t="s">
        <v>3277</v>
      </c>
      <c r="C3247" s="1" t="s">
        <v>18</v>
      </c>
      <c r="D3247" s="1" t="s">
        <v>19</v>
      </c>
      <c r="E3247" s="1" t="s">
        <v>3186</v>
      </c>
      <c r="F3247">
        <v>59.1</v>
      </c>
      <c r="G3247">
        <v>327</v>
      </c>
      <c r="H3247">
        <v>203</v>
      </c>
      <c r="I3247">
        <v>2113</v>
      </c>
      <c r="J3247" s="11">
        <f t="shared" si="116"/>
        <v>1.2</v>
      </c>
      <c r="K3247">
        <v>74.5</v>
      </c>
      <c r="L3247">
        <v>18.5</v>
      </c>
      <c r="M3247">
        <v>155.80000000000001</v>
      </c>
      <c r="N3247" s="11">
        <f t="shared" si="126"/>
        <v>1.5</v>
      </c>
      <c r="O3247">
        <v>31.6</v>
      </c>
      <c r="P3247">
        <v>0.86</v>
      </c>
    </row>
    <row r="3248" spans="1:16">
      <c r="A3248" s="1" t="s">
        <v>3181</v>
      </c>
      <c r="B3248" s="3" t="s">
        <v>3278</v>
      </c>
      <c r="C3248" s="1" t="s">
        <v>18</v>
      </c>
      <c r="D3248" s="1" t="s">
        <v>19</v>
      </c>
      <c r="E3248" s="1" t="s">
        <v>3186</v>
      </c>
      <c r="F3248">
        <v>64.3</v>
      </c>
      <c r="G3248">
        <v>375</v>
      </c>
      <c r="H3248">
        <v>209</v>
      </c>
      <c r="I3248">
        <v>1834</v>
      </c>
      <c r="J3248" s="11">
        <f t="shared" si="116"/>
        <v>1.2</v>
      </c>
      <c r="K3248">
        <v>77.900000000000006</v>
      </c>
      <c r="L3248">
        <v>20.100000000000001</v>
      </c>
      <c r="M3248">
        <v>107.6</v>
      </c>
      <c r="N3248" s="11">
        <f t="shared" si="126"/>
        <v>1.5</v>
      </c>
      <c r="O3248">
        <v>33.6</v>
      </c>
      <c r="P3248" s="11">
        <f t="shared" ref="P3248:P3255" si="127">0.4/2</f>
        <v>0.2</v>
      </c>
    </row>
    <row r="3249" spans="1:16">
      <c r="A3249" s="1" t="s">
        <v>3181</v>
      </c>
      <c r="B3249" s="3" t="s">
        <v>3279</v>
      </c>
      <c r="C3249" s="1" t="s">
        <v>18</v>
      </c>
      <c r="D3249" s="1" t="s">
        <v>19</v>
      </c>
      <c r="E3249" s="1" t="s">
        <v>3186</v>
      </c>
      <c r="F3249">
        <v>56.4</v>
      </c>
      <c r="G3249">
        <v>386</v>
      </c>
      <c r="H3249">
        <v>196</v>
      </c>
      <c r="I3249">
        <v>1617</v>
      </c>
      <c r="J3249" s="11">
        <f t="shared" si="116"/>
        <v>1.2</v>
      </c>
      <c r="K3249">
        <v>72.7</v>
      </c>
      <c r="L3249">
        <v>18.54</v>
      </c>
      <c r="M3249">
        <v>102.7</v>
      </c>
      <c r="N3249" s="11">
        <f t="shared" si="126"/>
        <v>1.5</v>
      </c>
      <c r="O3249">
        <v>31.7</v>
      </c>
      <c r="P3249" s="11">
        <f t="shared" si="127"/>
        <v>0.2</v>
      </c>
    </row>
    <row r="3250" spans="1:16">
      <c r="A3250" s="1" t="s">
        <v>3181</v>
      </c>
      <c r="B3250" s="3" t="s">
        <v>3280</v>
      </c>
      <c r="C3250" s="1" t="s">
        <v>18</v>
      </c>
      <c r="D3250" s="1" t="s">
        <v>19</v>
      </c>
      <c r="E3250" s="1" t="s">
        <v>3186</v>
      </c>
      <c r="F3250">
        <v>750</v>
      </c>
      <c r="G3250">
        <v>522</v>
      </c>
      <c r="H3250">
        <v>144</v>
      </c>
      <c r="I3250">
        <v>1690</v>
      </c>
      <c r="J3250" s="11">
        <f t="shared" si="116"/>
        <v>1.2</v>
      </c>
      <c r="K3250">
        <v>24.6</v>
      </c>
      <c r="L3250">
        <v>18.399999999999999</v>
      </c>
      <c r="M3250">
        <v>136</v>
      </c>
      <c r="N3250" s="11">
        <f t="shared" si="126"/>
        <v>1.5</v>
      </c>
      <c r="O3250">
        <v>34</v>
      </c>
      <c r="P3250" s="11">
        <f t="shared" si="127"/>
        <v>0.2</v>
      </c>
    </row>
    <row r="3251" spans="1:16">
      <c r="A3251" s="1" t="s">
        <v>3181</v>
      </c>
      <c r="B3251" s="3" t="s">
        <v>3281</v>
      </c>
      <c r="C3251" s="1" t="s">
        <v>18</v>
      </c>
      <c r="D3251" s="1" t="s">
        <v>19</v>
      </c>
      <c r="E3251" s="1" t="s">
        <v>3186</v>
      </c>
      <c r="F3251">
        <v>1090</v>
      </c>
      <c r="G3251">
        <v>504</v>
      </c>
      <c r="H3251">
        <v>140</v>
      </c>
      <c r="I3251">
        <v>1540</v>
      </c>
      <c r="J3251" s="11">
        <f t="shared" si="116"/>
        <v>1.2</v>
      </c>
      <c r="K3251">
        <v>63.3</v>
      </c>
      <c r="L3251">
        <v>18.3</v>
      </c>
      <c r="M3251">
        <v>125</v>
      </c>
      <c r="N3251">
        <v>9.6999999999999993</v>
      </c>
      <c r="O3251">
        <v>38</v>
      </c>
      <c r="P3251" s="11">
        <f t="shared" si="127"/>
        <v>0.2</v>
      </c>
    </row>
    <row r="3252" spans="1:16">
      <c r="A3252" s="1" t="s">
        <v>3181</v>
      </c>
      <c r="B3252" s="3" t="s">
        <v>3282</v>
      </c>
      <c r="C3252" s="1" t="s">
        <v>18</v>
      </c>
      <c r="D3252" s="1" t="s">
        <v>19</v>
      </c>
      <c r="E3252" s="1" t="s">
        <v>3186</v>
      </c>
      <c r="F3252">
        <v>949</v>
      </c>
      <c r="G3252">
        <v>623</v>
      </c>
      <c r="H3252">
        <v>376</v>
      </c>
      <c r="I3252">
        <v>1317</v>
      </c>
      <c r="J3252" s="11">
        <f t="shared" si="116"/>
        <v>1.2</v>
      </c>
      <c r="K3252">
        <v>97.1</v>
      </c>
      <c r="L3252">
        <v>19.600000000000001</v>
      </c>
      <c r="M3252">
        <v>106.3</v>
      </c>
      <c r="N3252">
        <v>8.9</v>
      </c>
      <c r="O3252">
        <v>40.799999999999997</v>
      </c>
      <c r="P3252" s="11">
        <f t="shared" si="127"/>
        <v>0.2</v>
      </c>
    </row>
    <row r="3253" spans="1:16">
      <c r="A3253" s="1" t="s">
        <v>3181</v>
      </c>
      <c r="B3253" s="3" t="s">
        <v>3283</v>
      </c>
      <c r="C3253" s="1" t="s">
        <v>18</v>
      </c>
      <c r="D3253" s="1" t="s">
        <v>19</v>
      </c>
      <c r="E3253" s="1" t="s">
        <v>3186</v>
      </c>
      <c r="F3253">
        <v>1250</v>
      </c>
      <c r="G3253">
        <v>764</v>
      </c>
      <c r="H3253">
        <v>161</v>
      </c>
      <c r="I3253">
        <v>1303</v>
      </c>
      <c r="J3253" s="11">
        <f t="shared" si="116"/>
        <v>1.2</v>
      </c>
      <c r="K3253">
        <v>99.5</v>
      </c>
      <c r="L3253">
        <v>19.7</v>
      </c>
      <c r="M3253">
        <v>100.2</v>
      </c>
      <c r="N3253">
        <v>8.1</v>
      </c>
      <c r="O3253">
        <v>40.299999999999997</v>
      </c>
      <c r="P3253" s="11">
        <f t="shared" si="127"/>
        <v>0.2</v>
      </c>
    </row>
    <row r="3254" spans="1:16">
      <c r="A3254" s="1" t="s">
        <v>3181</v>
      </c>
      <c r="B3254" s="3" t="s">
        <v>3284</v>
      </c>
      <c r="C3254" s="1" t="s">
        <v>18</v>
      </c>
      <c r="D3254" s="1" t="s">
        <v>19</v>
      </c>
      <c r="E3254" s="1" t="s">
        <v>3186</v>
      </c>
      <c r="F3254">
        <v>1060</v>
      </c>
      <c r="G3254">
        <v>595</v>
      </c>
      <c r="H3254">
        <v>78</v>
      </c>
      <c r="I3254">
        <v>1263</v>
      </c>
      <c r="J3254" s="11">
        <f t="shared" si="116"/>
        <v>1.2</v>
      </c>
      <c r="K3254">
        <v>72.8</v>
      </c>
      <c r="L3254">
        <v>21</v>
      </c>
      <c r="M3254">
        <v>107</v>
      </c>
      <c r="N3254" s="11">
        <f t="shared" ref="N3254:N3255" si="128">3/2</f>
        <v>1.5</v>
      </c>
      <c r="O3254">
        <v>35.5</v>
      </c>
      <c r="P3254" s="11">
        <f t="shared" si="127"/>
        <v>0.2</v>
      </c>
    </row>
    <row r="3255" spans="1:16">
      <c r="A3255" s="1" t="s">
        <v>3181</v>
      </c>
      <c r="B3255" s="3" t="s">
        <v>3285</v>
      </c>
      <c r="C3255" s="1" t="s">
        <v>18</v>
      </c>
      <c r="D3255" s="1" t="s">
        <v>19</v>
      </c>
      <c r="E3255" s="1" t="s">
        <v>3186</v>
      </c>
      <c r="F3255">
        <v>1130</v>
      </c>
      <c r="G3255">
        <v>444</v>
      </c>
      <c r="H3255">
        <v>91</v>
      </c>
      <c r="I3255">
        <v>1309</v>
      </c>
      <c r="J3255" s="11">
        <f t="shared" si="116"/>
        <v>1.2</v>
      </c>
      <c r="K3255">
        <v>64.2</v>
      </c>
      <c r="L3255">
        <v>20.6</v>
      </c>
      <c r="M3255">
        <v>109</v>
      </c>
      <c r="N3255" s="11">
        <f t="shared" si="128"/>
        <v>1.5</v>
      </c>
      <c r="O3255">
        <v>36.9</v>
      </c>
      <c r="P3255" s="11">
        <f t="shared" si="127"/>
        <v>0.2</v>
      </c>
    </row>
    <row r="3256" spans="1:16">
      <c r="A3256" s="1" t="s">
        <v>3181</v>
      </c>
      <c r="B3256" s="3" t="s">
        <v>3286</v>
      </c>
      <c r="C3256" s="1" t="s">
        <v>18</v>
      </c>
      <c r="D3256" s="1" t="s">
        <v>19</v>
      </c>
      <c r="E3256" s="1" t="s">
        <v>3186</v>
      </c>
      <c r="F3256">
        <v>1770</v>
      </c>
      <c r="G3256">
        <v>352</v>
      </c>
      <c r="H3256">
        <v>102</v>
      </c>
      <c r="I3256">
        <v>1247</v>
      </c>
      <c r="J3256">
        <v>6.7</v>
      </c>
      <c r="K3256">
        <v>119.8</v>
      </c>
      <c r="L3256">
        <v>26.6</v>
      </c>
      <c r="M3256">
        <v>124</v>
      </c>
      <c r="N3256">
        <v>9.5</v>
      </c>
      <c r="O3256">
        <v>37.6</v>
      </c>
      <c r="P3256">
        <v>0.8</v>
      </c>
    </row>
    <row r="3257" spans="1:16">
      <c r="A3257" s="1" t="s">
        <v>3181</v>
      </c>
      <c r="B3257" s="3" t="s">
        <v>3287</v>
      </c>
      <c r="C3257" s="1" t="s">
        <v>18</v>
      </c>
      <c r="D3257" s="1" t="s">
        <v>19</v>
      </c>
      <c r="E3257" s="1" t="s">
        <v>3186</v>
      </c>
      <c r="F3257">
        <v>820</v>
      </c>
      <c r="G3257">
        <v>479</v>
      </c>
      <c r="H3257">
        <v>132</v>
      </c>
      <c r="I3257">
        <v>1302</v>
      </c>
      <c r="J3257" s="11">
        <f t="shared" ref="J3257:J3296" si="129">2.4/2</f>
        <v>1.2</v>
      </c>
      <c r="K3257">
        <v>184</v>
      </c>
      <c r="L3257">
        <v>29.4</v>
      </c>
      <c r="M3257">
        <v>118</v>
      </c>
      <c r="N3257">
        <v>8.6999999999999993</v>
      </c>
      <c r="O3257">
        <v>32.5</v>
      </c>
      <c r="P3257" s="11">
        <f t="shared" ref="P3257:P3275" si="130">0.4/2</f>
        <v>0.2</v>
      </c>
    </row>
    <row r="3258" spans="1:16">
      <c r="A3258" s="1" t="s">
        <v>3181</v>
      </c>
      <c r="B3258" s="3" t="s">
        <v>3288</v>
      </c>
      <c r="C3258" s="1" t="s">
        <v>18</v>
      </c>
      <c r="D3258" s="1" t="s">
        <v>19</v>
      </c>
      <c r="E3258" s="1" t="s">
        <v>3186</v>
      </c>
      <c r="F3258">
        <v>41.6</v>
      </c>
      <c r="G3258">
        <v>361</v>
      </c>
      <c r="H3258">
        <v>89.2</v>
      </c>
      <c r="I3258">
        <v>1261</v>
      </c>
      <c r="J3258" s="11">
        <f t="shared" si="129"/>
        <v>1.2</v>
      </c>
      <c r="K3258">
        <v>89.9</v>
      </c>
      <c r="L3258">
        <v>26.4</v>
      </c>
      <c r="M3258">
        <v>118.7</v>
      </c>
      <c r="N3258" s="11">
        <f t="shared" ref="N3258:N3275" si="131">3/2</f>
        <v>1.5</v>
      </c>
      <c r="O3258">
        <v>29.1</v>
      </c>
      <c r="P3258" s="11">
        <f t="shared" si="130"/>
        <v>0.2</v>
      </c>
    </row>
    <row r="3259" spans="1:16">
      <c r="A3259" s="1" t="s">
        <v>3181</v>
      </c>
      <c r="B3259" s="3" t="s">
        <v>3289</v>
      </c>
      <c r="C3259" s="1" t="s">
        <v>18</v>
      </c>
      <c r="D3259" s="1" t="s">
        <v>19</v>
      </c>
      <c r="E3259" s="1" t="s">
        <v>3186</v>
      </c>
      <c r="F3259">
        <v>23.3</v>
      </c>
      <c r="G3259">
        <v>276</v>
      </c>
      <c r="H3259">
        <v>73.2</v>
      </c>
      <c r="I3259">
        <v>1259</v>
      </c>
      <c r="J3259" s="11">
        <f t="shared" si="129"/>
        <v>1.2</v>
      </c>
      <c r="K3259">
        <v>84.1</v>
      </c>
      <c r="L3259">
        <v>26.2</v>
      </c>
      <c r="M3259">
        <v>108.6</v>
      </c>
      <c r="N3259" s="11">
        <f t="shared" si="131"/>
        <v>1.5</v>
      </c>
      <c r="O3259">
        <v>29</v>
      </c>
      <c r="P3259" s="11">
        <f t="shared" si="130"/>
        <v>0.2</v>
      </c>
    </row>
    <row r="3260" spans="1:16">
      <c r="A3260" s="1" t="s">
        <v>3181</v>
      </c>
      <c r="B3260" s="3" t="s">
        <v>3290</v>
      </c>
      <c r="C3260" s="1" t="s">
        <v>18</v>
      </c>
      <c r="D3260" s="1" t="s">
        <v>19</v>
      </c>
      <c r="E3260" s="1" t="s">
        <v>3186</v>
      </c>
      <c r="F3260">
        <v>414</v>
      </c>
      <c r="G3260">
        <v>558</v>
      </c>
      <c r="H3260">
        <v>219</v>
      </c>
      <c r="I3260">
        <v>1370</v>
      </c>
      <c r="J3260" s="11">
        <f t="shared" si="129"/>
        <v>1.2</v>
      </c>
      <c r="K3260">
        <v>50.1</v>
      </c>
      <c r="L3260">
        <v>29.3</v>
      </c>
      <c r="M3260">
        <v>144</v>
      </c>
      <c r="N3260" s="11">
        <f t="shared" si="131"/>
        <v>1.5</v>
      </c>
      <c r="O3260">
        <v>27.9</v>
      </c>
      <c r="P3260" s="11">
        <f t="shared" si="130"/>
        <v>0.2</v>
      </c>
    </row>
    <row r="3261" spans="1:16">
      <c r="A3261" s="1" t="s">
        <v>3181</v>
      </c>
      <c r="B3261" s="3" t="s">
        <v>3291</v>
      </c>
      <c r="C3261" s="1" t="s">
        <v>18</v>
      </c>
      <c r="D3261" s="1" t="s">
        <v>19</v>
      </c>
      <c r="E3261" s="1" t="s">
        <v>3186</v>
      </c>
      <c r="F3261">
        <v>210</v>
      </c>
      <c r="G3261">
        <v>716</v>
      </c>
      <c r="H3261">
        <v>460</v>
      </c>
      <c r="I3261">
        <v>1265</v>
      </c>
      <c r="J3261" s="11">
        <f t="shared" si="129"/>
        <v>1.2</v>
      </c>
      <c r="K3261">
        <v>62.6</v>
      </c>
      <c r="L3261">
        <v>25.9</v>
      </c>
      <c r="M3261">
        <v>73.599999999999994</v>
      </c>
      <c r="N3261" s="11">
        <f t="shared" si="131"/>
        <v>1.5</v>
      </c>
      <c r="O3261">
        <v>26.9</v>
      </c>
      <c r="P3261" s="11">
        <f t="shared" si="130"/>
        <v>0.2</v>
      </c>
    </row>
    <row r="3262" spans="1:16">
      <c r="A3262" s="1" t="s">
        <v>3181</v>
      </c>
      <c r="B3262" s="3" t="s">
        <v>3292</v>
      </c>
      <c r="C3262" s="1" t="s">
        <v>18</v>
      </c>
      <c r="D3262" s="1" t="s">
        <v>19</v>
      </c>
      <c r="E3262" s="1" t="s">
        <v>3186</v>
      </c>
      <c r="F3262">
        <v>162</v>
      </c>
      <c r="G3262">
        <v>731</v>
      </c>
      <c r="H3262">
        <v>271</v>
      </c>
      <c r="I3262">
        <v>1266</v>
      </c>
      <c r="J3262" s="11">
        <f t="shared" si="129"/>
        <v>1.2</v>
      </c>
      <c r="K3262">
        <v>56.7</v>
      </c>
      <c r="L3262">
        <v>27.1</v>
      </c>
      <c r="M3262">
        <v>48.2</v>
      </c>
      <c r="N3262" s="11">
        <f t="shared" si="131"/>
        <v>1.5</v>
      </c>
      <c r="O3262">
        <v>26.3</v>
      </c>
      <c r="P3262" s="11">
        <f t="shared" si="130"/>
        <v>0.2</v>
      </c>
    </row>
    <row r="3263" spans="1:16">
      <c r="A3263" s="1" t="s">
        <v>3181</v>
      </c>
      <c r="B3263" s="3" t="s">
        <v>3293</v>
      </c>
      <c r="C3263" s="1" t="s">
        <v>18</v>
      </c>
      <c r="D3263" s="1" t="s">
        <v>19</v>
      </c>
      <c r="E3263" s="1" t="s">
        <v>3186</v>
      </c>
      <c r="F3263">
        <v>600</v>
      </c>
      <c r="G3263">
        <v>820</v>
      </c>
      <c r="H3263">
        <v>208</v>
      </c>
      <c r="I3263">
        <v>1283</v>
      </c>
      <c r="J3263" s="11">
        <f t="shared" si="129"/>
        <v>1.2</v>
      </c>
      <c r="K3263">
        <v>67.5</v>
      </c>
      <c r="L3263">
        <v>27.5</v>
      </c>
      <c r="M3263">
        <v>41.2</v>
      </c>
      <c r="N3263" s="11">
        <f t="shared" si="131"/>
        <v>1.5</v>
      </c>
      <c r="O3263">
        <v>27.4</v>
      </c>
      <c r="P3263" s="11">
        <f t="shared" si="130"/>
        <v>0.2</v>
      </c>
    </row>
    <row r="3264" spans="1:16">
      <c r="A3264" s="1" t="s">
        <v>3181</v>
      </c>
      <c r="B3264" s="3" t="s">
        <v>3294</v>
      </c>
      <c r="C3264" s="1" t="s">
        <v>18</v>
      </c>
      <c r="D3264" s="1" t="s">
        <v>19</v>
      </c>
      <c r="E3264" s="1" t="s">
        <v>3186</v>
      </c>
      <c r="F3264">
        <v>124</v>
      </c>
      <c r="G3264">
        <v>652</v>
      </c>
      <c r="H3264">
        <v>249</v>
      </c>
      <c r="I3264">
        <v>1306</v>
      </c>
      <c r="J3264" s="11">
        <f t="shared" si="129"/>
        <v>1.2</v>
      </c>
      <c r="K3264">
        <v>57.8</v>
      </c>
      <c r="L3264">
        <v>24.5</v>
      </c>
      <c r="M3264">
        <v>33.6</v>
      </c>
      <c r="N3264" s="11">
        <f t="shared" si="131"/>
        <v>1.5</v>
      </c>
      <c r="O3264">
        <v>27.4</v>
      </c>
      <c r="P3264" s="11">
        <f t="shared" si="130"/>
        <v>0.2</v>
      </c>
    </row>
    <row r="3265" spans="1:16">
      <c r="A3265" s="1" t="s">
        <v>3181</v>
      </c>
      <c r="B3265" s="3" t="s">
        <v>3295</v>
      </c>
      <c r="C3265" s="1" t="s">
        <v>18</v>
      </c>
      <c r="D3265" s="1" t="s">
        <v>19</v>
      </c>
      <c r="E3265" s="1" t="s">
        <v>3186</v>
      </c>
      <c r="F3265">
        <v>115.4</v>
      </c>
      <c r="G3265">
        <v>506</v>
      </c>
      <c r="H3265">
        <v>179</v>
      </c>
      <c r="I3265">
        <v>1270</v>
      </c>
      <c r="J3265" s="11">
        <f t="shared" si="129"/>
        <v>1.2</v>
      </c>
      <c r="K3265">
        <v>51.4</v>
      </c>
      <c r="L3265">
        <v>26.7</v>
      </c>
      <c r="M3265">
        <v>102.8</v>
      </c>
      <c r="N3265" s="11">
        <f t="shared" si="131"/>
        <v>1.5</v>
      </c>
      <c r="O3265">
        <v>27.3</v>
      </c>
      <c r="P3265" s="11">
        <f t="shared" si="130"/>
        <v>0.2</v>
      </c>
    </row>
    <row r="3266" spans="1:16">
      <c r="A3266" s="1" t="s">
        <v>3181</v>
      </c>
      <c r="B3266" s="3" t="s">
        <v>3296</v>
      </c>
      <c r="C3266" s="1" t="s">
        <v>18</v>
      </c>
      <c r="D3266" s="1" t="s">
        <v>19</v>
      </c>
      <c r="E3266" s="1" t="s">
        <v>3186</v>
      </c>
      <c r="F3266">
        <v>231</v>
      </c>
      <c r="G3266">
        <v>940</v>
      </c>
      <c r="H3266">
        <v>287</v>
      </c>
      <c r="I3266">
        <v>1320</v>
      </c>
      <c r="J3266" s="11">
        <f t="shared" si="129"/>
        <v>1.2</v>
      </c>
      <c r="K3266">
        <v>69.3</v>
      </c>
      <c r="L3266">
        <v>28.7</v>
      </c>
      <c r="M3266">
        <v>59.9</v>
      </c>
      <c r="N3266" s="11">
        <f t="shared" si="131"/>
        <v>1.5</v>
      </c>
      <c r="O3266">
        <v>29.8</v>
      </c>
      <c r="P3266" s="11">
        <f t="shared" si="130"/>
        <v>0.2</v>
      </c>
    </row>
    <row r="3267" spans="1:16">
      <c r="A3267" s="1" t="s">
        <v>3181</v>
      </c>
      <c r="B3267" s="3" t="s">
        <v>3297</v>
      </c>
      <c r="C3267" s="1" t="s">
        <v>18</v>
      </c>
      <c r="D3267" s="1" t="s">
        <v>19</v>
      </c>
      <c r="E3267" s="1" t="s">
        <v>3186</v>
      </c>
      <c r="F3267">
        <v>1248</v>
      </c>
      <c r="G3267">
        <v>1482</v>
      </c>
      <c r="H3267">
        <v>189</v>
      </c>
      <c r="I3267">
        <v>1285</v>
      </c>
      <c r="J3267" s="11">
        <f t="shared" si="129"/>
        <v>1.2</v>
      </c>
      <c r="K3267">
        <v>86.8</v>
      </c>
      <c r="L3267">
        <v>27.8</v>
      </c>
      <c r="M3267">
        <v>30.6</v>
      </c>
      <c r="N3267" s="11">
        <f t="shared" si="131"/>
        <v>1.5</v>
      </c>
      <c r="O3267">
        <v>31.7</v>
      </c>
      <c r="P3267" s="11">
        <f t="shared" si="130"/>
        <v>0.2</v>
      </c>
    </row>
    <row r="3268" spans="1:16">
      <c r="A3268" s="1" t="s">
        <v>3181</v>
      </c>
      <c r="B3268" s="3" t="s">
        <v>3298</v>
      </c>
      <c r="C3268" s="1" t="s">
        <v>18</v>
      </c>
      <c r="D3268" s="1" t="s">
        <v>19</v>
      </c>
      <c r="E3268" s="1" t="s">
        <v>3186</v>
      </c>
      <c r="F3268">
        <v>189</v>
      </c>
      <c r="G3268">
        <v>1242</v>
      </c>
      <c r="H3268">
        <v>133</v>
      </c>
      <c r="I3268">
        <v>1244</v>
      </c>
      <c r="J3268" s="11">
        <f t="shared" si="129"/>
        <v>1.2</v>
      </c>
      <c r="K3268">
        <v>59.2</v>
      </c>
      <c r="L3268">
        <v>27.1</v>
      </c>
      <c r="M3268">
        <v>27.2</v>
      </c>
      <c r="N3268" s="11">
        <f t="shared" si="131"/>
        <v>1.5</v>
      </c>
      <c r="O3268">
        <v>26.6</v>
      </c>
      <c r="P3268" s="11">
        <f t="shared" si="130"/>
        <v>0.2</v>
      </c>
    </row>
    <row r="3269" spans="1:16">
      <c r="A3269" s="1" t="s">
        <v>3181</v>
      </c>
      <c r="B3269" s="3" t="s">
        <v>3299</v>
      </c>
      <c r="C3269" s="1" t="s">
        <v>18</v>
      </c>
      <c r="D3269" s="1" t="s">
        <v>19</v>
      </c>
      <c r="E3269" s="1" t="s">
        <v>3186</v>
      </c>
      <c r="F3269">
        <v>44.1</v>
      </c>
      <c r="G3269">
        <v>481</v>
      </c>
      <c r="H3269">
        <v>179</v>
      </c>
      <c r="I3269">
        <v>1051</v>
      </c>
      <c r="J3269" s="11">
        <f t="shared" si="129"/>
        <v>1.2</v>
      </c>
      <c r="K3269">
        <v>57.8</v>
      </c>
      <c r="L3269">
        <v>40.6</v>
      </c>
      <c r="M3269">
        <v>35.9</v>
      </c>
      <c r="N3269" s="11">
        <f t="shared" si="131"/>
        <v>1.5</v>
      </c>
      <c r="O3269">
        <v>24.8</v>
      </c>
      <c r="P3269" s="11">
        <f t="shared" si="130"/>
        <v>0.2</v>
      </c>
    </row>
    <row r="3270" spans="1:16">
      <c r="A3270" s="1" t="s">
        <v>3181</v>
      </c>
      <c r="B3270" s="3" t="s">
        <v>3300</v>
      </c>
      <c r="C3270" s="1" t="s">
        <v>18</v>
      </c>
      <c r="D3270" s="1" t="s">
        <v>19</v>
      </c>
      <c r="E3270" s="1" t="s">
        <v>3186</v>
      </c>
      <c r="F3270">
        <v>355</v>
      </c>
      <c r="G3270">
        <v>860</v>
      </c>
      <c r="H3270">
        <v>101</v>
      </c>
      <c r="I3270">
        <v>930</v>
      </c>
      <c r="J3270" s="11">
        <f t="shared" si="129"/>
        <v>1.2</v>
      </c>
      <c r="K3270">
        <v>33.200000000000003</v>
      </c>
      <c r="L3270">
        <v>33.5</v>
      </c>
      <c r="M3270">
        <v>26.2</v>
      </c>
      <c r="N3270" s="11">
        <f t="shared" si="131"/>
        <v>1.5</v>
      </c>
      <c r="O3270">
        <v>28</v>
      </c>
      <c r="P3270" s="11">
        <f t="shared" si="130"/>
        <v>0.2</v>
      </c>
    </row>
    <row r="3271" spans="1:16">
      <c r="A3271" s="1" t="s">
        <v>3181</v>
      </c>
      <c r="B3271" s="3" t="s">
        <v>3301</v>
      </c>
      <c r="C3271" s="1" t="s">
        <v>18</v>
      </c>
      <c r="D3271" s="1" t="s">
        <v>19</v>
      </c>
      <c r="E3271" s="1" t="s">
        <v>3186</v>
      </c>
      <c r="F3271">
        <v>630</v>
      </c>
      <c r="G3271">
        <v>1750</v>
      </c>
      <c r="H3271">
        <v>350</v>
      </c>
      <c r="I3271">
        <v>1139</v>
      </c>
      <c r="J3271" s="11">
        <f t="shared" si="129"/>
        <v>1.2</v>
      </c>
      <c r="K3271">
        <v>51.4</v>
      </c>
      <c r="L3271">
        <v>38</v>
      </c>
      <c r="M3271">
        <v>34.5</v>
      </c>
      <c r="N3271" s="11">
        <f t="shared" si="131"/>
        <v>1.5</v>
      </c>
      <c r="O3271">
        <v>42.9</v>
      </c>
      <c r="P3271" s="11">
        <f t="shared" si="130"/>
        <v>0.2</v>
      </c>
    </row>
    <row r="3272" spans="1:16">
      <c r="A3272" s="1" t="s">
        <v>3181</v>
      </c>
      <c r="B3272" s="3" t="s">
        <v>3302</v>
      </c>
      <c r="C3272" s="1" t="s">
        <v>18</v>
      </c>
      <c r="D3272" s="1" t="s">
        <v>19</v>
      </c>
      <c r="E3272" s="1" t="s">
        <v>3186</v>
      </c>
      <c r="F3272">
        <v>392</v>
      </c>
      <c r="G3272">
        <v>1610</v>
      </c>
      <c r="H3272">
        <v>326</v>
      </c>
      <c r="I3272">
        <v>1071</v>
      </c>
      <c r="J3272" s="11">
        <f t="shared" si="129"/>
        <v>1.2</v>
      </c>
      <c r="K3272">
        <v>61.6</v>
      </c>
      <c r="L3272">
        <v>43.7</v>
      </c>
      <c r="M3272">
        <v>34.5</v>
      </c>
      <c r="N3272" s="11">
        <f t="shared" si="131"/>
        <v>1.5</v>
      </c>
      <c r="O3272">
        <v>31.3</v>
      </c>
      <c r="P3272" s="11">
        <f t="shared" si="130"/>
        <v>0.2</v>
      </c>
    </row>
    <row r="3273" spans="1:16">
      <c r="A3273" s="1" t="s">
        <v>3181</v>
      </c>
      <c r="B3273" s="3" t="s">
        <v>3303</v>
      </c>
      <c r="C3273" s="1" t="s">
        <v>18</v>
      </c>
      <c r="D3273" s="1" t="s">
        <v>19</v>
      </c>
      <c r="E3273" s="1" t="s">
        <v>3186</v>
      </c>
      <c r="F3273">
        <v>928</v>
      </c>
      <c r="G3273">
        <v>2290</v>
      </c>
      <c r="H3273">
        <v>303</v>
      </c>
      <c r="I3273">
        <v>989</v>
      </c>
      <c r="J3273" s="11">
        <f t="shared" si="129"/>
        <v>1.2</v>
      </c>
      <c r="K3273">
        <v>58.5</v>
      </c>
      <c r="L3273">
        <v>39</v>
      </c>
      <c r="M3273">
        <v>38.200000000000003</v>
      </c>
      <c r="N3273" s="11">
        <f t="shared" si="131"/>
        <v>1.5</v>
      </c>
      <c r="O3273">
        <v>29</v>
      </c>
      <c r="P3273" s="11">
        <f t="shared" si="130"/>
        <v>0.2</v>
      </c>
    </row>
    <row r="3274" spans="1:16">
      <c r="A3274" s="1" t="s">
        <v>3181</v>
      </c>
      <c r="B3274" s="3" t="s">
        <v>3304</v>
      </c>
      <c r="C3274" s="1" t="s">
        <v>18</v>
      </c>
      <c r="D3274" s="1" t="s">
        <v>19</v>
      </c>
      <c r="E3274" s="1" t="s">
        <v>3186</v>
      </c>
      <c r="F3274">
        <v>248</v>
      </c>
      <c r="G3274">
        <v>258</v>
      </c>
      <c r="H3274">
        <v>142</v>
      </c>
      <c r="I3274">
        <v>1542</v>
      </c>
      <c r="J3274" s="11">
        <f t="shared" si="129"/>
        <v>1.2</v>
      </c>
      <c r="K3274">
        <v>137.30000000000001</v>
      </c>
      <c r="L3274">
        <v>22.7</v>
      </c>
      <c r="M3274">
        <v>175.9</v>
      </c>
      <c r="N3274" s="11">
        <f t="shared" si="131"/>
        <v>1.5</v>
      </c>
      <c r="O3274">
        <v>30.1</v>
      </c>
      <c r="P3274" s="11">
        <f t="shared" si="130"/>
        <v>0.2</v>
      </c>
    </row>
    <row r="3275" spans="1:16">
      <c r="A3275" s="1" t="s">
        <v>3181</v>
      </c>
      <c r="B3275" s="3" t="s">
        <v>3305</v>
      </c>
      <c r="C3275" s="1" t="s">
        <v>18</v>
      </c>
      <c r="D3275" s="1" t="s">
        <v>19</v>
      </c>
      <c r="E3275" s="1" t="s">
        <v>3186</v>
      </c>
      <c r="F3275">
        <v>146</v>
      </c>
      <c r="G3275">
        <v>519</v>
      </c>
      <c r="H3275">
        <v>123</v>
      </c>
      <c r="I3275">
        <v>1562</v>
      </c>
      <c r="J3275" s="11">
        <f t="shared" si="129"/>
        <v>1.2</v>
      </c>
      <c r="K3275">
        <v>128.5</v>
      </c>
      <c r="L3275">
        <v>22.7</v>
      </c>
      <c r="M3275">
        <v>121.5</v>
      </c>
      <c r="N3275" s="11">
        <f t="shared" si="131"/>
        <v>1.5</v>
      </c>
      <c r="O3275">
        <v>36.799999999999997</v>
      </c>
      <c r="P3275" s="11">
        <f t="shared" si="130"/>
        <v>0.2</v>
      </c>
    </row>
    <row r="3276" spans="1:16">
      <c r="A3276" s="1" t="s">
        <v>3181</v>
      </c>
      <c r="B3276" s="3" t="s">
        <v>3306</v>
      </c>
      <c r="C3276" s="1" t="s">
        <v>18</v>
      </c>
      <c r="D3276" s="1" t="s">
        <v>19</v>
      </c>
      <c r="E3276" s="1" t="s">
        <v>3186</v>
      </c>
      <c r="F3276">
        <v>407</v>
      </c>
      <c r="G3276">
        <v>1410</v>
      </c>
      <c r="H3276">
        <v>586</v>
      </c>
      <c r="I3276">
        <v>1614</v>
      </c>
      <c r="J3276" s="11">
        <f t="shared" si="129"/>
        <v>1.2</v>
      </c>
      <c r="K3276">
        <v>156</v>
      </c>
      <c r="L3276">
        <v>26.4</v>
      </c>
      <c r="M3276">
        <v>60.5</v>
      </c>
      <c r="N3276">
        <v>9.3000000000000007</v>
      </c>
      <c r="O3276">
        <v>37.799999999999997</v>
      </c>
      <c r="P3276">
        <v>1.1299999999999999</v>
      </c>
    </row>
    <row r="3277" spans="1:16">
      <c r="A3277" s="1" t="s">
        <v>3181</v>
      </c>
      <c r="B3277" s="3" t="s">
        <v>3307</v>
      </c>
      <c r="C3277" s="1" t="s">
        <v>18</v>
      </c>
      <c r="D3277" s="1" t="s">
        <v>19</v>
      </c>
      <c r="E3277" s="1" t="s">
        <v>3186</v>
      </c>
      <c r="F3277">
        <v>356</v>
      </c>
      <c r="G3277">
        <v>1330</v>
      </c>
      <c r="H3277">
        <v>515</v>
      </c>
      <c r="I3277">
        <v>1531</v>
      </c>
      <c r="J3277" s="11">
        <f t="shared" si="129"/>
        <v>1.2</v>
      </c>
      <c r="K3277">
        <v>230</v>
      </c>
      <c r="L3277">
        <v>26.6</v>
      </c>
      <c r="M3277">
        <v>68</v>
      </c>
      <c r="N3277">
        <v>18.3</v>
      </c>
      <c r="O3277">
        <v>43.1</v>
      </c>
      <c r="P3277">
        <v>0.71</v>
      </c>
    </row>
    <row r="3278" spans="1:16">
      <c r="A3278" s="1" t="s">
        <v>3181</v>
      </c>
      <c r="B3278" s="3" t="s">
        <v>3308</v>
      </c>
      <c r="C3278" s="1" t="s">
        <v>18</v>
      </c>
      <c r="D3278" s="1" t="s">
        <v>19</v>
      </c>
      <c r="E3278" s="1" t="s">
        <v>3186</v>
      </c>
      <c r="F3278">
        <v>327</v>
      </c>
      <c r="G3278">
        <v>1480</v>
      </c>
      <c r="H3278">
        <v>667</v>
      </c>
      <c r="I3278">
        <v>1484</v>
      </c>
      <c r="J3278" s="11">
        <f t="shared" si="129"/>
        <v>1.2</v>
      </c>
      <c r="K3278">
        <v>119.6</v>
      </c>
      <c r="L3278">
        <v>24.5</v>
      </c>
      <c r="M3278">
        <v>66.8</v>
      </c>
      <c r="N3278">
        <v>7.1</v>
      </c>
      <c r="O3278">
        <v>41.4</v>
      </c>
      <c r="P3278">
        <v>1.24</v>
      </c>
    </row>
    <row r="3279" spans="1:16">
      <c r="A3279" s="1" t="s">
        <v>3181</v>
      </c>
      <c r="B3279" s="3" t="s">
        <v>3309</v>
      </c>
      <c r="C3279" s="1" t="s">
        <v>18</v>
      </c>
      <c r="D3279" s="1" t="s">
        <v>19</v>
      </c>
      <c r="E3279" s="1" t="s">
        <v>3186</v>
      </c>
      <c r="F3279">
        <v>194</v>
      </c>
      <c r="G3279">
        <v>1360</v>
      </c>
      <c r="H3279">
        <v>504</v>
      </c>
      <c r="I3279">
        <v>1455</v>
      </c>
      <c r="J3279" s="11">
        <f t="shared" si="129"/>
        <v>1.2</v>
      </c>
      <c r="K3279">
        <v>137.4</v>
      </c>
      <c r="L3279">
        <v>26.8</v>
      </c>
      <c r="M3279">
        <v>61.4</v>
      </c>
      <c r="N3279" s="11">
        <f>3/2</f>
        <v>1.5</v>
      </c>
      <c r="O3279">
        <v>37.6</v>
      </c>
      <c r="P3279" s="11">
        <f t="shared" ref="P3279:P3283" si="132">0.4/2</f>
        <v>0.2</v>
      </c>
    </row>
    <row r="3280" spans="1:16">
      <c r="A3280" s="1" t="s">
        <v>3181</v>
      </c>
      <c r="B3280" s="3" t="s">
        <v>3310</v>
      </c>
      <c r="C3280" s="1" t="s">
        <v>18</v>
      </c>
      <c r="D3280" s="1" t="s">
        <v>19</v>
      </c>
      <c r="E3280" s="1" t="s">
        <v>3186</v>
      </c>
      <c r="F3280">
        <v>694</v>
      </c>
      <c r="G3280">
        <v>1431</v>
      </c>
      <c r="H3280">
        <v>738</v>
      </c>
      <c r="I3280">
        <v>1944</v>
      </c>
      <c r="J3280" s="11">
        <f t="shared" si="129"/>
        <v>1.2</v>
      </c>
      <c r="K3280">
        <v>141.69999999999999</v>
      </c>
      <c r="L3280">
        <v>30.4</v>
      </c>
      <c r="M3280">
        <v>66.599999999999994</v>
      </c>
      <c r="N3280">
        <v>8.9</v>
      </c>
      <c r="O3280">
        <v>40.700000000000003</v>
      </c>
      <c r="P3280" s="11">
        <f t="shared" si="132"/>
        <v>0.2</v>
      </c>
    </row>
    <row r="3281" spans="1:16">
      <c r="A3281" s="1" t="s">
        <v>3181</v>
      </c>
      <c r="B3281" s="3" t="s">
        <v>3311</v>
      </c>
      <c r="C3281" s="1" t="s">
        <v>18</v>
      </c>
      <c r="D3281" s="1" t="s">
        <v>19</v>
      </c>
      <c r="E3281" s="1" t="s">
        <v>3186</v>
      </c>
      <c r="F3281">
        <v>391</v>
      </c>
      <c r="G3281">
        <v>1256</v>
      </c>
      <c r="H3281">
        <v>642</v>
      </c>
      <c r="I3281">
        <v>2002</v>
      </c>
      <c r="J3281" s="11">
        <f t="shared" si="129"/>
        <v>1.2</v>
      </c>
      <c r="K3281">
        <v>151.4</v>
      </c>
      <c r="L3281">
        <v>29.8</v>
      </c>
      <c r="M3281">
        <v>73.5</v>
      </c>
      <c r="N3281">
        <v>7.9</v>
      </c>
      <c r="O3281">
        <v>44.5</v>
      </c>
      <c r="P3281" s="11">
        <f t="shared" si="132"/>
        <v>0.2</v>
      </c>
    </row>
    <row r="3282" spans="1:16">
      <c r="A3282" s="1" t="s">
        <v>3181</v>
      </c>
      <c r="B3282" s="3" t="s">
        <v>3312</v>
      </c>
      <c r="C3282" s="1" t="s">
        <v>18</v>
      </c>
      <c r="D3282" s="1" t="s">
        <v>19</v>
      </c>
      <c r="E3282" s="1" t="s">
        <v>3186</v>
      </c>
      <c r="F3282">
        <v>1030</v>
      </c>
      <c r="G3282">
        <v>1350</v>
      </c>
      <c r="H3282">
        <v>422</v>
      </c>
      <c r="I3282">
        <v>1930</v>
      </c>
      <c r="J3282" s="11">
        <f t="shared" si="129"/>
        <v>1.2</v>
      </c>
      <c r="K3282">
        <v>195</v>
      </c>
      <c r="L3282">
        <v>30.2</v>
      </c>
      <c r="M3282">
        <v>67.900000000000006</v>
      </c>
      <c r="N3282">
        <v>10.9</v>
      </c>
      <c r="O3282">
        <v>41.6</v>
      </c>
      <c r="P3282" s="11">
        <f t="shared" si="132"/>
        <v>0.2</v>
      </c>
    </row>
    <row r="3283" spans="1:16">
      <c r="A3283" s="1" t="s">
        <v>3181</v>
      </c>
      <c r="B3283" s="3" t="s">
        <v>3313</v>
      </c>
      <c r="C3283" s="1" t="s">
        <v>18</v>
      </c>
      <c r="D3283" s="1" t="s">
        <v>19</v>
      </c>
      <c r="E3283" s="1" t="s">
        <v>3186</v>
      </c>
      <c r="F3283">
        <v>309</v>
      </c>
      <c r="G3283">
        <v>1052</v>
      </c>
      <c r="H3283">
        <v>559</v>
      </c>
      <c r="I3283">
        <v>2020</v>
      </c>
      <c r="J3283" s="11">
        <f t="shared" si="129"/>
        <v>1.2</v>
      </c>
      <c r="K3283">
        <v>161</v>
      </c>
      <c r="L3283">
        <v>28.6</v>
      </c>
      <c r="M3283">
        <v>63.4</v>
      </c>
      <c r="N3283">
        <v>13.9</v>
      </c>
      <c r="O3283">
        <v>42.3</v>
      </c>
      <c r="P3283" s="11">
        <f t="shared" si="132"/>
        <v>0.2</v>
      </c>
    </row>
    <row r="3284" spans="1:16">
      <c r="A3284" s="1" t="s">
        <v>3181</v>
      </c>
      <c r="B3284" s="3" t="s">
        <v>3314</v>
      </c>
      <c r="C3284" s="1" t="s">
        <v>18</v>
      </c>
      <c r="D3284" s="1" t="s">
        <v>19</v>
      </c>
      <c r="E3284" s="1" t="s">
        <v>3186</v>
      </c>
      <c r="F3284">
        <v>2550</v>
      </c>
      <c r="G3284">
        <v>3010</v>
      </c>
      <c r="H3284">
        <v>1990</v>
      </c>
      <c r="I3284">
        <v>2037</v>
      </c>
      <c r="J3284" s="11">
        <f t="shared" si="129"/>
        <v>1.2</v>
      </c>
      <c r="K3284">
        <v>170</v>
      </c>
      <c r="L3284">
        <v>28.3</v>
      </c>
      <c r="M3284">
        <v>63.7</v>
      </c>
      <c r="N3284" s="11">
        <f>3/2</f>
        <v>1.5</v>
      </c>
      <c r="O3284">
        <v>59</v>
      </c>
      <c r="P3284">
        <v>2.4500000000000002</v>
      </c>
    </row>
    <row r="3285" spans="1:16">
      <c r="A3285" s="1" t="s">
        <v>3181</v>
      </c>
      <c r="B3285" s="3" t="s">
        <v>3315</v>
      </c>
      <c r="C3285" s="1" t="s">
        <v>18</v>
      </c>
      <c r="D3285" s="1" t="s">
        <v>19</v>
      </c>
      <c r="E3285" s="1" t="s">
        <v>3186</v>
      </c>
      <c r="F3285">
        <v>304</v>
      </c>
      <c r="G3285">
        <v>1240</v>
      </c>
      <c r="H3285">
        <v>423</v>
      </c>
      <c r="I3285">
        <v>1970</v>
      </c>
      <c r="J3285" s="11">
        <f t="shared" si="129"/>
        <v>1.2</v>
      </c>
      <c r="K3285">
        <v>143.80000000000001</v>
      </c>
      <c r="L3285">
        <v>31.5</v>
      </c>
      <c r="M3285">
        <v>60.3</v>
      </c>
      <c r="N3285">
        <v>11.2</v>
      </c>
      <c r="O3285">
        <v>43.4</v>
      </c>
      <c r="P3285" s="11">
        <f t="shared" ref="P3285:P3296" si="133">0.4/2</f>
        <v>0.2</v>
      </c>
    </row>
    <row r="3286" spans="1:16">
      <c r="A3286" s="1" t="s">
        <v>3181</v>
      </c>
      <c r="B3286" s="3" t="s">
        <v>3316</v>
      </c>
      <c r="C3286" s="1" t="s">
        <v>18</v>
      </c>
      <c r="D3286" s="1" t="s">
        <v>19</v>
      </c>
      <c r="E3286" s="1" t="s">
        <v>3186</v>
      </c>
      <c r="F3286">
        <v>1560</v>
      </c>
      <c r="G3286">
        <v>1910</v>
      </c>
      <c r="H3286">
        <v>860</v>
      </c>
      <c r="I3286">
        <v>2080</v>
      </c>
      <c r="J3286" s="11">
        <f t="shared" si="129"/>
        <v>1.2</v>
      </c>
      <c r="K3286">
        <v>183</v>
      </c>
      <c r="L3286">
        <v>31.5</v>
      </c>
      <c r="M3286">
        <v>73.3</v>
      </c>
      <c r="N3286" s="11">
        <f>3/2</f>
        <v>1.5</v>
      </c>
      <c r="O3286">
        <v>53.1</v>
      </c>
      <c r="P3286" s="11">
        <f t="shared" si="133"/>
        <v>0.2</v>
      </c>
    </row>
    <row r="3287" spans="1:16">
      <c r="A3287" s="1" t="s">
        <v>3181</v>
      </c>
      <c r="B3287" s="3" t="s">
        <v>3317</v>
      </c>
      <c r="C3287" s="1" t="s">
        <v>18</v>
      </c>
      <c r="D3287" s="1" t="s">
        <v>19</v>
      </c>
      <c r="E3287" s="1" t="s">
        <v>3186</v>
      </c>
      <c r="F3287">
        <v>1850</v>
      </c>
      <c r="G3287">
        <v>1293</v>
      </c>
      <c r="H3287">
        <v>936</v>
      </c>
      <c r="I3287">
        <v>2025</v>
      </c>
      <c r="J3287" s="11">
        <f t="shared" si="129"/>
        <v>1.2</v>
      </c>
      <c r="K3287">
        <v>187</v>
      </c>
      <c r="L3287">
        <v>27.3</v>
      </c>
      <c r="M3287">
        <v>58.4</v>
      </c>
      <c r="N3287">
        <v>8.6999999999999993</v>
      </c>
      <c r="O3287">
        <v>48.3</v>
      </c>
      <c r="P3287" s="11">
        <f t="shared" si="133"/>
        <v>0.2</v>
      </c>
    </row>
    <row r="3288" spans="1:16">
      <c r="A3288" s="1" t="s">
        <v>3181</v>
      </c>
      <c r="B3288" s="3" t="s">
        <v>3318</v>
      </c>
      <c r="C3288" s="1" t="s">
        <v>18</v>
      </c>
      <c r="D3288" s="1" t="s">
        <v>19</v>
      </c>
      <c r="E3288" s="1" t="s">
        <v>3186</v>
      </c>
      <c r="F3288">
        <v>1240</v>
      </c>
      <c r="G3288">
        <v>1084</v>
      </c>
      <c r="H3288">
        <v>767</v>
      </c>
      <c r="I3288">
        <v>1928</v>
      </c>
      <c r="J3288" s="11">
        <f t="shared" si="129"/>
        <v>1.2</v>
      </c>
      <c r="K3288">
        <v>171</v>
      </c>
      <c r="L3288">
        <v>27.8</v>
      </c>
      <c r="M3288">
        <v>66.099999999999994</v>
      </c>
      <c r="N3288">
        <v>8.8000000000000007</v>
      </c>
      <c r="O3288">
        <v>46.4</v>
      </c>
      <c r="P3288" s="11">
        <f t="shared" si="133"/>
        <v>0.2</v>
      </c>
    </row>
    <row r="3289" spans="1:16">
      <c r="A3289" s="1" t="s">
        <v>3181</v>
      </c>
      <c r="B3289" s="3" t="s">
        <v>3319</v>
      </c>
      <c r="C3289" s="1" t="s">
        <v>18</v>
      </c>
      <c r="D3289" s="1" t="s">
        <v>19</v>
      </c>
      <c r="E3289" s="1" t="s">
        <v>3186</v>
      </c>
      <c r="F3289">
        <v>1820</v>
      </c>
      <c r="G3289">
        <v>1040</v>
      </c>
      <c r="H3289">
        <v>640</v>
      </c>
      <c r="I3289">
        <v>1881</v>
      </c>
      <c r="J3289" s="11">
        <f t="shared" si="129"/>
        <v>1.2</v>
      </c>
      <c r="K3289">
        <v>155</v>
      </c>
      <c r="L3289">
        <v>28</v>
      </c>
      <c r="M3289">
        <v>74.099999999999994</v>
      </c>
      <c r="N3289" s="11">
        <f>3/2</f>
        <v>1.5</v>
      </c>
      <c r="O3289">
        <v>39.299999999999997</v>
      </c>
      <c r="P3289" s="11">
        <f t="shared" si="133"/>
        <v>0.2</v>
      </c>
    </row>
    <row r="3290" spans="1:16">
      <c r="A3290" s="1" t="s">
        <v>3181</v>
      </c>
      <c r="B3290" s="3" t="s">
        <v>3320</v>
      </c>
      <c r="C3290" s="1" t="s">
        <v>18</v>
      </c>
      <c r="D3290" s="1" t="s">
        <v>19</v>
      </c>
      <c r="E3290" s="1" t="s">
        <v>3186</v>
      </c>
      <c r="F3290">
        <v>243</v>
      </c>
      <c r="G3290">
        <v>707</v>
      </c>
      <c r="H3290">
        <v>697</v>
      </c>
      <c r="I3290">
        <v>1984</v>
      </c>
      <c r="J3290" s="11">
        <f t="shared" si="129"/>
        <v>1.2</v>
      </c>
      <c r="K3290">
        <v>152.4</v>
      </c>
      <c r="L3290">
        <v>26</v>
      </c>
      <c r="M3290">
        <v>62.3</v>
      </c>
      <c r="N3290">
        <v>11</v>
      </c>
      <c r="O3290">
        <v>39.4</v>
      </c>
      <c r="P3290" s="11">
        <f t="shared" si="133"/>
        <v>0.2</v>
      </c>
    </row>
    <row r="3291" spans="1:16">
      <c r="A3291" s="1" t="s">
        <v>3181</v>
      </c>
      <c r="B3291" s="3" t="s">
        <v>3321</v>
      </c>
      <c r="C3291" s="1" t="s">
        <v>18</v>
      </c>
      <c r="D3291" s="1" t="s">
        <v>19</v>
      </c>
      <c r="E3291" s="1" t="s">
        <v>3186</v>
      </c>
      <c r="F3291">
        <v>43</v>
      </c>
      <c r="G3291">
        <v>204</v>
      </c>
      <c r="H3291">
        <v>127</v>
      </c>
      <c r="I3291">
        <v>2092</v>
      </c>
      <c r="J3291" s="11">
        <f t="shared" si="129"/>
        <v>1.2</v>
      </c>
      <c r="K3291">
        <v>161.6</v>
      </c>
      <c r="L3291">
        <v>25.6</v>
      </c>
      <c r="M3291">
        <v>62.2</v>
      </c>
      <c r="N3291" s="11">
        <f>3/2</f>
        <v>1.5</v>
      </c>
      <c r="O3291">
        <v>31.5</v>
      </c>
      <c r="P3291" s="11">
        <f t="shared" si="133"/>
        <v>0.2</v>
      </c>
    </row>
    <row r="3292" spans="1:16">
      <c r="A3292" s="1" t="s">
        <v>3181</v>
      </c>
      <c r="B3292" s="3" t="s">
        <v>3322</v>
      </c>
      <c r="C3292" s="1" t="s">
        <v>18</v>
      </c>
      <c r="D3292" s="1" t="s">
        <v>19</v>
      </c>
      <c r="E3292" s="1" t="s">
        <v>3186</v>
      </c>
      <c r="F3292">
        <v>830</v>
      </c>
      <c r="G3292">
        <v>1640</v>
      </c>
      <c r="H3292">
        <v>600</v>
      </c>
      <c r="I3292">
        <v>1890</v>
      </c>
      <c r="J3292" s="11">
        <f t="shared" si="129"/>
        <v>1.2</v>
      </c>
      <c r="K3292">
        <v>211</v>
      </c>
      <c r="L3292">
        <v>27</v>
      </c>
      <c r="M3292">
        <v>63</v>
      </c>
      <c r="N3292">
        <v>14.5</v>
      </c>
      <c r="O3292">
        <v>38.5</v>
      </c>
      <c r="P3292" s="11">
        <f t="shared" si="133"/>
        <v>0.2</v>
      </c>
    </row>
    <row r="3293" spans="1:16">
      <c r="A3293" s="1" t="s">
        <v>3181</v>
      </c>
      <c r="B3293" s="3" t="s">
        <v>3323</v>
      </c>
      <c r="C3293" s="1" t="s">
        <v>18</v>
      </c>
      <c r="D3293" s="1" t="s">
        <v>19</v>
      </c>
      <c r="E3293" s="1" t="s">
        <v>3186</v>
      </c>
      <c r="F3293">
        <v>930</v>
      </c>
      <c r="G3293">
        <v>1600</v>
      </c>
      <c r="H3293">
        <v>182</v>
      </c>
      <c r="I3293">
        <v>2018</v>
      </c>
      <c r="J3293" s="11">
        <f t="shared" si="129"/>
        <v>1.2</v>
      </c>
      <c r="K3293">
        <v>197</v>
      </c>
      <c r="L3293">
        <v>23.8</v>
      </c>
      <c r="M3293">
        <v>57.2</v>
      </c>
      <c r="N3293" s="11">
        <f t="shared" ref="N3293:N3295" si="134">3/2</f>
        <v>1.5</v>
      </c>
      <c r="O3293">
        <v>35.9</v>
      </c>
      <c r="P3293" s="11">
        <f t="shared" si="133"/>
        <v>0.2</v>
      </c>
    </row>
    <row r="3294" spans="1:16">
      <c r="A3294" s="1" t="s">
        <v>3181</v>
      </c>
      <c r="B3294" s="3" t="s">
        <v>3324</v>
      </c>
      <c r="C3294" s="1" t="s">
        <v>18</v>
      </c>
      <c r="D3294" s="1" t="s">
        <v>19</v>
      </c>
      <c r="E3294" s="1" t="s">
        <v>3186</v>
      </c>
      <c r="F3294">
        <v>356</v>
      </c>
      <c r="G3294">
        <v>781</v>
      </c>
      <c r="H3294">
        <v>235</v>
      </c>
      <c r="I3294">
        <v>2083</v>
      </c>
      <c r="J3294" s="11">
        <f t="shared" si="129"/>
        <v>1.2</v>
      </c>
      <c r="K3294">
        <v>149.69999999999999</v>
      </c>
      <c r="L3294">
        <v>24.7</v>
      </c>
      <c r="M3294">
        <v>64.5</v>
      </c>
      <c r="N3294" s="11">
        <f t="shared" si="134"/>
        <v>1.5</v>
      </c>
      <c r="O3294">
        <v>39.200000000000003</v>
      </c>
      <c r="P3294" s="11">
        <f t="shared" si="133"/>
        <v>0.2</v>
      </c>
    </row>
    <row r="3295" spans="1:16">
      <c r="A3295" s="1" t="s">
        <v>3181</v>
      </c>
      <c r="B3295" s="3" t="s">
        <v>3325</v>
      </c>
      <c r="C3295" s="1" t="s">
        <v>18</v>
      </c>
      <c r="D3295" s="1" t="s">
        <v>19</v>
      </c>
      <c r="E3295" s="1" t="s">
        <v>3186</v>
      </c>
      <c r="F3295">
        <v>298</v>
      </c>
      <c r="G3295">
        <v>1100</v>
      </c>
      <c r="H3295">
        <v>409</v>
      </c>
      <c r="I3295">
        <v>2051</v>
      </c>
      <c r="J3295" s="11">
        <f t="shared" si="129"/>
        <v>1.2</v>
      </c>
      <c r="K3295">
        <v>151.1</v>
      </c>
      <c r="L3295">
        <v>23.4</v>
      </c>
      <c r="M3295">
        <v>58.5</v>
      </c>
      <c r="N3295" s="11">
        <f t="shared" si="134"/>
        <v>1.5</v>
      </c>
      <c r="O3295">
        <v>39.1</v>
      </c>
      <c r="P3295" s="11">
        <f t="shared" si="133"/>
        <v>0.2</v>
      </c>
    </row>
    <row r="3296" spans="1:16">
      <c r="A3296" s="1" t="s">
        <v>3181</v>
      </c>
      <c r="B3296" s="3" t="s">
        <v>3326</v>
      </c>
      <c r="C3296" s="1" t="s">
        <v>18</v>
      </c>
      <c r="D3296" s="1" t="s">
        <v>19</v>
      </c>
      <c r="E3296" s="1" t="s">
        <v>3186</v>
      </c>
      <c r="F3296">
        <v>171</v>
      </c>
      <c r="G3296">
        <v>655</v>
      </c>
      <c r="H3296">
        <v>368</v>
      </c>
      <c r="I3296">
        <v>2090</v>
      </c>
      <c r="J3296" s="11">
        <f t="shared" si="129"/>
        <v>1.2</v>
      </c>
      <c r="K3296">
        <v>153.80000000000001</v>
      </c>
      <c r="L3296">
        <v>22.4</v>
      </c>
      <c r="M3296">
        <v>53.5</v>
      </c>
      <c r="N3296">
        <v>11.3</v>
      </c>
      <c r="O3296">
        <v>37.1</v>
      </c>
      <c r="P3296" s="11">
        <f t="shared" si="133"/>
        <v>0.2</v>
      </c>
    </row>
    <row r="3297" spans="1:16">
      <c r="A3297" s="1" t="s">
        <v>3327</v>
      </c>
      <c r="B3297" s="1" t="s">
        <v>3328</v>
      </c>
      <c r="C3297" s="1" t="s">
        <v>18</v>
      </c>
      <c r="D3297" s="1" t="s">
        <v>81</v>
      </c>
      <c r="E3297" s="1" t="s">
        <v>3329</v>
      </c>
      <c r="F3297">
        <v>1950</v>
      </c>
      <c r="G3297">
        <v>716</v>
      </c>
      <c r="H3297">
        <v>886</v>
      </c>
      <c r="I3297">
        <v>465</v>
      </c>
      <c r="J3297">
        <v>5.9</v>
      </c>
      <c r="K3297">
        <v>455</v>
      </c>
      <c r="L3297">
        <v>33</v>
      </c>
      <c r="M3297">
        <v>105</v>
      </c>
      <c r="N3297">
        <v>28</v>
      </c>
      <c r="O3297">
        <v>9.8000000000000007</v>
      </c>
      <c r="P3297">
        <v>3.15</v>
      </c>
    </row>
    <row r="3298" spans="1:16">
      <c r="A3298" s="1" t="s">
        <v>3327</v>
      </c>
      <c r="B3298" s="1" t="s">
        <v>3330</v>
      </c>
      <c r="C3298" s="1" t="s">
        <v>18</v>
      </c>
      <c r="D3298" s="1" t="s">
        <v>81</v>
      </c>
      <c r="E3298" s="1" t="s">
        <v>3329</v>
      </c>
      <c r="F3298">
        <v>376</v>
      </c>
      <c r="G3298">
        <v>652</v>
      </c>
      <c r="H3298">
        <v>594</v>
      </c>
      <c r="I3298">
        <v>409</v>
      </c>
      <c r="J3298">
        <v>16.3</v>
      </c>
      <c r="K3298">
        <v>331</v>
      </c>
      <c r="L3298">
        <v>30</v>
      </c>
      <c r="M3298">
        <v>180</v>
      </c>
      <c r="N3298">
        <v>26</v>
      </c>
      <c r="O3298">
        <v>22.5</v>
      </c>
      <c r="P3298">
        <v>3.11</v>
      </c>
    </row>
    <row r="3299" spans="1:16">
      <c r="A3299" s="1" t="s">
        <v>3331</v>
      </c>
      <c r="B3299" s="1" t="s">
        <v>3332</v>
      </c>
      <c r="C3299" s="1" t="s">
        <v>18</v>
      </c>
      <c r="D3299" s="1" t="s">
        <v>81</v>
      </c>
      <c r="E3299" s="1" t="s">
        <v>3333</v>
      </c>
      <c r="F3299">
        <v>108</v>
      </c>
      <c r="G3299">
        <v>1160</v>
      </c>
      <c r="H3299">
        <v>12710</v>
      </c>
      <c r="I3299">
        <v>1586</v>
      </c>
      <c r="J3299">
        <f>1.61/2</f>
        <v>0.80500000000000005</v>
      </c>
      <c r="K3299">
        <v>820</v>
      </c>
      <c r="L3299">
        <v>42</v>
      </c>
      <c r="M3299">
        <v>594</v>
      </c>
      <c r="N3299">
        <v>120</v>
      </c>
      <c r="O3299">
        <v>16.899999999999999</v>
      </c>
      <c r="P3299">
        <v>5.68</v>
      </c>
    </row>
    <row r="3300" spans="1:16">
      <c r="A3300" s="1" t="s">
        <v>3331</v>
      </c>
      <c r="B3300" s="1" t="s">
        <v>3334</v>
      </c>
      <c r="C3300" s="1" t="s">
        <v>18</v>
      </c>
      <c r="D3300" s="1" t="s">
        <v>81</v>
      </c>
      <c r="E3300" s="1" t="s">
        <v>3333</v>
      </c>
      <c r="F3300">
        <v>1703</v>
      </c>
      <c r="G3300">
        <v>2093</v>
      </c>
      <c r="H3300">
        <v>7260</v>
      </c>
      <c r="I3300">
        <v>1762</v>
      </c>
      <c r="J3300" s="11">
        <f t="shared" ref="J3300:J3303" si="135">1.61/2</f>
        <v>0.80500000000000005</v>
      </c>
      <c r="K3300">
        <v>251</v>
      </c>
      <c r="L3300">
        <v>37</v>
      </c>
      <c r="M3300">
        <v>651</v>
      </c>
      <c r="N3300">
        <v>19</v>
      </c>
      <c r="O3300">
        <v>85.6</v>
      </c>
      <c r="P3300">
        <v>5.98</v>
      </c>
    </row>
    <row r="3301" spans="1:16">
      <c r="A3301" s="1" t="s">
        <v>3331</v>
      </c>
      <c r="B3301" s="1" t="s">
        <v>3335</v>
      </c>
      <c r="C3301" s="1" t="s">
        <v>18</v>
      </c>
      <c r="D3301" s="1" t="s">
        <v>81</v>
      </c>
      <c r="E3301" s="1" t="s">
        <v>3333</v>
      </c>
      <c r="F3301">
        <v>2042</v>
      </c>
      <c r="G3301">
        <v>2214</v>
      </c>
      <c r="H3301">
        <v>7790</v>
      </c>
      <c r="I3301">
        <v>2025</v>
      </c>
      <c r="J3301" s="11">
        <f t="shared" si="135"/>
        <v>0.80500000000000005</v>
      </c>
      <c r="K3301">
        <v>297</v>
      </c>
      <c r="L3301">
        <v>35</v>
      </c>
      <c r="M3301">
        <v>705</v>
      </c>
      <c r="N3301">
        <v>18</v>
      </c>
      <c r="O3301">
        <v>96.4</v>
      </c>
      <c r="P3301">
        <v>6.45</v>
      </c>
    </row>
    <row r="3302" spans="1:16">
      <c r="A3302" s="1" t="s">
        <v>3331</v>
      </c>
      <c r="B3302" s="1" t="s">
        <v>3336</v>
      </c>
      <c r="C3302" s="1" t="s">
        <v>18</v>
      </c>
      <c r="D3302" s="1" t="s">
        <v>81</v>
      </c>
      <c r="E3302" s="1" t="s">
        <v>3333</v>
      </c>
      <c r="F3302">
        <v>227</v>
      </c>
      <c r="G3302">
        <v>1649</v>
      </c>
      <c r="H3302">
        <v>4730</v>
      </c>
      <c r="I3302">
        <v>1213</v>
      </c>
      <c r="J3302" s="11">
        <f t="shared" si="135"/>
        <v>0.80500000000000005</v>
      </c>
      <c r="K3302">
        <v>194</v>
      </c>
      <c r="L3302">
        <v>20</v>
      </c>
      <c r="M3302">
        <v>611</v>
      </c>
      <c r="N3302">
        <v>21</v>
      </c>
      <c r="O3302">
        <v>85.7</v>
      </c>
      <c r="P3302">
        <v>5.51</v>
      </c>
    </row>
    <row r="3303" spans="1:16">
      <c r="A3303" s="1" t="s">
        <v>3331</v>
      </c>
      <c r="B3303" s="1" t="s">
        <v>3337</v>
      </c>
      <c r="C3303" s="1" t="s">
        <v>18</v>
      </c>
      <c r="D3303" s="1" t="s">
        <v>81</v>
      </c>
      <c r="E3303" s="1" t="s">
        <v>3333</v>
      </c>
      <c r="F3303">
        <v>1004</v>
      </c>
      <c r="G3303">
        <v>2020</v>
      </c>
      <c r="H3303">
        <v>5850</v>
      </c>
      <c r="I3303">
        <v>1330</v>
      </c>
      <c r="J3303" s="11">
        <f t="shared" si="135"/>
        <v>0.80500000000000005</v>
      </c>
      <c r="K3303">
        <v>304</v>
      </c>
      <c r="L3303">
        <v>18</v>
      </c>
      <c r="M3303">
        <v>505</v>
      </c>
      <c r="N3303">
        <v>25</v>
      </c>
      <c r="O3303">
        <v>45.5</v>
      </c>
      <c r="P3303">
        <v>5.61</v>
      </c>
    </row>
    <row r="3304" spans="1:16">
      <c r="A3304" s="1" t="s">
        <v>3331</v>
      </c>
      <c r="B3304" s="1" t="s">
        <v>3338</v>
      </c>
      <c r="C3304" s="1" t="s">
        <v>18</v>
      </c>
      <c r="D3304" s="1" t="s">
        <v>81</v>
      </c>
      <c r="E3304" s="1" t="s">
        <v>3333</v>
      </c>
      <c r="F3304">
        <v>1671</v>
      </c>
      <c r="G3304">
        <v>2141</v>
      </c>
      <c r="H3304">
        <v>6400</v>
      </c>
      <c r="I3304">
        <v>1646</v>
      </c>
      <c r="J3304">
        <v>4.5</v>
      </c>
      <c r="K3304">
        <v>250</v>
      </c>
      <c r="L3304">
        <v>31</v>
      </c>
      <c r="M3304">
        <v>710</v>
      </c>
      <c r="N3304">
        <v>55</v>
      </c>
      <c r="O3304">
        <v>71.900000000000006</v>
      </c>
      <c r="P3304">
        <v>5.82</v>
      </c>
    </row>
    <row r="3305" spans="1:16">
      <c r="A3305" s="1" t="s">
        <v>3331</v>
      </c>
      <c r="B3305" s="1" t="s">
        <v>3339</v>
      </c>
      <c r="C3305" s="1" t="s">
        <v>18</v>
      </c>
      <c r="D3305" s="1" t="s">
        <v>81</v>
      </c>
      <c r="E3305" s="1" t="s">
        <v>3333</v>
      </c>
      <c r="F3305">
        <v>141</v>
      </c>
      <c r="G3305">
        <v>719</v>
      </c>
      <c r="H3305">
        <v>810</v>
      </c>
      <c r="I3305">
        <v>2542</v>
      </c>
      <c r="J3305" s="11">
        <f t="shared" ref="J3305:J3306" si="136">1.61/2</f>
        <v>0.80500000000000005</v>
      </c>
      <c r="K3305">
        <v>147</v>
      </c>
      <c r="L3305">
        <v>59</v>
      </c>
      <c r="M3305">
        <v>1195</v>
      </c>
      <c r="N3305">
        <v>20</v>
      </c>
      <c r="O3305">
        <v>87.2</v>
      </c>
      <c r="P3305">
        <v>0.36</v>
      </c>
    </row>
    <row r="3306" spans="1:16">
      <c r="A3306" s="1" t="s">
        <v>3331</v>
      </c>
      <c r="B3306" s="1" t="s">
        <v>3340</v>
      </c>
      <c r="C3306" s="1" t="s">
        <v>18</v>
      </c>
      <c r="D3306" s="1" t="s">
        <v>81</v>
      </c>
      <c r="E3306" s="1" t="s">
        <v>3333</v>
      </c>
      <c r="F3306">
        <v>163</v>
      </c>
      <c r="G3306">
        <v>677</v>
      </c>
      <c r="H3306">
        <v>737</v>
      </c>
      <c r="I3306">
        <v>2495</v>
      </c>
      <c r="J3306" s="11">
        <f t="shared" si="136"/>
        <v>0.80500000000000005</v>
      </c>
      <c r="K3306">
        <v>132</v>
      </c>
      <c r="L3306">
        <v>78</v>
      </c>
      <c r="M3306">
        <v>1294</v>
      </c>
      <c r="N3306">
        <v>19</v>
      </c>
      <c r="O3306">
        <v>88.7</v>
      </c>
      <c r="P3306">
        <v>0.63</v>
      </c>
    </row>
    <row r="3307" spans="1:16">
      <c r="A3307" s="1" t="s">
        <v>3331</v>
      </c>
      <c r="B3307" s="1" t="s">
        <v>3341</v>
      </c>
      <c r="C3307" s="1" t="s">
        <v>18</v>
      </c>
      <c r="D3307" s="1" t="s">
        <v>81</v>
      </c>
      <c r="E3307" s="1" t="s">
        <v>3333</v>
      </c>
      <c r="F3307">
        <v>213</v>
      </c>
      <c r="G3307">
        <v>1142</v>
      </c>
      <c r="H3307">
        <v>931</v>
      </c>
      <c r="I3307">
        <v>2689</v>
      </c>
      <c r="J3307">
        <v>8.4</v>
      </c>
      <c r="K3307">
        <v>141</v>
      </c>
      <c r="L3307">
        <v>135</v>
      </c>
      <c r="M3307">
        <v>1242</v>
      </c>
      <c r="N3307">
        <v>24</v>
      </c>
      <c r="O3307">
        <v>93.7</v>
      </c>
      <c r="P3307">
        <v>0.45</v>
      </c>
    </row>
    <row r="3308" spans="1:16">
      <c r="A3308" s="1" t="s">
        <v>3331</v>
      </c>
      <c r="B3308" s="1" t="s">
        <v>3342</v>
      </c>
      <c r="C3308" s="1" t="s">
        <v>18</v>
      </c>
      <c r="D3308" s="1" t="s">
        <v>81</v>
      </c>
      <c r="E3308" s="1" t="s">
        <v>3333</v>
      </c>
      <c r="F3308">
        <v>388</v>
      </c>
      <c r="G3308">
        <v>1044</v>
      </c>
      <c r="H3308">
        <v>1003</v>
      </c>
      <c r="I3308">
        <v>2710</v>
      </c>
      <c r="J3308">
        <v>7.8</v>
      </c>
      <c r="K3308">
        <v>156</v>
      </c>
      <c r="L3308">
        <v>109</v>
      </c>
      <c r="M3308">
        <v>1275</v>
      </c>
      <c r="N3308">
        <v>28</v>
      </c>
      <c r="O3308">
        <v>100.1</v>
      </c>
      <c r="P3308">
        <v>0.4</v>
      </c>
    </row>
    <row r="3309" spans="1:16">
      <c r="A3309" s="1" t="s">
        <v>3331</v>
      </c>
      <c r="B3309" s="1" t="s">
        <v>3343</v>
      </c>
      <c r="C3309" s="1" t="s">
        <v>18</v>
      </c>
      <c r="D3309" s="1" t="s">
        <v>81</v>
      </c>
      <c r="E3309" s="1" t="s">
        <v>3333</v>
      </c>
      <c r="F3309">
        <v>402</v>
      </c>
      <c r="G3309">
        <v>1186</v>
      </c>
      <c r="H3309">
        <v>793</v>
      </c>
      <c r="I3309">
        <v>2584</v>
      </c>
      <c r="J3309">
        <v>22.8</v>
      </c>
      <c r="K3309">
        <v>161</v>
      </c>
      <c r="L3309">
        <v>169</v>
      </c>
      <c r="M3309">
        <v>1168</v>
      </c>
      <c r="N3309">
        <v>24</v>
      </c>
      <c r="O3309">
        <v>89.9</v>
      </c>
      <c r="P3309">
        <v>0.4</v>
      </c>
    </row>
    <row r="3310" spans="1:16">
      <c r="A3310" s="1" t="s">
        <v>3331</v>
      </c>
      <c r="B3310" s="1" t="s">
        <v>3344</v>
      </c>
      <c r="C3310" s="1" t="s">
        <v>18</v>
      </c>
      <c r="D3310" s="1" t="s">
        <v>81</v>
      </c>
      <c r="E3310" s="1" t="s">
        <v>3333</v>
      </c>
      <c r="F3310">
        <v>409</v>
      </c>
      <c r="G3310">
        <v>1078</v>
      </c>
      <c r="H3310">
        <v>812</v>
      </c>
      <c r="I3310">
        <v>2572</v>
      </c>
      <c r="J3310">
        <v>4.4000000000000004</v>
      </c>
      <c r="K3310">
        <v>151</v>
      </c>
      <c r="L3310">
        <v>152</v>
      </c>
      <c r="M3310">
        <v>1160</v>
      </c>
      <c r="N3310">
        <v>23</v>
      </c>
      <c r="O3310">
        <v>90.3</v>
      </c>
      <c r="P3310">
        <v>0.41</v>
      </c>
    </row>
    <row r="3311" spans="1:16">
      <c r="A3311" s="1" t="s">
        <v>3331</v>
      </c>
      <c r="B3311" s="1" t="s">
        <v>3345</v>
      </c>
      <c r="C3311" s="1" t="s">
        <v>18</v>
      </c>
      <c r="D3311" s="1" t="s">
        <v>81</v>
      </c>
      <c r="E3311" s="1" t="s">
        <v>3333</v>
      </c>
      <c r="F3311">
        <v>284</v>
      </c>
      <c r="G3311">
        <v>924</v>
      </c>
      <c r="H3311">
        <v>953</v>
      </c>
      <c r="I3311">
        <v>3431</v>
      </c>
      <c r="J3311">
        <v>8.1</v>
      </c>
      <c r="K3311">
        <v>147</v>
      </c>
      <c r="L3311">
        <v>270</v>
      </c>
      <c r="M3311">
        <v>2040</v>
      </c>
      <c r="N3311">
        <v>20</v>
      </c>
      <c r="O3311">
        <v>58.5</v>
      </c>
      <c r="P3311">
        <v>0.26</v>
      </c>
    </row>
    <row r="3312" spans="1:16">
      <c r="A3312" s="1" t="s">
        <v>3331</v>
      </c>
      <c r="B3312" s="1" t="s">
        <v>3346</v>
      </c>
      <c r="C3312" s="1" t="s">
        <v>18</v>
      </c>
      <c r="D3312" s="1" t="s">
        <v>81</v>
      </c>
      <c r="E3312" s="1" t="s">
        <v>3333</v>
      </c>
      <c r="F3312">
        <v>639</v>
      </c>
      <c r="G3312">
        <v>1017</v>
      </c>
      <c r="H3312">
        <v>847</v>
      </c>
      <c r="I3312">
        <v>3490</v>
      </c>
      <c r="J3312">
        <v>10</v>
      </c>
      <c r="K3312">
        <v>148</v>
      </c>
      <c r="L3312">
        <v>200</v>
      </c>
      <c r="M3312">
        <v>1844</v>
      </c>
      <c r="N3312">
        <v>24</v>
      </c>
      <c r="O3312">
        <v>58.2</v>
      </c>
      <c r="P3312">
        <v>0.41</v>
      </c>
    </row>
    <row r="3313" spans="1:16">
      <c r="A3313" s="1" t="s">
        <v>3331</v>
      </c>
      <c r="B3313" s="1" t="s">
        <v>3347</v>
      </c>
      <c r="C3313" s="1" t="s">
        <v>18</v>
      </c>
      <c r="D3313" s="1" t="s">
        <v>81</v>
      </c>
      <c r="E3313" s="1" t="s">
        <v>3333</v>
      </c>
      <c r="F3313">
        <v>239</v>
      </c>
      <c r="G3313">
        <v>870</v>
      </c>
      <c r="H3313">
        <v>957</v>
      </c>
      <c r="I3313">
        <v>3470</v>
      </c>
      <c r="J3313">
        <v>5.5</v>
      </c>
      <c r="K3313">
        <v>166</v>
      </c>
      <c r="L3313">
        <v>89</v>
      </c>
      <c r="M3313">
        <v>1956</v>
      </c>
      <c r="N3313">
        <v>110</v>
      </c>
      <c r="O3313">
        <v>57.3</v>
      </c>
      <c r="P3313">
        <v>0.28000000000000003</v>
      </c>
    </row>
    <row r="3314" spans="1:16">
      <c r="A3314" s="1" t="s">
        <v>3331</v>
      </c>
      <c r="B3314" s="1" t="s">
        <v>3348</v>
      </c>
      <c r="C3314" s="1" t="s">
        <v>18</v>
      </c>
      <c r="D3314" s="1" t="s">
        <v>81</v>
      </c>
      <c r="E3314" s="1" t="s">
        <v>3333</v>
      </c>
      <c r="F3314">
        <v>230</v>
      </c>
      <c r="G3314">
        <v>816</v>
      </c>
      <c r="H3314">
        <v>750</v>
      </c>
      <c r="I3314">
        <v>3394</v>
      </c>
      <c r="J3314">
        <v>8.6</v>
      </c>
      <c r="K3314">
        <v>126</v>
      </c>
      <c r="L3314">
        <v>143</v>
      </c>
      <c r="M3314">
        <v>1936</v>
      </c>
      <c r="N3314">
        <v>25</v>
      </c>
      <c r="O3314">
        <v>59.7</v>
      </c>
      <c r="P3314">
        <v>0.42</v>
      </c>
    </row>
    <row r="3315" spans="1:16">
      <c r="A3315" s="1" t="s">
        <v>3331</v>
      </c>
      <c r="B3315" s="1" t="s">
        <v>3349</v>
      </c>
      <c r="C3315" s="1" t="s">
        <v>18</v>
      </c>
      <c r="D3315" s="1" t="s">
        <v>81</v>
      </c>
      <c r="E3315" s="1" t="s">
        <v>3333</v>
      </c>
      <c r="F3315">
        <v>391</v>
      </c>
      <c r="G3315">
        <v>999</v>
      </c>
      <c r="H3315">
        <v>1000</v>
      </c>
      <c r="I3315">
        <v>3458</v>
      </c>
      <c r="J3315">
        <v>29.8</v>
      </c>
      <c r="K3315">
        <v>148</v>
      </c>
      <c r="L3315">
        <v>189</v>
      </c>
      <c r="M3315">
        <v>2150</v>
      </c>
      <c r="N3315">
        <v>36</v>
      </c>
      <c r="O3315">
        <v>58.8</v>
      </c>
      <c r="P3315">
        <v>0.28000000000000003</v>
      </c>
    </row>
    <row r="3316" spans="1:16">
      <c r="A3316" s="1" t="s">
        <v>3331</v>
      </c>
      <c r="B3316" s="1" t="s">
        <v>3350</v>
      </c>
      <c r="C3316" s="1" t="s">
        <v>18</v>
      </c>
      <c r="D3316" s="1" t="s">
        <v>81</v>
      </c>
      <c r="E3316" s="1" t="s">
        <v>3333</v>
      </c>
      <c r="F3316">
        <v>429</v>
      </c>
      <c r="G3316">
        <v>1013</v>
      </c>
      <c r="H3316">
        <v>831</v>
      </c>
      <c r="I3316">
        <v>3452</v>
      </c>
      <c r="J3316">
        <v>44.6</v>
      </c>
      <c r="K3316">
        <v>153</v>
      </c>
      <c r="L3316">
        <v>240</v>
      </c>
      <c r="M3316">
        <v>1978</v>
      </c>
      <c r="N3316">
        <v>19</v>
      </c>
      <c r="O3316">
        <v>64.3</v>
      </c>
      <c r="P3316">
        <v>0.3</v>
      </c>
    </row>
    <row r="3317" spans="1:16">
      <c r="A3317" s="1" t="s">
        <v>3331</v>
      </c>
      <c r="B3317" s="1" t="s">
        <v>3351</v>
      </c>
      <c r="C3317" s="1" t="s">
        <v>18</v>
      </c>
      <c r="D3317" s="1" t="s">
        <v>81</v>
      </c>
      <c r="E3317" s="1" t="s">
        <v>3333</v>
      </c>
      <c r="F3317">
        <v>394</v>
      </c>
      <c r="G3317">
        <v>2840</v>
      </c>
      <c r="H3317">
        <v>1109</v>
      </c>
      <c r="I3317">
        <v>3150</v>
      </c>
      <c r="J3317">
        <v>3.4</v>
      </c>
      <c r="K3317">
        <v>136</v>
      </c>
      <c r="L3317">
        <v>60</v>
      </c>
      <c r="M3317">
        <v>1400</v>
      </c>
      <c r="N3317">
        <v>37</v>
      </c>
      <c r="O3317">
        <v>54.9</v>
      </c>
      <c r="P3317">
        <v>2.15</v>
      </c>
    </row>
    <row r="3318" spans="1:16">
      <c r="A3318" s="1" t="s">
        <v>3331</v>
      </c>
      <c r="B3318" s="1" t="s">
        <v>3352</v>
      </c>
      <c r="C3318" s="1" t="s">
        <v>18</v>
      </c>
      <c r="D3318" s="1" t="s">
        <v>81</v>
      </c>
      <c r="E3318" s="1" t="s">
        <v>3333</v>
      </c>
      <c r="F3318">
        <v>82</v>
      </c>
      <c r="G3318">
        <v>1280</v>
      </c>
      <c r="H3318">
        <v>1163</v>
      </c>
      <c r="I3318">
        <v>3249</v>
      </c>
      <c r="J3318">
        <v>19.5</v>
      </c>
      <c r="K3318">
        <v>129</v>
      </c>
      <c r="L3318">
        <v>67</v>
      </c>
      <c r="M3318">
        <v>1400</v>
      </c>
      <c r="N3318">
        <v>15</v>
      </c>
      <c r="O3318">
        <v>29.3</v>
      </c>
      <c r="P3318">
        <v>1.1399999999999999</v>
      </c>
    </row>
    <row r="3319" spans="1:16">
      <c r="A3319" s="1" t="s">
        <v>3331</v>
      </c>
      <c r="B3319" s="1" t="s">
        <v>3353</v>
      </c>
      <c r="C3319" s="1" t="s">
        <v>18</v>
      </c>
      <c r="D3319" s="1" t="s">
        <v>81</v>
      </c>
      <c r="E3319" s="1" t="s">
        <v>3333</v>
      </c>
      <c r="F3319">
        <v>337</v>
      </c>
      <c r="G3319">
        <v>2360</v>
      </c>
      <c r="H3319">
        <v>1204</v>
      </c>
      <c r="I3319">
        <v>3168</v>
      </c>
      <c r="J3319">
        <v>10</v>
      </c>
      <c r="K3319">
        <v>142</v>
      </c>
      <c r="L3319">
        <v>79</v>
      </c>
      <c r="M3319">
        <v>1357</v>
      </c>
      <c r="N3319">
        <v>24</v>
      </c>
      <c r="O3319">
        <v>60.7</v>
      </c>
      <c r="P3319">
        <v>2.2000000000000002</v>
      </c>
    </row>
    <row r="3320" spans="1:16">
      <c r="A3320" s="1" t="s">
        <v>3331</v>
      </c>
      <c r="B3320" s="1" t="s">
        <v>3354</v>
      </c>
      <c r="C3320" s="1" t="s">
        <v>18</v>
      </c>
      <c r="D3320" s="1" t="s">
        <v>81</v>
      </c>
      <c r="E3320" s="1" t="s">
        <v>3333</v>
      </c>
      <c r="F3320">
        <v>87</v>
      </c>
      <c r="G3320">
        <v>1880</v>
      </c>
      <c r="H3320">
        <v>1190</v>
      </c>
      <c r="I3320">
        <v>2802</v>
      </c>
      <c r="J3320">
        <v>43</v>
      </c>
      <c r="K3320">
        <v>130</v>
      </c>
      <c r="L3320">
        <v>89</v>
      </c>
      <c r="M3320">
        <v>1280</v>
      </c>
      <c r="N3320">
        <v>41</v>
      </c>
      <c r="O3320">
        <v>47.2</v>
      </c>
      <c r="P3320">
        <v>0.84</v>
      </c>
    </row>
    <row r="3321" spans="1:16">
      <c r="A3321" s="1" t="s">
        <v>3331</v>
      </c>
      <c r="B3321" s="1" t="s">
        <v>3355</v>
      </c>
      <c r="C3321" s="1" t="s">
        <v>18</v>
      </c>
      <c r="D3321" s="1" t="s">
        <v>81</v>
      </c>
      <c r="E3321" s="1" t="s">
        <v>3333</v>
      </c>
      <c r="F3321">
        <v>101</v>
      </c>
      <c r="G3321">
        <v>1078</v>
      </c>
      <c r="H3321">
        <v>1088</v>
      </c>
      <c r="I3321">
        <v>2808</v>
      </c>
      <c r="J3321">
        <v>5</v>
      </c>
      <c r="K3321">
        <v>125</v>
      </c>
      <c r="L3321">
        <v>51</v>
      </c>
      <c r="M3321">
        <v>1408</v>
      </c>
      <c r="N3321">
        <v>11</v>
      </c>
      <c r="O3321">
        <v>38.1</v>
      </c>
      <c r="P3321">
        <v>1.03</v>
      </c>
    </row>
    <row r="3322" spans="1:16">
      <c r="A3322" s="1" t="s">
        <v>3331</v>
      </c>
      <c r="B3322" s="1" t="s">
        <v>3356</v>
      </c>
      <c r="C3322" s="1" t="s">
        <v>18</v>
      </c>
      <c r="D3322" s="1" t="s">
        <v>81</v>
      </c>
      <c r="E3322" s="1" t="s">
        <v>3333</v>
      </c>
      <c r="F3322">
        <v>179</v>
      </c>
      <c r="G3322">
        <v>1270</v>
      </c>
      <c r="H3322">
        <v>1261</v>
      </c>
      <c r="I3322">
        <v>2827</v>
      </c>
      <c r="J3322" s="11">
        <f>1.61/2</f>
        <v>0.80500000000000005</v>
      </c>
      <c r="K3322">
        <v>122</v>
      </c>
      <c r="L3322">
        <v>52</v>
      </c>
      <c r="M3322">
        <v>1463</v>
      </c>
      <c r="N3322">
        <v>13</v>
      </c>
      <c r="O3322">
        <v>42.7</v>
      </c>
      <c r="P3322">
        <v>0.83</v>
      </c>
    </row>
    <row r="3323" spans="1:16">
      <c r="A3323" s="1" t="s">
        <v>3357</v>
      </c>
      <c r="B3323" s="1" t="s">
        <v>3358</v>
      </c>
      <c r="C3323" s="1" t="s">
        <v>18</v>
      </c>
      <c r="D3323" s="1" t="s">
        <v>81</v>
      </c>
      <c r="E3323" s="1" t="s">
        <v>3333</v>
      </c>
      <c r="F3323">
        <v>23</v>
      </c>
      <c r="G3323">
        <v>1454</v>
      </c>
      <c r="H3323">
        <v>3</v>
      </c>
      <c r="I3323">
        <f>0.04/2</f>
        <v>0.02</v>
      </c>
      <c r="J3323">
        <v>21.5</v>
      </c>
      <c r="K3323">
        <v>203</v>
      </c>
      <c r="L3323">
        <v>54</v>
      </c>
      <c r="M3323">
        <v>58</v>
      </c>
      <c r="N3323">
        <v>10</v>
      </c>
      <c r="O3323">
        <v>4.2</v>
      </c>
      <c r="P3323">
        <v>52</v>
      </c>
    </row>
    <row r="3324" spans="1:16">
      <c r="A3324" s="1" t="s">
        <v>3357</v>
      </c>
      <c r="B3324" s="1" t="s">
        <v>3359</v>
      </c>
      <c r="C3324" s="1" t="s">
        <v>18</v>
      </c>
      <c r="D3324" s="1" t="s">
        <v>81</v>
      </c>
      <c r="E3324" s="1" t="s">
        <v>3333</v>
      </c>
      <c r="F3324">
        <v>60</v>
      </c>
      <c r="G3324">
        <v>2927</v>
      </c>
      <c r="H3324">
        <v>115</v>
      </c>
      <c r="I3324">
        <v>16</v>
      </c>
      <c r="J3324" s="11">
        <f t="shared" ref="J3324:J3325" si="137">1.61/2</f>
        <v>0.80500000000000005</v>
      </c>
      <c r="K3324">
        <v>503</v>
      </c>
      <c r="L3324">
        <v>63</v>
      </c>
      <c r="M3324">
        <v>61</v>
      </c>
      <c r="N3324">
        <v>18</v>
      </c>
      <c r="O3324">
        <v>6.2</v>
      </c>
      <c r="P3324">
        <v>56</v>
      </c>
    </row>
    <row r="3325" spans="1:16">
      <c r="A3325" s="1" t="s">
        <v>3357</v>
      </c>
      <c r="B3325" s="1" t="s">
        <v>3360</v>
      </c>
      <c r="C3325" s="1" t="s">
        <v>18</v>
      </c>
      <c r="D3325" s="1" t="s">
        <v>81</v>
      </c>
      <c r="E3325" s="1" t="s">
        <v>3333</v>
      </c>
      <c r="F3325">
        <v>59</v>
      </c>
      <c r="G3325">
        <v>2180</v>
      </c>
      <c r="H3325">
        <v>90</v>
      </c>
      <c r="I3325">
        <v>11</v>
      </c>
      <c r="J3325" s="11">
        <f t="shared" si="137"/>
        <v>0.80500000000000005</v>
      </c>
      <c r="K3325">
        <f>0.56/2</f>
        <v>0.28000000000000003</v>
      </c>
      <c r="L3325">
        <v>60</v>
      </c>
      <c r="M3325">
        <v>50</v>
      </c>
      <c r="N3325">
        <v>63</v>
      </c>
      <c r="O3325">
        <f>0.06/2</f>
        <v>0.03</v>
      </c>
      <c r="P3325">
        <v>47</v>
      </c>
    </row>
    <row r="3326" spans="1:16">
      <c r="A3326" s="1" t="s">
        <v>3357</v>
      </c>
      <c r="B3326" s="1" t="s">
        <v>3361</v>
      </c>
      <c r="C3326" s="1" t="s">
        <v>18</v>
      </c>
      <c r="D3326" s="1" t="s">
        <v>81</v>
      </c>
      <c r="E3326" s="1" t="s">
        <v>3333</v>
      </c>
      <c r="F3326">
        <v>60</v>
      </c>
      <c r="G3326">
        <v>3160</v>
      </c>
      <c r="H3326">
        <v>84</v>
      </c>
      <c r="I3326">
        <v>9</v>
      </c>
      <c r="J3326">
        <v>9.9</v>
      </c>
      <c r="K3326">
        <v>220</v>
      </c>
      <c r="L3326">
        <v>59</v>
      </c>
      <c r="M3326">
        <v>63</v>
      </c>
      <c r="N3326">
        <v>16</v>
      </c>
      <c r="O3326">
        <v>4.5</v>
      </c>
      <c r="P3326">
        <v>56</v>
      </c>
    </row>
    <row r="3327" spans="1:16">
      <c r="A3327" s="1" t="s">
        <v>3357</v>
      </c>
      <c r="B3327" s="1" t="s">
        <v>3362</v>
      </c>
      <c r="C3327" s="1" t="s">
        <v>18</v>
      </c>
      <c r="D3327" s="1" t="s">
        <v>81</v>
      </c>
      <c r="E3327" s="1" t="s">
        <v>3333</v>
      </c>
      <c r="F3327">
        <v>46</v>
      </c>
      <c r="G3327">
        <v>3211</v>
      </c>
      <c r="H3327">
        <v>92</v>
      </c>
      <c r="I3327">
        <v>8</v>
      </c>
      <c r="J3327">
        <v>9.8000000000000007</v>
      </c>
      <c r="K3327">
        <v>220</v>
      </c>
      <c r="L3327">
        <v>56</v>
      </c>
      <c r="M3327">
        <v>59</v>
      </c>
      <c r="N3327">
        <v>12</v>
      </c>
      <c r="O3327">
        <v>4.3</v>
      </c>
      <c r="P3327">
        <v>53</v>
      </c>
    </row>
    <row r="3328" spans="1:16">
      <c r="A3328" s="1" t="s">
        <v>3357</v>
      </c>
      <c r="B3328" s="1" t="s">
        <v>3363</v>
      </c>
      <c r="C3328" s="1" t="s">
        <v>18</v>
      </c>
      <c r="D3328" s="1" t="s">
        <v>81</v>
      </c>
      <c r="E3328" s="1" t="s">
        <v>3333</v>
      </c>
      <c r="F3328">
        <v>85</v>
      </c>
      <c r="G3328">
        <v>3141</v>
      </c>
      <c r="H3328">
        <v>2077</v>
      </c>
      <c r="I3328">
        <v>107</v>
      </c>
      <c r="J3328">
        <v>16.5</v>
      </c>
      <c r="K3328">
        <v>227</v>
      </c>
      <c r="L3328">
        <v>67</v>
      </c>
      <c r="M3328">
        <v>73</v>
      </c>
      <c r="N3328">
        <v>9</v>
      </c>
      <c r="O3328">
        <v>22.5</v>
      </c>
      <c r="P3328">
        <v>34</v>
      </c>
    </row>
    <row r="3329" spans="1:16">
      <c r="A3329" s="1" t="s">
        <v>3357</v>
      </c>
      <c r="B3329" s="1" t="s">
        <v>3364</v>
      </c>
      <c r="C3329" s="1" t="s">
        <v>18</v>
      </c>
      <c r="D3329" s="1" t="s">
        <v>81</v>
      </c>
      <c r="E3329" s="1" t="s">
        <v>3333</v>
      </c>
      <c r="F3329">
        <v>54</v>
      </c>
      <c r="G3329">
        <v>2995</v>
      </c>
      <c r="H3329">
        <v>2117</v>
      </c>
      <c r="I3329">
        <v>101</v>
      </c>
      <c r="J3329">
        <v>161.6</v>
      </c>
      <c r="K3329">
        <v>257</v>
      </c>
      <c r="L3329">
        <v>68</v>
      </c>
      <c r="M3329">
        <v>73</v>
      </c>
      <c r="N3329">
        <v>13</v>
      </c>
      <c r="O3329">
        <v>23.3</v>
      </c>
      <c r="P3329">
        <v>32</v>
      </c>
    </row>
    <row r="3330" spans="1:16">
      <c r="A3330" s="1" t="s">
        <v>3357</v>
      </c>
      <c r="B3330" s="1" t="s">
        <v>3365</v>
      </c>
      <c r="C3330" s="1" t="s">
        <v>18</v>
      </c>
      <c r="D3330" s="1" t="s">
        <v>81</v>
      </c>
      <c r="E3330" s="1" t="s">
        <v>3333</v>
      </c>
      <c r="F3330">
        <v>103</v>
      </c>
      <c r="G3330">
        <v>3520</v>
      </c>
      <c r="H3330">
        <v>2372</v>
      </c>
      <c r="I3330">
        <v>140</v>
      </c>
      <c r="J3330">
        <v>73.5</v>
      </c>
      <c r="K3330">
        <v>261</v>
      </c>
      <c r="L3330">
        <v>69</v>
      </c>
      <c r="M3330">
        <v>79</v>
      </c>
      <c r="N3330">
        <v>14</v>
      </c>
      <c r="O3330">
        <v>22.7</v>
      </c>
      <c r="P3330">
        <v>36</v>
      </c>
    </row>
    <row r="3331" spans="1:16">
      <c r="A3331" s="1" t="s">
        <v>3357</v>
      </c>
      <c r="B3331" s="1" t="s">
        <v>3366</v>
      </c>
      <c r="C3331" s="1" t="s">
        <v>18</v>
      </c>
      <c r="D3331" s="1" t="s">
        <v>81</v>
      </c>
      <c r="E3331" s="1" t="s">
        <v>3333</v>
      </c>
      <c r="F3331">
        <v>89</v>
      </c>
      <c r="G3331">
        <v>3122</v>
      </c>
      <c r="H3331">
        <v>2308</v>
      </c>
      <c r="I3331">
        <v>135</v>
      </c>
      <c r="J3331">
        <v>190.3</v>
      </c>
      <c r="K3331">
        <v>236</v>
      </c>
      <c r="L3331">
        <v>65</v>
      </c>
      <c r="M3331">
        <v>82</v>
      </c>
      <c r="N3331">
        <v>10</v>
      </c>
      <c r="O3331">
        <v>21.9</v>
      </c>
      <c r="P3331">
        <v>34</v>
      </c>
    </row>
    <row r="3332" spans="1:16">
      <c r="A3332" s="1" t="s">
        <v>3357</v>
      </c>
      <c r="B3332" s="1" t="s">
        <v>3367</v>
      </c>
      <c r="C3332" s="1" t="s">
        <v>18</v>
      </c>
      <c r="D3332" s="1" t="s">
        <v>81</v>
      </c>
      <c r="E3332" s="1" t="s">
        <v>3333</v>
      </c>
      <c r="F3332">
        <v>88</v>
      </c>
      <c r="G3332">
        <v>4040</v>
      </c>
      <c r="H3332">
        <v>2043</v>
      </c>
      <c r="I3332">
        <v>97</v>
      </c>
      <c r="J3332">
        <v>282.7</v>
      </c>
      <c r="K3332">
        <v>266</v>
      </c>
      <c r="L3332">
        <v>70</v>
      </c>
      <c r="M3332">
        <v>79</v>
      </c>
      <c r="N3332">
        <v>13</v>
      </c>
      <c r="O3332">
        <v>20.7</v>
      </c>
      <c r="P3332">
        <v>37</v>
      </c>
    </row>
    <row r="3333" spans="1:16">
      <c r="A3333" s="1" t="s">
        <v>3357</v>
      </c>
      <c r="B3333" s="1" t="s">
        <v>3368</v>
      </c>
      <c r="C3333" s="1" t="s">
        <v>18</v>
      </c>
      <c r="D3333" s="1" t="s">
        <v>81</v>
      </c>
      <c r="E3333" s="1" t="s">
        <v>3333</v>
      </c>
      <c r="F3333">
        <v>82</v>
      </c>
      <c r="G3333">
        <v>3294</v>
      </c>
      <c r="H3333">
        <v>2000</v>
      </c>
      <c r="I3333">
        <v>94</v>
      </c>
      <c r="J3333">
        <v>284</v>
      </c>
      <c r="K3333">
        <v>219</v>
      </c>
      <c r="L3333">
        <v>65</v>
      </c>
      <c r="M3333">
        <v>81</v>
      </c>
      <c r="N3333">
        <v>10</v>
      </c>
      <c r="O3333">
        <v>21.5</v>
      </c>
      <c r="P3333">
        <v>36</v>
      </c>
    </row>
    <row r="3334" spans="1:16">
      <c r="A3334" s="1" t="s">
        <v>3357</v>
      </c>
      <c r="B3334" s="1" t="s">
        <v>3369</v>
      </c>
      <c r="C3334" s="1" t="s">
        <v>18</v>
      </c>
      <c r="D3334" s="1" t="s">
        <v>81</v>
      </c>
      <c r="E3334" s="1" t="s">
        <v>3333</v>
      </c>
      <c r="F3334">
        <v>4490</v>
      </c>
      <c r="G3334">
        <v>587</v>
      </c>
      <c r="H3334">
        <v>144</v>
      </c>
      <c r="I3334">
        <v>11</v>
      </c>
      <c r="J3334">
        <v>5.2</v>
      </c>
      <c r="K3334">
        <v>4650</v>
      </c>
      <c r="L3334">
        <v>298</v>
      </c>
      <c r="M3334">
        <v>4</v>
      </c>
      <c r="N3334">
        <v>930</v>
      </c>
      <c r="O3334">
        <v>7.3</v>
      </c>
      <c r="P3334">
        <v>0.32</v>
      </c>
    </row>
    <row r="3335" spans="1:16">
      <c r="A3335" s="1" t="s">
        <v>3357</v>
      </c>
      <c r="B3335" s="1" t="s">
        <v>3370</v>
      </c>
      <c r="C3335" s="1" t="s">
        <v>18</v>
      </c>
      <c r="D3335" s="1" t="s">
        <v>81</v>
      </c>
      <c r="E3335" s="1" t="s">
        <v>3333</v>
      </c>
      <c r="F3335">
        <v>4030</v>
      </c>
      <c r="G3335">
        <v>547</v>
      </c>
      <c r="H3335">
        <v>141</v>
      </c>
      <c r="I3335">
        <v>9</v>
      </c>
      <c r="J3335">
        <v>3.3</v>
      </c>
      <c r="K3335">
        <v>4080</v>
      </c>
      <c r="L3335">
        <v>299</v>
      </c>
      <c r="M3335">
        <v>3</v>
      </c>
      <c r="N3335">
        <v>770</v>
      </c>
      <c r="O3335">
        <v>6.3</v>
      </c>
      <c r="P3335">
        <v>0.25</v>
      </c>
    </row>
    <row r="3336" spans="1:16">
      <c r="A3336" s="1" t="s">
        <v>3357</v>
      </c>
      <c r="B3336" s="1" t="s">
        <v>3371</v>
      </c>
      <c r="C3336" s="1" t="s">
        <v>18</v>
      </c>
      <c r="D3336" s="1" t="s">
        <v>81</v>
      </c>
      <c r="E3336" s="1" t="s">
        <v>3333</v>
      </c>
      <c r="F3336">
        <v>5710</v>
      </c>
      <c r="G3336">
        <v>1030</v>
      </c>
      <c r="H3336">
        <v>248</v>
      </c>
      <c r="I3336">
        <v>5</v>
      </c>
      <c r="J3336">
        <v>6.1</v>
      </c>
      <c r="K3336">
        <v>3670</v>
      </c>
      <c r="L3336">
        <v>163</v>
      </c>
      <c r="M3336">
        <v>4</v>
      </c>
      <c r="N3336">
        <v>439</v>
      </c>
      <c r="O3336">
        <v>3.1</v>
      </c>
      <c r="P3336">
        <v>0.3</v>
      </c>
    </row>
    <row r="3337" spans="1:16">
      <c r="A3337" s="1" t="s">
        <v>3357</v>
      </c>
      <c r="B3337" s="1" t="s">
        <v>3372</v>
      </c>
      <c r="C3337" s="1" t="s">
        <v>18</v>
      </c>
      <c r="D3337" s="1" t="s">
        <v>81</v>
      </c>
      <c r="E3337" s="1" t="s">
        <v>3333</v>
      </c>
      <c r="F3337">
        <v>4860</v>
      </c>
      <c r="G3337">
        <v>780</v>
      </c>
      <c r="H3337">
        <v>183</v>
      </c>
      <c r="I3337">
        <v>8</v>
      </c>
      <c r="J3337">
        <v>4</v>
      </c>
      <c r="K3337">
        <v>3658</v>
      </c>
      <c r="L3337">
        <v>211</v>
      </c>
      <c r="M3337">
        <v>4</v>
      </c>
      <c r="N3337">
        <v>374</v>
      </c>
      <c r="O3337">
        <v>3.2</v>
      </c>
      <c r="P3337">
        <v>0.21</v>
      </c>
    </row>
    <row r="3338" spans="1:16">
      <c r="A3338" s="1" t="s">
        <v>3357</v>
      </c>
      <c r="B3338" s="1" t="s">
        <v>3373</v>
      </c>
      <c r="C3338" s="1" t="s">
        <v>18</v>
      </c>
      <c r="D3338" s="1" t="s">
        <v>81</v>
      </c>
      <c r="E3338" s="1" t="s">
        <v>3333</v>
      </c>
      <c r="F3338">
        <v>66</v>
      </c>
      <c r="G3338">
        <v>1082</v>
      </c>
      <c r="H3338">
        <v>531</v>
      </c>
      <c r="I3338">
        <v>3</v>
      </c>
      <c r="J3338">
        <v>22.6</v>
      </c>
      <c r="K3338">
        <v>232</v>
      </c>
      <c r="L3338">
        <v>49</v>
      </c>
      <c r="M3338">
        <v>138</v>
      </c>
      <c r="N3338">
        <v>6</v>
      </c>
      <c r="O3338">
        <v>75</v>
      </c>
      <c r="P3338">
        <v>11.04</v>
      </c>
    </row>
    <row r="3339" spans="1:16">
      <c r="A3339" s="1" t="s">
        <v>3357</v>
      </c>
      <c r="B3339" s="1" t="s">
        <v>3374</v>
      </c>
      <c r="C3339" s="1" t="s">
        <v>18</v>
      </c>
      <c r="D3339" s="1" t="s">
        <v>81</v>
      </c>
      <c r="E3339" s="1" t="s">
        <v>3333</v>
      </c>
      <c r="F3339">
        <v>151</v>
      </c>
      <c r="G3339">
        <v>1191</v>
      </c>
      <c r="H3339">
        <v>434</v>
      </c>
      <c r="I3339">
        <v>4</v>
      </c>
      <c r="J3339">
        <v>935</v>
      </c>
      <c r="K3339">
        <v>1058</v>
      </c>
      <c r="L3339">
        <v>52</v>
      </c>
      <c r="M3339">
        <v>137</v>
      </c>
      <c r="N3339">
        <v>6</v>
      </c>
      <c r="O3339">
        <v>92.8</v>
      </c>
      <c r="P3339">
        <v>10.49</v>
      </c>
    </row>
    <row r="3340" spans="1:16">
      <c r="A3340" s="1" t="s">
        <v>3357</v>
      </c>
      <c r="B3340" s="1" t="s">
        <v>3375</v>
      </c>
      <c r="C3340" s="1" t="s">
        <v>18</v>
      </c>
      <c r="D3340" s="1" t="s">
        <v>81</v>
      </c>
      <c r="E3340" s="1" t="s">
        <v>3333</v>
      </c>
      <c r="F3340">
        <v>136</v>
      </c>
      <c r="G3340">
        <v>1131</v>
      </c>
      <c r="H3340">
        <v>532</v>
      </c>
      <c r="I3340">
        <v>15</v>
      </c>
      <c r="J3340" s="11">
        <f>1.61/2</f>
        <v>0.80500000000000005</v>
      </c>
      <c r="K3340">
        <v>31</v>
      </c>
      <c r="L3340">
        <v>48</v>
      </c>
      <c r="M3340">
        <v>129</v>
      </c>
      <c r="N3340">
        <v>5</v>
      </c>
      <c r="O3340">
        <v>96</v>
      </c>
      <c r="P3340">
        <v>11.5</v>
      </c>
    </row>
    <row r="3341" spans="1:16">
      <c r="A3341" s="1" t="s">
        <v>3376</v>
      </c>
      <c r="B3341" s="1" t="s">
        <v>3377</v>
      </c>
      <c r="C3341" s="1" t="s">
        <v>18</v>
      </c>
      <c r="D3341" s="1" t="s">
        <v>81</v>
      </c>
      <c r="E3341" s="1" t="s">
        <v>3333</v>
      </c>
      <c r="F3341">
        <v>106</v>
      </c>
      <c r="G3341">
        <v>531</v>
      </c>
      <c r="H3341">
        <v>432</v>
      </c>
      <c r="I3341">
        <v>649</v>
      </c>
      <c r="J3341">
        <v>47.2</v>
      </c>
      <c r="K3341">
        <v>4400</v>
      </c>
      <c r="L3341">
        <v>1</v>
      </c>
      <c r="M3341">
        <v>306</v>
      </c>
      <c r="N3341">
        <v>35</v>
      </c>
      <c r="O3341">
        <v>31.1</v>
      </c>
      <c r="P3341">
        <v>1.96</v>
      </c>
    </row>
    <row r="3342" spans="1:16">
      <c r="A3342" s="1" t="s">
        <v>3376</v>
      </c>
      <c r="B3342" s="1" t="s">
        <v>3378</v>
      </c>
      <c r="C3342" s="1" t="s">
        <v>18</v>
      </c>
      <c r="D3342" s="1" t="s">
        <v>81</v>
      </c>
      <c r="E3342" s="1" t="s">
        <v>3333</v>
      </c>
      <c r="F3342">
        <v>49</v>
      </c>
      <c r="G3342">
        <v>265</v>
      </c>
      <c r="H3342">
        <v>173</v>
      </c>
      <c r="I3342">
        <v>521</v>
      </c>
      <c r="J3342">
        <v>21</v>
      </c>
      <c r="K3342">
        <v>2468</v>
      </c>
      <c r="L3342">
        <v>1</v>
      </c>
      <c r="M3342">
        <v>155</v>
      </c>
      <c r="N3342">
        <v>15</v>
      </c>
      <c r="O3342">
        <v>25.1</v>
      </c>
      <c r="P3342">
        <v>2.09</v>
      </c>
    </row>
    <row r="3343" spans="1:16">
      <c r="A3343" s="1" t="s">
        <v>3376</v>
      </c>
      <c r="B3343" s="1" t="s">
        <v>3379</v>
      </c>
      <c r="C3343" s="1" t="s">
        <v>18</v>
      </c>
      <c r="D3343" s="1" t="s">
        <v>81</v>
      </c>
      <c r="E3343" s="1" t="s">
        <v>3333</v>
      </c>
      <c r="F3343">
        <v>54</v>
      </c>
      <c r="G3343">
        <v>253</v>
      </c>
      <c r="H3343">
        <v>111</v>
      </c>
      <c r="I3343">
        <v>490</v>
      </c>
      <c r="J3343">
        <v>10.8</v>
      </c>
      <c r="K3343">
        <v>2610</v>
      </c>
      <c r="L3343">
        <v>7</v>
      </c>
      <c r="M3343">
        <v>193</v>
      </c>
      <c r="N3343">
        <v>50</v>
      </c>
      <c r="O3343">
        <v>22.9</v>
      </c>
      <c r="P3343">
        <v>3</v>
      </c>
    </row>
    <row r="3344" spans="1:16">
      <c r="A3344" s="1" t="s">
        <v>3376</v>
      </c>
      <c r="B3344" s="1" t="s">
        <v>3380</v>
      </c>
      <c r="C3344" s="1" t="s">
        <v>18</v>
      </c>
      <c r="D3344" s="1" t="s">
        <v>81</v>
      </c>
      <c r="E3344" s="1" t="s">
        <v>3333</v>
      </c>
      <c r="F3344">
        <v>41</v>
      </c>
      <c r="G3344">
        <v>2180</v>
      </c>
      <c r="H3344">
        <v>262</v>
      </c>
      <c r="I3344">
        <v>578</v>
      </c>
      <c r="J3344">
        <v>23.1</v>
      </c>
      <c r="K3344">
        <v>846</v>
      </c>
      <c r="L3344">
        <v>3</v>
      </c>
      <c r="M3344">
        <v>53</v>
      </c>
      <c r="N3344">
        <v>72</v>
      </c>
      <c r="O3344">
        <v>33.299999999999997</v>
      </c>
      <c r="P3344">
        <v>0.38</v>
      </c>
    </row>
    <row r="3345" spans="1:16">
      <c r="A3345" s="1" t="s">
        <v>3376</v>
      </c>
      <c r="B3345" s="1" t="s">
        <v>3381</v>
      </c>
      <c r="C3345" s="1" t="s">
        <v>18</v>
      </c>
      <c r="D3345" s="1" t="s">
        <v>81</v>
      </c>
      <c r="E3345" s="1" t="s">
        <v>3333</v>
      </c>
      <c r="F3345">
        <v>64</v>
      </c>
      <c r="G3345">
        <v>913</v>
      </c>
      <c r="H3345">
        <v>331</v>
      </c>
      <c r="I3345">
        <v>689</v>
      </c>
      <c r="J3345">
        <v>80.099999999999994</v>
      </c>
      <c r="K3345">
        <v>1131</v>
      </c>
      <c r="L3345">
        <v>16</v>
      </c>
      <c r="M3345">
        <v>62</v>
      </c>
      <c r="N3345">
        <v>18</v>
      </c>
      <c r="O3345">
        <v>35.5</v>
      </c>
      <c r="P3345">
        <v>0.55000000000000004</v>
      </c>
    </row>
    <row r="3346" spans="1:16">
      <c r="A3346" s="1" t="s">
        <v>3376</v>
      </c>
      <c r="B3346" s="1" t="s">
        <v>3382</v>
      </c>
      <c r="C3346" s="1" t="s">
        <v>18</v>
      </c>
      <c r="D3346" s="1" t="s">
        <v>81</v>
      </c>
      <c r="E3346" s="1" t="s">
        <v>3333</v>
      </c>
      <c r="F3346">
        <v>49</v>
      </c>
      <c r="G3346">
        <v>664</v>
      </c>
      <c r="H3346">
        <v>283</v>
      </c>
      <c r="I3346">
        <v>651</v>
      </c>
      <c r="J3346">
        <v>78</v>
      </c>
      <c r="K3346">
        <v>1036</v>
      </c>
      <c r="L3346">
        <v>12</v>
      </c>
      <c r="M3346">
        <v>66</v>
      </c>
      <c r="N3346">
        <v>12</v>
      </c>
      <c r="O3346">
        <v>32.200000000000003</v>
      </c>
      <c r="P3346">
        <v>0.5</v>
      </c>
    </row>
    <row r="3347" spans="1:16">
      <c r="A3347" s="1" t="s">
        <v>3376</v>
      </c>
      <c r="B3347" s="1" t="s">
        <v>3383</v>
      </c>
      <c r="C3347" s="1" t="s">
        <v>18</v>
      </c>
      <c r="D3347" s="1" t="s">
        <v>81</v>
      </c>
      <c r="E3347" s="1" t="s">
        <v>3333</v>
      </c>
      <c r="F3347">
        <v>41</v>
      </c>
      <c r="G3347">
        <v>316</v>
      </c>
      <c r="H3347">
        <v>96</v>
      </c>
      <c r="I3347">
        <v>330</v>
      </c>
      <c r="J3347">
        <v>7.2</v>
      </c>
      <c r="K3347">
        <v>1834</v>
      </c>
      <c r="L3347">
        <v>11</v>
      </c>
      <c r="M3347">
        <v>115</v>
      </c>
      <c r="N3347">
        <v>25</v>
      </c>
      <c r="O3347">
        <v>25.4</v>
      </c>
      <c r="P3347">
        <v>0.85</v>
      </c>
    </row>
    <row r="3348" spans="1:16">
      <c r="A3348" s="1" t="s">
        <v>3376</v>
      </c>
      <c r="B3348" s="1" t="s">
        <v>3384</v>
      </c>
      <c r="C3348" s="1" t="s">
        <v>18</v>
      </c>
      <c r="D3348" s="1" t="s">
        <v>81</v>
      </c>
      <c r="E3348" s="1" t="s">
        <v>3333</v>
      </c>
      <c r="F3348">
        <v>37</v>
      </c>
      <c r="G3348">
        <v>281</v>
      </c>
      <c r="H3348">
        <v>114</v>
      </c>
      <c r="I3348">
        <v>403</v>
      </c>
      <c r="J3348">
        <v>12.6</v>
      </c>
      <c r="K3348">
        <v>2024</v>
      </c>
      <c r="L3348">
        <v>32</v>
      </c>
      <c r="M3348">
        <v>147</v>
      </c>
      <c r="N3348">
        <v>186</v>
      </c>
      <c r="O3348">
        <v>25.5</v>
      </c>
      <c r="P3348">
        <v>0.95</v>
      </c>
    </row>
    <row r="3349" spans="1:16">
      <c r="A3349" s="1" t="s">
        <v>3376</v>
      </c>
      <c r="B3349" s="1" t="s">
        <v>3385</v>
      </c>
      <c r="C3349" s="1" t="s">
        <v>18</v>
      </c>
      <c r="D3349" s="1" t="s">
        <v>81</v>
      </c>
      <c r="E3349" s="1" t="s">
        <v>3333</v>
      </c>
      <c r="F3349">
        <v>74</v>
      </c>
      <c r="G3349">
        <v>331</v>
      </c>
      <c r="H3349">
        <v>106</v>
      </c>
      <c r="I3349">
        <v>459</v>
      </c>
      <c r="J3349">
        <v>9.4</v>
      </c>
      <c r="K3349">
        <v>1530</v>
      </c>
      <c r="L3349">
        <v>31</v>
      </c>
      <c r="M3349">
        <v>179</v>
      </c>
      <c r="N3349">
        <v>25</v>
      </c>
      <c r="O3349">
        <v>26.3</v>
      </c>
      <c r="P3349">
        <v>0.89</v>
      </c>
    </row>
    <row r="3350" spans="1:16">
      <c r="A3350" s="1" t="s">
        <v>3386</v>
      </c>
      <c r="B3350" s="1" t="s">
        <v>3387</v>
      </c>
      <c r="C3350" s="1" t="s">
        <v>18</v>
      </c>
      <c r="D3350" s="1" t="s">
        <v>81</v>
      </c>
      <c r="E3350" s="1" t="s">
        <v>3333</v>
      </c>
      <c r="F3350">
        <v>3720</v>
      </c>
      <c r="G3350">
        <v>4380</v>
      </c>
      <c r="H3350">
        <v>1497</v>
      </c>
      <c r="I3350">
        <v>249</v>
      </c>
      <c r="J3350">
        <v>9.1999999999999993</v>
      </c>
      <c r="K3350">
        <v>1761</v>
      </c>
      <c r="L3350">
        <v>47</v>
      </c>
      <c r="M3350">
        <v>29</v>
      </c>
      <c r="N3350">
        <v>103</v>
      </c>
      <c r="O3350">
        <v>47.1</v>
      </c>
      <c r="P3350">
        <v>2.4</v>
      </c>
    </row>
    <row r="3351" spans="1:16">
      <c r="A3351" s="1" t="s">
        <v>3386</v>
      </c>
      <c r="B3351" s="1" t="s">
        <v>3388</v>
      </c>
      <c r="C3351" s="1" t="s">
        <v>18</v>
      </c>
      <c r="D3351" s="1" t="s">
        <v>81</v>
      </c>
      <c r="E3351" s="1" t="s">
        <v>3333</v>
      </c>
      <c r="F3351">
        <v>1747</v>
      </c>
      <c r="G3351">
        <v>3304</v>
      </c>
      <c r="H3351">
        <v>1358</v>
      </c>
      <c r="I3351">
        <v>261</v>
      </c>
      <c r="J3351">
        <v>8.8000000000000007</v>
      </c>
      <c r="K3351">
        <v>876</v>
      </c>
      <c r="L3351">
        <v>38</v>
      </c>
      <c r="M3351">
        <v>39</v>
      </c>
      <c r="N3351">
        <v>163</v>
      </c>
      <c r="O3351">
        <v>44.9</v>
      </c>
      <c r="P3351">
        <v>1.95</v>
      </c>
    </row>
    <row r="3352" spans="1:16">
      <c r="A3352" s="1" t="s">
        <v>3386</v>
      </c>
      <c r="B3352" s="1" t="s">
        <v>3389</v>
      </c>
      <c r="C3352" s="1" t="s">
        <v>18</v>
      </c>
      <c r="D3352" s="1" t="s">
        <v>81</v>
      </c>
      <c r="E3352" s="1" t="s">
        <v>3333</v>
      </c>
      <c r="F3352">
        <v>1632</v>
      </c>
      <c r="G3352">
        <v>3041</v>
      </c>
      <c r="H3352">
        <v>1298</v>
      </c>
      <c r="I3352">
        <v>239</v>
      </c>
      <c r="J3352">
        <v>8.1</v>
      </c>
      <c r="K3352">
        <v>853</v>
      </c>
      <c r="L3352">
        <v>42</v>
      </c>
      <c r="M3352">
        <v>36</v>
      </c>
      <c r="N3352">
        <v>152</v>
      </c>
      <c r="O3352">
        <v>42.8</v>
      </c>
      <c r="P3352">
        <v>2.04</v>
      </c>
    </row>
    <row r="3353" spans="1:16">
      <c r="A3353" s="1" t="s">
        <v>3386</v>
      </c>
      <c r="B3353" s="1" t="s">
        <v>3390</v>
      </c>
      <c r="C3353" s="1" t="s">
        <v>18</v>
      </c>
      <c r="D3353" s="1" t="s">
        <v>81</v>
      </c>
      <c r="E3353" s="1" t="s">
        <v>3333</v>
      </c>
      <c r="F3353">
        <v>4480</v>
      </c>
      <c r="G3353">
        <v>4319</v>
      </c>
      <c r="H3353">
        <v>2072</v>
      </c>
      <c r="I3353">
        <v>295</v>
      </c>
      <c r="J3353">
        <v>15.1</v>
      </c>
      <c r="K3353">
        <v>1508</v>
      </c>
      <c r="L3353">
        <v>65</v>
      </c>
      <c r="M3353">
        <v>55</v>
      </c>
      <c r="N3353">
        <v>129</v>
      </c>
      <c r="O3353">
        <v>50</v>
      </c>
      <c r="P3353">
        <v>2.59</v>
      </c>
    </row>
    <row r="3354" spans="1:16">
      <c r="A3354" s="1" t="s">
        <v>3386</v>
      </c>
      <c r="B3354" s="1" t="s">
        <v>3391</v>
      </c>
      <c r="C3354" s="1" t="s">
        <v>18</v>
      </c>
      <c r="D3354" s="1" t="s">
        <v>81</v>
      </c>
      <c r="E3354" s="1" t="s">
        <v>3333</v>
      </c>
      <c r="F3354">
        <v>156</v>
      </c>
      <c r="G3354">
        <v>1510</v>
      </c>
      <c r="H3354">
        <v>2050</v>
      </c>
      <c r="I3354">
        <v>260</v>
      </c>
      <c r="J3354">
        <v>18.3</v>
      </c>
      <c r="K3354">
        <v>732</v>
      </c>
      <c r="L3354">
        <v>11</v>
      </c>
      <c r="M3354">
        <v>31</v>
      </c>
      <c r="N3354">
        <v>72</v>
      </c>
      <c r="O3354">
        <v>38.6</v>
      </c>
      <c r="P3354">
        <v>1.2</v>
      </c>
    </row>
    <row r="3355" spans="1:16">
      <c r="A3355" s="1" t="s">
        <v>3386</v>
      </c>
      <c r="B3355" s="1" t="s">
        <v>3392</v>
      </c>
      <c r="C3355" s="1" t="s">
        <v>18</v>
      </c>
      <c r="D3355" s="1" t="s">
        <v>81</v>
      </c>
      <c r="E3355" s="1" t="s">
        <v>3333</v>
      </c>
      <c r="F3355">
        <v>144</v>
      </c>
      <c r="G3355">
        <v>1249</v>
      </c>
      <c r="H3355">
        <v>1600</v>
      </c>
      <c r="I3355">
        <v>236</v>
      </c>
      <c r="J3355">
        <v>14.3</v>
      </c>
      <c r="K3355">
        <v>633</v>
      </c>
      <c r="L3355">
        <v>11</v>
      </c>
      <c r="M3355">
        <v>24</v>
      </c>
      <c r="N3355">
        <v>56</v>
      </c>
      <c r="O3355">
        <v>36.299999999999997</v>
      </c>
      <c r="P3355">
        <v>0.96</v>
      </c>
    </row>
    <row r="3356" spans="1:16">
      <c r="A3356" s="1" t="s">
        <v>3386</v>
      </c>
      <c r="B3356" s="1" t="s">
        <v>3393</v>
      </c>
      <c r="C3356" s="1" t="s">
        <v>18</v>
      </c>
      <c r="D3356" s="1" t="s">
        <v>81</v>
      </c>
      <c r="E3356" s="1" t="s">
        <v>3333</v>
      </c>
      <c r="F3356">
        <v>231</v>
      </c>
      <c r="G3356">
        <v>3790</v>
      </c>
      <c r="H3356">
        <v>4750</v>
      </c>
      <c r="I3356">
        <v>216</v>
      </c>
      <c r="J3356">
        <v>73.900000000000006</v>
      </c>
      <c r="K3356">
        <v>2112</v>
      </c>
      <c r="L3356">
        <v>13</v>
      </c>
      <c r="M3356">
        <v>6</v>
      </c>
      <c r="N3356">
        <v>124</v>
      </c>
      <c r="O3356">
        <v>56.9</v>
      </c>
      <c r="P3356">
        <v>5.98</v>
      </c>
    </row>
    <row r="3357" spans="1:16">
      <c r="A3357" s="1" t="s">
        <v>3386</v>
      </c>
      <c r="B3357" s="1" t="s">
        <v>3394</v>
      </c>
      <c r="C3357" s="1" t="s">
        <v>18</v>
      </c>
      <c r="D3357" s="1" t="s">
        <v>81</v>
      </c>
      <c r="E3357" s="1" t="s">
        <v>3333</v>
      </c>
      <c r="F3357">
        <v>211</v>
      </c>
      <c r="G3357">
        <v>3490</v>
      </c>
      <c r="H3357">
        <v>5390</v>
      </c>
      <c r="I3357">
        <v>188</v>
      </c>
      <c r="J3357">
        <v>42.6</v>
      </c>
      <c r="K3357">
        <v>1732</v>
      </c>
      <c r="L3357">
        <v>11</v>
      </c>
      <c r="M3357">
        <v>7</v>
      </c>
      <c r="N3357">
        <v>95</v>
      </c>
      <c r="O3357">
        <v>53.9</v>
      </c>
      <c r="P3357">
        <v>4.9800000000000004</v>
      </c>
    </row>
    <row r="3358" spans="1:16">
      <c r="A3358" s="1" t="s">
        <v>3386</v>
      </c>
      <c r="B3358" s="1" t="s">
        <v>3395</v>
      </c>
      <c r="C3358" s="1" t="s">
        <v>18</v>
      </c>
      <c r="D3358" s="1" t="s">
        <v>81</v>
      </c>
      <c r="E3358" s="1" t="s">
        <v>3333</v>
      </c>
      <c r="F3358">
        <v>216</v>
      </c>
      <c r="G3358">
        <v>3550</v>
      </c>
      <c r="H3358">
        <v>5330</v>
      </c>
      <c r="I3358">
        <v>185</v>
      </c>
      <c r="J3358">
        <v>42</v>
      </c>
      <c r="K3358">
        <v>2025</v>
      </c>
      <c r="L3358">
        <v>11</v>
      </c>
      <c r="M3358">
        <v>6</v>
      </c>
      <c r="N3358">
        <v>102</v>
      </c>
      <c r="O3358">
        <v>52.3</v>
      </c>
      <c r="P3358">
        <v>4.88</v>
      </c>
    </row>
    <row r="3359" spans="1:16">
      <c r="A3359" s="1" t="s">
        <v>3386</v>
      </c>
      <c r="B3359" s="1" t="s">
        <v>3396</v>
      </c>
      <c r="C3359" s="1" t="s">
        <v>18</v>
      </c>
      <c r="D3359" s="1" t="s">
        <v>81</v>
      </c>
      <c r="E3359" s="1" t="s">
        <v>3333</v>
      </c>
      <c r="F3359">
        <v>1758</v>
      </c>
      <c r="G3359">
        <v>4420</v>
      </c>
      <c r="H3359">
        <v>568</v>
      </c>
      <c r="I3359">
        <v>722</v>
      </c>
      <c r="J3359">
        <v>19.3</v>
      </c>
      <c r="K3359">
        <v>812</v>
      </c>
      <c r="L3359">
        <v>4</v>
      </c>
      <c r="M3359">
        <v>21</v>
      </c>
      <c r="N3359">
        <v>565</v>
      </c>
      <c r="O3359">
        <v>50.8</v>
      </c>
      <c r="P3359">
        <v>0.76</v>
      </c>
    </row>
    <row r="3360" spans="1:16">
      <c r="A3360" s="1" t="s">
        <v>3386</v>
      </c>
      <c r="B3360" s="1" t="s">
        <v>3397</v>
      </c>
      <c r="C3360" s="1" t="s">
        <v>18</v>
      </c>
      <c r="D3360" s="1" t="s">
        <v>81</v>
      </c>
      <c r="E3360" s="1" t="s">
        <v>3333</v>
      </c>
      <c r="F3360">
        <v>2070</v>
      </c>
      <c r="G3360">
        <v>4810</v>
      </c>
      <c r="H3360">
        <v>523</v>
      </c>
      <c r="I3360">
        <v>616</v>
      </c>
      <c r="J3360">
        <v>23.4</v>
      </c>
      <c r="K3360">
        <v>1086</v>
      </c>
      <c r="L3360">
        <v>5</v>
      </c>
      <c r="M3360">
        <v>22</v>
      </c>
      <c r="N3360">
        <v>687</v>
      </c>
      <c r="O3360">
        <v>51.6</v>
      </c>
      <c r="P3360">
        <v>0.6</v>
      </c>
    </row>
    <row r="3361" spans="1:16">
      <c r="A3361" s="1" t="s">
        <v>3386</v>
      </c>
      <c r="B3361" s="1" t="s">
        <v>3398</v>
      </c>
      <c r="C3361" s="1" t="s">
        <v>18</v>
      </c>
      <c r="D3361" s="1" t="s">
        <v>81</v>
      </c>
      <c r="E3361" s="1" t="s">
        <v>3333</v>
      </c>
      <c r="F3361">
        <v>274</v>
      </c>
      <c r="G3361">
        <v>2810</v>
      </c>
      <c r="H3361">
        <v>413</v>
      </c>
      <c r="I3361">
        <v>560</v>
      </c>
      <c r="J3361">
        <v>5.9</v>
      </c>
      <c r="K3361">
        <v>1203</v>
      </c>
      <c r="L3361">
        <v>2</v>
      </c>
      <c r="M3361">
        <v>17</v>
      </c>
      <c r="N3361">
        <v>119</v>
      </c>
      <c r="O3361">
        <v>50.2</v>
      </c>
      <c r="P3361">
        <v>0.21</v>
      </c>
    </row>
    <row r="3362" spans="1:16">
      <c r="A3362" s="1" t="s">
        <v>3386</v>
      </c>
      <c r="B3362" s="1" t="s">
        <v>3399</v>
      </c>
      <c r="C3362" s="1" t="s">
        <v>18</v>
      </c>
      <c r="D3362" s="1" t="s">
        <v>81</v>
      </c>
      <c r="E3362" s="1" t="s">
        <v>3333</v>
      </c>
      <c r="F3362">
        <v>273</v>
      </c>
      <c r="G3362">
        <v>2881</v>
      </c>
      <c r="H3362">
        <v>436</v>
      </c>
      <c r="I3362">
        <v>554</v>
      </c>
      <c r="J3362">
        <v>16.600000000000001</v>
      </c>
      <c r="K3362">
        <v>1535</v>
      </c>
      <c r="L3362">
        <v>6</v>
      </c>
      <c r="M3362">
        <v>21</v>
      </c>
      <c r="N3362">
        <v>234</v>
      </c>
      <c r="O3362">
        <v>48.4</v>
      </c>
      <c r="P3362">
        <v>0.35</v>
      </c>
    </row>
    <row r="3363" spans="1:16">
      <c r="A3363" s="1" t="s">
        <v>3386</v>
      </c>
      <c r="B3363" s="1" t="s">
        <v>3400</v>
      </c>
      <c r="C3363" s="1" t="s">
        <v>18</v>
      </c>
      <c r="D3363" s="1" t="s">
        <v>81</v>
      </c>
      <c r="E3363" s="1" t="s">
        <v>3333</v>
      </c>
      <c r="F3363">
        <v>432</v>
      </c>
      <c r="G3363">
        <v>2124</v>
      </c>
      <c r="H3363">
        <v>2150</v>
      </c>
      <c r="I3363">
        <v>1363</v>
      </c>
      <c r="J3363">
        <v>30.5</v>
      </c>
      <c r="K3363">
        <v>762</v>
      </c>
      <c r="L3363">
        <v>19</v>
      </c>
      <c r="M3363">
        <v>18</v>
      </c>
      <c r="N3363">
        <v>81</v>
      </c>
      <c r="O3363">
        <v>65.5</v>
      </c>
      <c r="P3363">
        <v>0.41</v>
      </c>
    </row>
    <row r="3364" spans="1:16">
      <c r="A3364" s="1" t="s">
        <v>3386</v>
      </c>
      <c r="B3364" s="1" t="s">
        <v>3401</v>
      </c>
      <c r="C3364" s="1" t="s">
        <v>18</v>
      </c>
      <c r="D3364" s="1" t="s">
        <v>81</v>
      </c>
      <c r="E3364" s="1" t="s">
        <v>3333</v>
      </c>
      <c r="F3364">
        <v>596</v>
      </c>
      <c r="G3364">
        <v>2190</v>
      </c>
      <c r="H3364">
        <v>2080</v>
      </c>
      <c r="I3364">
        <v>1382</v>
      </c>
      <c r="J3364">
        <v>28.4</v>
      </c>
      <c r="K3364">
        <v>791</v>
      </c>
      <c r="L3364">
        <v>20</v>
      </c>
      <c r="M3364">
        <v>15</v>
      </c>
      <c r="N3364">
        <v>69</v>
      </c>
      <c r="O3364">
        <v>63.9</v>
      </c>
      <c r="P3364">
        <v>0.24</v>
      </c>
    </row>
    <row r="3365" spans="1:16">
      <c r="A3365" s="1" t="s">
        <v>3402</v>
      </c>
      <c r="B3365" s="1" t="s">
        <v>3403</v>
      </c>
      <c r="C3365" s="1" t="s">
        <v>18</v>
      </c>
      <c r="D3365" s="1" t="s">
        <v>81</v>
      </c>
      <c r="E3365" s="1" t="s">
        <v>3333</v>
      </c>
      <c r="F3365">
        <v>33</v>
      </c>
      <c r="G3365">
        <v>582</v>
      </c>
      <c r="H3365">
        <v>373</v>
      </c>
      <c r="I3365">
        <v>540</v>
      </c>
      <c r="J3365">
        <v>6.9</v>
      </c>
      <c r="K3365">
        <v>986</v>
      </c>
      <c r="L3365">
        <v>31</v>
      </c>
      <c r="M3365">
        <v>69</v>
      </c>
      <c r="N3365">
        <v>216</v>
      </c>
      <c r="O3365">
        <v>35.9</v>
      </c>
      <c r="P3365">
        <v>1.22</v>
      </c>
    </row>
    <row r="3366" spans="1:16">
      <c r="A3366" s="1" t="s">
        <v>3402</v>
      </c>
      <c r="B3366" s="1" t="s">
        <v>3404</v>
      </c>
      <c r="C3366" s="1" t="s">
        <v>18</v>
      </c>
      <c r="D3366" s="1" t="s">
        <v>81</v>
      </c>
      <c r="E3366" s="1" t="s">
        <v>3333</v>
      </c>
      <c r="F3366">
        <v>149</v>
      </c>
      <c r="G3366">
        <v>671</v>
      </c>
      <c r="H3366">
        <v>442</v>
      </c>
      <c r="I3366">
        <v>506</v>
      </c>
      <c r="J3366">
        <v>4.9000000000000004</v>
      </c>
      <c r="K3366">
        <v>1082</v>
      </c>
      <c r="L3366">
        <v>38</v>
      </c>
      <c r="M3366">
        <v>85</v>
      </c>
      <c r="N3366">
        <v>308</v>
      </c>
      <c r="O3366">
        <v>44.5</v>
      </c>
      <c r="P3366">
        <v>3.47</v>
      </c>
    </row>
    <row r="3367" spans="1:16">
      <c r="A3367" s="1" t="s">
        <v>3402</v>
      </c>
      <c r="B3367" s="1" t="s">
        <v>3405</v>
      </c>
      <c r="C3367" s="1" t="s">
        <v>18</v>
      </c>
      <c r="D3367" s="1" t="s">
        <v>81</v>
      </c>
      <c r="E3367" s="1" t="s">
        <v>3333</v>
      </c>
      <c r="F3367">
        <v>43</v>
      </c>
      <c r="G3367">
        <v>356</v>
      </c>
      <c r="H3367">
        <v>383</v>
      </c>
      <c r="I3367">
        <v>549</v>
      </c>
      <c r="J3367">
        <v>10.199999999999999</v>
      </c>
      <c r="K3367">
        <v>1003</v>
      </c>
      <c r="L3367">
        <v>67</v>
      </c>
      <c r="M3367">
        <v>190</v>
      </c>
      <c r="N3367">
        <v>180</v>
      </c>
      <c r="O3367">
        <v>38</v>
      </c>
      <c r="P3367">
        <v>1.21</v>
      </c>
    </row>
    <row r="3368" spans="1:16">
      <c r="A3368" s="1" t="s">
        <v>3402</v>
      </c>
      <c r="B3368" s="1" t="s">
        <v>3406</v>
      </c>
      <c r="C3368" s="1" t="s">
        <v>18</v>
      </c>
      <c r="D3368" s="1" t="s">
        <v>81</v>
      </c>
      <c r="E3368" s="1" t="s">
        <v>3333</v>
      </c>
      <c r="F3368">
        <v>37</v>
      </c>
      <c r="G3368">
        <v>294</v>
      </c>
      <c r="H3368">
        <v>961</v>
      </c>
      <c r="I3368">
        <v>122</v>
      </c>
      <c r="J3368">
        <v>4</v>
      </c>
      <c r="K3368">
        <v>1753</v>
      </c>
      <c r="L3368">
        <v>6</v>
      </c>
      <c r="M3368">
        <v>20</v>
      </c>
      <c r="N3368">
        <v>36</v>
      </c>
      <c r="O3368">
        <v>18.2</v>
      </c>
      <c r="P3368">
        <v>1.43</v>
      </c>
    </row>
    <row r="3369" spans="1:16">
      <c r="A3369" s="1" t="s">
        <v>3402</v>
      </c>
      <c r="B3369" s="1" t="s">
        <v>3407</v>
      </c>
      <c r="C3369" s="1" t="s">
        <v>18</v>
      </c>
      <c r="D3369" s="1" t="s">
        <v>81</v>
      </c>
      <c r="E3369" s="1" t="s">
        <v>3333</v>
      </c>
      <c r="F3369">
        <v>52</v>
      </c>
      <c r="G3369">
        <v>370</v>
      </c>
      <c r="H3369">
        <v>1059</v>
      </c>
      <c r="I3369">
        <v>123</v>
      </c>
      <c r="J3369">
        <v>4.4000000000000004</v>
      </c>
      <c r="K3369">
        <v>1757</v>
      </c>
      <c r="L3369">
        <v>5</v>
      </c>
      <c r="M3369">
        <v>900</v>
      </c>
      <c r="N3369">
        <v>55</v>
      </c>
      <c r="O3369">
        <v>18.7</v>
      </c>
      <c r="P3369">
        <v>1.67</v>
      </c>
    </row>
    <row r="3370" spans="1:16">
      <c r="A3370" s="1" t="s">
        <v>3402</v>
      </c>
      <c r="B3370" s="1" t="s">
        <v>3408</v>
      </c>
      <c r="C3370" s="1" t="s">
        <v>18</v>
      </c>
      <c r="D3370" s="1" t="s">
        <v>81</v>
      </c>
      <c r="E3370" s="1" t="s">
        <v>3333</v>
      </c>
      <c r="F3370">
        <v>35</v>
      </c>
      <c r="G3370">
        <v>340</v>
      </c>
      <c r="H3370">
        <v>907</v>
      </c>
      <c r="I3370">
        <v>125</v>
      </c>
      <c r="J3370">
        <v>3.6</v>
      </c>
      <c r="K3370">
        <v>1674</v>
      </c>
      <c r="L3370">
        <v>14</v>
      </c>
      <c r="M3370">
        <v>43</v>
      </c>
      <c r="N3370">
        <v>42</v>
      </c>
      <c r="O3370">
        <v>19.600000000000001</v>
      </c>
      <c r="P3370">
        <v>1.28</v>
      </c>
    </row>
    <row r="3371" spans="1:16">
      <c r="A3371" s="1" t="s">
        <v>3402</v>
      </c>
      <c r="B3371" s="1" t="s">
        <v>3409</v>
      </c>
      <c r="C3371" s="1" t="s">
        <v>18</v>
      </c>
      <c r="D3371" s="1" t="s">
        <v>81</v>
      </c>
      <c r="E3371" s="1" t="s">
        <v>3333</v>
      </c>
      <c r="F3371">
        <v>54</v>
      </c>
      <c r="G3371">
        <v>339</v>
      </c>
      <c r="H3371">
        <v>1026</v>
      </c>
      <c r="I3371">
        <v>122</v>
      </c>
      <c r="J3371">
        <v>4</v>
      </c>
      <c r="K3371">
        <v>1758</v>
      </c>
      <c r="L3371">
        <v>17</v>
      </c>
      <c r="M3371">
        <v>24</v>
      </c>
      <c r="N3371">
        <v>93</v>
      </c>
      <c r="O3371">
        <v>20.399999999999999</v>
      </c>
      <c r="P3371">
        <v>2.08</v>
      </c>
    </row>
    <row r="3372" spans="1:16">
      <c r="A3372" s="1" t="s">
        <v>3402</v>
      </c>
      <c r="B3372" s="1" t="s">
        <v>3410</v>
      </c>
      <c r="C3372" s="1" t="s">
        <v>18</v>
      </c>
      <c r="D3372" s="1" t="s">
        <v>81</v>
      </c>
      <c r="E3372" s="1" t="s">
        <v>3333</v>
      </c>
      <c r="F3372">
        <v>57</v>
      </c>
      <c r="G3372">
        <v>345</v>
      </c>
      <c r="H3372">
        <v>1085</v>
      </c>
      <c r="I3372">
        <v>119</v>
      </c>
      <c r="J3372">
        <v>3.5</v>
      </c>
      <c r="K3372">
        <v>1700</v>
      </c>
      <c r="L3372">
        <v>6</v>
      </c>
      <c r="M3372">
        <v>22</v>
      </c>
      <c r="N3372">
        <v>47</v>
      </c>
      <c r="O3372">
        <v>19.600000000000001</v>
      </c>
      <c r="P3372">
        <v>1.61</v>
      </c>
    </row>
    <row r="3373" spans="1:16">
      <c r="A3373" s="1" t="s">
        <v>3402</v>
      </c>
      <c r="B3373" s="1" t="s">
        <v>3411</v>
      </c>
      <c r="C3373" s="1" t="s">
        <v>18</v>
      </c>
      <c r="D3373" s="1" t="s">
        <v>81</v>
      </c>
      <c r="E3373" s="1" t="s">
        <v>3333</v>
      </c>
      <c r="F3373">
        <v>108</v>
      </c>
      <c r="G3373">
        <v>280</v>
      </c>
      <c r="H3373">
        <v>847</v>
      </c>
      <c r="I3373">
        <v>117</v>
      </c>
      <c r="J3373" s="11">
        <f>1.61/2</f>
        <v>0.80500000000000005</v>
      </c>
      <c r="K3373">
        <v>1898</v>
      </c>
      <c r="L3373">
        <v>5</v>
      </c>
      <c r="M3373">
        <v>27</v>
      </c>
      <c r="N3373">
        <v>61</v>
      </c>
      <c r="O3373">
        <v>21.7</v>
      </c>
      <c r="P3373">
        <v>2.08</v>
      </c>
    </row>
    <row r="3374" spans="1:16">
      <c r="A3374" s="1" t="s">
        <v>3402</v>
      </c>
      <c r="B3374" s="1" t="s">
        <v>3412</v>
      </c>
      <c r="C3374" s="1" t="s">
        <v>18</v>
      </c>
      <c r="D3374" s="1" t="s">
        <v>81</v>
      </c>
      <c r="E3374" s="1" t="s">
        <v>3333</v>
      </c>
      <c r="F3374">
        <v>69</v>
      </c>
      <c r="G3374">
        <v>490</v>
      </c>
      <c r="H3374">
        <v>1161</v>
      </c>
      <c r="I3374">
        <v>132</v>
      </c>
      <c r="J3374">
        <v>5.6</v>
      </c>
      <c r="K3374">
        <v>1859</v>
      </c>
      <c r="L3374">
        <v>21</v>
      </c>
      <c r="M3374">
        <v>77</v>
      </c>
      <c r="N3374">
        <v>91</v>
      </c>
      <c r="O3374">
        <v>21.3</v>
      </c>
      <c r="P3374">
        <v>2.42</v>
      </c>
    </row>
    <row r="3375" spans="1:16">
      <c r="A3375" s="1" t="s">
        <v>3402</v>
      </c>
      <c r="B3375" s="1" t="s">
        <v>3413</v>
      </c>
      <c r="C3375" s="1" t="s">
        <v>18</v>
      </c>
      <c r="D3375" s="1" t="s">
        <v>81</v>
      </c>
      <c r="E3375" s="1" t="s">
        <v>3333</v>
      </c>
      <c r="F3375">
        <v>64</v>
      </c>
      <c r="G3375">
        <v>395</v>
      </c>
      <c r="H3375">
        <v>1046</v>
      </c>
      <c r="I3375">
        <v>120</v>
      </c>
      <c r="J3375">
        <v>3.5</v>
      </c>
      <c r="K3375">
        <v>1805</v>
      </c>
      <c r="L3375">
        <v>7</v>
      </c>
      <c r="M3375">
        <v>60</v>
      </c>
      <c r="N3375">
        <v>77</v>
      </c>
      <c r="O3375">
        <v>19.5</v>
      </c>
      <c r="P3375">
        <v>1.79</v>
      </c>
    </row>
    <row r="3376" spans="1:16">
      <c r="A3376" s="1" t="s">
        <v>3402</v>
      </c>
      <c r="B3376" s="1" t="s">
        <v>3414</v>
      </c>
      <c r="C3376" s="1" t="s">
        <v>18</v>
      </c>
      <c r="D3376" s="1" t="s">
        <v>81</v>
      </c>
      <c r="E3376" s="1" t="s">
        <v>3333</v>
      </c>
      <c r="F3376">
        <v>52</v>
      </c>
      <c r="G3376">
        <v>380</v>
      </c>
      <c r="H3376">
        <v>1025</v>
      </c>
      <c r="I3376">
        <v>115</v>
      </c>
      <c r="J3376">
        <v>2.2000000000000002</v>
      </c>
      <c r="K3376">
        <v>1867</v>
      </c>
      <c r="L3376">
        <v>6</v>
      </c>
      <c r="M3376">
        <v>26</v>
      </c>
      <c r="N3376">
        <v>61</v>
      </c>
      <c r="O3376">
        <v>20.8</v>
      </c>
      <c r="P3376">
        <v>1.81</v>
      </c>
    </row>
    <row r="3377" spans="1:16">
      <c r="A3377" s="1" t="s">
        <v>3402</v>
      </c>
      <c r="B3377" s="1" t="s">
        <v>3415</v>
      </c>
      <c r="C3377" s="1" t="s">
        <v>18</v>
      </c>
      <c r="D3377" s="1" t="s">
        <v>81</v>
      </c>
      <c r="E3377" s="1" t="s">
        <v>3333</v>
      </c>
      <c r="F3377">
        <v>67</v>
      </c>
      <c r="G3377">
        <v>346</v>
      </c>
      <c r="H3377">
        <v>990</v>
      </c>
      <c r="I3377">
        <v>116</v>
      </c>
      <c r="J3377">
        <v>3.7</v>
      </c>
      <c r="K3377">
        <v>1797</v>
      </c>
      <c r="L3377">
        <v>7</v>
      </c>
      <c r="M3377">
        <v>27</v>
      </c>
      <c r="N3377">
        <v>160</v>
      </c>
      <c r="O3377">
        <v>20.6</v>
      </c>
      <c r="P3377">
        <v>1.95</v>
      </c>
    </row>
    <row r="3378" spans="1:16">
      <c r="A3378" s="1" t="s">
        <v>3402</v>
      </c>
      <c r="B3378" s="1" t="s">
        <v>3416</v>
      </c>
      <c r="C3378" s="1" t="s">
        <v>18</v>
      </c>
      <c r="D3378" s="1" t="s">
        <v>81</v>
      </c>
      <c r="E3378" s="1" t="s">
        <v>3333</v>
      </c>
      <c r="F3378">
        <v>51</v>
      </c>
      <c r="G3378">
        <v>353</v>
      </c>
      <c r="H3378">
        <v>1060</v>
      </c>
      <c r="I3378">
        <v>110</v>
      </c>
      <c r="J3378">
        <v>2.4</v>
      </c>
      <c r="K3378">
        <v>1925</v>
      </c>
      <c r="L3378">
        <v>4</v>
      </c>
      <c r="M3378">
        <v>15</v>
      </c>
      <c r="N3378">
        <v>74</v>
      </c>
      <c r="O3378">
        <v>19.3</v>
      </c>
      <c r="P3378">
        <v>2.09</v>
      </c>
    </row>
    <row r="3379" spans="1:16">
      <c r="A3379" s="1" t="s">
        <v>3402</v>
      </c>
      <c r="B3379" s="1" t="s">
        <v>3417</v>
      </c>
      <c r="C3379" s="1" t="s">
        <v>18</v>
      </c>
      <c r="D3379" s="1" t="s">
        <v>81</v>
      </c>
      <c r="E3379" s="1" t="s">
        <v>3333</v>
      </c>
      <c r="F3379">
        <v>39</v>
      </c>
      <c r="G3379">
        <v>398</v>
      </c>
      <c r="H3379">
        <v>1011</v>
      </c>
      <c r="I3379">
        <v>128</v>
      </c>
      <c r="J3379">
        <v>7.7</v>
      </c>
      <c r="K3379">
        <v>1759</v>
      </c>
      <c r="L3379">
        <v>10</v>
      </c>
      <c r="M3379">
        <v>59</v>
      </c>
      <c r="N3379">
        <v>79</v>
      </c>
      <c r="O3379">
        <v>20.100000000000001</v>
      </c>
      <c r="P3379">
        <v>1.68</v>
      </c>
    </row>
    <row r="3380" spans="1:16">
      <c r="A3380" s="1" t="s">
        <v>3402</v>
      </c>
      <c r="B3380" s="1" t="s">
        <v>3418</v>
      </c>
      <c r="C3380" s="1" t="s">
        <v>18</v>
      </c>
      <c r="D3380" s="1" t="s">
        <v>81</v>
      </c>
      <c r="E3380" s="1" t="s">
        <v>3333</v>
      </c>
      <c r="F3380">
        <v>49</v>
      </c>
      <c r="G3380">
        <v>388</v>
      </c>
      <c r="H3380">
        <v>1135</v>
      </c>
      <c r="I3380">
        <v>127</v>
      </c>
      <c r="J3380">
        <v>1.9</v>
      </c>
      <c r="K3380">
        <v>1895</v>
      </c>
      <c r="L3380">
        <v>6</v>
      </c>
      <c r="M3380">
        <v>94</v>
      </c>
      <c r="N3380">
        <v>75</v>
      </c>
      <c r="O3380">
        <v>20.7</v>
      </c>
      <c r="P3380">
        <v>1.72</v>
      </c>
    </row>
    <row r="3381" spans="1:16">
      <c r="A3381" s="1" t="s">
        <v>3402</v>
      </c>
      <c r="B3381" s="1" t="s">
        <v>3419</v>
      </c>
      <c r="C3381" s="1" t="s">
        <v>18</v>
      </c>
      <c r="D3381" s="1" t="s">
        <v>81</v>
      </c>
      <c r="E3381" s="1" t="s">
        <v>3333</v>
      </c>
      <c r="F3381">
        <v>35</v>
      </c>
      <c r="G3381">
        <v>202</v>
      </c>
      <c r="H3381">
        <v>89</v>
      </c>
      <c r="I3381">
        <v>3</v>
      </c>
      <c r="J3381">
        <v>2.8</v>
      </c>
      <c r="K3381">
        <v>1617</v>
      </c>
      <c r="L3381">
        <v>20</v>
      </c>
      <c r="M3381">
        <v>38</v>
      </c>
      <c r="N3381">
        <v>116</v>
      </c>
      <c r="O3381">
        <v>77.099999999999994</v>
      </c>
      <c r="P3381">
        <v>0.39</v>
      </c>
    </row>
    <row r="3382" spans="1:16">
      <c r="A3382" s="1" t="s">
        <v>3402</v>
      </c>
      <c r="B3382" s="1" t="s">
        <v>3420</v>
      </c>
      <c r="C3382" s="1" t="s">
        <v>18</v>
      </c>
      <c r="D3382" s="1" t="s">
        <v>81</v>
      </c>
      <c r="E3382" s="1" t="s">
        <v>3333</v>
      </c>
      <c r="F3382">
        <v>48</v>
      </c>
      <c r="G3382">
        <v>205</v>
      </c>
      <c r="H3382">
        <v>104</v>
      </c>
      <c r="I3382">
        <v>3</v>
      </c>
      <c r="J3382">
        <v>3.3</v>
      </c>
      <c r="K3382">
        <v>1563</v>
      </c>
      <c r="L3382">
        <v>13</v>
      </c>
      <c r="M3382">
        <v>91</v>
      </c>
      <c r="N3382">
        <v>114</v>
      </c>
      <c r="O3382">
        <v>70.5</v>
      </c>
      <c r="P3382">
        <v>0.35</v>
      </c>
    </row>
    <row r="3383" spans="1:16">
      <c r="A3383" s="1" t="s">
        <v>3402</v>
      </c>
      <c r="B3383" s="1" t="s">
        <v>3421</v>
      </c>
      <c r="C3383" s="1" t="s">
        <v>18</v>
      </c>
      <c r="D3383" s="1" t="s">
        <v>81</v>
      </c>
      <c r="E3383" s="1" t="s">
        <v>3333</v>
      </c>
      <c r="F3383">
        <v>53</v>
      </c>
      <c r="G3383">
        <v>181</v>
      </c>
      <c r="H3383">
        <v>150</v>
      </c>
      <c r="I3383">
        <v>5</v>
      </c>
      <c r="J3383">
        <v>6.6</v>
      </c>
      <c r="K3383">
        <v>1863</v>
      </c>
      <c r="L3383">
        <v>70</v>
      </c>
      <c r="M3383">
        <v>160</v>
      </c>
      <c r="N3383">
        <v>144</v>
      </c>
      <c r="O3383">
        <v>67.599999999999994</v>
      </c>
      <c r="P3383">
        <v>0.84</v>
      </c>
    </row>
    <row r="3384" spans="1:16">
      <c r="A3384" s="1" t="s">
        <v>3402</v>
      </c>
      <c r="B3384" s="1" t="s">
        <v>3422</v>
      </c>
      <c r="C3384" s="1" t="s">
        <v>18</v>
      </c>
      <c r="D3384" s="1" t="s">
        <v>81</v>
      </c>
      <c r="E3384" s="1" t="s">
        <v>3333</v>
      </c>
      <c r="F3384">
        <v>38</v>
      </c>
      <c r="G3384">
        <v>172</v>
      </c>
      <c r="H3384">
        <v>160</v>
      </c>
      <c r="I3384">
        <v>5</v>
      </c>
      <c r="J3384">
        <v>5</v>
      </c>
      <c r="K3384">
        <v>1874</v>
      </c>
      <c r="L3384">
        <v>71</v>
      </c>
      <c r="M3384">
        <v>19</v>
      </c>
      <c r="N3384">
        <v>98</v>
      </c>
      <c r="O3384">
        <v>65.8</v>
      </c>
      <c r="P3384">
        <v>0.59</v>
      </c>
    </row>
    <row r="3385" spans="1:16">
      <c r="A3385" s="1" t="s">
        <v>3402</v>
      </c>
      <c r="B3385" s="1" t="s">
        <v>3423</v>
      </c>
      <c r="C3385" s="1" t="s">
        <v>18</v>
      </c>
      <c r="D3385" s="1" t="s">
        <v>81</v>
      </c>
      <c r="E3385" s="1" t="s">
        <v>3333</v>
      </c>
      <c r="F3385">
        <v>44</v>
      </c>
      <c r="G3385">
        <v>247</v>
      </c>
      <c r="H3385">
        <v>138</v>
      </c>
      <c r="I3385">
        <v>5</v>
      </c>
      <c r="J3385">
        <v>4.4000000000000004</v>
      </c>
      <c r="K3385">
        <v>1749</v>
      </c>
      <c r="L3385">
        <v>61</v>
      </c>
      <c r="M3385">
        <v>33</v>
      </c>
      <c r="N3385">
        <v>92</v>
      </c>
      <c r="O3385">
        <v>67.599999999999994</v>
      </c>
      <c r="P3385">
        <v>0.5</v>
      </c>
    </row>
    <row r="3386" spans="1:16">
      <c r="A3386" s="1" t="s">
        <v>3402</v>
      </c>
      <c r="B3386" s="1" t="s">
        <v>3424</v>
      </c>
      <c r="C3386" s="1" t="s">
        <v>18</v>
      </c>
      <c r="D3386" s="1" t="s">
        <v>81</v>
      </c>
      <c r="E3386" s="1" t="s">
        <v>3333</v>
      </c>
      <c r="F3386">
        <v>38</v>
      </c>
      <c r="G3386">
        <v>217</v>
      </c>
      <c r="H3386">
        <v>84</v>
      </c>
      <c r="I3386">
        <v>5</v>
      </c>
      <c r="J3386">
        <v>2.7</v>
      </c>
      <c r="K3386">
        <v>1642</v>
      </c>
      <c r="L3386">
        <v>63</v>
      </c>
      <c r="M3386">
        <v>10</v>
      </c>
      <c r="N3386">
        <v>87</v>
      </c>
      <c r="O3386">
        <v>68.400000000000006</v>
      </c>
      <c r="P3386">
        <v>0.39</v>
      </c>
    </row>
    <row r="3387" spans="1:16">
      <c r="A3387" s="1" t="s">
        <v>3402</v>
      </c>
      <c r="B3387" s="1" t="s">
        <v>3425</v>
      </c>
      <c r="C3387" s="1" t="s">
        <v>18</v>
      </c>
      <c r="D3387" s="1" t="s">
        <v>81</v>
      </c>
      <c r="E3387" s="1" t="s">
        <v>3333</v>
      </c>
      <c r="F3387">
        <v>40</v>
      </c>
      <c r="G3387">
        <v>179</v>
      </c>
      <c r="H3387">
        <v>130</v>
      </c>
      <c r="I3387">
        <v>5</v>
      </c>
      <c r="J3387">
        <v>4.2</v>
      </c>
      <c r="K3387">
        <v>1741</v>
      </c>
      <c r="L3387">
        <v>69</v>
      </c>
      <c r="M3387">
        <v>9</v>
      </c>
      <c r="N3387">
        <v>102</v>
      </c>
      <c r="O3387">
        <v>77.3</v>
      </c>
      <c r="P3387">
        <v>0.5</v>
      </c>
    </row>
    <row r="3388" spans="1:16">
      <c r="A3388" s="1" t="s">
        <v>3402</v>
      </c>
      <c r="B3388" s="1" t="s">
        <v>3426</v>
      </c>
      <c r="C3388" s="1" t="s">
        <v>18</v>
      </c>
      <c r="D3388" s="1" t="s">
        <v>81</v>
      </c>
      <c r="E3388" s="1" t="s">
        <v>3333</v>
      </c>
      <c r="F3388">
        <v>33</v>
      </c>
      <c r="G3388">
        <v>194</v>
      </c>
      <c r="H3388">
        <v>108</v>
      </c>
      <c r="I3388">
        <v>3</v>
      </c>
      <c r="J3388">
        <v>6.5</v>
      </c>
      <c r="K3388">
        <v>1970</v>
      </c>
      <c r="L3388">
        <v>72</v>
      </c>
      <c r="M3388">
        <v>7</v>
      </c>
      <c r="N3388">
        <v>69</v>
      </c>
      <c r="O3388">
        <v>75.400000000000006</v>
      </c>
      <c r="P3388">
        <v>1.1100000000000001</v>
      </c>
    </row>
    <row r="3389" spans="1:16">
      <c r="A3389" s="1" t="s">
        <v>3427</v>
      </c>
      <c r="B3389" s="1" t="s">
        <v>3428</v>
      </c>
      <c r="C3389" s="1" t="s">
        <v>18</v>
      </c>
      <c r="D3389" s="1" t="s">
        <v>19</v>
      </c>
      <c r="E3389" s="1" t="s">
        <v>3333</v>
      </c>
      <c r="F3389">
        <v>922</v>
      </c>
      <c r="G3389">
        <v>1222</v>
      </c>
      <c r="H3389">
        <v>229</v>
      </c>
      <c r="I3389">
        <v>2078</v>
      </c>
      <c r="J3389">
        <v>4.5999999999999996</v>
      </c>
      <c r="K3389">
        <v>315</v>
      </c>
      <c r="L3389">
        <v>119</v>
      </c>
      <c r="M3389">
        <v>219</v>
      </c>
      <c r="N3389">
        <v>17</v>
      </c>
      <c r="O3389">
        <v>41</v>
      </c>
      <c r="P3389">
        <v>1.33</v>
      </c>
    </row>
    <row r="3390" spans="1:16">
      <c r="A3390" s="1" t="s">
        <v>3427</v>
      </c>
      <c r="B3390" s="1" t="s">
        <v>3429</v>
      </c>
      <c r="C3390" s="1" t="s">
        <v>18</v>
      </c>
      <c r="D3390" s="1" t="s">
        <v>19</v>
      </c>
      <c r="E3390" s="1" t="s">
        <v>3333</v>
      </c>
      <c r="F3390">
        <v>729</v>
      </c>
      <c r="G3390">
        <v>947</v>
      </c>
      <c r="H3390">
        <v>99</v>
      </c>
      <c r="I3390">
        <v>2380</v>
      </c>
      <c r="J3390">
        <v>7.8</v>
      </c>
      <c r="K3390">
        <v>338</v>
      </c>
      <c r="L3390">
        <v>94</v>
      </c>
      <c r="M3390">
        <v>193</v>
      </c>
      <c r="N3390">
        <v>17</v>
      </c>
      <c r="O3390">
        <v>42.3</v>
      </c>
      <c r="P3390">
        <v>0.68</v>
      </c>
    </row>
    <row r="3391" spans="1:16">
      <c r="A3391" s="1" t="s">
        <v>3427</v>
      </c>
      <c r="B3391" s="1" t="s">
        <v>3430</v>
      </c>
      <c r="C3391" s="1" t="s">
        <v>18</v>
      </c>
      <c r="D3391" s="1" t="s">
        <v>19</v>
      </c>
      <c r="E3391" s="1" t="s">
        <v>3333</v>
      </c>
      <c r="F3391">
        <v>1091</v>
      </c>
      <c r="G3391">
        <v>1173</v>
      </c>
      <c r="H3391">
        <v>568</v>
      </c>
      <c r="I3391">
        <v>2170</v>
      </c>
      <c r="J3391">
        <v>3.6</v>
      </c>
      <c r="K3391">
        <v>340</v>
      </c>
      <c r="L3391">
        <v>129</v>
      </c>
      <c r="M3391">
        <v>166</v>
      </c>
      <c r="N3391">
        <v>102</v>
      </c>
      <c r="O3391">
        <v>49.3</v>
      </c>
      <c r="P3391">
        <v>3.09</v>
      </c>
    </row>
    <row r="3392" spans="1:16">
      <c r="A3392" s="1" t="s">
        <v>3427</v>
      </c>
      <c r="B3392" s="1" t="s">
        <v>3431</v>
      </c>
      <c r="C3392" s="1" t="s">
        <v>18</v>
      </c>
      <c r="D3392" s="1" t="s">
        <v>19</v>
      </c>
      <c r="E3392" s="1" t="s">
        <v>3333</v>
      </c>
      <c r="F3392">
        <v>941</v>
      </c>
      <c r="G3392">
        <v>930</v>
      </c>
      <c r="H3392">
        <v>121</v>
      </c>
      <c r="I3392">
        <v>2228</v>
      </c>
      <c r="J3392">
        <v>3.7</v>
      </c>
      <c r="K3392">
        <v>316</v>
      </c>
      <c r="L3392">
        <v>112</v>
      </c>
      <c r="M3392">
        <v>187</v>
      </c>
      <c r="N3392">
        <v>24</v>
      </c>
      <c r="O3392">
        <v>42.5</v>
      </c>
      <c r="P3392">
        <v>0.6</v>
      </c>
    </row>
    <row r="3393" spans="1:16">
      <c r="A3393" s="1" t="s">
        <v>3432</v>
      </c>
      <c r="B3393" s="1" t="s">
        <v>3433</v>
      </c>
      <c r="C3393" s="1" t="s">
        <v>18</v>
      </c>
      <c r="D3393" s="1" t="s">
        <v>19</v>
      </c>
      <c r="E3393" s="1" t="s">
        <v>3333</v>
      </c>
      <c r="F3393">
        <v>41</v>
      </c>
      <c r="G3393">
        <v>124</v>
      </c>
      <c r="H3393">
        <v>4080</v>
      </c>
      <c r="I3393">
        <v>1411</v>
      </c>
      <c r="J3393">
        <v>11.4</v>
      </c>
      <c r="K3393">
        <v>235</v>
      </c>
      <c r="L3393">
        <v>84</v>
      </c>
      <c r="M3393">
        <v>490</v>
      </c>
      <c r="N3393">
        <v>51</v>
      </c>
      <c r="O3393">
        <v>20.399999999999999</v>
      </c>
      <c r="P3393">
        <v>1.83</v>
      </c>
    </row>
    <row r="3394" spans="1:16">
      <c r="A3394" s="1" t="s">
        <v>3432</v>
      </c>
      <c r="B3394" s="1" t="s">
        <v>3434</v>
      </c>
      <c r="C3394" s="1" t="s">
        <v>18</v>
      </c>
      <c r="D3394" s="1" t="s">
        <v>19</v>
      </c>
      <c r="E3394" s="1" t="s">
        <v>3333</v>
      </c>
      <c r="F3394">
        <v>83</v>
      </c>
      <c r="G3394">
        <v>351</v>
      </c>
      <c r="H3394">
        <v>7590</v>
      </c>
      <c r="I3394">
        <v>1733</v>
      </c>
      <c r="J3394">
        <v>9.4</v>
      </c>
      <c r="K3394">
        <v>232</v>
      </c>
      <c r="L3394">
        <v>65</v>
      </c>
      <c r="M3394">
        <v>198</v>
      </c>
      <c r="N3394">
        <v>17</v>
      </c>
      <c r="O3394">
        <v>17</v>
      </c>
      <c r="P3394">
        <v>3.18</v>
      </c>
    </row>
    <row r="3395" spans="1:16">
      <c r="A3395" s="1" t="s">
        <v>3432</v>
      </c>
      <c r="B3395" s="1" t="s">
        <v>3435</v>
      </c>
      <c r="C3395" s="1" t="s">
        <v>18</v>
      </c>
      <c r="D3395" s="1" t="s">
        <v>19</v>
      </c>
      <c r="E3395" s="1" t="s">
        <v>3333</v>
      </c>
      <c r="F3395">
        <v>55</v>
      </c>
      <c r="G3395">
        <v>360</v>
      </c>
      <c r="H3395">
        <v>6230</v>
      </c>
      <c r="I3395">
        <v>1660</v>
      </c>
      <c r="J3395">
        <v>10.5</v>
      </c>
      <c r="K3395">
        <v>230</v>
      </c>
      <c r="L3395">
        <v>57</v>
      </c>
      <c r="M3395">
        <v>244</v>
      </c>
      <c r="N3395">
        <v>5</v>
      </c>
      <c r="O3395">
        <v>18.399999999999999</v>
      </c>
      <c r="P3395">
        <v>3.63</v>
      </c>
    </row>
    <row r="3396" spans="1:16">
      <c r="A3396" s="1" t="s">
        <v>3091</v>
      </c>
      <c r="B3396" s="1" t="s">
        <v>3436</v>
      </c>
      <c r="C3396" s="1" t="s">
        <v>18</v>
      </c>
      <c r="D3396" s="1" t="s">
        <v>19</v>
      </c>
      <c r="E3396" s="1" t="s">
        <v>3333</v>
      </c>
      <c r="F3396">
        <v>291</v>
      </c>
      <c r="G3396">
        <v>796</v>
      </c>
      <c r="H3396">
        <v>1240</v>
      </c>
      <c r="I3396">
        <v>4300</v>
      </c>
      <c r="J3396">
        <v>7</v>
      </c>
      <c r="K3396">
        <v>545</v>
      </c>
      <c r="L3396">
        <v>102</v>
      </c>
      <c r="M3396">
        <v>56</v>
      </c>
      <c r="N3396">
        <v>24</v>
      </c>
      <c r="O3396">
        <v>38.200000000000003</v>
      </c>
      <c r="P3396">
        <v>0.82</v>
      </c>
    </row>
    <row r="3397" spans="1:16">
      <c r="A3397" s="1" t="s">
        <v>3091</v>
      </c>
      <c r="B3397" s="1" t="s">
        <v>3437</v>
      </c>
      <c r="C3397" s="1" t="s">
        <v>18</v>
      </c>
      <c r="D3397" s="1" t="s">
        <v>19</v>
      </c>
      <c r="E3397" s="1" t="s">
        <v>3333</v>
      </c>
      <c r="F3397">
        <v>133</v>
      </c>
      <c r="G3397">
        <v>906</v>
      </c>
      <c r="H3397">
        <v>1480</v>
      </c>
      <c r="I3397">
        <v>3900</v>
      </c>
      <c r="J3397">
        <v>19.3</v>
      </c>
      <c r="K3397">
        <v>600</v>
      </c>
      <c r="L3397">
        <v>104</v>
      </c>
      <c r="M3397">
        <v>70</v>
      </c>
      <c r="N3397">
        <v>72</v>
      </c>
      <c r="O3397">
        <v>40.4</v>
      </c>
      <c r="P3397">
        <v>1.32</v>
      </c>
    </row>
    <row r="3398" spans="1:16">
      <c r="A3398" s="1" t="s">
        <v>3091</v>
      </c>
      <c r="B3398" s="1" t="s">
        <v>3438</v>
      </c>
      <c r="C3398" s="1" t="s">
        <v>18</v>
      </c>
      <c r="D3398" s="1" t="s">
        <v>19</v>
      </c>
      <c r="E3398" s="1" t="s">
        <v>3333</v>
      </c>
      <c r="F3398">
        <v>159</v>
      </c>
      <c r="G3398">
        <v>718</v>
      </c>
      <c r="H3398">
        <v>888</v>
      </c>
      <c r="I3398">
        <v>3980</v>
      </c>
      <c r="J3398">
        <v>21.5</v>
      </c>
      <c r="K3398">
        <v>628</v>
      </c>
      <c r="L3398">
        <v>137</v>
      </c>
      <c r="M3398">
        <v>190</v>
      </c>
      <c r="N3398">
        <v>30</v>
      </c>
      <c r="O3398">
        <v>43.5</v>
      </c>
      <c r="P3398">
        <v>1.0900000000000001</v>
      </c>
    </row>
    <row r="3399" spans="1:16">
      <c r="A3399" s="1" t="s">
        <v>3091</v>
      </c>
      <c r="B3399" s="1" t="s">
        <v>3439</v>
      </c>
      <c r="C3399" s="1" t="s">
        <v>18</v>
      </c>
      <c r="D3399" s="1" t="s">
        <v>19</v>
      </c>
      <c r="E3399" s="1" t="s">
        <v>3333</v>
      </c>
      <c r="F3399">
        <v>113</v>
      </c>
      <c r="G3399">
        <v>876</v>
      </c>
      <c r="H3399">
        <v>2080</v>
      </c>
      <c r="I3399">
        <v>4440</v>
      </c>
      <c r="J3399">
        <v>6.3</v>
      </c>
      <c r="K3399">
        <v>504</v>
      </c>
      <c r="L3399">
        <v>116</v>
      </c>
      <c r="M3399">
        <v>56</v>
      </c>
      <c r="N3399">
        <v>15</v>
      </c>
      <c r="O3399">
        <v>40.799999999999997</v>
      </c>
      <c r="P3399">
        <v>0.77</v>
      </c>
    </row>
    <row r="3400" spans="1:16">
      <c r="A3400" s="1" t="s">
        <v>3091</v>
      </c>
      <c r="B3400" s="1" t="s">
        <v>3440</v>
      </c>
      <c r="C3400" s="1" t="s">
        <v>18</v>
      </c>
      <c r="D3400" s="1" t="s">
        <v>19</v>
      </c>
      <c r="E3400" s="1" t="s">
        <v>3333</v>
      </c>
      <c r="F3400">
        <v>225</v>
      </c>
      <c r="G3400">
        <v>864</v>
      </c>
      <c r="H3400">
        <v>1440</v>
      </c>
      <c r="I3400">
        <v>4160</v>
      </c>
      <c r="J3400">
        <v>4.0999999999999996</v>
      </c>
      <c r="K3400">
        <v>575</v>
      </c>
      <c r="L3400">
        <v>109</v>
      </c>
      <c r="M3400">
        <v>130</v>
      </c>
      <c r="N3400">
        <v>31</v>
      </c>
      <c r="O3400">
        <v>40.700000000000003</v>
      </c>
      <c r="P3400">
        <v>0.85</v>
      </c>
    </row>
    <row r="3401" spans="1:16">
      <c r="A3401" s="1" t="s">
        <v>3091</v>
      </c>
      <c r="B3401" s="1" t="s">
        <v>3441</v>
      </c>
      <c r="C3401" s="1" t="s">
        <v>18</v>
      </c>
      <c r="D3401" s="1" t="s">
        <v>19</v>
      </c>
      <c r="E3401" s="1" t="s">
        <v>3333</v>
      </c>
      <c r="F3401">
        <v>181</v>
      </c>
      <c r="G3401">
        <v>1980</v>
      </c>
      <c r="H3401">
        <v>2100</v>
      </c>
      <c r="I3401">
        <v>4330</v>
      </c>
      <c r="J3401">
        <v>5.2</v>
      </c>
      <c r="K3401">
        <v>614</v>
      </c>
      <c r="L3401">
        <v>80</v>
      </c>
      <c r="M3401">
        <v>50</v>
      </c>
      <c r="N3401">
        <v>54</v>
      </c>
      <c r="O3401">
        <v>42.1</v>
      </c>
      <c r="P3401">
        <v>1.29</v>
      </c>
    </row>
    <row r="3402" spans="1:16">
      <c r="A3402" s="1" t="s">
        <v>3091</v>
      </c>
      <c r="B3402" s="1" t="s">
        <v>3442</v>
      </c>
      <c r="C3402" s="1" t="s">
        <v>18</v>
      </c>
      <c r="D3402" s="1" t="s">
        <v>19</v>
      </c>
      <c r="E3402" s="1" t="s">
        <v>3333</v>
      </c>
      <c r="F3402">
        <v>179</v>
      </c>
      <c r="G3402">
        <v>1029</v>
      </c>
      <c r="H3402">
        <v>1270</v>
      </c>
      <c r="I3402">
        <v>4160</v>
      </c>
      <c r="J3402">
        <v>5.9</v>
      </c>
      <c r="K3402">
        <v>625</v>
      </c>
      <c r="L3402">
        <v>88</v>
      </c>
      <c r="M3402">
        <v>59</v>
      </c>
      <c r="N3402">
        <v>40</v>
      </c>
      <c r="O3402">
        <v>37.200000000000003</v>
      </c>
      <c r="P3402">
        <v>1.03</v>
      </c>
    </row>
    <row r="3403" spans="1:16">
      <c r="A3403" s="1" t="s">
        <v>3091</v>
      </c>
      <c r="B3403" s="1" t="s">
        <v>3443</v>
      </c>
      <c r="C3403" s="1" t="s">
        <v>18</v>
      </c>
      <c r="D3403" s="1" t="s">
        <v>19</v>
      </c>
      <c r="E3403" s="1" t="s">
        <v>3333</v>
      </c>
      <c r="F3403">
        <v>385</v>
      </c>
      <c r="G3403">
        <v>1235</v>
      </c>
      <c r="H3403">
        <v>1800</v>
      </c>
      <c r="I3403">
        <v>4360</v>
      </c>
      <c r="J3403">
        <v>17.8</v>
      </c>
      <c r="K3403">
        <v>525</v>
      </c>
      <c r="L3403">
        <v>101</v>
      </c>
      <c r="M3403">
        <v>54</v>
      </c>
      <c r="N3403">
        <v>34</v>
      </c>
      <c r="O3403">
        <v>37.9</v>
      </c>
      <c r="P3403">
        <v>1.22</v>
      </c>
    </row>
    <row r="3404" spans="1:16">
      <c r="A3404" s="1" t="s">
        <v>3444</v>
      </c>
      <c r="B3404" s="1" t="s">
        <v>3445</v>
      </c>
      <c r="C3404" s="1" t="s">
        <v>18</v>
      </c>
      <c r="D3404" s="1" t="s">
        <v>19</v>
      </c>
      <c r="E3404" s="1" t="s">
        <v>3333</v>
      </c>
      <c r="F3404">
        <v>3670</v>
      </c>
      <c r="G3404">
        <v>670</v>
      </c>
      <c r="H3404">
        <v>5850</v>
      </c>
      <c r="I3404">
        <v>4730</v>
      </c>
      <c r="J3404">
        <v>85</v>
      </c>
      <c r="K3404">
        <v>1090</v>
      </c>
      <c r="L3404">
        <v>1</v>
      </c>
      <c r="M3404">
        <v>1720</v>
      </c>
      <c r="N3404">
        <v>65</v>
      </c>
      <c r="O3404">
        <v>8.6999999999999993</v>
      </c>
      <c r="P3404">
        <v>1.01</v>
      </c>
    </row>
    <row r="3405" spans="1:16">
      <c r="A3405" s="1" t="s">
        <v>3444</v>
      </c>
      <c r="B3405" s="1" t="s">
        <v>3446</v>
      </c>
      <c r="C3405" s="1" t="s">
        <v>18</v>
      </c>
      <c r="D3405" s="1" t="s">
        <v>19</v>
      </c>
      <c r="E3405" s="1" t="s">
        <v>3333</v>
      </c>
      <c r="F3405">
        <v>2520</v>
      </c>
      <c r="G3405">
        <v>156</v>
      </c>
      <c r="H3405">
        <v>1610</v>
      </c>
      <c r="I3405">
        <v>4190</v>
      </c>
      <c r="J3405">
        <v>69.8</v>
      </c>
      <c r="K3405">
        <v>606</v>
      </c>
      <c r="L3405">
        <f>0.01/2</f>
        <v>5.0000000000000001E-3</v>
      </c>
      <c r="M3405">
        <v>1210</v>
      </c>
      <c r="N3405">
        <v>24</v>
      </c>
      <c r="O3405">
        <v>6.4</v>
      </c>
      <c r="P3405">
        <v>1.18</v>
      </c>
    </row>
    <row r="3406" spans="1:16">
      <c r="A3406" s="1" t="s">
        <v>3444</v>
      </c>
      <c r="B3406" s="1" t="s">
        <v>3447</v>
      </c>
      <c r="C3406" s="1" t="s">
        <v>18</v>
      </c>
      <c r="D3406" s="1" t="s">
        <v>19</v>
      </c>
      <c r="E3406" s="1" t="s">
        <v>3333</v>
      </c>
      <c r="F3406">
        <v>3170</v>
      </c>
      <c r="G3406">
        <v>176</v>
      </c>
      <c r="H3406">
        <v>2030</v>
      </c>
      <c r="I3406">
        <v>3780</v>
      </c>
      <c r="J3406">
        <v>11</v>
      </c>
      <c r="K3406">
        <v>616</v>
      </c>
      <c r="L3406">
        <v>3</v>
      </c>
      <c r="M3406">
        <v>1330</v>
      </c>
      <c r="N3406">
        <v>25</v>
      </c>
      <c r="O3406">
        <v>5.9</v>
      </c>
      <c r="P3406">
        <v>0.97</v>
      </c>
    </row>
    <row r="3407" spans="1:16">
      <c r="A3407" s="1" t="s">
        <v>3448</v>
      </c>
      <c r="B3407" s="1" t="s">
        <v>3449</v>
      </c>
      <c r="C3407" s="1" t="s">
        <v>18</v>
      </c>
      <c r="D3407" s="1" t="s">
        <v>19</v>
      </c>
      <c r="E3407" s="1" t="s">
        <v>3333</v>
      </c>
      <c r="F3407">
        <v>204</v>
      </c>
      <c r="G3407">
        <v>405</v>
      </c>
      <c r="H3407">
        <v>1511</v>
      </c>
      <c r="I3407">
        <v>683</v>
      </c>
      <c r="J3407">
        <v>5.2</v>
      </c>
      <c r="K3407">
        <v>597</v>
      </c>
      <c r="L3407">
        <v>69</v>
      </c>
      <c r="M3407">
        <v>52</v>
      </c>
      <c r="N3407">
        <v>27</v>
      </c>
      <c r="O3407">
        <v>16</v>
      </c>
      <c r="P3407">
        <v>1.86</v>
      </c>
    </row>
    <row r="3408" spans="1:16">
      <c r="A3408" s="1" t="s">
        <v>3450</v>
      </c>
      <c r="B3408" s="1" t="s">
        <v>3451</v>
      </c>
      <c r="C3408" s="1" t="s">
        <v>18</v>
      </c>
      <c r="D3408" s="1" t="s">
        <v>19</v>
      </c>
      <c r="E3408" s="1" t="s">
        <v>3333</v>
      </c>
      <c r="F3408">
        <v>18</v>
      </c>
      <c r="G3408">
        <v>648</v>
      </c>
      <c r="H3408">
        <v>6570</v>
      </c>
      <c r="I3408">
        <v>352</v>
      </c>
      <c r="J3408">
        <v>4.3</v>
      </c>
      <c r="K3408">
        <v>228</v>
      </c>
      <c r="L3408">
        <v>1</v>
      </c>
      <c r="M3408">
        <v>31</v>
      </c>
      <c r="N3408">
        <v>15</v>
      </c>
      <c r="O3408">
        <v>10.3</v>
      </c>
      <c r="P3408">
        <v>319</v>
      </c>
    </row>
    <row r="3409" spans="1:16">
      <c r="A3409" s="1" t="s">
        <v>3450</v>
      </c>
      <c r="B3409" s="1" t="s">
        <v>3452</v>
      </c>
      <c r="C3409" s="1" t="s">
        <v>18</v>
      </c>
      <c r="D3409" s="1" t="s">
        <v>19</v>
      </c>
      <c r="E3409" s="1" t="s">
        <v>3333</v>
      </c>
      <c r="F3409">
        <v>113</v>
      </c>
      <c r="G3409">
        <v>220</v>
      </c>
      <c r="H3409">
        <v>830</v>
      </c>
      <c r="I3409">
        <v>625</v>
      </c>
      <c r="J3409">
        <v>8</v>
      </c>
      <c r="K3409">
        <v>364</v>
      </c>
      <c r="L3409">
        <v>17</v>
      </c>
      <c r="M3409">
        <v>95</v>
      </c>
      <c r="N3409">
        <v>13</v>
      </c>
      <c r="O3409">
        <v>13.6</v>
      </c>
      <c r="P3409">
        <v>44</v>
      </c>
    </row>
    <row r="3410" spans="1:16">
      <c r="A3410" s="1" t="s">
        <v>3450</v>
      </c>
      <c r="B3410" s="1" t="s">
        <v>3453</v>
      </c>
      <c r="C3410" s="1" t="s">
        <v>18</v>
      </c>
      <c r="D3410" s="1" t="s">
        <v>19</v>
      </c>
      <c r="E3410" s="1" t="s">
        <v>3333</v>
      </c>
      <c r="F3410">
        <v>20</v>
      </c>
      <c r="G3410">
        <v>578</v>
      </c>
      <c r="H3410">
        <v>3690</v>
      </c>
      <c r="I3410">
        <v>272</v>
      </c>
      <c r="J3410">
        <v>3.9</v>
      </c>
      <c r="K3410">
        <v>207</v>
      </c>
      <c r="L3410">
        <v>1</v>
      </c>
      <c r="M3410">
        <v>10</v>
      </c>
      <c r="N3410">
        <v>26</v>
      </c>
      <c r="O3410">
        <v>8.4</v>
      </c>
      <c r="P3410">
        <v>297</v>
      </c>
    </row>
    <row r="3411" spans="1:16">
      <c r="A3411" s="1" t="s">
        <v>3454</v>
      </c>
      <c r="B3411" s="1" t="s">
        <v>3455</v>
      </c>
      <c r="C3411" s="1" t="s">
        <v>38</v>
      </c>
      <c r="D3411" s="1" t="s">
        <v>5566</v>
      </c>
      <c r="E3411" s="1" t="s">
        <v>3456</v>
      </c>
      <c r="F3411">
        <v>119.87304631380812</v>
      </c>
      <c r="G3411">
        <v>431.85011379515419</v>
      </c>
      <c r="H3411">
        <v>55.450248331582983</v>
      </c>
      <c r="I3411">
        <v>286.53313702832389</v>
      </c>
      <c r="J3411">
        <v>22.657540996325146</v>
      </c>
      <c r="K3411">
        <v>84.868673890446146</v>
      </c>
      <c r="L3411">
        <v>93.89372285654062</v>
      </c>
      <c r="M3411">
        <v>105.61435912438047</v>
      </c>
      <c r="N3411">
        <v>5.7757734479216216</v>
      </c>
      <c r="O3411">
        <v>13.548389003671142</v>
      </c>
      <c r="P3411">
        <f>0.588/2</f>
        <v>0.29399999999999998</v>
      </c>
    </row>
    <row r="3412" spans="1:16">
      <c r="A3412" s="1" t="s">
        <v>3454</v>
      </c>
      <c r="B3412" s="1" t="s">
        <v>3457</v>
      </c>
      <c r="C3412" s="1" t="s">
        <v>38</v>
      </c>
      <c r="D3412" s="1" t="s">
        <v>5566</v>
      </c>
      <c r="E3412" s="1" t="s">
        <v>3456</v>
      </c>
      <c r="F3412">
        <v>101.23682320607628</v>
      </c>
      <c r="G3412">
        <v>426.46586413820779</v>
      </c>
      <c r="H3412">
        <v>55.554095374112883</v>
      </c>
      <c r="I3412">
        <v>295.58246754718425</v>
      </c>
      <c r="J3412">
        <v>23.644471743747054</v>
      </c>
      <c r="K3412">
        <v>64.845027981223907</v>
      </c>
      <c r="L3412">
        <v>90.890721846685736</v>
      </c>
      <c r="M3412">
        <v>118.28577220763943</v>
      </c>
      <c r="N3412">
        <v>7.1527963915136974</v>
      </c>
      <c r="O3412">
        <v>15.287887804622363</v>
      </c>
      <c r="P3412" s="11">
        <f t="shared" ref="P3412:P3415" si="138">0.588/2</f>
        <v>0.29399999999999998</v>
      </c>
    </row>
    <row r="3413" spans="1:16">
      <c r="A3413" s="1" t="s">
        <v>3454</v>
      </c>
      <c r="B3413" s="1" t="s">
        <v>3458</v>
      </c>
      <c r="C3413" s="1" t="s">
        <v>38</v>
      </c>
      <c r="D3413" s="1" t="s">
        <v>5566</v>
      </c>
      <c r="E3413" s="1" t="s">
        <v>3459</v>
      </c>
      <c r="F3413">
        <v>27.787431763537125</v>
      </c>
      <c r="G3413">
        <v>411.00823747425221</v>
      </c>
      <c r="H3413">
        <v>41.614178844808009</v>
      </c>
      <c r="I3413">
        <v>311.53856030184227</v>
      </c>
      <c r="J3413">
        <v>35.140226823813158</v>
      </c>
      <c r="K3413">
        <v>32.339315169630524</v>
      </c>
      <c r="L3413">
        <v>90.524900899895414</v>
      </c>
      <c r="M3413">
        <v>140.13158051030967</v>
      </c>
      <c r="N3413">
        <v>6.7733622969818619</v>
      </c>
      <c r="O3413">
        <v>13.653980487974376</v>
      </c>
      <c r="P3413" s="11">
        <f t="shared" si="138"/>
        <v>0.29399999999999998</v>
      </c>
    </row>
    <row r="3414" spans="1:16">
      <c r="A3414" s="1" t="s">
        <v>3454</v>
      </c>
      <c r="B3414" s="1" t="s">
        <v>3460</v>
      </c>
      <c r="C3414" s="1" t="s">
        <v>38</v>
      </c>
      <c r="D3414" s="1" t="s">
        <v>5566</v>
      </c>
      <c r="E3414" s="1" t="s">
        <v>3459</v>
      </c>
      <c r="F3414">
        <v>129.96235242844813</v>
      </c>
      <c r="G3414">
        <v>428.73701255380229</v>
      </c>
      <c r="H3414">
        <v>129.84296452759668</v>
      </c>
      <c r="I3414">
        <v>299.58498193162512</v>
      </c>
      <c r="J3414">
        <v>8.698281357935338</v>
      </c>
      <c r="K3414">
        <v>78.277089779275244</v>
      </c>
      <c r="L3414">
        <v>95.342112936954962</v>
      </c>
      <c r="M3414">
        <v>121.63492343564074</v>
      </c>
      <c r="N3414">
        <v>4.6608551322188054</v>
      </c>
      <c r="O3414">
        <v>14.857766355077402</v>
      </c>
      <c r="P3414" s="11">
        <f t="shared" si="138"/>
        <v>0.29399999999999998</v>
      </c>
    </row>
    <row r="3415" spans="1:16">
      <c r="A3415" s="1" t="s">
        <v>3454</v>
      </c>
      <c r="B3415" s="1" t="s">
        <v>3461</v>
      </c>
      <c r="C3415" s="1" t="s">
        <v>38</v>
      </c>
      <c r="D3415" s="1" t="s">
        <v>5566</v>
      </c>
      <c r="E3415" s="1" t="s">
        <v>3459</v>
      </c>
      <c r="F3415">
        <v>74.651285611807808</v>
      </c>
      <c r="G3415">
        <v>437.39254409500541</v>
      </c>
      <c r="H3415">
        <v>65.984897569718427</v>
      </c>
      <c r="I3415">
        <v>284.7940174561864</v>
      </c>
      <c r="J3415">
        <v>15.552191261370247</v>
      </c>
      <c r="K3415">
        <v>51.115842911019904</v>
      </c>
      <c r="L3415">
        <v>93.224823282430378</v>
      </c>
      <c r="M3415">
        <v>109.19181519163381</v>
      </c>
      <c r="N3415">
        <v>6.0184919645797521</v>
      </c>
      <c r="O3415">
        <v>14.011909208157871</v>
      </c>
      <c r="P3415" s="11">
        <f t="shared" si="138"/>
        <v>0.29399999999999998</v>
      </c>
    </row>
    <row r="3416" spans="1:16">
      <c r="A3416" s="1" t="s">
        <v>3454</v>
      </c>
      <c r="B3416" s="1" t="s">
        <v>3462</v>
      </c>
      <c r="C3416" s="1" t="s">
        <v>38</v>
      </c>
      <c r="D3416" s="1" t="s">
        <v>5566</v>
      </c>
      <c r="E3416" s="1" t="s">
        <v>3459</v>
      </c>
      <c r="F3416">
        <v>37.842127911273678</v>
      </c>
      <c r="G3416">
        <v>434.69886870988239</v>
      </c>
      <c r="H3416">
        <v>63.90088567226983</v>
      </c>
      <c r="I3416">
        <v>289.53890735113168</v>
      </c>
      <c r="J3416">
        <v>30.035049705937748</v>
      </c>
      <c r="K3416">
        <v>40.131475457252435</v>
      </c>
      <c r="L3416">
        <v>91.048755393672906</v>
      </c>
      <c r="M3416">
        <v>122.89159514540563</v>
      </c>
      <c r="N3416">
        <v>4.5641524542832297</v>
      </c>
      <c r="O3416">
        <v>15.96851081093773</v>
      </c>
      <c r="P3416">
        <v>0.68175023419691394</v>
      </c>
    </row>
    <row r="3417" spans="1:16">
      <c r="A3417" s="1" t="s">
        <v>3454</v>
      </c>
      <c r="B3417" s="1" t="s">
        <v>3463</v>
      </c>
      <c r="C3417" s="1" t="s">
        <v>38</v>
      </c>
      <c r="D3417" s="1" t="s">
        <v>5566</v>
      </c>
      <c r="E3417" s="1" t="s">
        <v>3459</v>
      </c>
      <c r="F3417">
        <v>17.080485659477883</v>
      </c>
      <c r="G3417">
        <v>400.22605829382809</v>
      </c>
      <c r="H3417">
        <v>40.975381587536155</v>
      </c>
      <c r="I3417">
        <v>300.99803785790556</v>
      </c>
      <c r="J3417">
        <v>18.643020414188022</v>
      </c>
      <c r="K3417">
        <v>33.136694089966063</v>
      </c>
      <c r="L3417">
        <v>90.864446673963656</v>
      </c>
      <c r="M3417">
        <v>174.34946205841302</v>
      </c>
      <c r="N3417">
        <v>5.0709381207299797</v>
      </c>
      <c r="O3417">
        <v>15.415923965669959</v>
      </c>
      <c r="P3417" s="11">
        <f t="shared" ref="P3417:P3419" si="139">0.588/2</f>
        <v>0.29399999999999998</v>
      </c>
    </row>
    <row r="3418" spans="1:16">
      <c r="A3418" s="1" t="s">
        <v>3454</v>
      </c>
      <c r="B3418" s="1" t="s">
        <v>3464</v>
      </c>
      <c r="C3418" s="1" t="s">
        <v>38</v>
      </c>
      <c r="D3418" s="1" t="s">
        <v>5566</v>
      </c>
      <c r="E3418" s="1" t="s">
        <v>3459</v>
      </c>
      <c r="F3418">
        <v>22.700495276038435</v>
      </c>
      <c r="G3418">
        <v>400.49056345589418</v>
      </c>
      <c r="H3418">
        <v>49.330289568238996</v>
      </c>
      <c r="I3418">
        <v>293.66801937594084</v>
      </c>
      <c r="J3418">
        <v>14.879681242105617</v>
      </c>
      <c r="K3418">
        <v>33.060756485504669</v>
      </c>
      <c r="L3418">
        <v>88.139082481004124</v>
      </c>
      <c r="M3418">
        <v>162.59478781449238</v>
      </c>
      <c r="N3418">
        <v>6.1549822029132262</v>
      </c>
      <c r="O3418">
        <v>16.578163829936553</v>
      </c>
      <c r="P3418" s="11">
        <f t="shared" si="139"/>
        <v>0.29399999999999998</v>
      </c>
    </row>
    <row r="3419" spans="1:16">
      <c r="A3419" s="1" t="s">
        <v>3454</v>
      </c>
      <c r="B3419" s="1" t="s">
        <v>3465</v>
      </c>
      <c r="C3419" s="1" t="s">
        <v>38</v>
      </c>
      <c r="D3419" s="1" t="s">
        <v>5566</v>
      </c>
      <c r="E3419" s="1" t="s">
        <v>3459</v>
      </c>
      <c r="F3419">
        <v>5.8697538776231024</v>
      </c>
      <c r="G3419">
        <v>214.94133321922718</v>
      </c>
      <c r="H3419">
        <v>56.254828623799696</v>
      </c>
      <c r="I3419">
        <v>253.71580111803033</v>
      </c>
      <c r="J3419">
        <v>3.7547862503877325</v>
      </c>
      <c r="K3419">
        <v>18.913461224685392</v>
      </c>
      <c r="L3419">
        <v>80.494002796906713</v>
      </c>
      <c r="M3419">
        <v>152.35906882254852</v>
      </c>
      <c r="N3419">
        <v>4.798137020387351</v>
      </c>
      <c r="O3419">
        <v>11.207331481247351</v>
      </c>
      <c r="P3419" s="11">
        <f t="shared" si="139"/>
        <v>0.29399999999999998</v>
      </c>
    </row>
    <row r="3420" spans="1:16">
      <c r="A3420" s="1" t="s">
        <v>3454</v>
      </c>
      <c r="B3420" s="1" t="s">
        <v>3466</v>
      </c>
      <c r="C3420" s="1" t="s">
        <v>38</v>
      </c>
      <c r="D3420" s="1" t="s">
        <v>5566</v>
      </c>
      <c r="E3420" s="1" t="s">
        <v>3459</v>
      </c>
      <c r="F3420">
        <v>18.194217313872873</v>
      </c>
      <c r="G3420">
        <v>223.12558961300439</v>
      </c>
      <c r="H3420">
        <v>71.350433775269664</v>
      </c>
      <c r="I3420">
        <v>264.0643547613119</v>
      </c>
      <c r="J3420">
        <f>2.468/2</f>
        <v>1.234</v>
      </c>
      <c r="K3420">
        <v>32.412864975728233</v>
      </c>
      <c r="L3420">
        <v>84.658876925594882</v>
      </c>
      <c r="M3420">
        <v>152.18447116973348</v>
      </c>
      <c r="N3420">
        <v>8.3105211478285579</v>
      </c>
      <c r="O3420">
        <v>11.44194399957218</v>
      </c>
      <c r="P3420">
        <v>2.5911136697987001</v>
      </c>
    </row>
    <row r="3421" spans="1:16">
      <c r="A3421" s="1" t="s">
        <v>3454</v>
      </c>
      <c r="B3421" s="1" t="s">
        <v>3467</v>
      </c>
      <c r="C3421" s="1" t="s">
        <v>38</v>
      </c>
      <c r="D3421" s="1" t="s">
        <v>5566</v>
      </c>
      <c r="E3421" s="1" t="s">
        <v>3459</v>
      </c>
      <c r="F3421">
        <v>113.51297813648614</v>
      </c>
      <c r="G3421">
        <v>280.24881766771568</v>
      </c>
      <c r="H3421">
        <v>88.586840913579579</v>
      </c>
      <c r="I3421">
        <v>315.28777826307208</v>
      </c>
      <c r="J3421">
        <v>43.958841046647407</v>
      </c>
      <c r="K3421">
        <v>135.47471638370391</v>
      </c>
      <c r="L3421">
        <v>91.272288155971381</v>
      </c>
      <c r="M3421">
        <v>162.44441264627019</v>
      </c>
      <c r="N3421">
        <v>12.152645586401276</v>
      </c>
      <c r="O3421">
        <v>12.230520334549661</v>
      </c>
      <c r="P3421" s="11">
        <f t="shared" ref="P3421:P3424" si="140">0.588/2</f>
        <v>0.29399999999999998</v>
      </c>
    </row>
    <row r="3422" spans="1:16">
      <c r="A3422" s="1" t="s">
        <v>3454</v>
      </c>
      <c r="B3422" s="1" t="s">
        <v>3468</v>
      </c>
      <c r="C3422" s="1" t="s">
        <v>38</v>
      </c>
      <c r="D3422" s="1" t="s">
        <v>5566</v>
      </c>
      <c r="E3422" s="1" t="s">
        <v>3459</v>
      </c>
      <c r="F3422">
        <v>100.11278105579554</v>
      </c>
      <c r="G3422">
        <v>341.91246351728682</v>
      </c>
      <c r="H3422">
        <v>65.528767843736148</v>
      </c>
      <c r="I3422">
        <v>301.27872879031952</v>
      </c>
      <c r="J3422">
        <v>27.510783221920157</v>
      </c>
      <c r="K3422">
        <v>187.78206965216418</v>
      </c>
      <c r="L3422">
        <v>88.395932227242938</v>
      </c>
      <c r="M3422">
        <v>161.99269766153856</v>
      </c>
      <c r="N3422">
        <v>10.904015333402588</v>
      </c>
      <c r="O3422">
        <v>12.443096826843165</v>
      </c>
      <c r="P3422" s="11">
        <f t="shared" si="140"/>
        <v>0.29399999999999998</v>
      </c>
    </row>
    <row r="3423" spans="1:16">
      <c r="A3423" s="1" t="s">
        <v>3454</v>
      </c>
      <c r="B3423" s="1" t="s">
        <v>3469</v>
      </c>
      <c r="C3423" s="1" t="s">
        <v>38</v>
      </c>
      <c r="D3423" s="1" t="s">
        <v>5566</v>
      </c>
      <c r="E3423" s="1" t="s">
        <v>3459</v>
      </c>
      <c r="F3423">
        <v>239.97613353705114</v>
      </c>
      <c r="G3423">
        <v>367.20302146124084</v>
      </c>
      <c r="H3423">
        <v>76.627866499305711</v>
      </c>
      <c r="I3423">
        <v>303.10502436650785</v>
      </c>
      <c r="J3423">
        <v>29.196888704446817</v>
      </c>
      <c r="K3423">
        <v>120.5673148666867</v>
      </c>
      <c r="L3423">
        <v>87.560617826681963</v>
      </c>
      <c r="M3423">
        <v>165.01665243797461</v>
      </c>
      <c r="N3423">
        <v>11.866536826795747</v>
      </c>
      <c r="O3423">
        <v>13.134391603101854</v>
      </c>
      <c r="P3423" s="11">
        <f t="shared" si="140"/>
        <v>0.29399999999999998</v>
      </c>
    </row>
    <row r="3424" spans="1:16">
      <c r="A3424" s="1" t="s">
        <v>3454</v>
      </c>
      <c r="B3424" s="1" t="s">
        <v>3470</v>
      </c>
      <c r="C3424" s="1" t="s">
        <v>38</v>
      </c>
      <c r="D3424" s="1" t="s">
        <v>5566</v>
      </c>
      <c r="E3424" s="1" t="s">
        <v>3459</v>
      </c>
      <c r="F3424">
        <v>22.573775137269525</v>
      </c>
      <c r="G3424">
        <v>153.5388384989316</v>
      </c>
      <c r="H3424">
        <v>50.51112478483418</v>
      </c>
      <c r="I3424">
        <v>246.5820668552081</v>
      </c>
      <c r="J3424">
        <v>32.032916069776469</v>
      </c>
      <c r="K3424">
        <v>46.050559439935277</v>
      </c>
      <c r="L3424">
        <v>91.007013945233581</v>
      </c>
      <c r="M3424">
        <v>117.95977603276071</v>
      </c>
      <c r="N3424">
        <v>7.6689450185703061</v>
      </c>
      <c r="O3424">
        <v>9.2747569273731223</v>
      </c>
      <c r="P3424" s="11">
        <f t="shared" si="140"/>
        <v>0.29399999999999998</v>
      </c>
    </row>
    <row r="3425" spans="1:16">
      <c r="A3425" s="1" t="s">
        <v>3454</v>
      </c>
      <c r="B3425" s="1" t="s">
        <v>3471</v>
      </c>
      <c r="C3425" s="1" t="s">
        <v>38</v>
      </c>
      <c r="D3425" s="1" t="s">
        <v>5566</v>
      </c>
      <c r="E3425" s="1" t="s">
        <v>3459</v>
      </c>
      <c r="F3425">
        <v>9.5403614792808575</v>
      </c>
      <c r="G3425">
        <v>195.77327188821042</v>
      </c>
      <c r="H3425">
        <v>71.259661643363529</v>
      </c>
      <c r="I3425">
        <v>312.76965339666327</v>
      </c>
      <c r="J3425">
        <v>27.530608002013828</v>
      </c>
      <c r="K3425">
        <v>23.708805062786116</v>
      </c>
      <c r="L3425">
        <v>82.185149602000521</v>
      </c>
      <c r="M3425">
        <v>161.77292766936858</v>
      </c>
      <c r="N3425">
        <v>4.8057864013106233</v>
      </c>
      <c r="O3425">
        <v>11.238235275781513</v>
      </c>
      <c r="P3425">
        <v>0.71962394531092544</v>
      </c>
    </row>
    <row r="3426" spans="1:16">
      <c r="A3426" s="1" t="s">
        <v>3454</v>
      </c>
      <c r="B3426" s="1" t="s">
        <v>3472</v>
      </c>
      <c r="C3426" s="1" t="s">
        <v>38</v>
      </c>
      <c r="D3426" s="1" t="s">
        <v>5566</v>
      </c>
      <c r="E3426" s="1" t="s">
        <v>3459</v>
      </c>
      <c r="F3426">
        <v>152.82490979617069</v>
      </c>
      <c r="G3426">
        <v>299.7564473658569</v>
      </c>
      <c r="H3426">
        <v>72.52925869521799</v>
      </c>
      <c r="I3426">
        <v>299.59521823587022</v>
      </c>
      <c r="J3426">
        <v>32.678851347383322</v>
      </c>
      <c r="K3426">
        <v>171.45242257211353</v>
      </c>
      <c r="L3426">
        <v>91.725167911603123</v>
      </c>
      <c r="M3426">
        <v>167.75405700870809</v>
      </c>
      <c r="N3426">
        <v>14.852791659163634</v>
      </c>
      <c r="O3426">
        <v>11.126987443364715</v>
      </c>
      <c r="P3426" s="11">
        <f>0.588/2</f>
        <v>0.29399999999999998</v>
      </c>
    </row>
    <row r="3427" spans="1:16">
      <c r="A3427" s="1" t="s">
        <v>3454</v>
      </c>
      <c r="B3427" s="1" t="s">
        <v>3473</v>
      </c>
      <c r="C3427" s="1" t="s">
        <v>38</v>
      </c>
      <c r="D3427" s="1" t="s">
        <v>5566</v>
      </c>
      <c r="E3427" s="1" t="s">
        <v>3459</v>
      </c>
      <c r="F3427">
        <v>6.8429786773417556</v>
      </c>
      <c r="G3427">
        <v>250.39764539715483</v>
      </c>
      <c r="H3427">
        <v>50.353582003996344</v>
      </c>
      <c r="I3427">
        <v>261.70560430358819</v>
      </c>
      <c r="J3427">
        <v>40.930222957342885</v>
      </c>
      <c r="K3427">
        <v>16.518481869563047</v>
      </c>
      <c r="L3427">
        <v>71.163560348501122</v>
      </c>
      <c r="M3427">
        <v>85.930686840024549</v>
      </c>
      <c r="N3427">
        <v>4.1756783558249655</v>
      </c>
      <c r="O3427">
        <v>5.429498918040883</v>
      </c>
      <c r="P3427">
        <v>0.8675237489229638</v>
      </c>
    </row>
    <row r="3428" spans="1:16">
      <c r="A3428" s="1" t="s">
        <v>3454</v>
      </c>
      <c r="B3428" s="1" t="s">
        <v>3474</v>
      </c>
      <c r="C3428" s="1" t="s">
        <v>38</v>
      </c>
      <c r="D3428" s="1" t="s">
        <v>5566</v>
      </c>
      <c r="E3428" s="1" t="s">
        <v>3459</v>
      </c>
      <c r="F3428">
        <v>7.1535420091377464</v>
      </c>
      <c r="G3428">
        <v>259.7502916089627</v>
      </c>
      <c r="H3428">
        <v>56.256538013647678</v>
      </c>
      <c r="I3428">
        <v>247.57728674236887</v>
      </c>
      <c r="J3428">
        <v>9.7637891130327059</v>
      </c>
      <c r="K3428">
        <v>18.450479284424645</v>
      </c>
      <c r="L3428">
        <v>73.044039641428796</v>
      </c>
      <c r="M3428">
        <v>82.517671541174849</v>
      </c>
      <c r="N3428">
        <v>3.6292628868979149</v>
      </c>
      <c r="O3428">
        <v>5.5453534443974917</v>
      </c>
      <c r="P3428" s="11">
        <f t="shared" ref="P3428:P3435" si="141">0.588/2</f>
        <v>0.29399999999999998</v>
      </c>
    </row>
    <row r="3429" spans="1:16">
      <c r="A3429" s="1" t="s">
        <v>3454</v>
      </c>
      <c r="B3429" s="1" t="s">
        <v>3475</v>
      </c>
      <c r="C3429" s="1" t="s">
        <v>38</v>
      </c>
      <c r="D3429" s="1" t="s">
        <v>5566</v>
      </c>
      <c r="E3429" s="1" t="s">
        <v>3459</v>
      </c>
      <c r="F3429">
        <v>8.3164612219951621</v>
      </c>
      <c r="G3429">
        <v>282.54678329684589</v>
      </c>
      <c r="H3429">
        <v>44.01759703572214</v>
      </c>
      <c r="I3429">
        <v>231.9233721295773</v>
      </c>
      <c r="J3429">
        <v>3.0992950759946685</v>
      </c>
      <c r="K3429">
        <v>16.895793390687714</v>
      </c>
      <c r="L3429">
        <v>71.704145427449106</v>
      </c>
      <c r="M3429">
        <v>72.385999427809665</v>
      </c>
      <c r="N3429">
        <v>4.4361875418661887</v>
      </c>
      <c r="O3429">
        <v>5.6449935561864626</v>
      </c>
      <c r="P3429" s="11">
        <f t="shared" si="141"/>
        <v>0.29399999999999998</v>
      </c>
    </row>
    <row r="3430" spans="1:16">
      <c r="A3430" s="1" t="s">
        <v>3454</v>
      </c>
      <c r="B3430" s="1" t="s">
        <v>3476</v>
      </c>
      <c r="C3430" s="1" t="s">
        <v>38</v>
      </c>
      <c r="D3430" s="1" t="s">
        <v>5566</v>
      </c>
      <c r="E3430" s="1" t="s">
        <v>3459</v>
      </c>
      <c r="F3430">
        <v>21.305111991407852</v>
      </c>
      <c r="G3430">
        <v>247.91664355559374</v>
      </c>
      <c r="H3430">
        <v>34.842131701921637</v>
      </c>
      <c r="I3430">
        <v>225.33768233398959</v>
      </c>
      <c r="J3430">
        <v>53.552012039252986</v>
      </c>
      <c r="K3430">
        <v>16.596586926515499</v>
      </c>
      <c r="L3430">
        <v>71.988192831796979</v>
      </c>
      <c r="M3430">
        <v>60.534173677355803</v>
      </c>
      <c r="N3430">
        <v>3.5395573251451524</v>
      </c>
      <c r="O3430">
        <v>5.698948282816235</v>
      </c>
      <c r="P3430" s="11">
        <f t="shared" si="141"/>
        <v>0.29399999999999998</v>
      </c>
    </row>
    <row r="3431" spans="1:16">
      <c r="A3431" s="1" t="s">
        <v>3454</v>
      </c>
      <c r="B3431" s="1" t="s">
        <v>3477</v>
      </c>
      <c r="C3431" s="1" t="s">
        <v>38</v>
      </c>
      <c r="D3431" s="1" t="s">
        <v>5566</v>
      </c>
      <c r="E3431" s="1" t="s">
        <v>3459</v>
      </c>
      <c r="F3431">
        <v>12.065034077991816</v>
      </c>
      <c r="G3431">
        <v>188.12685315772254</v>
      </c>
      <c r="H3431">
        <v>40.111067848549226</v>
      </c>
      <c r="I3431">
        <v>232.47346479866769</v>
      </c>
      <c r="J3431">
        <v>60.175420830943018</v>
      </c>
      <c r="K3431">
        <v>15.858512386028591</v>
      </c>
      <c r="L3431">
        <v>69.86270128094165</v>
      </c>
      <c r="M3431">
        <v>61.214908059857564</v>
      </c>
      <c r="N3431">
        <v>3.7260003885293878</v>
      </c>
      <c r="O3431">
        <v>5.8677972551474209</v>
      </c>
      <c r="P3431" s="11">
        <f t="shared" si="141"/>
        <v>0.29399999999999998</v>
      </c>
    </row>
    <row r="3432" spans="1:16">
      <c r="A3432" s="1" t="s">
        <v>3454</v>
      </c>
      <c r="B3432" s="1" t="s">
        <v>3478</v>
      </c>
      <c r="C3432" s="1" t="s">
        <v>38</v>
      </c>
      <c r="D3432" s="1" t="s">
        <v>5566</v>
      </c>
      <c r="E3432" s="1" t="s">
        <v>3459</v>
      </c>
      <c r="F3432">
        <v>10.626746412009071</v>
      </c>
      <c r="G3432">
        <v>236.06850348395804</v>
      </c>
      <c r="H3432">
        <v>56.660891868202015</v>
      </c>
      <c r="I3432">
        <v>233.35321824150861</v>
      </c>
      <c r="J3432">
        <v>35.673108261115779</v>
      </c>
      <c r="K3432">
        <v>17.233385774133705</v>
      </c>
      <c r="L3432">
        <v>71.923900068566539</v>
      </c>
      <c r="M3432">
        <v>69.984926919357605</v>
      </c>
      <c r="N3432">
        <v>3.7916797888929414</v>
      </c>
      <c r="O3432">
        <v>6.0072188274562794</v>
      </c>
      <c r="P3432" s="11">
        <f t="shared" si="141"/>
        <v>0.29399999999999998</v>
      </c>
    </row>
    <row r="3433" spans="1:16">
      <c r="A3433" s="1" t="s">
        <v>3454</v>
      </c>
      <c r="B3433" s="1" t="s">
        <v>3479</v>
      </c>
      <c r="C3433" s="1" t="s">
        <v>38</v>
      </c>
      <c r="D3433" s="1" t="s">
        <v>5566</v>
      </c>
      <c r="E3433" s="1" t="s">
        <v>3459</v>
      </c>
      <c r="F3433">
        <v>12.64071719577047</v>
      </c>
      <c r="G3433">
        <v>305.07185797846148</v>
      </c>
      <c r="H3433">
        <v>67.481538711696942</v>
      </c>
      <c r="I3433">
        <v>1479.1382644424618</v>
      </c>
      <c r="J3433">
        <v>24.632564332373132</v>
      </c>
      <c r="K3433">
        <v>30.229648341383442</v>
      </c>
      <c r="L3433">
        <v>75.449847897173058</v>
      </c>
      <c r="M3433">
        <v>338.66371063610944</v>
      </c>
      <c r="N3433">
        <v>2.4841500038141171</v>
      </c>
      <c r="O3433">
        <v>30.209171554621506</v>
      </c>
      <c r="P3433" s="11">
        <f t="shared" si="141"/>
        <v>0.29399999999999998</v>
      </c>
    </row>
    <row r="3434" spans="1:16">
      <c r="A3434" s="1" t="s">
        <v>3454</v>
      </c>
      <c r="B3434" s="1" t="s">
        <v>3480</v>
      </c>
      <c r="C3434" s="1" t="s">
        <v>38</v>
      </c>
      <c r="D3434" s="1" t="s">
        <v>5566</v>
      </c>
      <c r="E3434" s="1" t="s">
        <v>3459</v>
      </c>
      <c r="F3434">
        <v>10.3167153576302</v>
      </c>
      <c r="G3434">
        <v>188.84886965223447</v>
      </c>
      <c r="H3434">
        <v>42.277257724539581</v>
      </c>
      <c r="I3434">
        <v>1536.9198596174585</v>
      </c>
      <c r="J3434">
        <v>60.543727757309888</v>
      </c>
      <c r="K3434">
        <v>10.779120367868206</v>
      </c>
      <c r="L3434">
        <v>69.236245487494145</v>
      </c>
      <c r="M3434">
        <v>293.54944855930307</v>
      </c>
      <c r="N3434">
        <v>1.4505553167341114</v>
      </c>
      <c r="O3434">
        <v>25.432431970744393</v>
      </c>
      <c r="P3434" s="11">
        <f t="shared" si="141"/>
        <v>0.29399999999999998</v>
      </c>
    </row>
    <row r="3435" spans="1:16">
      <c r="A3435" s="1" t="s">
        <v>3454</v>
      </c>
      <c r="B3435" s="1" t="s">
        <v>3481</v>
      </c>
      <c r="C3435" s="1" t="s">
        <v>38</v>
      </c>
      <c r="D3435" s="1" t="s">
        <v>5566</v>
      </c>
      <c r="E3435" s="1" t="s">
        <v>3459</v>
      </c>
      <c r="F3435">
        <v>19.395936594693481</v>
      </c>
      <c r="G3435">
        <v>224.5784161878357</v>
      </c>
      <c r="H3435">
        <v>73.32522006557393</v>
      </c>
      <c r="I3435">
        <v>1396.488152965333</v>
      </c>
      <c r="J3435">
        <v>66.268845450564939</v>
      </c>
      <c r="K3435">
        <v>33.389389586601126</v>
      </c>
      <c r="L3435">
        <v>70.545240186621271</v>
      </c>
      <c r="M3435">
        <v>263.13360832421307</v>
      </c>
      <c r="N3435">
        <v>2.4639790160130794</v>
      </c>
      <c r="O3435">
        <v>25.090304614325571</v>
      </c>
      <c r="P3435" s="11">
        <f t="shared" si="141"/>
        <v>0.29399999999999998</v>
      </c>
    </row>
    <row r="3436" spans="1:16">
      <c r="A3436" s="1" t="s">
        <v>3454</v>
      </c>
      <c r="B3436" s="1" t="s">
        <v>3482</v>
      </c>
      <c r="C3436" s="1" t="s">
        <v>38</v>
      </c>
      <c r="D3436" s="1" t="s">
        <v>5566</v>
      </c>
      <c r="E3436" s="1" t="s">
        <v>3459</v>
      </c>
      <c r="F3436">
        <v>13.539280093159679</v>
      </c>
      <c r="G3436">
        <v>188.14568907146119</v>
      </c>
      <c r="H3436">
        <v>62.022269774998293</v>
      </c>
      <c r="I3436">
        <v>1648.3483438398398</v>
      </c>
      <c r="J3436">
        <v>29.730227833625424</v>
      </c>
      <c r="K3436">
        <v>33.924096401740357</v>
      </c>
      <c r="L3436">
        <v>73.9075441860208</v>
      </c>
      <c r="M3436">
        <v>274.41348706608716</v>
      </c>
      <c r="N3436">
        <v>3.2230969028270899</v>
      </c>
      <c r="O3436">
        <v>25.387604549655233</v>
      </c>
      <c r="P3436">
        <v>0.61946483639987493</v>
      </c>
    </row>
    <row r="3437" spans="1:16">
      <c r="A3437" s="1" t="s">
        <v>3454</v>
      </c>
      <c r="B3437" s="1" t="s">
        <v>3483</v>
      </c>
      <c r="C3437" s="1" t="s">
        <v>38</v>
      </c>
      <c r="D3437" s="1" t="s">
        <v>5566</v>
      </c>
      <c r="E3437" s="1" t="s">
        <v>3459</v>
      </c>
      <c r="F3437">
        <v>20.051192900663807</v>
      </c>
      <c r="G3437">
        <v>253.43209353644761</v>
      </c>
      <c r="H3437">
        <v>55.431860518722218</v>
      </c>
      <c r="I3437">
        <v>1466.9892415599543</v>
      </c>
      <c r="J3437">
        <v>106.69062552852985</v>
      </c>
      <c r="K3437">
        <v>17.899623377990217</v>
      </c>
      <c r="L3437">
        <v>76.025531781358396</v>
      </c>
      <c r="M3437">
        <v>361.80405849127845</v>
      </c>
      <c r="N3437">
        <v>2.5229148606361504</v>
      </c>
      <c r="O3437">
        <v>31.531842409222754</v>
      </c>
      <c r="P3437" s="11">
        <f t="shared" ref="P3437:P3440" si="142">0.588/2</f>
        <v>0.29399999999999998</v>
      </c>
    </row>
    <row r="3438" spans="1:16">
      <c r="A3438" s="1" t="s">
        <v>3454</v>
      </c>
      <c r="B3438" s="1" t="s">
        <v>3484</v>
      </c>
      <c r="C3438" s="1" t="s">
        <v>38</v>
      </c>
      <c r="D3438" s="1" t="s">
        <v>5566</v>
      </c>
      <c r="E3438" s="1" t="s">
        <v>3459</v>
      </c>
      <c r="F3438">
        <v>8.3024518798822875</v>
      </c>
      <c r="G3438">
        <v>264.35329272015446</v>
      </c>
      <c r="H3438">
        <v>55.483027415910556</v>
      </c>
      <c r="I3438">
        <v>1323.3299108251899</v>
      </c>
      <c r="J3438">
        <v>10.904403437797315</v>
      </c>
      <c r="K3438">
        <v>13.923777653728488</v>
      </c>
      <c r="L3438">
        <v>72.761906507907099</v>
      </c>
      <c r="M3438">
        <v>332.34348344518827</v>
      </c>
      <c r="N3438">
        <v>1.4569952981580909</v>
      </c>
      <c r="O3438">
        <v>27.716250305582442</v>
      </c>
      <c r="P3438" s="11">
        <f t="shared" si="142"/>
        <v>0.29399999999999998</v>
      </c>
    </row>
    <row r="3439" spans="1:16">
      <c r="A3439" s="1" t="s">
        <v>3454</v>
      </c>
      <c r="B3439" s="1" t="s">
        <v>3485</v>
      </c>
      <c r="C3439" s="1" t="s">
        <v>38</v>
      </c>
      <c r="D3439" s="1" t="s">
        <v>5566</v>
      </c>
      <c r="E3439" s="1" t="s">
        <v>3459</v>
      </c>
      <c r="F3439">
        <v>157.83286937850389</v>
      </c>
      <c r="G3439">
        <v>306.36762380630773</v>
      </c>
      <c r="H3439">
        <v>295.15097306332939</v>
      </c>
      <c r="I3439">
        <v>1528.6907112466452</v>
      </c>
      <c r="J3439">
        <v>64.512125080370836</v>
      </c>
      <c r="K3439">
        <v>15.888115828914534</v>
      </c>
      <c r="L3439">
        <v>76.282454141058921</v>
      </c>
      <c r="M3439">
        <v>343.60367492034044</v>
      </c>
      <c r="N3439">
        <v>2.9193135837829063</v>
      </c>
      <c r="O3439">
        <v>30.633396756726484</v>
      </c>
      <c r="P3439" s="11">
        <f t="shared" si="142"/>
        <v>0.29399999999999998</v>
      </c>
    </row>
    <row r="3440" spans="1:16">
      <c r="A3440" s="1" t="s">
        <v>3454</v>
      </c>
      <c r="B3440" s="1" t="s">
        <v>3486</v>
      </c>
      <c r="C3440" s="1" t="s">
        <v>38</v>
      </c>
      <c r="D3440" s="1" t="s">
        <v>5566</v>
      </c>
      <c r="E3440" s="1" t="s">
        <v>3459</v>
      </c>
      <c r="F3440">
        <v>23.744146608623787</v>
      </c>
      <c r="G3440">
        <v>224.52730541477024</v>
      </c>
      <c r="H3440">
        <v>52.11216231793793</v>
      </c>
      <c r="I3440">
        <v>1693.9542433677061</v>
      </c>
      <c r="J3440">
        <v>92.513986325436349</v>
      </c>
      <c r="K3440">
        <v>15.176314101278479</v>
      </c>
      <c r="L3440">
        <v>77.00732168077937</v>
      </c>
      <c r="M3440">
        <v>326.53890772741954</v>
      </c>
      <c r="N3440">
        <v>2.8849009145525937</v>
      </c>
      <c r="O3440">
        <v>30.022801302119284</v>
      </c>
      <c r="P3440" s="11">
        <f t="shared" si="142"/>
        <v>0.29399999999999998</v>
      </c>
    </row>
    <row r="3441" spans="1:16">
      <c r="A3441" s="1" t="s">
        <v>3454</v>
      </c>
      <c r="B3441" s="1" t="s">
        <v>3487</v>
      </c>
      <c r="C3441" s="1" t="s">
        <v>38</v>
      </c>
      <c r="D3441" s="1" t="s">
        <v>5566</v>
      </c>
      <c r="E3441" s="1" t="s">
        <v>3459</v>
      </c>
      <c r="F3441">
        <v>9.2276216599899179</v>
      </c>
      <c r="G3441">
        <v>296.57914964510775</v>
      </c>
      <c r="H3441">
        <v>521.39794722163219</v>
      </c>
      <c r="I3441">
        <v>1405.0363045119875</v>
      </c>
      <c r="J3441">
        <v>32.957169486318918</v>
      </c>
      <c r="K3441">
        <v>17.979521913784104</v>
      </c>
      <c r="L3441">
        <v>73.599250738526266</v>
      </c>
      <c r="M3441">
        <v>339.31599218341358</v>
      </c>
      <c r="N3441">
        <v>2.4708437440055255</v>
      </c>
      <c r="O3441">
        <v>31.37186471295195</v>
      </c>
      <c r="P3441">
        <v>0.80776240450969639</v>
      </c>
    </row>
    <row r="3442" spans="1:16">
      <c r="A3442" s="1" t="s">
        <v>3454</v>
      </c>
      <c r="B3442" s="1" t="s">
        <v>3488</v>
      </c>
      <c r="C3442" s="1" t="s">
        <v>38</v>
      </c>
      <c r="D3442" s="1" t="s">
        <v>5566</v>
      </c>
      <c r="E3442" s="1" t="s">
        <v>3459</v>
      </c>
      <c r="F3442">
        <v>17.68482421772346</v>
      </c>
      <c r="G3442">
        <v>609.57051558171281</v>
      </c>
      <c r="H3442">
        <v>80.643329547781462</v>
      </c>
      <c r="I3442">
        <v>987.03515244433459</v>
      </c>
      <c r="J3442">
        <v>192.32667604165977</v>
      </c>
      <c r="K3442">
        <v>8.5295856654202034</v>
      </c>
      <c r="L3442">
        <v>27.589187006343728</v>
      </c>
      <c r="M3442">
        <v>34.968581428315439</v>
      </c>
      <c r="N3442">
        <v>8.871634935356564</v>
      </c>
      <c r="O3442">
        <v>8.1083092933874585</v>
      </c>
      <c r="P3442" s="11">
        <f t="shared" ref="P3442:P3443" si="143">0.588/2</f>
        <v>0.29399999999999998</v>
      </c>
    </row>
    <row r="3443" spans="1:16">
      <c r="A3443" s="1" t="s">
        <v>3454</v>
      </c>
      <c r="B3443" s="1" t="s">
        <v>3489</v>
      </c>
      <c r="C3443" s="1" t="s">
        <v>38</v>
      </c>
      <c r="D3443" s="1" t="s">
        <v>5566</v>
      </c>
      <c r="E3443" s="1" t="s">
        <v>3459</v>
      </c>
      <c r="F3443">
        <v>11.010692396954747</v>
      </c>
      <c r="G3443">
        <v>546.969089892542</v>
      </c>
      <c r="H3443">
        <v>71.164359367681868</v>
      </c>
      <c r="I3443">
        <v>1021.5030798529149</v>
      </c>
      <c r="J3443">
        <v>189.99910084937565</v>
      </c>
      <c r="K3443">
        <v>12.293341823473996</v>
      </c>
      <c r="L3443">
        <v>27.94282388222345</v>
      </c>
      <c r="M3443">
        <v>39.970530332803193</v>
      </c>
      <c r="N3443">
        <v>6.5643873921535132</v>
      </c>
      <c r="O3443">
        <v>11.417840594385915</v>
      </c>
      <c r="P3443" s="11">
        <f t="shared" si="143"/>
        <v>0.29399999999999998</v>
      </c>
    </row>
    <row r="3444" spans="1:16">
      <c r="A3444" s="1" t="s">
        <v>3454</v>
      </c>
      <c r="B3444" s="1" t="s">
        <v>3490</v>
      </c>
      <c r="C3444" s="1" t="s">
        <v>38</v>
      </c>
      <c r="D3444" s="1" t="s">
        <v>5566</v>
      </c>
      <c r="E3444" s="1" t="s">
        <v>3459</v>
      </c>
      <c r="F3444">
        <v>4.9793352851745052</v>
      </c>
      <c r="G3444">
        <v>432.17315351665951</v>
      </c>
      <c r="H3444">
        <v>103.74052722121368</v>
      </c>
      <c r="I3444">
        <v>670.31557607619163</v>
      </c>
      <c r="J3444" s="11">
        <f t="shared" ref="J3444:J3445" si="144">2.468/2</f>
        <v>1.234</v>
      </c>
      <c r="K3444">
        <v>8.4125297480688435</v>
      </c>
      <c r="L3444">
        <v>27.638828874444808</v>
      </c>
      <c r="M3444">
        <v>45.04987160666473</v>
      </c>
      <c r="N3444">
        <v>2.9944961786578372</v>
      </c>
      <c r="O3444">
        <v>8.5841452322423724</v>
      </c>
      <c r="P3444">
        <v>0.74355014375336315</v>
      </c>
    </row>
    <row r="3445" spans="1:16">
      <c r="A3445" s="1" t="s">
        <v>3454</v>
      </c>
      <c r="B3445" s="1" t="s">
        <v>3491</v>
      </c>
      <c r="C3445" s="1" t="s">
        <v>38</v>
      </c>
      <c r="D3445" s="1" t="s">
        <v>5562</v>
      </c>
      <c r="E3445" s="1" t="s">
        <v>3459</v>
      </c>
      <c r="F3445">
        <v>10.624100572931374</v>
      </c>
      <c r="G3445">
        <v>548.43731398075465</v>
      </c>
      <c r="H3445">
        <v>150.08447328383977</v>
      </c>
      <c r="I3445">
        <v>513.63187724209206</v>
      </c>
      <c r="J3445" s="11">
        <f t="shared" si="144"/>
        <v>1.234</v>
      </c>
      <c r="K3445">
        <v>16.888187237016556</v>
      </c>
      <c r="L3445">
        <v>53.536895206167031</v>
      </c>
      <c r="M3445">
        <v>79.47217239846384</v>
      </c>
      <c r="N3445">
        <v>11.046582200539214</v>
      </c>
      <c r="O3445">
        <v>28.114362421830243</v>
      </c>
      <c r="P3445" s="11">
        <f>0.588/2</f>
        <v>0.29399999999999998</v>
      </c>
    </row>
    <row r="3446" spans="1:16">
      <c r="A3446" s="1" t="s">
        <v>3454</v>
      </c>
      <c r="B3446" s="1" t="s">
        <v>3492</v>
      </c>
      <c r="C3446" s="1" t="s">
        <v>38</v>
      </c>
      <c r="D3446" s="1" t="s">
        <v>5562</v>
      </c>
      <c r="E3446" s="1" t="s">
        <v>3459</v>
      </c>
      <c r="F3446">
        <v>33.027166901190249</v>
      </c>
      <c r="G3446">
        <v>729.04160407745803</v>
      </c>
      <c r="H3446">
        <v>481.95562756514516</v>
      </c>
      <c r="I3446">
        <v>555.52104343552958</v>
      </c>
      <c r="J3446">
        <v>2.6883085126019255</v>
      </c>
      <c r="K3446">
        <v>28.458644828227296</v>
      </c>
      <c r="L3446">
        <v>55.703621543471016</v>
      </c>
      <c r="M3446">
        <v>79.209033022802188</v>
      </c>
      <c r="N3446">
        <v>12.492950370960767</v>
      </c>
      <c r="O3446">
        <v>25.913426410774473</v>
      </c>
      <c r="P3446">
        <v>0.99404065879003056</v>
      </c>
    </row>
    <row r="3447" spans="1:16">
      <c r="A3447" s="1" t="s">
        <v>3454</v>
      </c>
      <c r="B3447" s="1" t="s">
        <v>3493</v>
      </c>
      <c r="C3447" s="1" t="s">
        <v>38</v>
      </c>
      <c r="D3447" s="1" t="s">
        <v>5562</v>
      </c>
      <c r="E3447" s="1" t="s">
        <v>3459</v>
      </c>
      <c r="F3447">
        <v>17.942743102171224</v>
      </c>
      <c r="G3447">
        <v>673.50178753378577</v>
      </c>
      <c r="H3447">
        <v>913.85909446455184</v>
      </c>
      <c r="I3447">
        <v>579.12466046961299</v>
      </c>
      <c r="J3447" s="11">
        <f t="shared" ref="J3447:J3448" si="145">2.468/2</f>
        <v>1.234</v>
      </c>
      <c r="K3447">
        <v>110.67568094228693</v>
      </c>
      <c r="L3447">
        <v>79.405968528570725</v>
      </c>
      <c r="M3447">
        <v>76.824372457996517</v>
      </c>
      <c r="N3447">
        <v>11.866986501236658</v>
      </c>
      <c r="O3447">
        <v>30.391765934301262</v>
      </c>
      <c r="P3447">
        <v>1.0008447687429305</v>
      </c>
    </row>
    <row r="3448" spans="1:16">
      <c r="A3448" s="1" t="s">
        <v>3454</v>
      </c>
      <c r="B3448" s="1" t="s">
        <v>3494</v>
      </c>
      <c r="C3448" s="1" t="s">
        <v>38</v>
      </c>
      <c r="D3448" s="1" t="s">
        <v>5562</v>
      </c>
      <c r="E3448" s="1" t="s">
        <v>3459</v>
      </c>
      <c r="F3448">
        <v>20.235480953084444</v>
      </c>
      <c r="G3448">
        <v>680.28697100275122</v>
      </c>
      <c r="H3448">
        <v>862.051334905202</v>
      </c>
      <c r="I3448">
        <v>504.46863066606568</v>
      </c>
      <c r="J3448" s="11">
        <f t="shared" si="145"/>
        <v>1.234</v>
      </c>
      <c r="K3448">
        <v>106.90399388879752</v>
      </c>
      <c r="L3448">
        <v>69.363573865875239</v>
      </c>
      <c r="M3448">
        <v>76.834573259201406</v>
      </c>
      <c r="N3448">
        <v>11.11911461455788</v>
      </c>
      <c r="O3448">
        <v>29.551234841212413</v>
      </c>
      <c r="P3448">
        <v>0.77999670875396487</v>
      </c>
    </row>
    <row r="3449" spans="1:16">
      <c r="A3449" s="1" t="s">
        <v>3454</v>
      </c>
      <c r="B3449" s="1" t="s">
        <v>3495</v>
      </c>
      <c r="C3449" s="1" t="s">
        <v>38</v>
      </c>
      <c r="D3449" s="1" t="s">
        <v>5562</v>
      </c>
      <c r="E3449" s="1" t="s">
        <v>3459</v>
      </c>
      <c r="F3449">
        <v>23.523478679174922</v>
      </c>
      <c r="G3449">
        <v>566.11452322580283</v>
      </c>
      <c r="H3449">
        <v>878.35690893965409</v>
      </c>
      <c r="I3449">
        <v>537.90576792000604</v>
      </c>
      <c r="J3449">
        <v>4.5835491088642657</v>
      </c>
      <c r="K3449">
        <v>71.525320333145942</v>
      </c>
      <c r="L3449">
        <v>69.988865426578556</v>
      </c>
      <c r="M3449">
        <v>79.340234407001773</v>
      </c>
      <c r="N3449">
        <v>11.121907578945143</v>
      </c>
      <c r="O3449">
        <v>29.578406963401104</v>
      </c>
      <c r="P3449">
        <v>1.4809881703940133</v>
      </c>
    </row>
    <row r="3450" spans="1:16">
      <c r="A3450" s="1" t="s">
        <v>3454</v>
      </c>
      <c r="B3450" s="1" t="s">
        <v>3496</v>
      </c>
      <c r="C3450" s="1" t="s">
        <v>38</v>
      </c>
      <c r="D3450" s="1" t="s">
        <v>5562</v>
      </c>
      <c r="E3450" s="1" t="s">
        <v>3459</v>
      </c>
      <c r="F3450">
        <v>30.489190945584408</v>
      </c>
      <c r="G3450">
        <v>458.62048402133433</v>
      </c>
      <c r="H3450">
        <v>164.20966662584402</v>
      </c>
      <c r="I3450">
        <v>477.8646146884542</v>
      </c>
      <c r="J3450">
        <v>5.8286253628219145</v>
      </c>
      <c r="K3450">
        <v>92.946444703228494</v>
      </c>
      <c r="L3450">
        <v>81.187058169937004</v>
      </c>
      <c r="M3450">
        <v>74.4481234002631</v>
      </c>
      <c r="N3450">
        <v>8.9818765660484825</v>
      </c>
      <c r="O3450">
        <v>31.819270139305164</v>
      </c>
      <c r="P3450">
        <v>0.8426690343975729</v>
      </c>
    </row>
    <row r="3451" spans="1:16">
      <c r="A3451" s="1" t="s">
        <v>3454</v>
      </c>
      <c r="B3451" s="1" t="s">
        <v>3497</v>
      </c>
      <c r="C3451" s="1" t="s">
        <v>38</v>
      </c>
      <c r="D3451" s="1" t="s">
        <v>5562</v>
      </c>
      <c r="E3451" s="1" t="s">
        <v>3459</v>
      </c>
      <c r="F3451">
        <v>15.63816025377896</v>
      </c>
      <c r="G3451">
        <v>620.99392042924069</v>
      </c>
      <c r="H3451">
        <v>321.79206583146851</v>
      </c>
      <c r="I3451">
        <v>430.84927170256469</v>
      </c>
      <c r="J3451">
        <v>2.6466069219737567</v>
      </c>
      <c r="K3451">
        <v>41.566810502615432</v>
      </c>
      <c r="L3451">
        <v>62.629713605615009</v>
      </c>
      <c r="M3451">
        <v>80.529994429027383</v>
      </c>
      <c r="N3451">
        <v>5.7450555215523051</v>
      </c>
      <c r="O3451">
        <v>31.635060411110803</v>
      </c>
      <c r="P3451" s="11">
        <f>0.588/2</f>
        <v>0.29399999999999998</v>
      </c>
    </row>
    <row r="3452" spans="1:16">
      <c r="A3452" s="1" t="s">
        <v>3454</v>
      </c>
      <c r="B3452" s="1" t="s">
        <v>3498</v>
      </c>
      <c r="C3452" s="1" t="s">
        <v>38</v>
      </c>
      <c r="D3452" s="1" t="s">
        <v>5562</v>
      </c>
      <c r="E3452" s="1" t="s">
        <v>3459</v>
      </c>
      <c r="F3452">
        <v>15.08233983789656</v>
      </c>
      <c r="G3452">
        <v>543.08010630083709</v>
      </c>
      <c r="H3452">
        <v>421.46173264367616</v>
      </c>
      <c r="I3452">
        <v>497.07431110030586</v>
      </c>
      <c r="J3452">
        <v>6.4200207083599441</v>
      </c>
      <c r="K3452">
        <v>47.557328860087303</v>
      </c>
      <c r="L3452">
        <v>66.12213579355361</v>
      </c>
      <c r="M3452">
        <v>84.500854914398687</v>
      </c>
      <c r="N3452">
        <v>5.9409765600644393</v>
      </c>
      <c r="O3452">
        <v>33.489541076017758</v>
      </c>
      <c r="P3452">
        <v>0.67657986312321206</v>
      </c>
    </row>
    <row r="3453" spans="1:16">
      <c r="A3453" s="1" t="s">
        <v>3454</v>
      </c>
      <c r="B3453" s="1" t="s">
        <v>3499</v>
      </c>
      <c r="C3453" s="1" t="s">
        <v>38</v>
      </c>
      <c r="D3453" s="1" t="s">
        <v>5562</v>
      </c>
      <c r="E3453" s="1" t="s">
        <v>3459</v>
      </c>
      <c r="F3453">
        <v>30.128399264315981</v>
      </c>
      <c r="G3453">
        <v>1006.3760567130875</v>
      </c>
      <c r="H3453">
        <v>1329.101502699514</v>
      </c>
      <c r="I3453">
        <v>81.977370031176378</v>
      </c>
      <c r="J3453">
        <v>5.7335274621582455</v>
      </c>
      <c r="K3453">
        <v>238.35446816386548</v>
      </c>
      <c r="L3453">
        <v>117.19241938047058</v>
      </c>
      <c r="M3453">
        <v>20.507753534924106</v>
      </c>
      <c r="N3453">
        <v>3.4045615007614485</v>
      </c>
      <c r="O3453">
        <v>13.491455429906528</v>
      </c>
      <c r="P3453">
        <v>1.3159980452870335</v>
      </c>
    </row>
    <row r="3454" spans="1:16">
      <c r="A3454" s="1" t="s">
        <v>3454</v>
      </c>
      <c r="B3454" s="1" t="s">
        <v>3500</v>
      </c>
      <c r="C3454" s="1" t="s">
        <v>38</v>
      </c>
      <c r="D3454" s="1" t="s">
        <v>5562</v>
      </c>
      <c r="E3454" s="1" t="s">
        <v>3459</v>
      </c>
      <c r="F3454">
        <v>29.048672763085705</v>
      </c>
      <c r="G3454">
        <v>902.38270723424034</v>
      </c>
      <c r="H3454">
        <v>1194.7710629207288</v>
      </c>
      <c r="I3454">
        <v>79.376490315824469</v>
      </c>
      <c r="J3454" s="11">
        <f>2.468/2</f>
        <v>1.234</v>
      </c>
      <c r="K3454">
        <v>260.58062444889669</v>
      </c>
      <c r="L3454">
        <v>125.15523963002126</v>
      </c>
      <c r="M3454">
        <v>23.661007443704253</v>
      </c>
      <c r="N3454">
        <v>4.1478121590010284</v>
      </c>
      <c r="O3454">
        <v>16.406447490636499</v>
      </c>
      <c r="P3454">
        <v>2.1960715228341616</v>
      </c>
    </row>
    <row r="3455" spans="1:16">
      <c r="A3455" s="1" t="s">
        <v>3454</v>
      </c>
      <c r="B3455" s="1" t="s">
        <v>3501</v>
      </c>
      <c r="C3455" s="1" t="s">
        <v>38</v>
      </c>
      <c r="D3455" s="1" t="s">
        <v>5562</v>
      </c>
      <c r="E3455" s="1" t="s">
        <v>3459</v>
      </c>
      <c r="F3455">
        <v>18.558003598249332</v>
      </c>
      <c r="G3455">
        <v>858.45837298609774</v>
      </c>
      <c r="H3455">
        <v>1178.2585852158707</v>
      </c>
      <c r="I3455">
        <v>80.336894884691901</v>
      </c>
      <c r="J3455">
        <v>2.5549360950971027</v>
      </c>
      <c r="K3455">
        <v>187.03530372503138</v>
      </c>
      <c r="L3455">
        <v>116.07796966611353</v>
      </c>
      <c r="M3455">
        <v>23.237073931356456</v>
      </c>
      <c r="N3455">
        <v>6.4917975347009662</v>
      </c>
      <c r="O3455">
        <v>13.785125548416721</v>
      </c>
      <c r="P3455">
        <v>1.9715075216995901</v>
      </c>
    </row>
    <row r="3456" spans="1:16">
      <c r="A3456" s="1" t="s">
        <v>3454</v>
      </c>
      <c r="B3456" s="1" t="s">
        <v>3502</v>
      </c>
      <c r="C3456" s="1" t="s">
        <v>38</v>
      </c>
      <c r="D3456" s="1" t="s">
        <v>5562</v>
      </c>
      <c r="E3456" s="1" t="s">
        <v>3459</v>
      </c>
      <c r="F3456">
        <v>22.485974300657684</v>
      </c>
      <c r="G3456">
        <v>822.27478855124571</v>
      </c>
      <c r="H3456">
        <v>1108.4833181364972</v>
      </c>
      <c r="I3456">
        <v>81.386722785362736</v>
      </c>
      <c r="J3456" s="11">
        <f>2.468/2</f>
        <v>1.234</v>
      </c>
      <c r="K3456">
        <v>186.27929065125383</v>
      </c>
      <c r="L3456">
        <v>115.7482476336245</v>
      </c>
      <c r="M3456">
        <v>23.339322687296914</v>
      </c>
      <c r="N3456">
        <v>2.7804373856007039</v>
      </c>
      <c r="O3456">
        <v>14.041355592891529</v>
      </c>
      <c r="P3456">
        <v>1.8677570182796592</v>
      </c>
    </row>
    <row r="3457" spans="1:16">
      <c r="A3457" s="1" t="s">
        <v>3454</v>
      </c>
      <c r="B3457" s="1" t="s">
        <v>3503</v>
      </c>
      <c r="C3457" s="1" t="s">
        <v>38</v>
      </c>
      <c r="D3457" s="1" t="s">
        <v>5562</v>
      </c>
      <c r="E3457" s="1" t="s">
        <v>3459</v>
      </c>
      <c r="F3457">
        <v>22.704626224644457</v>
      </c>
      <c r="G3457">
        <v>942.89168733715178</v>
      </c>
      <c r="H3457">
        <v>1490.3084831387737</v>
      </c>
      <c r="I3457">
        <v>89.942930657062249</v>
      </c>
      <c r="J3457">
        <v>4.863707195878689</v>
      </c>
      <c r="K3457">
        <v>248.96795467240239</v>
      </c>
      <c r="L3457">
        <v>119.84476863105037</v>
      </c>
      <c r="M3457">
        <v>24.043956812978568</v>
      </c>
      <c r="N3457">
        <v>4.3774709373142455</v>
      </c>
      <c r="O3457">
        <v>13.280010427887664</v>
      </c>
      <c r="P3457">
        <v>1.8707892427009116</v>
      </c>
    </row>
    <row r="3458" spans="1:16">
      <c r="A3458" s="1" t="s">
        <v>3454</v>
      </c>
      <c r="B3458" s="1" t="s">
        <v>3504</v>
      </c>
      <c r="C3458" s="1" t="s">
        <v>38</v>
      </c>
      <c r="D3458" s="1" t="s">
        <v>5562</v>
      </c>
      <c r="E3458" s="1" t="s">
        <v>3459</v>
      </c>
      <c r="F3458">
        <v>24.289634507280233</v>
      </c>
      <c r="G3458">
        <v>754.04610235553389</v>
      </c>
      <c r="H3458">
        <v>1020.1107236964042</v>
      </c>
      <c r="I3458">
        <v>83.476541196028222</v>
      </c>
      <c r="J3458">
        <v>3.2744029432414137</v>
      </c>
      <c r="K3458">
        <v>190.78331571283181</v>
      </c>
      <c r="L3458">
        <v>118.17060363640853</v>
      </c>
      <c r="M3458">
        <v>25.398956942911216</v>
      </c>
      <c r="N3458">
        <v>7.0017621577126556</v>
      </c>
      <c r="O3458">
        <v>13.083295081338608</v>
      </c>
      <c r="P3458">
        <v>1.6532378212972285</v>
      </c>
    </row>
    <row r="3459" spans="1:16">
      <c r="A3459" s="1" t="s">
        <v>3454</v>
      </c>
      <c r="B3459" s="1" t="s">
        <v>3505</v>
      </c>
      <c r="C3459" s="1" t="s">
        <v>38</v>
      </c>
      <c r="D3459" s="1" t="s">
        <v>5562</v>
      </c>
      <c r="E3459" s="1" t="s">
        <v>3459</v>
      </c>
      <c r="F3459">
        <v>28.848777315330551</v>
      </c>
      <c r="G3459">
        <v>1098.1951139120865</v>
      </c>
      <c r="H3459">
        <v>1386.0614741319105</v>
      </c>
      <c r="I3459">
        <v>85.535271569754585</v>
      </c>
      <c r="J3459" s="11">
        <f>2.468/2</f>
        <v>1.234</v>
      </c>
      <c r="K3459">
        <v>256.52179933174153</v>
      </c>
      <c r="L3459">
        <v>120.7823226637033</v>
      </c>
      <c r="M3459">
        <v>23.969560102491009</v>
      </c>
      <c r="N3459">
        <v>4.5737935529045419</v>
      </c>
      <c r="O3459">
        <v>13.751204684651013</v>
      </c>
      <c r="P3459">
        <v>2.536836432496119</v>
      </c>
    </row>
    <row r="3460" spans="1:16">
      <c r="A3460" s="1" t="s">
        <v>3454</v>
      </c>
      <c r="B3460" s="1" t="s">
        <v>3506</v>
      </c>
      <c r="C3460" s="1" t="s">
        <v>38</v>
      </c>
      <c r="D3460" s="1" t="s">
        <v>5562</v>
      </c>
      <c r="E3460" s="1" t="s">
        <v>3459</v>
      </c>
      <c r="F3460">
        <v>21.581066015020884</v>
      </c>
      <c r="G3460">
        <v>849.49865261998877</v>
      </c>
      <c r="H3460">
        <v>1015.6036541693485</v>
      </c>
      <c r="I3460">
        <v>77.552627130784856</v>
      </c>
      <c r="J3460">
        <v>5.5919097976354069</v>
      </c>
      <c r="K3460">
        <v>194.13242311042541</v>
      </c>
      <c r="L3460">
        <v>115.93411321548466</v>
      </c>
      <c r="M3460">
        <v>24.099057082104249</v>
      </c>
      <c r="N3460">
        <v>5.2774707655576432</v>
      </c>
      <c r="O3460">
        <v>12.341186818234453</v>
      </c>
      <c r="P3460">
        <v>1.5863232178734188</v>
      </c>
    </row>
    <row r="3461" spans="1:16">
      <c r="A3461" s="1" t="s">
        <v>3454</v>
      </c>
      <c r="B3461" s="1" t="s">
        <v>3507</v>
      </c>
      <c r="C3461" s="1" t="s">
        <v>38</v>
      </c>
      <c r="D3461" s="1" t="s">
        <v>5562</v>
      </c>
      <c r="E3461" s="1" t="s">
        <v>3459</v>
      </c>
      <c r="F3461">
        <v>61.310212472104034</v>
      </c>
      <c r="G3461">
        <v>188.887265430924</v>
      </c>
      <c r="H3461">
        <v>116.67626553092468</v>
      </c>
      <c r="I3461">
        <v>885.26056591992506</v>
      </c>
      <c r="J3461">
        <v>142.97389236409984</v>
      </c>
      <c r="K3461">
        <v>81.552467312694134</v>
      </c>
      <c r="L3461">
        <v>98.709580583503211</v>
      </c>
      <c r="M3461">
        <v>135.1750976870222</v>
      </c>
      <c r="N3461">
        <v>14.398539917153077</v>
      </c>
      <c r="O3461">
        <v>33.032803364312343</v>
      </c>
      <c r="P3461">
        <v>0.60794304893712858</v>
      </c>
    </row>
    <row r="3462" spans="1:16">
      <c r="A3462" s="1" t="s">
        <v>3454</v>
      </c>
      <c r="B3462" s="1" t="s">
        <v>3508</v>
      </c>
      <c r="C3462" s="1" t="s">
        <v>38</v>
      </c>
      <c r="D3462" s="1" t="s">
        <v>5562</v>
      </c>
      <c r="E3462" s="1" t="s">
        <v>3459</v>
      </c>
      <c r="F3462">
        <v>36.535277864155994</v>
      </c>
      <c r="G3462">
        <v>93.266287966190148</v>
      </c>
      <c r="H3462">
        <v>111.74356067530998</v>
      </c>
      <c r="I3462">
        <v>1004.64532638424</v>
      </c>
      <c r="J3462">
        <v>159.16076532269224</v>
      </c>
      <c r="K3462">
        <v>36.388311590718075</v>
      </c>
      <c r="L3462">
        <v>81.14074909372242</v>
      </c>
      <c r="M3462">
        <v>113.19873138579344</v>
      </c>
      <c r="N3462">
        <v>23.860237169442296</v>
      </c>
      <c r="O3462">
        <v>31.044845098575898</v>
      </c>
      <c r="P3462" s="11">
        <f t="shared" ref="P3462:P3464" si="146">0.588/2</f>
        <v>0.29399999999999998</v>
      </c>
    </row>
    <row r="3463" spans="1:16">
      <c r="A3463" s="1" t="s">
        <v>3454</v>
      </c>
      <c r="B3463" s="1" t="s">
        <v>3509</v>
      </c>
      <c r="C3463" s="1" t="s">
        <v>38</v>
      </c>
      <c r="D3463" s="1" t="s">
        <v>5562</v>
      </c>
      <c r="E3463" s="1" t="s">
        <v>3459</v>
      </c>
      <c r="F3463">
        <v>83.663684792153632</v>
      </c>
      <c r="G3463">
        <v>320.27331086243521</v>
      </c>
      <c r="H3463">
        <v>120.97927610532652</v>
      </c>
      <c r="I3463">
        <v>871.49404428686944</v>
      </c>
      <c r="J3463">
        <v>160.74723524184253</v>
      </c>
      <c r="K3463">
        <v>69.76132882130139</v>
      </c>
      <c r="L3463">
        <v>97.23834483993835</v>
      </c>
      <c r="M3463">
        <v>132.1910456160727</v>
      </c>
      <c r="N3463">
        <v>14.979294501375733</v>
      </c>
      <c r="O3463">
        <v>33.294853909953723</v>
      </c>
      <c r="P3463" s="11">
        <f t="shared" si="146"/>
        <v>0.29399999999999998</v>
      </c>
    </row>
    <row r="3464" spans="1:16">
      <c r="A3464" s="1" t="s">
        <v>3454</v>
      </c>
      <c r="B3464" s="1" t="s">
        <v>3510</v>
      </c>
      <c r="C3464" s="1" t="s">
        <v>38</v>
      </c>
      <c r="D3464" s="1" t="s">
        <v>5562</v>
      </c>
      <c r="E3464" s="1" t="s">
        <v>3459</v>
      </c>
      <c r="F3464">
        <v>92.633288021392758</v>
      </c>
      <c r="G3464">
        <v>299.7225006590607</v>
      </c>
      <c r="H3464">
        <v>187.31177492296493</v>
      </c>
      <c r="I3464">
        <v>910.34929613279667</v>
      </c>
      <c r="J3464">
        <v>172.83698292729457</v>
      </c>
      <c r="K3464">
        <v>68.477535664722609</v>
      </c>
      <c r="L3464">
        <v>82.223020252560985</v>
      </c>
      <c r="M3464">
        <v>137.72964720347844</v>
      </c>
      <c r="N3464">
        <v>15.714875107324014</v>
      </c>
      <c r="O3464">
        <v>31.361547236002309</v>
      </c>
      <c r="P3464" s="11">
        <f t="shared" si="146"/>
        <v>0.29399999999999998</v>
      </c>
    </row>
    <row r="3465" spans="1:16">
      <c r="A3465" s="1" t="s">
        <v>3454</v>
      </c>
      <c r="B3465" s="1" t="s">
        <v>3511</v>
      </c>
      <c r="C3465" s="1" t="s">
        <v>38</v>
      </c>
      <c r="D3465" s="1" t="s">
        <v>5562</v>
      </c>
      <c r="E3465" s="1" t="s">
        <v>3459</v>
      </c>
      <c r="F3465">
        <v>97.830107201520178</v>
      </c>
      <c r="G3465">
        <v>457.63913748164663</v>
      </c>
      <c r="H3465">
        <v>307.42887802677279</v>
      </c>
      <c r="I3465">
        <v>891.77081218552951</v>
      </c>
      <c r="J3465">
        <v>76.337726725209677</v>
      </c>
      <c r="K3465">
        <v>86.265539443386174</v>
      </c>
      <c r="L3465">
        <v>92.974575542812985</v>
      </c>
      <c r="M3465">
        <v>134.80068469087425</v>
      </c>
      <c r="N3465">
        <v>18.473921952139328</v>
      </c>
      <c r="O3465">
        <v>33.811128927958634</v>
      </c>
      <c r="P3465">
        <v>0.67665979016484101</v>
      </c>
    </row>
    <row r="3466" spans="1:16">
      <c r="A3466" s="1" t="s">
        <v>3454</v>
      </c>
      <c r="B3466" s="1" t="s">
        <v>3512</v>
      </c>
      <c r="C3466" s="1" t="s">
        <v>38</v>
      </c>
      <c r="D3466" s="1" t="s">
        <v>5562</v>
      </c>
      <c r="E3466" s="1" t="s">
        <v>3459</v>
      </c>
      <c r="F3466">
        <v>117.40624493549559</v>
      </c>
      <c r="G3466">
        <v>520.7616440097139</v>
      </c>
      <c r="H3466">
        <v>457.79059964462078</v>
      </c>
      <c r="I3466">
        <v>898.33460023087355</v>
      </c>
      <c r="J3466">
        <v>118.07505449420132</v>
      </c>
      <c r="K3466">
        <v>76.038172341612736</v>
      </c>
      <c r="L3466">
        <v>90.459244487498182</v>
      </c>
      <c r="M3466">
        <v>142.80153890716485</v>
      </c>
      <c r="N3466">
        <v>18.427767346248238</v>
      </c>
      <c r="O3466">
        <v>34.049339881281178</v>
      </c>
      <c r="P3466">
        <v>0.84880806235856987</v>
      </c>
    </row>
    <row r="3467" spans="1:16">
      <c r="A3467" s="1" t="s">
        <v>3454</v>
      </c>
      <c r="B3467" s="1" t="s">
        <v>3513</v>
      </c>
      <c r="C3467" s="1" t="s">
        <v>38</v>
      </c>
      <c r="D3467" s="1" t="s">
        <v>5562</v>
      </c>
      <c r="E3467" s="1" t="s">
        <v>3459</v>
      </c>
      <c r="F3467">
        <v>194.81111488609847</v>
      </c>
      <c r="G3467">
        <v>595.88555013255109</v>
      </c>
      <c r="H3467">
        <v>812.75441108703967</v>
      </c>
      <c r="I3467">
        <v>883.27429368891353</v>
      </c>
      <c r="J3467">
        <v>189.83568245938022</v>
      </c>
      <c r="K3467">
        <v>71.996422933893939</v>
      </c>
      <c r="L3467">
        <v>91.435088221027016</v>
      </c>
      <c r="M3467">
        <v>138.48791672113074</v>
      </c>
      <c r="N3467">
        <v>23.742168285924034</v>
      </c>
      <c r="O3467">
        <v>34.261793968197132</v>
      </c>
      <c r="P3467" s="11">
        <f>0.588/2</f>
        <v>0.29399999999999998</v>
      </c>
    </row>
    <row r="3468" spans="1:16">
      <c r="A3468" s="1" t="s">
        <v>3454</v>
      </c>
      <c r="B3468" s="1" t="s">
        <v>3514</v>
      </c>
      <c r="C3468" s="1" t="s">
        <v>38</v>
      </c>
      <c r="D3468" s="1" t="s">
        <v>5562</v>
      </c>
      <c r="E3468" s="1" t="s">
        <v>3459</v>
      </c>
      <c r="F3468">
        <v>72.697027553413761</v>
      </c>
      <c r="G3468">
        <v>321.92201768357609</v>
      </c>
      <c r="H3468">
        <v>550.68073747919664</v>
      </c>
      <c r="I3468">
        <v>290.95949583106403</v>
      </c>
      <c r="J3468">
        <v>27.878966655148375</v>
      </c>
      <c r="K3468">
        <v>78.564635643225429</v>
      </c>
      <c r="L3468">
        <v>89.468723141540664</v>
      </c>
      <c r="M3468">
        <v>65.781303414783821</v>
      </c>
      <c r="N3468">
        <v>12.088575350290514</v>
      </c>
      <c r="O3468">
        <v>16.802499180405906</v>
      </c>
      <c r="P3468">
        <v>1.4445392076184183</v>
      </c>
    </row>
    <row r="3469" spans="1:16">
      <c r="A3469" s="1" t="s">
        <v>3454</v>
      </c>
      <c r="B3469" s="1" t="s">
        <v>3515</v>
      </c>
      <c r="C3469" s="1" t="s">
        <v>38</v>
      </c>
      <c r="D3469" s="1" t="s">
        <v>5562</v>
      </c>
      <c r="E3469" s="1" t="s">
        <v>3459</v>
      </c>
      <c r="F3469">
        <v>83.515925986929176</v>
      </c>
      <c r="G3469">
        <v>404.93105555043229</v>
      </c>
      <c r="H3469">
        <v>369.80864841664766</v>
      </c>
      <c r="I3469">
        <v>288.946018668438</v>
      </c>
      <c r="J3469" s="11">
        <f>2.468/2</f>
        <v>1.234</v>
      </c>
      <c r="K3469">
        <v>86.768286747920442</v>
      </c>
      <c r="L3469">
        <v>90.790047980413107</v>
      </c>
      <c r="M3469">
        <v>67.002217646170806</v>
      </c>
      <c r="N3469">
        <v>14.990320372101689</v>
      </c>
      <c r="O3469">
        <v>17.419608347861708</v>
      </c>
      <c r="P3469">
        <v>0.65222650829351725</v>
      </c>
    </row>
    <row r="3470" spans="1:16">
      <c r="A3470" s="1" t="s">
        <v>3454</v>
      </c>
      <c r="B3470" s="1" t="s">
        <v>3516</v>
      </c>
      <c r="C3470" s="1" t="s">
        <v>38</v>
      </c>
      <c r="D3470" s="1" t="s">
        <v>5562</v>
      </c>
      <c r="E3470" s="1" t="s">
        <v>3459</v>
      </c>
      <c r="F3470">
        <v>43.31916000080583</v>
      </c>
      <c r="G3470">
        <v>198.44612297398805</v>
      </c>
      <c r="H3470">
        <v>618.75253774780026</v>
      </c>
      <c r="I3470">
        <v>308.04455703013093</v>
      </c>
      <c r="J3470">
        <v>19.978397343860543</v>
      </c>
      <c r="K3470">
        <v>51.472192113353515</v>
      </c>
      <c r="L3470">
        <v>87.004045014381049</v>
      </c>
      <c r="M3470">
        <v>65.311203625346522</v>
      </c>
      <c r="N3470">
        <v>8.4354534730631734</v>
      </c>
      <c r="O3470">
        <v>15.963369439959726</v>
      </c>
      <c r="P3470">
        <v>1.3675905156505661</v>
      </c>
    </row>
    <row r="3471" spans="1:16">
      <c r="A3471" s="1" t="s">
        <v>3454</v>
      </c>
      <c r="B3471" s="1" t="s">
        <v>3517</v>
      </c>
      <c r="C3471" s="1" t="s">
        <v>38</v>
      </c>
      <c r="D3471" s="1" t="s">
        <v>5562</v>
      </c>
      <c r="E3471" s="1" t="s">
        <v>3459</v>
      </c>
      <c r="F3471">
        <v>85.420553009491016</v>
      </c>
      <c r="G3471">
        <v>401.78816293190596</v>
      </c>
      <c r="H3471">
        <v>1891.5583907749656</v>
      </c>
      <c r="I3471">
        <v>291.15746843098253</v>
      </c>
      <c r="J3471" s="11">
        <f>2.468/2</f>
        <v>1.234</v>
      </c>
      <c r="K3471">
        <v>143.02837630766942</v>
      </c>
      <c r="L3471">
        <v>88.792671085198407</v>
      </c>
      <c r="M3471">
        <v>69.441474929141535</v>
      </c>
      <c r="N3471">
        <v>10.777168671847008</v>
      </c>
      <c r="O3471">
        <v>17.234165505764622</v>
      </c>
      <c r="P3471">
        <v>1.3671253794354257</v>
      </c>
    </row>
    <row r="3472" spans="1:16">
      <c r="A3472" s="1" t="s">
        <v>3454</v>
      </c>
      <c r="B3472" s="1" t="s">
        <v>3518</v>
      </c>
      <c r="C3472" s="1" t="s">
        <v>38</v>
      </c>
      <c r="D3472" s="1" t="s">
        <v>5562</v>
      </c>
      <c r="E3472" s="1" t="s">
        <v>3459</v>
      </c>
      <c r="F3472">
        <v>51.312382729267185</v>
      </c>
      <c r="G3472">
        <v>314.54615972849155</v>
      </c>
      <c r="H3472">
        <v>763.87199841507675</v>
      </c>
      <c r="I3472">
        <v>306.62247512952223</v>
      </c>
      <c r="J3472">
        <v>2.8377732509252995</v>
      </c>
      <c r="K3472">
        <v>84.992544410562417</v>
      </c>
      <c r="L3472">
        <v>89.266013944817345</v>
      </c>
      <c r="M3472">
        <v>69.6356461608475</v>
      </c>
      <c r="N3472">
        <v>9.4924616958141801</v>
      </c>
      <c r="O3472">
        <v>15.98291223447243</v>
      </c>
      <c r="P3472" s="11">
        <f>0.588/2</f>
        <v>0.29399999999999998</v>
      </c>
    </row>
    <row r="3473" spans="1:16">
      <c r="A3473" s="1" t="s">
        <v>3454</v>
      </c>
      <c r="B3473" s="1" t="s">
        <v>3519</v>
      </c>
      <c r="C3473" s="1" t="s">
        <v>38</v>
      </c>
      <c r="D3473" s="1" t="s">
        <v>5562</v>
      </c>
      <c r="E3473" s="1" t="s">
        <v>3459</v>
      </c>
      <c r="F3473">
        <v>81.861223497154469</v>
      </c>
      <c r="G3473">
        <v>445.6575530729138</v>
      </c>
      <c r="H3473">
        <v>162.05351487958706</v>
      </c>
      <c r="I3473">
        <v>299.59373906194622</v>
      </c>
      <c r="J3473" s="11">
        <f>2.468/2</f>
        <v>1.234</v>
      </c>
      <c r="K3473">
        <v>91.117731640932874</v>
      </c>
      <c r="L3473">
        <v>90.024244786567905</v>
      </c>
      <c r="M3473">
        <v>68.941914844483023</v>
      </c>
      <c r="N3473">
        <v>10.295486322927516</v>
      </c>
      <c r="O3473">
        <v>18.41626710325</v>
      </c>
      <c r="P3473">
        <v>0.84578334816754897</v>
      </c>
    </row>
    <row r="3474" spans="1:16">
      <c r="A3474" s="1" t="s">
        <v>3454</v>
      </c>
      <c r="B3474" s="1" t="s">
        <v>3520</v>
      </c>
      <c r="C3474" s="1" t="s">
        <v>38</v>
      </c>
      <c r="D3474" s="1" t="s">
        <v>5562</v>
      </c>
      <c r="E3474" s="1" t="s">
        <v>3459</v>
      </c>
      <c r="F3474">
        <v>69.382681507266653</v>
      </c>
      <c r="G3474">
        <v>331.21979051285126</v>
      </c>
      <c r="H3474">
        <v>630.26417496292936</v>
      </c>
      <c r="I3474">
        <v>319.9557929536299</v>
      </c>
      <c r="J3474">
        <v>4.732231394332417</v>
      </c>
      <c r="K3474">
        <v>77.988524361698111</v>
      </c>
      <c r="L3474">
        <v>89.835448583800897</v>
      </c>
      <c r="M3474">
        <v>65.67153255698166</v>
      </c>
      <c r="N3474">
        <v>9.290685128164176</v>
      </c>
      <c r="O3474">
        <v>15.894709814397959</v>
      </c>
      <c r="P3474">
        <v>1.1783646202572535</v>
      </c>
    </row>
    <row r="3475" spans="1:16">
      <c r="A3475" s="1" t="s">
        <v>3454</v>
      </c>
      <c r="B3475" s="1" t="s">
        <v>3521</v>
      </c>
      <c r="C3475" s="1" t="s">
        <v>38</v>
      </c>
      <c r="D3475" s="1" t="s">
        <v>5562</v>
      </c>
      <c r="E3475" s="1" t="s">
        <v>3459</v>
      </c>
      <c r="F3475">
        <v>41.191490854551041</v>
      </c>
      <c r="G3475">
        <v>662.0682325481954</v>
      </c>
      <c r="H3475">
        <v>1227.6216375268532</v>
      </c>
      <c r="I3475">
        <v>10330.823690544787</v>
      </c>
      <c r="J3475">
        <v>4.5383593722567452</v>
      </c>
      <c r="K3475">
        <v>91.040103028627925</v>
      </c>
      <c r="L3475">
        <v>79.468371301897946</v>
      </c>
      <c r="M3475">
        <v>118.82938786651073</v>
      </c>
      <c r="N3475">
        <v>17.353444118078936</v>
      </c>
      <c r="O3475">
        <v>60.118237538349312</v>
      </c>
      <c r="P3475">
        <v>0.84324150128078645</v>
      </c>
    </row>
    <row r="3476" spans="1:16">
      <c r="A3476" s="1" t="s">
        <v>3454</v>
      </c>
      <c r="B3476" s="1" t="s">
        <v>3522</v>
      </c>
      <c r="C3476" s="1" t="s">
        <v>38</v>
      </c>
      <c r="D3476" s="1" t="s">
        <v>5562</v>
      </c>
      <c r="E3476" s="1" t="s">
        <v>3459</v>
      </c>
      <c r="F3476">
        <v>24.208198132240817</v>
      </c>
      <c r="G3476">
        <v>733.477663250295</v>
      </c>
      <c r="H3476">
        <v>1878.4158122617741</v>
      </c>
      <c r="I3476">
        <v>9842.9219294649938</v>
      </c>
      <c r="J3476" s="11">
        <f>2.468/2</f>
        <v>1.234</v>
      </c>
      <c r="K3476">
        <v>18.147592636504633</v>
      </c>
      <c r="L3476">
        <v>70.187735235662998</v>
      </c>
      <c r="M3476">
        <v>122.47658906492325</v>
      </c>
      <c r="N3476">
        <v>16.364905806097852</v>
      </c>
      <c r="O3476">
        <v>56.768285067328826</v>
      </c>
      <c r="P3476">
        <v>0.89021780920654947</v>
      </c>
    </row>
    <row r="3477" spans="1:16">
      <c r="A3477" s="1" t="s">
        <v>3454</v>
      </c>
      <c r="B3477" s="1" t="s">
        <v>3523</v>
      </c>
      <c r="C3477" s="1" t="s">
        <v>38</v>
      </c>
      <c r="D3477" s="1" t="s">
        <v>5562</v>
      </c>
      <c r="E3477" s="1" t="s">
        <v>3459</v>
      </c>
      <c r="F3477">
        <v>29.131126479970966</v>
      </c>
      <c r="G3477">
        <v>695.17482606964234</v>
      </c>
      <c r="H3477">
        <v>1467.5589745280481</v>
      </c>
      <c r="I3477">
        <v>9216.4645698512413</v>
      </c>
      <c r="J3477">
        <v>5.244753106819517</v>
      </c>
      <c r="K3477">
        <v>82.50626136531406</v>
      </c>
      <c r="L3477">
        <v>80.016677066558088</v>
      </c>
      <c r="M3477">
        <v>124.34769720871152</v>
      </c>
      <c r="N3477">
        <v>12.982299188622338</v>
      </c>
      <c r="O3477">
        <v>56.690913805866032</v>
      </c>
      <c r="P3477">
        <v>1.4416256967685692</v>
      </c>
    </row>
    <row r="3478" spans="1:16">
      <c r="A3478" s="1" t="s">
        <v>3454</v>
      </c>
      <c r="B3478" s="1" t="s">
        <v>3524</v>
      </c>
      <c r="C3478" s="1" t="s">
        <v>38</v>
      </c>
      <c r="D3478" s="1" t="s">
        <v>5562</v>
      </c>
      <c r="E3478" s="1" t="s">
        <v>3459</v>
      </c>
      <c r="F3478">
        <v>39.591166267982544</v>
      </c>
      <c r="G3478">
        <v>734.21761814675938</v>
      </c>
      <c r="H3478">
        <v>1248.6494238540433</v>
      </c>
      <c r="I3478">
        <v>8237.3687031115405</v>
      </c>
      <c r="J3478">
        <v>5.5290143308932285</v>
      </c>
      <c r="K3478">
        <v>78.701920472957781</v>
      </c>
      <c r="L3478">
        <v>84.058651925397129</v>
      </c>
      <c r="M3478">
        <v>120.55993218486279</v>
      </c>
      <c r="N3478">
        <v>10.238739478432061</v>
      </c>
      <c r="O3478">
        <v>56.798828065806909</v>
      </c>
      <c r="P3478">
        <v>1.4720993088524219</v>
      </c>
    </row>
    <row r="3479" spans="1:16">
      <c r="A3479" s="1" t="s">
        <v>3454</v>
      </c>
      <c r="B3479" s="1" t="s">
        <v>3525</v>
      </c>
      <c r="C3479" s="1" t="s">
        <v>38</v>
      </c>
      <c r="D3479" s="1" t="s">
        <v>5562</v>
      </c>
      <c r="E3479" s="1" t="s">
        <v>3459</v>
      </c>
      <c r="F3479">
        <v>14.649734312999264</v>
      </c>
      <c r="G3479">
        <v>636.01821217872089</v>
      </c>
      <c r="H3479">
        <v>1516.2959779531832</v>
      </c>
      <c r="I3479">
        <v>8337.8034436426788</v>
      </c>
      <c r="J3479">
        <v>14.663979462693286</v>
      </c>
      <c r="K3479">
        <v>16.380721992405938</v>
      </c>
      <c r="L3479">
        <v>67.902172348003447</v>
      </c>
      <c r="M3479">
        <v>117.91384011667833</v>
      </c>
      <c r="N3479">
        <v>18.603479179834377</v>
      </c>
      <c r="O3479">
        <v>55.868043352737473</v>
      </c>
      <c r="P3479">
        <v>1.1351544514925707</v>
      </c>
    </row>
    <row r="3480" spans="1:16">
      <c r="A3480" s="1" t="s">
        <v>3454</v>
      </c>
      <c r="B3480" s="1" t="s">
        <v>3526</v>
      </c>
      <c r="C3480" s="1" t="s">
        <v>38</v>
      </c>
      <c r="D3480" s="1" t="s">
        <v>5562</v>
      </c>
      <c r="E3480" s="1" t="s">
        <v>3459</v>
      </c>
      <c r="F3480">
        <v>23.316183134416608</v>
      </c>
      <c r="G3480">
        <v>697.49460077854224</v>
      </c>
      <c r="H3480">
        <v>1046.4332096554201</v>
      </c>
      <c r="I3480">
        <v>9832.2893873850644</v>
      </c>
      <c r="J3480">
        <v>3.902823545745834</v>
      </c>
      <c r="K3480">
        <v>64.771696357578222</v>
      </c>
      <c r="L3480">
        <v>71.390500457541648</v>
      </c>
      <c r="M3480">
        <v>125.23625698325749</v>
      </c>
      <c r="N3480">
        <v>14.888237005228433</v>
      </c>
      <c r="O3480">
        <v>59.949065321811112</v>
      </c>
      <c r="P3480">
        <v>0.88026191497221717</v>
      </c>
    </row>
    <row r="3481" spans="1:16">
      <c r="A3481" s="1" t="s">
        <v>3454</v>
      </c>
      <c r="B3481" s="1" t="s">
        <v>3527</v>
      </c>
      <c r="C3481" s="1" t="s">
        <v>38</v>
      </c>
      <c r="D3481" s="1" t="s">
        <v>5562</v>
      </c>
      <c r="E3481" s="1" t="s">
        <v>3459</v>
      </c>
      <c r="F3481">
        <v>36.184532418185718</v>
      </c>
      <c r="G3481">
        <v>750.61074196804179</v>
      </c>
      <c r="H3481">
        <v>1029.3037396491911</v>
      </c>
      <c r="I3481">
        <v>10208.010195428642</v>
      </c>
      <c r="J3481">
        <v>2.5248764441542701</v>
      </c>
      <c r="K3481">
        <v>82.44697690864507</v>
      </c>
      <c r="L3481">
        <v>80.150728918253222</v>
      </c>
      <c r="M3481">
        <v>128.42663455691903</v>
      </c>
      <c r="N3481">
        <v>4.9670910645858513</v>
      </c>
      <c r="O3481">
        <v>55.908469001977885</v>
      </c>
      <c r="P3481">
        <v>0.730337962252538</v>
      </c>
    </row>
    <row r="3482" spans="1:16">
      <c r="A3482" s="1" t="s">
        <v>3454</v>
      </c>
      <c r="B3482" s="1" t="s">
        <v>3528</v>
      </c>
      <c r="C3482" s="1" t="s">
        <v>38</v>
      </c>
      <c r="D3482" s="1" t="s">
        <v>5562</v>
      </c>
      <c r="E3482" s="1" t="s">
        <v>3459</v>
      </c>
      <c r="F3482">
        <v>42.926844212013911</v>
      </c>
      <c r="G3482">
        <v>542.8847774053371</v>
      </c>
      <c r="H3482">
        <v>1015.4273198396737</v>
      </c>
      <c r="I3482">
        <v>9775.1967873937974</v>
      </c>
      <c r="J3482">
        <v>11.348746647419272</v>
      </c>
      <c r="K3482">
        <v>83.388182013248269</v>
      </c>
      <c r="L3482">
        <v>79.178453215009498</v>
      </c>
      <c r="M3482">
        <v>116.66962266099463</v>
      </c>
      <c r="N3482">
        <v>9.3988678087010964</v>
      </c>
      <c r="O3482">
        <v>56.723698138404487</v>
      </c>
      <c r="P3482">
        <v>1.2538814048066351</v>
      </c>
    </row>
    <row r="3483" spans="1:16">
      <c r="A3483" s="1" t="s">
        <v>3454</v>
      </c>
      <c r="B3483" s="1" t="s">
        <v>3529</v>
      </c>
      <c r="C3483" s="1" t="s">
        <v>38</v>
      </c>
      <c r="D3483" s="1" t="s">
        <v>5562</v>
      </c>
      <c r="E3483" s="1" t="s">
        <v>3459</v>
      </c>
      <c r="F3483">
        <v>18.312036588310352</v>
      </c>
      <c r="G3483">
        <v>478.11793354312846</v>
      </c>
      <c r="H3483">
        <v>1396.3951485510313</v>
      </c>
      <c r="I3483">
        <v>11154.949246766533</v>
      </c>
      <c r="J3483">
        <v>284.22374422242228</v>
      </c>
      <c r="K3483">
        <v>76.75104971796577</v>
      </c>
      <c r="L3483">
        <v>79.965786378023864</v>
      </c>
      <c r="M3483">
        <v>149.71425416003055</v>
      </c>
      <c r="N3483">
        <v>7.8609161780254579</v>
      </c>
      <c r="O3483">
        <v>61.452167823920391</v>
      </c>
      <c r="P3483">
        <v>0.92962956757712811</v>
      </c>
    </row>
    <row r="3484" spans="1:16">
      <c r="A3484" s="1" t="s">
        <v>3454</v>
      </c>
      <c r="B3484" s="1" t="s">
        <v>3530</v>
      </c>
      <c r="C3484" s="1" t="s">
        <v>38</v>
      </c>
      <c r="D3484" s="1" t="s">
        <v>5562</v>
      </c>
      <c r="E3484" s="1" t="s">
        <v>3459</v>
      </c>
      <c r="F3484">
        <v>23.056051068777492</v>
      </c>
      <c r="G3484">
        <v>724.93826788793683</v>
      </c>
      <c r="H3484">
        <v>2641.0872341141057</v>
      </c>
      <c r="I3484">
        <v>11459.452293297963</v>
      </c>
      <c r="J3484">
        <v>36.94897753117111</v>
      </c>
      <c r="K3484">
        <v>91.699247025551315</v>
      </c>
      <c r="L3484">
        <v>78.123364128438851</v>
      </c>
      <c r="M3484">
        <v>138.21954911485469</v>
      </c>
      <c r="N3484">
        <v>9.9364281464325259</v>
      </c>
      <c r="O3484">
        <v>60.487835657770354</v>
      </c>
      <c r="P3484">
        <v>0.60907222331123212</v>
      </c>
    </row>
    <row r="3485" spans="1:16">
      <c r="A3485" s="1" t="s">
        <v>3454</v>
      </c>
      <c r="B3485" s="1" t="s">
        <v>3531</v>
      </c>
      <c r="C3485" s="1" t="s">
        <v>38</v>
      </c>
      <c r="D3485" s="1" t="s">
        <v>5562</v>
      </c>
      <c r="E3485" s="1" t="s">
        <v>3459</v>
      </c>
      <c r="F3485">
        <v>18.755711571657887</v>
      </c>
      <c r="G3485">
        <v>544.65410577342664</v>
      </c>
      <c r="H3485">
        <v>1758.0204434677291</v>
      </c>
      <c r="I3485">
        <v>10833.652231240632</v>
      </c>
      <c r="J3485">
        <v>187.43398940518938</v>
      </c>
      <c r="K3485">
        <v>62.224728509929292</v>
      </c>
      <c r="L3485">
        <v>76.9793435114955</v>
      </c>
      <c r="M3485">
        <v>143.18542467983872</v>
      </c>
      <c r="N3485">
        <v>12.846720244781432</v>
      </c>
      <c r="O3485">
        <v>58.036867391825901</v>
      </c>
      <c r="P3485">
        <v>0.92384365503539301</v>
      </c>
    </row>
    <row r="3486" spans="1:16">
      <c r="A3486" s="1" t="s">
        <v>3454</v>
      </c>
      <c r="B3486" s="1" t="s">
        <v>3532</v>
      </c>
      <c r="C3486" s="1" t="s">
        <v>38</v>
      </c>
      <c r="D3486" s="1" t="s">
        <v>5562</v>
      </c>
      <c r="E3486" s="1" t="s">
        <v>3459</v>
      </c>
      <c r="F3486">
        <v>30.435665466628297</v>
      </c>
      <c r="G3486">
        <v>703.78686045005895</v>
      </c>
      <c r="H3486">
        <v>1734.755938104387</v>
      </c>
      <c r="I3486">
        <v>11165.874294796828</v>
      </c>
      <c r="J3486">
        <v>125.88414870568678</v>
      </c>
      <c r="K3486">
        <v>87.347720558810451</v>
      </c>
      <c r="L3486">
        <v>80.227500416977691</v>
      </c>
      <c r="M3486">
        <v>136.54141005470086</v>
      </c>
      <c r="N3486">
        <v>7.8410815201755488</v>
      </c>
      <c r="O3486">
        <v>55.854972466402501</v>
      </c>
      <c r="P3486">
        <v>1.0409962734622482</v>
      </c>
    </row>
    <row r="3487" spans="1:16">
      <c r="A3487" s="1" t="s">
        <v>3454</v>
      </c>
      <c r="B3487" s="1" t="s">
        <v>3533</v>
      </c>
      <c r="C3487" s="1" t="s">
        <v>38</v>
      </c>
      <c r="D3487" s="1" t="s">
        <v>5562</v>
      </c>
      <c r="E3487" s="1" t="s">
        <v>3459</v>
      </c>
      <c r="F3487">
        <v>26.356392705899587</v>
      </c>
      <c r="G3487">
        <v>619.13956646672352</v>
      </c>
      <c r="H3487">
        <v>1658.2347865860847</v>
      </c>
      <c r="I3487">
        <v>10937.158538672471</v>
      </c>
      <c r="J3487">
        <v>169.9298388053335</v>
      </c>
      <c r="K3487">
        <v>85.685849174234065</v>
      </c>
      <c r="L3487">
        <v>75.374116429617644</v>
      </c>
      <c r="M3487">
        <v>128.72230249586292</v>
      </c>
      <c r="N3487">
        <v>13.358060217114014</v>
      </c>
      <c r="O3487">
        <v>57.829735575141306</v>
      </c>
      <c r="P3487">
        <v>1.3560434152491865</v>
      </c>
    </row>
    <row r="3488" spans="1:16">
      <c r="A3488" s="1" t="s">
        <v>3454</v>
      </c>
      <c r="B3488" s="1" t="s">
        <v>3534</v>
      </c>
      <c r="C3488" s="1" t="s">
        <v>38</v>
      </c>
      <c r="D3488" s="1" t="s">
        <v>5562</v>
      </c>
      <c r="E3488" s="1" t="s">
        <v>3459</v>
      </c>
      <c r="F3488">
        <v>23.601622237978294</v>
      </c>
      <c r="G3488">
        <v>614.31375809554152</v>
      </c>
      <c r="H3488">
        <v>626.78073440061519</v>
      </c>
      <c r="I3488">
        <v>11222.135045272677</v>
      </c>
      <c r="J3488">
        <v>183.66221098384369</v>
      </c>
      <c r="K3488">
        <v>56.932482236024981</v>
      </c>
      <c r="L3488">
        <v>83.786283813032256</v>
      </c>
      <c r="M3488">
        <v>131.25959628185319</v>
      </c>
      <c r="N3488">
        <v>14.302982934654256</v>
      </c>
      <c r="O3488">
        <v>58.142338921920413</v>
      </c>
      <c r="P3488" s="11">
        <f>0.588/2</f>
        <v>0.29399999999999998</v>
      </c>
    </row>
    <row r="3489" spans="1:16">
      <c r="A3489" s="1" t="s">
        <v>3454</v>
      </c>
      <c r="B3489" s="1" t="s">
        <v>3535</v>
      </c>
      <c r="C3489" s="1" t="s">
        <v>38</v>
      </c>
      <c r="D3489" s="1" t="s">
        <v>5562</v>
      </c>
      <c r="E3489" s="1" t="s">
        <v>3459</v>
      </c>
      <c r="F3489">
        <v>42.455986592048227</v>
      </c>
      <c r="G3489">
        <v>835.56287127161283</v>
      </c>
      <c r="H3489">
        <v>1596.8664272596573</v>
      </c>
      <c r="I3489">
        <v>11041.381739421189</v>
      </c>
      <c r="J3489">
        <v>182.25933288671294</v>
      </c>
      <c r="K3489">
        <v>105.0210688192555</v>
      </c>
      <c r="L3489">
        <v>83.22865545178324</v>
      </c>
      <c r="M3489">
        <v>132.20417603384703</v>
      </c>
      <c r="N3489">
        <v>25.462675081457537</v>
      </c>
      <c r="O3489">
        <v>57.075569549139637</v>
      </c>
      <c r="P3489">
        <v>1.4109028793831446</v>
      </c>
    </row>
    <row r="3490" spans="1:16">
      <c r="A3490" s="1" t="s">
        <v>3454</v>
      </c>
      <c r="B3490" s="1" t="s">
        <v>3536</v>
      </c>
      <c r="C3490" s="1" t="s">
        <v>38</v>
      </c>
      <c r="D3490" s="1" t="s">
        <v>5562</v>
      </c>
      <c r="E3490" s="1" t="s">
        <v>3459</v>
      </c>
      <c r="F3490">
        <v>25.025008569734126</v>
      </c>
      <c r="G3490">
        <v>741.25386904946845</v>
      </c>
      <c r="H3490">
        <v>2228.8511076885311</v>
      </c>
      <c r="I3490">
        <v>10672.073746244803</v>
      </c>
      <c r="J3490">
        <v>87.779432322949333</v>
      </c>
      <c r="K3490">
        <v>105.77711318082969</v>
      </c>
      <c r="L3490">
        <v>83.731299975866847</v>
      </c>
      <c r="M3490">
        <v>136.40729713562911</v>
      </c>
      <c r="N3490">
        <v>12.338069602786389</v>
      </c>
      <c r="O3490">
        <v>58.055168246073649</v>
      </c>
      <c r="P3490">
        <v>1.3921232736519975</v>
      </c>
    </row>
    <row r="3491" spans="1:16">
      <c r="A3491" s="1" t="s">
        <v>3454</v>
      </c>
      <c r="B3491" s="1" t="s">
        <v>3537</v>
      </c>
      <c r="C3491" s="1" t="s">
        <v>38</v>
      </c>
      <c r="D3491" s="1" t="s">
        <v>5562</v>
      </c>
      <c r="E3491" s="1" t="s">
        <v>3459</v>
      </c>
      <c r="F3491">
        <v>19.642754600882078</v>
      </c>
      <c r="G3491">
        <v>383.78394359428768</v>
      </c>
      <c r="H3491">
        <v>961.82058134139754</v>
      </c>
      <c r="I3491">
        <v>10435.099527953011</v>
      </c>
      <c r="J3491">
        <v>215.70375784667129</v>
      </c>
      <c r="K3491">
        <v>41.305797927218073</v>
      </c>
      <c r="L3491">
        <v>81.974836316903264</v>
      </c>
      <c r="M3491">
        <v>125.76467864185665</v>
      </c>
      <c r="N3491">
        <v>5.2259260949412685</v>
      </c>
      <c r="O3491">
        <v>57.70208798147798</v>
      </c>
      <c r="P3491">
        <v>0.94516485934755934</v>
      </c>
    </row>
    <row r="3492" spans="1:16">
      <c r="A3492" s="1" t="s">
        <v>3454</v>
      </c>
      <c r="B3492" s="1" t="s">
        <v>3538</v>
      </c>
      <c r="C3492" s="1" t="s">
        <v>38</v>
      </c>
      <c r="D3492" s="1" t="s">
        <v>5562</v>
      </c>
      <c r="E3492" s="1" t="s">
        <v>3459</v>
      </c>
      <c r="F3492">
        <v>21.059974246701398</v>
      </c>
      <c r="G3492">
        <v>497.15244349277879</v>
      </c>
      <c r="H3492">
        <v>470.9677797071509</v>
      </c>
      <c r="I3492">
        <v>10090.309225591956</v>
      </c>
      <c r="J3492">
        <v>22.261916729596937</v>
      </c>
      <c r="K3492">
        <v>123.59372781034348</v>
      </c>
      <c r="L3492">
        <v>86.099400936322255</v>
      </c>
      <c r="M3492">
        <v>126.18025361209216</v>
      </c>
      <c r="N3492">
        <v>33.658871784376885</v>
      </c>
      <c r="O3492">
        <v>58.94561268566234</v>
      </c>
      <c r="P3492">
        <v>1.0123592795884768</v>
      </c>
    </row>
    <row r="3493" spans="1:16">
      <c r="A3493" s="1" t="s">
        <v>3454</v>
      </c>
      <c r="B3493" s="1" t="s">
        <v>3539</v>
      </c>
      <c r="C3493" s="1" t="s">
        <v>38</v>
      </c>
      <c r="D3493" s="1" t="s">
        <v>5562</v>
      </c>
      <c r="E3493" s="1" t="s">
        <v>3459</v>
      </c>
      <c r="F3493">
        <v>12.023286405527589</v>
      </c>
      <c r="G3493">
        <v>453.02818310153225</v>
      </c>
      <c r="H3493">
        <v>894.16295381001737</v>
      </c>
      <c r="I3493">
        <v>11057.007812789379</v>
      </c>
      <c r="J3493">
        <v>5.1582495318441879</v>
      </c>
      <c r="K3493">
        <v>41.882697906325767</v>
      </c>
      <c r="L3493">
        <v>78.802839587012173</v>
      </c>
      <c r="M3493">
        <v>128.2676538565706</v>
      </c>
      <c r="N3493">
        <v>6.6141176618014192</v>
      </c>
      <c r="O3493">
        <v>58.234290286988347</v>
      </c>
      <c r="P3493">
        <v>1.0142067388403935</v>
      </c>
    </row>
    <row r="3494" spans="1:16">
      <c r="A3494" s="1" t="s">
        <v>3454</v>
      </c>
      <c r="B3494" s="1" t="s">
        <v>3540</v>
      </c>
      <c r="C3494" s="1" t="s">
        <v>38</v>
      </c>
      <c r="D3494" s="1" t="s">
        <v>5562</v>
      </c>
      <c r="E3494" s="1" t="s">
        <v>3459</v>
      </c>
      <c r="F3494">
        <v>25.034634838990328</v>
      </c>
      <c r="G3494">
        <v>606.36075892626957</v>
      </c>
      <c r="H3494">
        <v>1428.8237559945746</v>
      </c>
      <c r="I3494">
        <v>9785.3202424954397</v>
      </c>
      <c r="J3494">
        <v>9.4745625272649061</v>
      </c>
      <c r="K3494">
        <v>71.132552222538891</v>
      </c>
      <c r="L3494">
        <v>81.984711512653632</v>
      </c>
      <c r="M3494">
        <v>122.34660510542476</v>
      </c>
      <c r="N3494">
        <v>8.7409971804151656</v>
      </c>
      <c r="O3494">
        <v>60.156435475680638</v>
      </c>
      <c r="P3494">
        <v>0.98960444521400337</v>
      </c>
    </row>
    <row r="3495" spans="1:16">
      <c r="A3495" s="1" t="s">
        <v>3454</v>
      </c>
      <c r="B3495" s="1" t="s">
        <v>3541</v>
      </c>
      <c r="C3495" s="1" t="s">
        <v>38</v>
      </c>
      <c r="D3495" s="1" t="s">
        <v>5562</v>
      </c>
      <c r="E3495" s="1" t="s">
        <v>3459</v>
      </c>
      <c r="F3495">
        <v>27.189177146512222</v>
      </c>
      <c r="G3495">
        <v>650.67419552138665</v>
      </c>
      <c r="H3495">
        <v>1498.3894039561437</v>
      </c>
      <c r="I3495">
        <v>9836.9980100906814</v>
      </c>
      <c r="J3495">
        <v>6.9442623636020526</v>
      </c>
      <c r="K3495">
        <v>77.495330197639134</v>
      </c>
      <c r="L3495">
        <v>80.137427554287768</v>
      </c>
      <c r="M3495">
        <v>125.16420724843685</v>
      </c>
      <c r="N3495">
        <v>18.738773887547897</v>
      </c>
      <c r="O3495">
        <v>58.663688136547577</v>
      </c>
      <c r="P3495" s="11">
        <f>0.588/2</f>
        <v>0.29399999999999998</v>
      </c>
    </row>
    <row r="3496" spans="1:16">
      <c r="A3496" s="1" t="s">
        <v>3454</v>
      </c>
      <c r="B3496" s="1" t="s">
        <v>3542</v>
      </c>
      <c r="C3496" s="1" t="s">
        <v>38</v>
      </c>
      <c r="D3496" s="1" t="s">
        <v>5562</v>
      </c>
      <c r="E3496" s="1" t="s">
        <v>3459</v>
      </c>
      <c r="F3496">
        <v>21.963170337966311</v>
      </c>
      <c r="G3496">
        <v>661.67581385934329</v>
      </c>
      <c r="H3496">
        <v>1152.8416049978714</v>
      </c>
      <c r="I3496">
        <v>10960.037856547533</v>
      </c>
      <c r="J3496">
        <v>13.5532936520913</v>
      </c>
      <c r="K3496">
        <v>44.671709838084169</v>
      </c>
      <c r="L3496">
        <v>77.814306200138745</v>
      </c>
      <c r="M3496">
        <v>121.61463835622746</v>
      </c>
      <c r="N3496">
        <v>6.6635607067836098</v>
      </c>
      <c r="O3496">
        <v>62.695960517011301</v>
      </c>
      <c r="P3496">
        <v>1.0407147220284341</v>
      </c>
    </row>
    <row r="3497" spans="1:16">
      <c r="A3497" s="1" t="s">
        <v>3454</v>
      </c>
      <c r="B3497" s="1" t="s">
        <v>3543</v>
      </c>
      <c r="C3497" s="1" t="s">
        <v>38</v>
      </c>
      <c r="D3497" s="1" t="s">
        <v>5562</v>
      </c>
      <c r="E3497" s="1" t="s">
        <v>3459</v>
      </c>
      <c r="F3497">
        <v>16.442024104985538</v>
      </c>
      <c r="G3497">
        <v>709.69522333013072</v>
      </c>
      <c r="H3497">
        <v>1348.5815315945983</v>
      </c>
      <c r="I3497">
        <v>8801.969568312923</v>
      </c>
      <c r="J3497">
        <v>11.274044774046917</v>
      </c>
      <c r="K3497">
        <v>52.502853389925669</v>
      </c>
      <c r="L3497">
        <v>79.860695139375053</v>
      </c>
      <c r="M3497">
        <v>120.01703857770276</v>
      </c>
      <c r="N3497">
        <v>3.592752956836041</v>
      </c>
      <c r="O3497">
        <v>57.000551195745508</v>
      </c>
      <c r="P3497">
        <v>1.4663536808799742</v>
      </c>
    </row>
    <row r="3498" spans="1:16">
      <c r="A3498" s="1" t="s">
        <v>3454</v>
      </c>
      <c r="B3498" s="1" t="s">
        <v>3544</v>
      </c>
      <c r="C3498" s="1" t="s">
        <v>38</v>
      </c>
      <c r="D3498" s="1" t="s">
        <v>5562</v>
      </c>
      <c r="E3498" s="1" t="s">
        <v>3459</v>
      </c>
      <c r="F3498">
        <v>9.4692878590298939</v>
      </c>
      <c r="G3498">
        <v>534.40695062085138</v>
      </c>
      <c r="H3498">
        <v>1130.3654518355797</v>
      </c>
      <c r="I3498">
        <v>9647.1743410885174</v>
      </c>
      <c r="J3498">
        <v>39.929141344074523</v>
      </c>
      <c r="K3498">
        <v>26.239857786789045</v>
      </c>
      <c r="L3498">
        <v>77.367170380974869</v>
      </c>
      <c r="M3498">
        <v>129.89276272607381</v>
      </c>
      <c r="N3498">
        <v>6.9576726716695889</v>
      </c>
      <c r="O3498">
        <v>56.064398505947956</v>
      </c>
      <c r="P3498">
        <v>1.3109883123642501</v>
      </c>
    </row>
    <row r="3499" spans="1:16">
      <c r="A3499" s="1" t="s">
        <v>3454</v>
      </c>
      <c r="B3499" s="1" t="s">
        <v>3545</v>
      </c>
      <c r="C3499" s="1" t="s">
        <v>38</v>
      </c>
      <c r="D3499" s="1" t="s">
        <v>5566</v>
      </c>
      <c r="E3499" s="1" t="s">
        <v>3459</v>
      </c>
      <c r="F3499">
        <v>11.123866673624038</v>
      </c>
      <c r="G3499">
        <v>280.93927256723202</v>
      </c>
      <c r="H3499">
        <v>77.274460547129308</v>
      </c>
      <c r="I3499">
        <v>624.98812136334004</v>
      </c>
      <c r="J3499">
        <v>16.35598597199947</v>
      </c>
      <c r="K3499">
        <v>41.667832747839903</v>
      </c>
      <c r="L3499">
        <v>30.906675583163391</v>
      </c>
      <c r="M3499">
        <v>78.326298134732326</v>
      </c>
      <c r="N3499">
        <v>5.1863451809451062</v>
      </c>
      <c r="O3499">
        <v>18.332461656515669</v>
      </c>
      <c r="P3499" s="11">
        <f t="shared" ref="P3499:P3500" si="147">0.588/2</f>
        <v>0.29399999999999998</v>
      </c>
    </row>
    <row r="3500" spans="1:16">
      <c r="A3500" s="1" t="s">
        <v>3454</v>
      </c>
      <c r="B3500" s="1" t="s">
        <v>3546</v>
      </c>
      <c r="C3500" s="1" t="s">
        <v>38</v>
      </c>
      <c r="D3500" s="1" t="s">
        <v>5566</v>
      </c>
      <c r="E3500" s="1" t="s">
        <v>3459</v>
      </c>
      <c r="F3500">
        <v>39.981963123137199</v>
      </c>
      <c r="G3500">
        <v>294.98615290315189</v>
      </c>
      <c r="H3500">
        <v>89.050128205408214</v>
      </c>
      <c r="I3500">
        <v>700.79867629733656</v>
      </c>
      <c r="J3500">
        <v>13.797513767488697</v>
      </c>
      <c r="K3500">
        <v>78.144170923536848</v>
      </c>
      <c r="L3500">
        <v>33.271167442584073</v>
      </c>
      <c r="M3500">
        <v>80.315129922289216</v>
      </c>
      <c r="N3500">
        <v>5.8018050810613495</v>
      </c>
      <c r="O3500">
        <v>19.994273566443319</v>
      </c>
      <c r="P3500" s="11">
        <f t="shared" si="147"/>
        <v>0.29399999999999998</v>
      </c>
    </row>
    <row r="3501" spans="1:16">
      <c r="A3501" s="1" t="s">
        <v>3454</v>
      </c>
      <c r="B3501" s="1" t="s">
        <v>3547</v>
      </c>
      <c r="C3501" s="1" t="s">
        <v>38</v>
      </c>
      <c r="D3501" s="1" t="s">
        <v>5566</v>
      </c>
      <c r="E3501" s="1" t="s">
        <v>3459</v>
      </c>
      <c r="F3501">
        <v>18.274746636043119</v>
      </c>
      <c r="G3501">
        <v>371.88956650054661</v>
      </c>
      <c r="H3501">
        <v>578.54389936189432</v>
      </c>
      <c r="I3501">
        <v>679.77361168161053</v>
      </c>
      <c r="J3501">
        <v>3.219435586553383</v>
      </c>
      <c r="K3501">
        <v>88.877655992216106</v>
      </c>
      <c r="L3501">
        <v>33.561889671561083</v>
      </c>
      <c r="M3501">
        <v>78.716135576434525</v>
      </c>
      <c r="N3501">
        <v>4.7458727957592011</v>
      </c>
      <c r="O3501">
        <v>19.739043661249582</v>
      </c>
      <c r="P3501">
        <v>0.63009982784238738</v>
      </c>
    </row>
    <row r="3502" spans="1:16">
      <c r="A3502" s="1" t="s">
        <v>3454</v>
      </c>
      <c r="B3502" s="1" t="s">
        <v>3548</v>
      </c>
      <c r="C3502" s="1" t="s">
        <v>38</v>
      </c>
      <c r="D3502" s="1" t="s">
        <v>5566</v>
      </c>
      <c r="E3502" s="1" t="s">
        <v>3459</v>
      </c>
      <c r="F3502">
        <v>7.3853073983665443</v>
      </c>
      <c r="G3502">
        <v>269.85332646110459</v>
      </c>
      <c r="H3502">
        <v>75.548218544275599</v>
      </c>
      <c r="I3502">
        <v>634.74479489200348</v>
      </c>
      <c r="J3502">
        <v>27.202951092441189</v>
      </c>
      <c r="K3502">
        <v>29.837334037061012</v>
      </c>
      <c r="L3502">
        <v>30.040178665335574</v>
      </c>
      <c r="M3502">
        <v>86.865720263923478</v>
      </c>
      <c r="N3502">
        <v>4.0082850494236357</v>
      </c>
      <c r="O3502">
        <v>17.084563683876734</v>
      </c>
      <c r="P3502" s="11">
        <f t="shared" ref="P3502:P3505" si="148">0.588/2</f>
        <v>0.29399999999999998</v>
      </c>
    </row>
    <row r="3503" spans="1:16">
      <c r="A3503" s="1" t="s">
        <v>3454</v>
      </c>
      <c r="B3503" s="1" t="s">
        <v>3549</v>
      </c>
      <c r="C3503" s="1" t="s">
        <v>38</v>
      </c>
      <c r="D3503" s="1" t="s">
        <v>5566</v>
      </c>
      <c r="E3503" s="1" t="s">
        <v>3459</v>
      </c>
      <c r="F3503">
        <v>23.749084614998747</v>
      </c>
      <c r="G3503">
        <v>318.73083444460997</v>
      </c>
      <c r="H3503">
        <v>237.75513484017537</v>
      </c>
      <c r="I3503">
        <v>599.86625627202523</v>
      </c>
      <c r="J3503">
        <v>5.7629863440049318</v>
      </c>
      <c r="K3503">
        <v>68.792222181369993</v>
      </c>
      <c r="L3503">
        <v>34.084105318248604</v>
      </c>
      <c r="M3503">
        <v>85.637933852057571</v>
      </c>
      <c r="N3503">
        <v>6.4992258683834336</v>
      </c>
      <c r="O3503">
        <v>23.162203792638195</v>
      </c>
      <c r="P3503" s="11">
        <f t="shared" si="148"/>
        <v>0.29399999999999998</v>
      </c>
    </row>
    <row r="3504" spans="1:16">
      <c r="A3504" s="1" t="s">
        <v>3454</v>
      </c>
      <c r="B3504" s="1" t="s">
        <v>3550</v>
      </c>
      <c r="C3504" s="1" t="s">
        <v>38</v>
      </c>
      <c r="D3504" s="1" t="s">
        <v>5566</v>
      </c>
      <c r="E3504" s="1" t="s">
        <v>3459</v>
      </c>
      <c r="F3504">
        <v>10.472360667118849</v>
      </c>
      <c r="G3504">
        <v>300.94970572926161</v>
      </c>
      <c r="H3504">
        <v>66.157211129415515</v>
      </c>
      <c r="I3504">
        <v>625.45441554161675</v>
      </c>
      <c r="J3504">
        <v>33.801548174414144</v>
      </c>
      <c r="K3504">
        <v>56.690416812524916</v>
      </c>
      <c r="L3504">
        <v>33.301147217667079</v>
      </c>
      <c r="M3504">
        <v>82.864979882197289</v>
      </c>
      <c r="N3504">
        <v>5.0466978536712928</v>
      </c>
      <c r="O3504">
        <v>20.599699812940241</v>
      </c>
      <c r="P3504" s="11">
        <f t="shared" si="148"/>
        <v>0.29399999999999998</v>
      </c>
    </row>
    <row r="3505" spans="1:16">
      <c r="A3505" s="1" t="s">
        <v>3454</v>
      </c>
      <c r="B3505" s="1" t="s">
        <v>3551</v>
      </c>
      <c r="C3505" s="1" t="s">
        <v>38</v>
      </c>
      <c r="D3505" s="1" t="s">
        <v>5566</v>
      </c>
      <c r="E3505" s="1" t="s">
        <v>3459</v>
      </c>
      <c r="F3505">
        <v>9.0016839823615733</v>
      </c>
      <c r="G3505">
        <v>249.1153175204534</v>
      </c>
      <c r="H3505">
        <v>68.245483523159166</v>
      </c>
      <c r="I3505">
        <v>593.05244988125321</v>
      </c>
      <c r="J3505">
        <v>17.783075594443304</v>
      </c>
      <c r="K3505">
        <v>26.687735802588882</v>
      </c>
      <c r="L3505">
        <v>31.193530283849334</v>
      </c>
      <c r="M3505">
        <v>80.417833726725959</v>
      </c>
      <c r="N3505">
        <v>3.2989318900853344</v>
      </c>
      <c r="O3505">
        <v>17.909132635947337</v>
      </c>
      <c r="P3505" s="11">
        <f t="shared" si="148"/>
        <v>0.29399999999999998</v>
      </c>
    </row>
    <row r="3506" spans="1:16">
      <c r="A3506" s="1" t="s">
        <v>3454</v>
      </c>
      <c r="B3506" s="1" t="s">
        <v>3552</v>
      </c>
      <c r="C3506" s="1" t="s">
        <v>38</v>
      </c>
      <c r="D3506" s="1" t="s">
        <v>5566</v>
      </c>
      <c r="E3506" s="1" t="s">
        <v>3459</v>
      </c>
      <c r="F3506">
        <v>17.826771782258838</v>
      </c>
      <c r="G3506">
        <v>297.1536527260987</v>
      </c>
      <c r="H3506">
        <v>66.131730574305621</v>
      </c>
      <c r="I3506">
        <v>349.31846236022432</v>
      </c>
      <c r="J3506">
        <v>10.779946719065988</v>
      </c>
      <c r="K3506">
        <v>71.628012405031271</v>
      </c>
      <c r="L3506">
        <v>87.266850515892386</v>
      </c>
      <c r="M3506">
        <v>120.3367198485462</v>
      </c>
      <c r="N3506">
        <v>8.2188532784280497</v>
      </c>
      <c r="O3506">
        <v>12.032364341659166</v>
      </c>
      <c r="P3506">
        <v>0.83697105099719493</v>
      </c>
    </row>
    <row r="3507" spans="1:16">
      <c r="A3507" s="1" t="s">
        <v>3454</v>
      </c>
      <c r="B3507" s="1" t="s">
        <v>3553</v>
      </c>
      <c r="C3507" s="1" t="s">
        <v>38</v>
      </c>
      <c r="D3507" s="1" t="s">
        <v>5566</v>
      </c>
      <c r="E3507" s="1" t="s">
        <v>3459</v>
      </c>
      <c r="F3507">
        <v>21.091088383994027</v>
      </c>
      <c r="G3507">
        <v>285.06987823944831</v>
      </c>
      <c r="H3507">
        <v>62.605597062276907</v>
      </c>
      <c r="I3507">
        <v>328.46447211727877</v>
      </c>
      <c r="J3507">
        <v>14.548220657205066</v>
      </c>
      <c r="K3507">
        <v>78.662844507785039</v>
      </c>
      <c r="L3507">
        <v>86.962507533873179</v>
      </c>
      <c r="M3507">
        <v>127.48528136892149</v>
      </c>
      <c r="N3507">
        <v>7.6774362389408992</v>
      </c>
      <c r="O3507">
        <v>11.831013924652922</v>
      </c>
      <c r="P3507">
        <v>0.72235128104068191</v>
      </c>
    </row>
    <row r="3508" spans="1:16">
      <c r="A3508" s="1" t="s">
        <v>3454</v>
      </c>
      <c r="B3508" s="1" t="s">
        <v>3554</v>
      </c>
      <c r="C3508" s="1" t="s">
        <v>38</v>
      </c>
      <c r="D3508" s="1" t="s">
        <v>5566</v>
      </c>
      <c r="E3508" s="1" t="s">
        <v>3459</v>
      </c>
      <c r="F3508">
        <v>28.875332373276969</v>
      </c>
      <c r="G3508">
        <v>326.44162603868881</v>
      </c>
      <c r="H3508">
        <v>87.752207692029117</v>
      </c>
      <c r="I3508">
        <v>321.91290745406332</v>
      </c>
      <c r="J3508">
        <v>4.9556465205684876</v>
      </c>
      <c r="K3508">
        <v>78.7618600901816</v>
      </c>
      <c r="L3508">
        <v>87.09796602115766</v>
      </c>
      <c r="M3508">
        <v>128.75553761485097</v>
      </c>
      <c r="N3508">
        <v>7.6028645478913299</v>
      </c>
      <c r="O3508">
        <v>11.647748754727766</v>
      </c>
      <c r="P3508">
        <v>0.59452105293654001</v>
      </c>
    </row>
    <row r="3509" spans="1:16">
      <c r="A3509" s="1" t="s">
        <v>3454</v>
      </c>
      <c r="B3509" s="1" t="s">
        <v>3555</v>
      </c>
      <c r="C3509" s="1" t="s">
        <v>38</v>
      </c>
      <c r="D3509" s="1" t="s">
        <v>5566</v>
      </c>
      <c r="E3509" s="1" t="s">
        <v>3459</v>
      </c>
      <c r="F3509">
        <v>32.000017671551227</v>
      </c>
      <c r="G3509">
        <v>346.52031050348722</v>
      </c>
      <c r="H3509">
        <v>89.816116259310888</v>
      </c>
      <c r="I3509">
        <v>314.33847284718524</v>
      </c>
      <c r="J3509">
        <v>2.9204084191168862</v>
      </c>
      <c r="K3509">
        <v>81.228730822250753</v>
      </c>
      <c r="L3509">
        <v>87.946865862623497</v>
      </c>
      <c r="M3509">
        <v>123.29868690665521</v>
      </c>
      <c r="N3509">
        <v>9.7293242129968558</v>
      </c>
      <c r="O3509">
        <v>12.030973322673804</v>
      </c>
      <c r="P3509" s="11">
        <f t="shared" ref="P3509:P3510" si="149">0.588/2</f>
        <v>0.29399999999999998</v>
      </c>
    </row>
    <row r="3510" spans="1:16">
      <c r="A3510" s="1" t="s">
        <v>3454</v>
      </c>
      <c r="B3510" s="1" t="s">
        <v>3556</v>
      </c>
      <c r="C3510" s="1" t="s">
        <v>38</v>
      </c>
      <c r="D3510" s="1" t="s">
        <v>5566</v>
      </c>
      <c r="E3510" s="1" t="s">
        <v>3459</v>
      </c>
      <c r="F3510">
        <v>74.247856433741603</v>
      </c>
      <c r="G3510">
        <v>388.29589832816526</v>
      </c>
      <c r="H3510">
        <v>79.812103195683946</v>
      </c>
      <c r="I3510">
        <v>296.40805571279827</v>
      </c>
      <c r="J3510">
        <v>12.246264982826164</v>
      </c>
      <c r="K3510">
        <v>105.73113631675452</v>
      </c>
      <c r="L3510">
        <v>91.386990667112798</v>
      </c>
      <c r="M3510">
        <v>114.78116859428326</v>
      </c>
      <c r="N3510">
        <v>6.3470318064579976</v>
      </c>
      <c r="O3510">
        <v>12.387316366864692</v>
      </c>
      <c r="P3510" s="11">
        <f t="shared" si="149"/>
        <v>0.29399999999999998</v>
      </c>
    </row>
    <row r="3511" spans="1:16">
      <c r="A3511" s="1" t="s">
        <v>3454</v>
      </c>
      <c r="B3511" s="1" t="s">
        <v>3557</v>
      </c>
      <c r="C3511" s="1" t="s">
        <v>38</v>
      </c>
      <c r="D3511" s="1" t="s">
        <v>5566</v>
      </c>
      <c r="E3511" s="1" t="s">
        <v>3459</v>
      </c>
      <c r="F3511">
        <v>11.671191722320465</v>
      </c>
      <c r="G3511">
        <v>283.64469198034749</v>
      </c>
      <c r="H3511">
        <v>77.006566149196971</v>
      </c>
      <c r="I3511">
        <v>302.90420905404528</v>
      </c>
      <c r="J3511">
        <v>19.478101058375195</v>
      </c>
      <c r="K3511">
        <v>55.079364926430458</v>
      </c>
      <c r="L3511">
        <v>86.079131232559092</v>
      </c>
      <c r="M3511">
        <v>119.19267839979278</v>
      </c>
      <c r="N3511">
        <v>6.5405729097495398</v>
      </c>
      <c r="O3511">
        <v>10.315945852306989</v>
      </c>
      <c r="P3511">
        <v>0.72233074571600997</v>
      </c>
    </row>
    <row r="3512" spans="1:16">
      <c r="A3512" s="1" t="s">
        <v>3454</v>
      </c>
      <c r="B3512" s="1" t="s">
        <v>3558</v>
      </c>
      <c r="C3512" s="1" t="s">
        <v>38</v>
      </c>
      <c r="D3512" s="1" t="s">
        <v>5566</v>
      </c>
      <c r="E3512" s="1" t="s">
        <v>3459</v>
      </c>
      <c r="F3512">
        <v>32.929799531699452</v>
      </c>
      <c r="G3512">
        <v>309.64288349757373</v>
      </c>
      <c r="H3512">
        <v>76.495865356852889</v>
      </c>
      <c r="I3512">
        <v>305.92796618620429</v>
      </c>
      <c r="J3512">
        <v>16.047046980989379</v>
      </c>
      <c r="K3512">
        <v>80.381123539178375</v>
      </c>
      <c r="L3512">
        <v>89.899265545934782</v>
      </c>
      <c r="M3512">
        <v>117.31561667304697</v>
      </c>
      <c r="N3512">
        <v>9.5966489825264887</v>
      </c>
      <c r="O3512">
        <v>11.924539861866881</v>
      </c>
      <c r="P3512" s="11">
        <f t="shared" ref="P3512:P3513" si="150">0.588/2</f>
        <v>0.29399999999999998</v>
      </c>
    </row>
    <row r="3513" spans="1:16">
      <c r="A3513" s="1" t="s">
        <v>3454</v>
      </c>
      <c r="B3513" s="1" t="s">
        <v>3559</v>
      </c>
      <c r="C3513" s="1" t="s">
        <v>38</v>
      </c>
      <c r="D3513" s="1" t="s">
        <v>5566</v>
      </c>
      <c r="E3513" s="1" t="s">
        <v>3459</v>
      </c>
      <c r="F3513">
        <v>41.451141192560264</v>
      </c>
      <c r="G3513">
        <v>398.50248178187366</v>
      </c>
      <c r="H3513">
        <v>87.686702498256963</v>
      </c>
      <c r="I3513">
        <v>345.94000546411041</v>
      </c>
      <c r="J3513">
        <v>17.885736879329183</v>
      </c>
      <c r="K3513">
        <v>51.144827704934556</v>
      </c>
      <c r="L3513">
        <v>63.681214616313596</v>
      </c>
      <c r="M3513">
        <v>159.62508117816731</v>
      </c>
      <c r="N3513">
        <v>4.0948506715976842</v>
      </c>
      <c r="O3513">
        <v>13.921831181507731</v>
      </c>
      <c r="P3513" s="11">
        <f t="shared" si="150"/>
        <v>0.29399999999999998</v>
      </c>
    </row>
    <row r="3514" spans="1:16">
      <c r="A3514" s="1" t="s">
        <v>3454</v>
      </c>
      <c r="B3514" s="1" t="s">
        <v>3560</v>
      </c>
      <c r="C3514" s="1" t="s">
        <v>38</v>
      </c>
      <c r="D3514" s="1" t="s">
        <v>5566</v>
      </c>
      <c r="E3514" s="1" t="s">
        <v>3459</v>
      </c>
      <c r="F3514">
        <v>45.155992007211417</v>
      </c>
      <c r="G3514">
        <v>390.24575321767333</v>
      </c>
      <c r="H3514">
        <v>87.572632489488385</v>
      </c>
      <c r="I3514">
        <v>345.17719084788166</v>
      </c>
      <c r="J3514">
        <v>28.420388053842021</v>
      </c>
      <c r="K3514">
        <v>46.283887599048406</v>
      </c>
      <c r="L3514">
        <v>65.452736466256866</v>
      </c>
      <c r="M3514">
        <v>142.88773852881033</v>
      </c>
      <c r="N3514">
        <v>4.2319131118382893</v>
      </c>
      <c r="O3514">
        <v>13.665142511277685</v>
      </c>
      <c r="P3514">
        <v>0.62526812998927939</v>
      </c>
    </row>
    <row r="3515" spans="1:16">
      <c r="A3515" s="1" t="s">
        <v>3454</v>
      </c>
      <c r="B3515" s="1" t="s">
        <v>3561</v>
      </c>
      <c r="C3515" s="1" t="s">
        <v>38</v>
      </c>
      <c r="D3515" s="1" t="s">
        <v>5566</v>
      </c>
      <c r="E3515" s="1" t="s">
        <v>3459</v>
      </c>
      <c r="F3515">
        <v>36.232897584084448</v>
      </c>
      <c r="G3515">
        <v>376.12250636377911</v>
      </c>
      <c r="H3515">
        <v>75.54846455668563</v>
      </c>
      <c r="I3515">
        <v>422.09230465692417</v>
      </c>
      <c r="J3515">
        <v>16.005420476141023</v>
      </c>
      <c r="K3515">
        <v>44.513463800166519</v>
      </c>
      <c r="L3515">
        <v>66.455554962084776</v>
      </c>
      <c r="M3515">
        <v>146.75295021936236</v>
      </c>
      <c r="N3515">
        <v>3.2241885854502597</v>
      </c>
      <c r="O3515">
        <v>14.013791797793273</v>
      </c>
      <c r="P3515">
        <v>0.87116565882324881</v>
      </c>
    </row>
    <row r="3516" spans="1:16">
      <c r="A3516" s="1" t="s">
        <v>3454</v>
      </c>
      <c r="B3516" s="1" t="s">
        <v>3562</v>
      </c>
      <c r="C3516" s="1" t="s">
        <v>38</v>
      </c>
      <c r="D3516" s="1" t="s">
        <v>5566</v>
      </c>
      <c r="E3516" s="1" t="s">
        <v>3459</v>
      </c>
      <c r="F3516">
        <v>24.68597531617776</v>
      </c>
      <c r="G3516">
        <v>347.69267572203955</v>
      </c>
      <c r="H3516">
        <v>73.545149281779842</v>
      </c>
      <c r="I3516">
        <v>330.17229115973191</v>
      </c>
      <c r="J3516">
        <v>31.186897798648733</v>
      </c>
      <c r="K3516">
        <v>45.458522914506311</v>
      </c>
      <c r="L3516">
        <v>67.500832441239595</v>
      </c>
      <c r="M3516">
        <v>139.53154811101717</v>
      </c>
      <c r="N3516">
        <v>4.0856347174139076</v>
      </c>
      <c r="O3516">
        <v>13.178408282946025</v>
      </c>
      <c r="P3516">
        <v>0.61653007626990253</v>
      </c>
    </row>
    <row r="3517" spans="1:16">
      <c r="A3517" s="1" t="s">
        <v>3454</v>
      </c>
      <c r="B3517" s="1" t="s">
        <v>3563</v>
      </c>
      <c r="C3517" s="1" t="s">
        <v>38</v>
      </c>
      <c r="D3517" s="1" t="s">
        <v>5566</v>
      </c>
      <c r="E3517" s="1" t="s">
        <v>3459</v>
      </c>
      <c r="F3517">
        <v>29.448455717030804</v>
      </c>
      <c r="G3517">
        <v>404.65080330929584</v>
      </c>
      <c r="H3517">
        <v>71.354614161759343</v>
      </c>
      <c r="I3517">
        <v>332.03663000926127</v>
      </c>
      <c r="J3517">
        <v>29.339019077900637</v>
      </c>
      <c r="K3517">
        <v>45.354075059005382</v>
      </c>
      <c r="L3517">
        <v>68.078558304837813</v>
      </c>
      <c r="M3517">
        <v>127.48116529065869</v>
      </c>
      <c r="N3517">
        <v>3.3340869603847718</v>
      </c>
      <c r="O3517">
        <v>13.357076255580852</v>
      </c>
      <c r="P3517" s="11">
        <f t="shared" ref="P3517:P3520" si="151">0.588/2</f>
        <v>0.29399999999999998</v>
      </c>
    </row>
    <row r="3518" spans="1:16">
      <c r="A3518" s="1" t="s">
        <v>3454</v>
      </c>
      <c r="B3518" s="1" t="s">
        <v>3564</v>
      </c>
      <c r="C3518" s="1" t="s">
        <v>38</v>
      </c>
      <c r="D3518" s="1" t="s">
        <v>5566</v>
      </c>
      <c r="E3518" s="1" t="s">
        <v>3459</v>
      </c>
      <c r="F3518">
        <v>22.026913933348116</v>
      </c>
      <c r="G3518">
        <v>392.10952907779142</v>
      </c>
      <c r="H3518">
        <v>82.703297909135983</v>
      </c>
      <c r="I3518">
        <v>333.75312478630656</v>
      </c>
      <c r="J3518">
        <v>53.95208075655745</v>
      </c>
      <c r="K3518">
        <v>43.152701369267447</v>
      </c>
      <c r="L3518">
        <v>70.30434234575813</v>
      </c>
      <c r="M3518">
        <v>157.0504254506707</v>
      </c>
      <c r="N3518">
        <v>3.9391094405496867</v>
      </c>
      <c r="O3518">
        <v>11.418682391587556</v>
      </c>
      <c r="P3518" s="11">
        <f t="shared" si="151"/>
        <v>0.29399999999999998</v>
      </c>
    </row>
    <row r="3519" spans="1:16">
      <c r="A3519" s="1" t="s">
        <v>3454</v>
      </c>
      <c r="B3519" s="1" t="s">
        <v>3565</v>
      </c>
      <c r="C3519" s="1" t="s">
        <v>38</v>
      </c>
      <c r="D3519" s="1" t="s">
        <v>5566</v>
      </c>
      <c r="E3519" s="1" t="s">
        <v>3459</v>
      </c>
      <c r="F3519">
        <v>36.953571198343312</v>
      </c>
      <c r="G3519">
        <v>438.85783480449277</v>
      </c>
      <c r="H3519">
        <v>75.970804771920172</v>
      </c>
      <c r="I3519">
        <v>268.16078965226774</v>
      </c>
      <c r="J3519">
        <v>11.614553758747071</v>
      </c>
      <c r="K3519">
        <v>47.978909444117001</v>
      </c>
      <c r="L3519">
        <v>73.376209096057366</v>
      </c>
      <c r="M3519">
        <v>153.52635429131186</v>
      </c>
      <c r="N3519">
        <v>5.2587391865408195</v>
      </c>
      <c r="O3519">
        <v>13.587669779765605</v>
      </c>
      <c r="P3519" s="11">
        <f t="shared" si="151"/>
        <v>0.29399999999999998</v>
      </c>
    </row>
    <row r="3520" spans="1:16">
      <c r="A3520" s="1" t="s">
        <v>3454</v>
      </c>
      <c r="B3520" s="1" t="s">
        <v>3566</v>
      </c>
      <c r="C3520" s="1" t="s">
        <v>38</v>
      </c>
      <c r="D3520" s="1" t="s">
        <v>5566</v>
      </c>
      <c r="E3520" s="1" t="s">
        <v>3459</v>
      </c>
      <c r="F3520">
        <v>80.26648400908941</v>
      </c>
      <c r="G3520">
        <v>382.22904915613333</v>
      </c>
      <c r="H3520">
        <v>84.075913825805188</v>
      </c>
      <c r="I3520">
        <v>292.98492193933691</v>
      </c>
      <c r="J3520">
        <v>10.362369440914355</v>
      </c>
      <c r="K3520">
        <v>61.427670660533487</v>
      </c>
      <c r="L3520">
        <v>73.872553669648909</v>
      </c>
      <c r="M3520">
        <v>162.92008977184</v>
      </c>
      <c r="N3520">
        <v>5.4145896546020049</v>
      </c>
      <c r="O3520">
        <v>14.685046070177757</v>
      </c>
      <c r="P3520" s="11">
        <f t="shared" si="151"/>
        <v>0.29399999999999998</v>
      </c>
    </row>
    <row r="3521" spans="1:16">
      <c r="A3521" s="1" t="s">
        <v>3454</v>
      </c>
      <c r="B3521" s="5" t="s">
        <v>3567</v>
      </c>
      <c r="C3521" s="1" t="s">
        <v>38</v>
      </c>
      <c r="D3521" s="1" t="s">
        <v>5566</v>
      </c>
      <c r="E3521" s="1" t="s">
        <v>3459</v>
      </c>
      <c r="F3521">
        <v>15.541223879646902</v>
      </c>
      <c r="G3521">
        <v>220.68770983403954</v>
      </c>
      <c r="H3521">
        <v>55.173238303871656</v>
      </c>
      <c r="I3521">
        <v>190.04484020028511</v>
      </c>
      <c r="J3521">
        <v>11.310762844884792</v>
      </c>
      <c r="K3521">
        <v>41.692889881195811</v>
      </c>
      <c r="L3521">
        <v>76.329615721876763</v>
      </c>
      <c r="M3521">
        <v>211.73075380325767</v>
      </c>
      <c r="N3521">
        <v>3.7344606730471392</v>
      </c>
      <c r="O3521">
        <v>14.715289608081989</v>
      </c>
      <c r="P3521">
        <v>0.61479956966917693</v>
      </c>
    </row>
    <row r="3522" spans="1:16">
      <c r="A3522" s="1" t="s">
        <v>3454</v>
      </c>
      <c r="B3522" s="1" t="s">
        <v>3568</v>
      </c>
      <c r="C3522" s="1" t="s">
        <v>38</v>
      </c>
      <c r="D3522" s="1" t="s">
        <v>5566</v>
      </c>
      <c r="E3522" s="1" t="s">
        <v>3459</v>
      </c>
      <c r="F3522">
        <v>21.107766712450328</v>
      </c>
      <c r="G3522">
        <v>274.8736288153774</v>
      </c>
      <c r="H3522">
        <v>67.053415143481374</v>
      </c>
      <c r="I3522">
        <v>234.78291947542772</v>
      </c>
      <c r="J3522">
        <v>10.828500222489009</v>
      </c>
      <c r="K3522">
        <v>46.826642146381452</v>
      </c>
      <c r="L3522">
        <v>78.392647658752338</v>
      </c>
      <c r="M3522">
        <v>218.76051850385562</v>
      </c>
      <c r="N3522">
        <v>6.2646305526132453</v>
      </c>
      <c r="O3522">
        <v>15.4865217501718</v>
      </c>
      <c r="P3522" s="11">
        <f t="shared" ref="P3522:P3526" si="152">0.588/2</f>
        <v>0.29399999999999998</v>
      </c>
    </row>
    <row r="3523" spans="1:16">
      <c r="A3523" s="1" t="s">
        <v>3454</v>
      </c>
      <c r="B3523" s="1" t="s">
        <v>3569</v>
      </c>
      <c r="C3523" s="1" t="s">
        <v>38</v>
      </c>
      <c r="D3523" s="1" t="s">
        <v>5566</v>
      </c>
      <c r="E3523" s="1" t="s">
        <v>3459</v>
      </c>
      <c r="F3523">
        <v>19.538925037421002</v>
      </c>
      <c r="G3523">
        <v>268.15974621132148</v>
      </c>
      <c r="H3523">
        <v>81.948719851300851</v>
      </c>
      <c r="I3523">
        <v>206.54680895332027</v>
      </c>
      <c r="J3523">
        <v>3.9617871537601621</v>
      </c>
      <c r="K3523">
        <v>48.335002997264809</v>
      </c>
      <c r="L3523">
        <v>77.558241337002144</v>
      </c>
      <c r="M3523">
        <v>204.24250074172471</v>
      </c>
      <c r="N3523">
        <v>5.6828323222417705</v>
      </c>
      <c r="O3523">
        <v>14.694439586467297</v>
      </c>
      <c r="P3523" s="11">
        <f t="shared" si="152"/>
        <v>0.29399999999999998</v>
      </c>
    </row>
    <row r="3524" spans="1:16">
      <c r="A3524" s="1" t="s">
        <v>3454</v>
      </c>
      <c r="B3524" s="1" t="s">
        <v>3570</v>
      </c>
      <c r="C3524" s="1" t="s">
        <v>38</v>
      </c>
      <c r="D3524" s="1" t="s">
        <v>5566</v>
      </c>
      <c r="E3524" s="1" t="s">
        <v>3459</v>
      </c>
      <c r="F3524">
        <v>13.736504821557208</v>
      </c>
      <c r="G3524">
        <v>242.89283499163869</v>
      </c>
      <c r="H3524">
        <v>61.015831084947024</v>
      </c>
      <c r="I3524">
        <v>207.11299703602239</v>
      </c>
      <c r="J3524">
        <v>11.068243229646765</v>
      </c>
      <c r="K3524">
        <v>43.265612620806522</v>
      </c>
      <c r="L3524">
        <v>72.541892610251438</v>
      </c>
      <c r="M3524">
        <v>180.53725297972989</v>
      </c>
      <c r="N3524">
        <v>5.232752282895226</v>
      </c>
      <c r="O3524">
        <v>13.792485117116495</v>
      </c>
      <c r="P3524" s="11">
        <f t="shared" si="152"/>
        <v>0.29399999999999998</v>
      </c>
    </row>
    <row r="3525" spans="1:16">
      <c r="A3525" s="1" t="s">
        <v>3454</v>
      </c>
      <c r="B3525" s="1" t="s">
        <v>3571</v>
      </c>
      <c r="C3525" s="1" t="s">
        <v>38</v>
      </c>
      <c r="D3525" s="1" t="s">
        <v>5566</v>
      </c>
      <c r="E3525" s="1" t="s">
        <v>3459</v>
      </c>
      <c r="F3525">
        <v>49.338738922485661</v>
      </c>
      <c r="G3525">
        <v>252.2004131161431</v>
      </c>
      <c r="H3525">
        <v>75.019417590710944</v>
      </c>
      <c r="I3525">
        <v>196.18898209921892</v>
      </c>
      <c r="J3525">
        <v>15.586198570030747</v>
      </c>
      <c r="K3525">
        <v>46.342692728750983</v>
      </c>
      <c r="L3525">
        <v>74.511442567339429</v>
      </c>
      <c r="M3525">
        <v>169.76115287969299</v>
      </c>
      <c r="N3525">
        <v>4.7865430787895873</v>
      </c>
      <c r="O3525">
        <v>13.113878178154613</v>
      </c>
      <c r="P3525" s="11">
        <f t="shared" si="152"/>
        <v>0.29399999999999998</v>
      </c>
    </row>
    <row r="3526" spans="1:16">
      <c r="A3526" s="1" t="s">
        <v>3454</v>
      </c>
      <c r="B3526" s="1" t="s">
        <v>3572</v>
      </c>
      <c r="C3526" s="1" t="s">
        <v>38</v>
      </c>
      <c r="D3526" s="1" t="s">
        <v>5566</v>
      </c>
      <c r="E3526" s="1" t="s">
        <v>3459</v>
      </c>
      <c r="F3526">
        <v>18.796760219460229</v>
      </c>
      <c r="G3526">
        <v>249.40365931106572</v>
      </c>
      <c r="H3526">
        <v>72.816515945046987</v>
      </c>
      <c r="I3526">
        <v>204.90231361062686</v>
      </c>
      <c r="J3526">
        <v>9.3667170154212833</v>
      </c>
      <c r="K3526">
        <v>41.947918744237413</v>
      </c>
      <c r="L3526">
        <v>75.966094711729994</v>
      </c>
      <c r="M3526">
        <v>171.26268376579108</v>
      </c>
      <c r="N3526">
        <v>4.6465754808586173</v>
      </c>
      <c r="O3526">
        <v>13.112338271234069</v>
      </c>
      <c r="P3526" s="11">
        <f t="shared" si="152"/>
        <v>0.29399999999999998</v>
      </c>
    </row>
    <row r="3527" spans="1:16">
      <c r="A3527" s="1" t="s">
        <v>3454</v>
      </c>
      <c r="B3527" s="1" t="s">
        <v>3573</v>
      </c>
      <c r="C3527" s="1" t="s">
        <v>38</v>
      </c>
      <c r="D3527" s="1" t="s">
        <v>5566</v>
      </c>
      <c r="E3527" s="1" t="s">
        <v>3459</v>
      </c>
      <c r="F3527">
        <v>19.261410659506264</v>
      </c>
      <c r="G3527">
        <v>410.16097211050732</v>
      </c>
      <c r="H3527">
        <v>40.770549642941653</v>
      </c>
      <c r="I3527">
        <v>55.645253808013422</v>
      </c>
      <c r="J3527">
        <v>7.1554531505840604</v>
      </c>
      <c r="K3527">
        <v>51.073325649479088</v>
      </c>
      <c r="L3527">
        <v>76.000197963287306</v>
      </c>
      <c r="M3527">
        <v>74.236162710559483</v>
      </c>
      <c r="N3527">
        <v>20.671397988527538</v>
      </c>
      <c r="O3527">
        <v>8.8483232283290043</v>
      </c>
      <c r="P3527">
        <v>0.68799141448534629</v>
      </c>
    </row>
    <row r="3528" spans="1:16">
      <c r="A3528" s="1" t="s">
        <v>3454</v>
      </c>
      <c r="B3528" s="1" t="s">
        <v>3574</v>
      </c>
      <c r="C3528" s="1" t="s">
        <v>38</v>
      </c>
      <c r="D3528" s="1" t="s">
        <v>5566</v>
      </c>
      <c r="E3528" s="1" t="s">
        <v>3459</v>
      </c>
      <c r="F3528">
        <v>14.929819530878133</v>
      </c>
      <c r="G3528">
        <v>362.83281687942684</v>
      </c>
      <c r="H3528">
        <v>16.669601969965886</v>
      </c>
      <c r="I3528">
        <v>57.498572999641205</v>
      </c>
      <c r="J3528">
        <v>8.1397476691295463</v>
      </c>
      <c r="K3528">
        <v>48.076353037818237</v>
      </c>
      <c r="L3528">
        <v>77.096013354197183</v>
      </c>
      <c r="M3528">
        <v>73.476532095634198</v>
      </c>
      <c r="N3528">
        <v>21.920967599024529</v>
      </c>
      <c r="O3528">
        <v>8.1814488457598316</v>
      </c>
      <c r="P3528" s="11">
        <f t="shared" ref="P3528:P3536" si="153">0.588/2</f>
        <v>0.29399999999999998</v>
      </c>
    </row>
    <row r="3529" spans="1:16">
      <c r="A3529" s="1" t="s">
        <v>3454</v>
      </c>
      <c r="B3529" s="1" t="s">
        <v>3575</v>
      </c>
      <c r="C3529" s="1" t="s">
        <v>38</v>
      </c>
      <c r="D3529" s="1" t="s">
        <v>5566</v>
      </c>
      <c r="E3529" s="1" t="s">
        <v>3459</v>
      </c>
      <c r="F3529">
        <v>18.344215585612872</v>
      </c>
      <c r="G3529">
        <v>418.51725936303609</v>
      </c>
      <c r="H3529">
        <v>25.120605263105944</v>
      </c>
      <c r="I3529">
        <v>58.290001327530675</v>
      </c>
      <c r="J3529">
        <v>4.4979699686576637</v>
      </c>
      <c r="K3529">
        <v>47.447077889899951</v>
      </c>
      <c r="L3529">
        <v>79.53022901126468</v>
      </c>
      <c r="M3529">
        <v>85.979376059592141</v>
      </c>
      <c r="N3529">
        <v>23.271784045313375</v>
      </c>
      <c r="O3529">
        <v>9.0643230524280423</v>
      </c>
      <c r="P3529" s="11">
        <f t="shared" si="153"/>
        <v>0.29399999999999998</v>
      </c>
    </row>
    <row r="3530" spans="1:16">
      <c r="A3530" s="1" t="s">
        <v>3454</v>
      </c>
      <c r="B3530" s="1" t="s">
        <v>3576</v>
      </c>
      <c r="C3530" s="1" t="s">
        <v>38</v>
      </c>
      <c r="D3530" s="1" t="s">
        <v>5566</v>
      </c>
      <c r="E3530" s="1" t="s">
        <v>3459</v>
      </c>
      <c r="F3530">
        <v>12.520639420690385</v>
      </c>
      <c r="G3530">
        <v>404.66554146762013</v>
      </c>
      <c r="H3530">
        <v>36.241914607990928</v>
      </c>
      <c r="I3530">
        <v>66.792173199336773</v>
      </c>
      <c r="J3530" s="11">
        <f t="shared" ref="J3530:J3531" si="154">2.468/2</f>
        <v>1.234</v>
      </c>
      <c r="K3530">
        <v>48.007864141399743</v>
      </c>
      <c r="L3530">
        <v>76.87959881448063</v>
      </c>
      <c r="M3530">
        <v>92.252389477743407</v>
      </c>
      <c r="N3530">
        <v>25.725875778832805</v>
      </c>
      <c r="O3530">
        <v>9.6495297631791637</v>
      </c>
      <c r="P3530" s="11">
        <f t="shared" si="153"/>
        <v>0.29399999999999998</v>
      </c>
    </row>
    <row r="3531" spans="1:16">
      <c r="A3531" s="1" t="s">
        <v>3454</v>
      </c>
      <c r="B3531" s="1" t="s">
        <v>3577</v>
      </c>
      <c r="C3531" s="1" t="s">
        <v>38</v>
      </c>
      <c r="D3531" s="1" t="s">
        <v>5566</v>
      </c>
      <c r="E3531" s="1" t="s">
        <v>3459</v>
      </c>
      <c r="F3531">
        <v>13.881306762525345</v>
      </c>
      <c r="G3531">
        <v>394.70864719745919</v>
      </c>
      <c r="H3531">
        <v>19.306068037336779</v>
      </c>
      <c r="I3531">
        <v>101.84170538329091</v>
      </c>
      <c r="J3531" s="11">
        <f t="shared" si="154"/>
        <v>1.234</v>
      </c>
      <c r="K3531">
        <v>50.733544822368614</v>
      </c>
      <c r="L3531">
        <v>79.189032910341467</v>
      </c>
      <c r="M3531">
        <v>117.46205582932535</v>
      </c>
      <c r="N3531">
        <v>23.867481864992889</v>
      </c>
      <c r="O3531">
        <v>9.5308507927002939</v>
      </c>
      <c r="P3531" s="11">
        <f t="shared" si="153"/>
        <v>0.29399999999999998</v>
      </c>
    </row>
    <row r="3532" spans="1:16">
      <c r="A3532" s="1" t="s">
        <v>3454</v>
      </c>
      <c r="B3532" s="1" t="s">
        <v>3578</v>
      </c>
      <c r="C3532" s="1" t="s">
        <v>38</v>
      </c>
      <c r="D3532" s="1" t="s">
        <v>5566</v>
      </c>
      <c r="E3532" s="1" t="s">
        <v>3459</v>
      </c>
      <c r="F3532">
        <v>12.084345816152346</v>
      </c>
      <c r="G3532">
        <v>319.63922491603194</v>
      </c>
      <c r="H3532">
        <v>27.076461921391996</v>
      </c>
      <c r="I3532">
        <v>98.534288945256208</v>
      </c>
      <c r="J3532">
        <v>14.374224238481386</v>
      </c>
      <c r="K3532">
        <v>53.087592672110176</v>
      </c>
      <c r="L3532">
        <v>79.261216780514943</v>
      </c>
      <c r="M3532">
        <v>106.38382133726984</v>
      </c>
      <c r="N3532">
        <v>17.466847953204471</v>
      </c>
      <c r="O3532">
        <v>8.9501657191726007</v>
      </c>
      <c r="P3532" s="11">
        <f t="shared" si="153"/>
        <v>0.29399999999999998</v>
      </c>
    </row>
    <row r="3533" spans="1:16">
      <c r="A3533" s="1" t="s">
        <v>3454</v>
      </c>
      <c r="B3533" s="1" t="s">
        <v>3579</v>
      </c>
      <c r="C3533" s="1" t="s">
        <v>38</v>
      </c>
      <c r="D3533" s="1" t="s">
        <v>5566</v>
      </c>
      <c r="E3533" s="1" t="s">
        <v>3459</v>
      </c>
      <c r="F3533">
        <v>33.100389845988992</v>
      </c>
      <c r="G3533">
        <v>319.08960726905883</v>
      </c>
      <c r="H3533">
        <v>6.1158400690996686</v>
      </c>
      <c r="I3533">
        <v>95.873634597001242</v>
      </c>
      <c r="J3533">
        <v>11.764414335031164</v>
      </c>
      <c r="K3533">
        <v>47.728539940189201</v>
      </c>
      <c r="L3533">
        <v>77.610825514435433</v>
      </c>
      <c r="M3533">
        <v>113.98383608423615</v>
      </c>
      <c r="N3533">
        <v>16.737097992216366</v>
      </c>
      <c r="O3533">
        <v>8.7247302294306124</v>
      </c>
      <c r="P3533" s="11">
        <f t="shared" si="153"/>
        <v>0.29399999999999998</v>
      </c>
    </row>
    <row r="3534" spans="1:16">
      <c r="A3534" s="1" t="s">
        <v>3454</v>
      </c>
      <c r="B3534" s="1" t="s">
        <v>3580</v>
      </c>
      <c r="C3534" s="1" t="s">
        <v>38</v>
      </c>
      <c r="D3534" s="1" t="s">
        <v>5566</v>
      </c>
      <c r="E3534" s="1" t="s">
        <v>3459</v>
      </c>
      <c r="F3534">
        <v>15.976842035772489</v>
      </c>
      <c r="G3534">
        <v>358.06314137962994</v>
      </c>
      <c r="H3534">
        <v>83.109639880763481</v>
      </c>
      <c r="I3534">
        <v>325.707427316213</v>
      </c>
      <c r="J3534">
        <v>10.639095231561626</v>
      </c>
      <c r="K3534">
        <v>39.902966976930543</v>
      </c>
      <c r="L3534">
        <v>56.884075508023166</v>
      </c>
      <c r="M3534">
        <v>275.47034587881257</v>
      </c>
      <c r="N3534">
        <v>3.2170312415080278</v>
      </c>
      <c r="O3534">
        <v>16.145383989059248</v>
      </c>
      <c r="P3534" s="11">
        <f t="shared" si="153"/>
        <v>0.29399999999999998</v>
      </c>
    </row>
    <row r="3535" spans="1:16">
      <c r="A3535" s="1" t="s">
        <v>3454</v>
      </c>
      <c r="B3535" s="1" t="s">
        <v>3581</v>
      </c>
      <c r="C3535" s="1" t="s">
        <v>38</v>
      </c>
      <c r="D3535" s="1" t="s">
        <v>5566</v>
      </c>
      <c r="E3535" s="1" t="s">
        <v>3459</v>
      </c>
      <c r="F3535">
        <v>8.8464612583767845</v>
      </c>
      <c r="G3535">
        <v>335.45621797695378</v>
      </c>
      <c r="H3535">
        <v>81.139386833909825</v>
      </c>
      <c r="I3535">
        <v>311.65112490987013</v>
      </c>
      <c r="J3535">
        <v>7.0144473706015882</v>
      </c>
      <c r="K3535">
        <v>41.118841511003353</v>
      </c>
      <c r="L3535">
        <v>56.309475552216263</v>
      </c>
      <c r="M3535">
        <v>264.81566600464822</v>
      </c>
      <c r="N3535">
        <v>2.842315410143657</v>
      </c>
      <c r="O3535">
        <v>15.533706797933947</v>
      </c>
      <c r="P3535" s="11">
        <f t="shared" si="153"/>
        <v>0.29399999999999998</v>
      </c>
    </row>
    <row r="3536" spans="1:16">
      <c r="A3536" s="1" t="s">
        <v>3454</v>
      </c>
      <c r="B3536" s="1" t="s">
        <v>3582</v>
      </c>
      <c r="C3536" s="1" t="s">
        <v>38</v>
      </c>
      <c r="D3536" s="1" t="s">
        <v>5566</v>
      </c>
      <c r="E3536" s="1" t="s">
        <v>3459</v>
      </c>
      <c r="F3536">
        <v>8.6618499017814408</v>
      </c>
      <c r="G3536">
        <v>283.66481514695442</v>
      </c>
      <c r="H3536">
        <v>73.212201412275846</v>
      </c>
      <c r="I3536">
        <v>275.60220902973271</v>
      </c>
      <c r="J3536">
        <v>4.8678171705975064</v>
      </c>
      <c r="K3536">
        <v>43.364733040196562</v>
      </c>
      <c r="L3536">
        <v>57.068897413385692</v>
      </c>
      <c r="M3536">
        <v>250.74304774325574</v>
      </c>
      <c r="N3536">
        <v>2.5896300895712789</v>
      </c>
      <c r="O3536">
        <v>16.102676471457482</v>
      </c>
      <c r="P3536" s="11">
        <f t="shared" si="153"/>
        <v>0.29399999999999998</v>
      </c>
    </row>
    <row r="3537" spans="1:16">
      <c r="A3537" s="1" t="s">
        <v>3454</v>
      </c>
      <c r="B3537" s="1" t="s">
        <v>3583</v>
      </c>
      <c r="C3537" s="1" t="s">
        <v>38</v>
      </c>
      <c r="D3537" s="1" t="s">
        <v>5566</v>
      </c>
      <c r="E3537" s="1" t="s">
        <v>3459</v>
      </c>
      <c r="F3537">
        <v>25.036373654746086</v>
      </c>
      <c r="G3537">
        <v>341.55482614068387</v>
      </c>
      <c r="H3537">
        <v>42.909740398891294</v>
      </c>
      <c r="I3537">
        <v>281.01122435000156</v>
      </c>
      <c r="J3537">
        <v>11.919168618362173</v>
      </c>
      <c r="K3537">
        <v>37.649703565036504</v>
      </c>
      <c r="L3537">
        <v>59.416538349395211</v>
      </c>
      <c r="M3537">
        <v>266.14539758382358</v>
      </c>
      <c r="N3537">
        <v>3.9682686034070511</v>
      </c>
      <c r="O3537">
        <v>13.743476087644538</v>
      </c>
      <c r="P3537">
        <v>0.64064593330400466</v>
      </c>
    </row>
    <row r="3538" spans="1:16">
      <c r="A3538" s="1" t="s">
        <v>3454</v>
      </c>
      <c r="B3538" s="1" t="s">
        <v>3584</v>
      </c>
      <c r="C3538" s="1" t="s">
        <v>38</v>
      </c>
      <c r="D3538" s="1" t="s">
        <v>5566</v>
      </c>
      <c r="E3538" s="1" t="s">
        <v>3459</v>
      </c>
      <c r="F3538">
        <v>32.786424852742982</v>
      </c>
      <c r="G3538">
        <v>380.37604143991803</v>
      </c>
      <c r="H3538">
        <v>87.006806288261274</v>
      </c>
      <c r="I3538">
        <v>307.88218186078359</v>
      </c>
      <c r="J3538">
        <v>6.4492270482235678</v>
      </c>
      <c r="K3538">
        <v>43.100780022184715</v>
      </c>
      <c r="L3538">
        <v>57.60898902689047</v>
      </c>
      <c r="M3538">
        <v>273.19184164729205</v>
      </c>
      <c r="N3538">
        <v>3.279527318764428</v>
      </c>
      <c r="O3538">
        <v>16.540296429908995</v>
      </c>
      <c r="P3538" s="11">
        <f t="shared" ref="P3538:P3541" si="155">0.588/2</f>
        <v>0.29399999999999998</v>
      </c>
    </row>
    <row r="3539" spans="1:16">
      <c r="A3539" s="1" t="s">
        <v>3454</v>
      </c>
      <c r="B3539" s="1" t="s">
        <v>3585</v>
      </c>
      <c r="C3539" s="1" t="s">
        <v>38</v>
      </c>
      <c r="D3539" s="1" t="s">
        <v>5566</v>
      </c>
      <c r="E3539" s="1" t="s">
        <v>3459</v>
      </c>
      <c r="F3539">
        <v>11.412386282851209</v>
      </c>
      <c r="G3539">
        <v>280.19347342395395</v>
      </c>
      <c r="H3539">
        <v>71.980306458740614</v>
      </c>
      <c r="I3539">
        <v>305.74841069752983</v>
      </c>
      <c r="J3539">
        <v>6.9255189044459282</v>
      </c>
      <c r="K3539">
        <v>43.339656034618358</v>
      </c>
      <c r="L3539">
        <v>56.504338552327802</v>
      </c>
      <c r="M3539">
        <v>271.99866894652291</v>
      </c>
      <c r="N3539">
        <v>2.2189120993589335</v>
      </c>
      <c r="O3539">
        <v>14.439378119735959</v>
      </c>
      <c r="P3539" s="11">
        <f t="shared" si="155"/>
        <v>0.29399999999999998</v>
      </c>
    </row>
    <row r="3540" spans="1:16">
      <c r="A3540" s="1" t="s">
        <v>3454</v>
      </c>
      <c r="B3540" s="1" t="s">
        <v>3586</v>
      </c>
      <c r="C3540" s="1" t="s">
        <v>38</v>
      </c>
      <c r="D3540" s="1" t="s">
        <v>5566</v>
      </c>
      <c r="E3540" s="1" t="s">
        <v>3459</v>
      </c>
      <c r="F3540">
        <v>8.4334283912031598</v>
      </c>
      <c r="G3540">
        <v>421.78865884925671</v>
      </c>
      <c r="H3540">
        <v>91.682399378673168</v>
      </c>
      <c r="I3540">
        <v>218.66303111045616</v>
      </c>
      <c r="J3540">
        <v>9.0638068395196658</v>
      </c>
      <c r="K3540">
        <v>40.320547067415355</v>
      </c>
      <c r="L3540">
        <v>55.34659583965982</v>
      </c>
      <c r="M3540">
        <v>257.49185807327524</v>
      </c>
      <c r="N3540">
        <v>4.9132008930805515</v>
      </c>
      <c r="O3540">
        <v>15.076009699099515</v>
      </c>
      <c r="P3540" s="11">
        <f t="shared" si="155"/>
        <v>0.29399999999999998</v>
      </c>
    </row>
    <row r="3541" spans="1:16">
      <c r="A3541" s="1" t="s">
        <v>3454</v>
      </c>
      <c r="B3541" s="1" t="s">
        <v>3587</v>
      </c>
      <c r="C3541" s="1" t="s">
        <v>38</v>
      </c>
      <c r="D3541" s="1" t="s">
        <v>5566</v>
      </c>
      <c r="E3541" s="1" t="s">
        <v>3459</v>
      </c>
      <c r="F3541">
        <v>16.981125711784596</v>
      </c>
      <c r="G3541">
        <v>215.70879542501078</v>
      </c>
      <c r="H3541">
        <v>60.050288034140017</v>
      </c>
      <c r="I3541">
        <v>221.59414199571066</v>
      </c>
      <c r="J3541">
        <v>4.4009167513170047</v>
      </c>
      <c r="K3541">
        <v>39.99007777415278</v>
      </c>
      <c r="L3541">
        <v>56.687123733521958</v>
      </c>
      <c r="M3541">
        <v>250.14427249385216</v>
      </c>
      <c r="N3541">
        <v>2.187415638743623</v>
      </c>
      <c r="O3541">
        <v>14.728819933655751</v>
      </c>
      <c r="P3541" s="11">
        <f t="shared" si="155"/>
        <v>0.29399999999999998</v>
      </c>
    </row>
    <row r="3542" spans="1:16">
      <c r="A3542" s="1" t="s">
        <v>3454</v>
      </c>
      <c r="B3542" s="1" t="s">
        <v>3588</v>
      </c>
      <c r="C3542" s="1" t="s">
        <v>38</v>
      </c>
      <c r="D3542" s="1" t="s">
        <v>5566</v>
      </c>
      <c r="E3542" s="1" t="s">
        <v>3459</v>
      </c>
      <c r="F3542">
        <v>127.26653063825107</v>
      </c>
      <c r="G3542">
        <v>445.22234858354255</v>
      </c>
      <c r="H3542">
        <v>56.515702638444644</v>
      </c>
      <c r="I3542">
        <v>95.584910681569028</v>
      </c>
      <c r="J3542">
        <v>3.0499226703313966</v>
      </c>
      <c r="K3542">
        <v>81.038829633542676</v>
      </c>
      <c r="L3542">
        <v>73.949003467113172</v>
      </c>
      <c r="M3542">
        <v>95.052955944304045</v>
      </c>
      <c r="N3542">
        <v>4.4796086523019669</v>
      </c>
      <c r="O3542">
        <v>17.345952928097162</v>
      </c>
      <c r="P3542">
        <v>1.1261118603139195</v>
      </c>
    </row>
    <row r="3543" spans="1:16">
      <c r="A3543" s="1" t="s">
        <v>3454</v>
      </c>
      <c r="B3543" s="1" t="s">
        <v>3589</v>
      </c>
      <c r="C3543" s="1" t="s">
        <v>38</v>
      </c>
      <c r="D3543" s="1" t="s">
        <v>5566</v>
      </c>
      <c r="E3543" s="1" t="s">
        <v>3459</v>
      </c>
      <c r="F3543">
        <v>211.37754976445737</v>
      </c>
      <c r="G3543">
        <v>465.75428948310201</v>
      </c>
      <c r="H3543">
        <v>55.730964377107945</v>
      </c>
      <c r="I3543">
        <v>95.582318835452242</v>
      </c>
      <c r="J3543">
        <v>2.7090951482002725</v>
      </c>
      <c r="K3543">
        <v>123.28523352871601</v>
      </c>
      <c r="L3543">
        <v>79.787230763462759</v>
      </c>
      <c r="M3543">
        <v>93.657153894686758</v>
      </c>
      <c r="N3543">
        <v>7.7426830174733494</v>
      </c>
      <c r="O3543">
        <v>17.475650663448221</v>
      </c>
      <c r="P3543">
        <v>1.396941229091776</v>
      </c>
    </row>
    <row r="3544" spans="1:16">
      <c r="A3544" s="1" t="s">
        <v>3454</v>
      </c>
      <c r="B3544" s="1" t="s">
        <v>3590</v>
      </c>
      <c r="C3544" s="1" t="s">
        <v>38</v>
      </c>
      <c r="D3544" s="1" t="s">
        <v>5566</v>
      </c>
      <c r="E3544" s="1" t="s">
        <v>3459</v>
      </c>
      <c r="F3544">
        <v>63.213216951020975</v>
      </c>
      <c r="G3544">
        <v>507.14658724415898</v>
      </c>
      <c r="H3544">
        <v>53.661631676073533</v>
      </c>
      <c r="I3544">
        <v>75.146740308242457</v>
      </c>
      <c r="J3544" s="11">
        <f>2.468/2</f>
        <v>1.234</v>
      </c>
      <c r="K3544">
        <v>53.812265017362932</v>
      </c>
      <c r="L3544">
        <v>71.068068108133303</v>
      </c>
      <c r="M3544">
        <v>93.734492521129695</v>
      </c>
      <c r="N3544">
        <v>5.8843237501345103</v>
      </c>
      <c r="O3544">
        <v>16.654186195242886</v>
      </c>
      <c r="P3544" s="11">
        <f>0.588/2</f>
        <v>0.29399999999999998</v>
      </c>
    </row>
    <row r="3545" spans="1:16">
      <c r="A3545" s="1" t="s">
        <v>3454</v>
      </c>
      <c r="B3545" s="1" t="s">
        <v>3591</v>
      </c>
      <c r="C3545" s="1" t="s">
        <v>38</v>
      </c>
      <c r="D3545" s="1" t="s">
        <v>5566</v>
      </c>
      <c r="E3545" s="1" t="s">
        <v>3459</v>
      </c>
      <c r="F3545">
        <v>67.732241009355619</v>
      </c>
      <c r="G3545">
        <v>590.8462675275008</v>
      </c>
      <c r="H3545">
        <v>57.80200859874023</v>
      </c>
      <c r="I3545">
        <v>79.736010950908181</v>
      </c>
      <c r="J3545">
        <v>3.1088598355996622</v>
      </c>
      <c r="K3545">
        <v>85.658894378905714</v>
      </c>
      <c r="L3545">
        <v>73.731725417004071</v>
      </c>
      <c r="M3545">
        <v>101.89470285473088</v>
      </c>
      <c r="N3545">
        <v>4.3135900739308539</v>
      </c>
      <c r="O3545">
        <v>18.762177820598421</v>
      </c>
      <c r="P3545">
        <v>0.8102043465804698</v>
      </c>
    </row>
    <row r="3546" spans="1:16">
      <c r="A3546" s="1" t="s">
        <v>3454</v>
      </c>
      <c r="B3546" s="1" t="s">
        <v>3592</v>
      </c>
      <c r="C3546" s="1" t="s">
        <v>38</v>
      </c>
      <c r="D3546" s="1" t="s">
        <v>5566</v>
      </c>
      <c r="E3546" s="1" t="s">
        <v>3459</v>
      </c>
      <c r="F3546">
        <v>28.554803956946682</v>
      </c>
      <c r="G3546">
        <v>512.52613598266601</v>
      </c>
      <c r="H3546">
        <v>57.935946074185892</v>
      </c>
      <c r="I3546">
        <v>89.010736951190992</v>
      </c>
      <c r="J3546" s="11">
        <f>2.468/2</f>
        <v>1.234</v>
      </c>
      <c r="K3546">
        <v>52.542922757570601</v>
      </c>
      <c r="L3546">
        <v>70.009152031337919</v>
      </c>
      <c r="M3546">
        <v>106.23791292757264</v>
      </c>
      <c r="N3546">
        <v>8.1843369514954123</v>
      </c>
      <c r="O3546">
        <v>17.595828549682199</v>
      </c>
      <c r="P3546">
        <v>1.034281662144767</v>
      </c>
    </row>
    <row r="3547" spans="1:16">
      <c r="A3547" s="1" t="s">
        <v>3454</v>
      </c>
      <c r="B3547" s="1" t="s">
        <v>3593</v>
      </c>
      <c r="C3547" s="1" t="s">
        <v>38</v>
      </c>
      <c r="D3547" s="1" t="s">
        <v>5566</v>
      </c>
      <c r="E3547" s="1" t="s">
        <v>3459</v>
      </c>
      <c r="F3547">
        <v>41.95678400412595</v>
      </c>
      <c r="G3547">
        <v>586.01937105023762</v>
      </c>
      <c r="H3547">
        <v>64.703398873710967</v>
      </c>
      <c r="I3547">
        <v>92.941392508605574</v>
      </c>
      <c r="J3547">
        <v>3.7652110516956903</v>
      </c>
      <c r="K3547">
        <v>61.735338891784487</v>
      </c>
      <c r="L3547">
        <v>72.824001073847541</v>
      </c>
      <c r="M3547">
        <v>109.46542028903474</v>
      </c>
      <c r="N3547">
        <v>5.4268070117418477</v>
      </c>
      <c r="O3547">
        <v>17.982602996929472</v>
      </c>
      <c r="P3547">
        <v>1.2439236791076609</v>
      </c>
    </row>
    <row r="3548" spans="1:16">
      <c r="A3548" s="1" t="s">
        <v>3454</v>
      </c>
      <c r="B3548" s="1" t="s">
        <v>3594</v>
      </c>
      <c r="C3548" s="1" t="s">
        <v>38</v>
      </c>
      <c r="D3548" s="1" t="s">
        <v>5566</v>
      </c>
      <c r="E3548" s="1" t="s">
        <v>3459</v>
      </c>
      <c r="F3548">
        <v>72.972590374152915</v>
      </c>
      <c r="G3548">
        <v>585.14173372954383</v>
      </c>
      <c r="H3548">
        <v>68.182400545155744</v>
      </c>
      <c r="I3548">
        <v>126.9129078985203</v>
      </c>
      <c r="J3548">
        <v>3.0453885372756968</v>
      </c>
      <c r="K3548">
        <v>87.889902365049323</v>
      </c>
      <c r="L3548">
        <v>74.612070921974762</v>
      </c>
      <c r="M3548">
        <v>114.91478898818242</v>
      </c>
      <c r="N3548">
        <v>6.2461075488092677</v>
      </c>
      <c r="O3548">
        <v>18.822748480395056</v>
      </c>
      <c r="P3548">
        <v>1.4894414137966416</v>
      </c>
    </row>
    <row r="3549" spans="1:16">
      <c r="A3549" s="1" t="s">
        <v>3454</v>
      </c>
      <c r="B3549" s="1" t="s">
        <v>3595</v>
      </c>
      <c r="C3549" s="1" t="s">
        <v>38</v>
      </c>
      <c r="D3549" s="1" t="s">
        <v>5566</v>
      </c>
      <c r="E3549" s="1" t="s">
        <v>3459</v>
      </c>
      <c r="F3549">
        <v>68.904117428477775</v>
      </c>
      <c r="G3549">
        <v>615.90539017265746</v>
      </c>
      <c r="H3549">
        <v>67.244607469416138</v>
      </c>
      <c r="I3549">
        <v>99.174474319929431</v>
      </c>
      <c r="J3549">
        <v>2.7698773752119243</v>
      </c>
      <c r="K3549">
        <v>71.596467533913042</v>
      </c>
      <c r="L3549">
        <v>71.755395143088464</v>
      </c>
      <c r="M3549">
        <v>115.4232515896315</v>
      </c>
      <c r="N3549">
        <v>5.1192103037571171</v>
      </c>
      <c r="O3549">
        <v>17.670034462953048</v>
      </c>
      <c r="P3549">
        <v>2.7651196487038425</v>
      </c>
    </row>
    <row r="3550" spans="1:16">
      <c r="A3550" s="1" t="s">
        <v>3454</v>
      </c>
      <c r="B3550" s="1" t="s">
        <v>3596</v>
      </c>
      <c r="C3550" s="1" t="s">
        <v>38</v>
      </c>
      <c r="D3550" s="1" t="s">
        <v>5566</v>
      </c>
      <c r="E3550" s="1" t="s">
        <v>3459</v>
      </c>
      <c r="F3550">
        <v>5.6352259608107937</v>
      </c>
      <c r="G3550">
        <v>443.45942650084788</v>
      </c>
      <c r="H3550">
        <v>97.571653857076129</v>
      </c>
      <c r="I3550">
        <v>353.25719666761466</v>
      </c>
      <c r="J3550">
        <v>26.96171967168867</v>
      </c>
      <c r="K3550">
        <v>16.91986293547065</v>
      </c>
      <c r="L3550">
        <v>3.947339104730256</v>
      </c>
      <c r="M3550">
        <v>116.40002972490926</v>
      </c>
      <c r="N3550">
        <v>1.0669131492001704</v>
      </c>
      <c r="O3550">
        <v>4.4771332534876018</v>
      </c>
      <c r="P3550" s="11">
        <f t="shared" ref="P3550:P3551" si="156">0.588/2</f>
        <v>0.29399999999999998</v>
      </c>
    </row>
    <row r="3551" spans="1:16">
      <c r="A3551" s="1" t="s">
        <v>3454</v>
      </c>
      <c r="B3551" s="1" t="s">
        <v>3597</v>
      </c>
      <c r="C3551" s="1" t="s">
        <v>38</v>
      </c>
      <c r="D3551" s="1" t="s">
        <v>5566</v>
      </c>
      <c r="E3551" s="1" t="s">
        <v>3459</v>
      </c>
      <c r="F3551">
        <v>6.2484498798149257</v>
      </c>
      <c r="G3551">
        <v>194.92869495232546</v>
      </c>
      <c r="H3551">
        <v>34.90245389789083</v>
      </c>
      <c r="I3551">
        <v>339.42755867391998</v>
      </c>
      <c r="J3551">
        <v>50.544497768109238</v>
      </c>
      <c r="K3551">
        <v>16.082798829238939</v>
      </c>
      <c r="L3551">
        <v>5.6638800769719664</v>
      </c>
      <c r="M3551">
        <v>186.42872877603963</v>
      </c>
      <c r="N3551">
        <v>1.1682639873420411</v>
      </c>
      <c r="O3551">
        <v>4.0096274941303616</v>
      </c>
      <c r="P3551" s="11">
        <f t="shared" si="156"/>
        <v>0.29399999999999998</v>
      </c>
    </row>
    <row r="3552" spans="1:16">
      <c r="A3552" s="1" t="s">
        <v>3454</v>
      </c>
      <c r="B3552" s="1" t="s">
        <v>3598</v>
      </c>
      <c r="C3552" s="1" t="s">
        <v>38</v>
      </c>
      <c r="D3552" s="1" t="s">
        <v>5566</v>
      </c>
      <c r="E3552" s="1" t="s">
        <v>3459</v>
      </c>
      <c r="F3552">
        <v>20.951241956209724</v>
      </c>
      <c r="G3552">
        <v>357.98013157222715</v>
      </c>
      <c r="H3552">
        <v>87.596261881605088</v>
      </c>
      <c r="I3552">
        <v>347.99325300221091</v>
      </c>
      <c r="J3552">
        <v>29.51682295338448</v>
      </c>
      <c r="K3552">
        <v>16.893060365054581</v>
      </c>
      <c r="L3552">
        <v>3.6475141803457261</v>
      </c>
      <c r="M3552">
        <v>113.16716675390467</v>
      </c>
      <c r="N3552">
        <v>1.6658672491048554</v>
      </c>
      <c r="O3552">
        <v>5.8902282230886014</v>
      </c>
      <c r="P3552">
        <v>0.91808864606485563</v>
      </c>
    </row>
    <row r="3553" spans="1:16">
      <c r="A3553" s="1" t="s">
        <v>3454</v>
      </c>
      <c r="B3553" s="1" t="s">
        <v>3599</v>
      </c>
      <c r="C3553" s="1" t="s">
        <v>38</v>
      </c>
      <c r="D3553" s="1" t="s">
        <v>5566</v>
      </c>
      <c r="E3553" s="1" t="s">
        <v>3459</v>
      </c>
      <c r="F3553">
        <v>12.517709356778322</v>
      </c>
      <c r="G3553">
        <v>399.24174695088146</v>
      </c>
      <c r="H3553">
        <v>96.917189718489013</v>
      </c>
      <c r="I3553">
        <v>354.52236109027751</v>
      </c>
      <c r="J3553">
        <v>32.841929575812912</v>
      </c>
      <c r="K3553">
        <v>17.693018930726325</v>
      </c>
      <c r="L3553">
        <v>3.0387574326453053</v>
      </c>
      <c r="M3553">
        <v>112.86924573244598</v>
      </c>
      <c r="N3553">
        <v>1.2538998711870351</v>
      </c>
      <c r="O3553">
        <v>4.1507420977418246</v>
      </c>
      <c r="P3553" s="11">
        <f t="shared" ref="P3553:P3558" si="157">0.588/2</f>
        <v>0.29399999999999998</v>
      </c>
    </row>
    <row r="3554" spans="1:16">
      <c r="A3554" s="1" t="s">
        <v>3454</v>
      </c>
      <c r="B3554" s="1" t="s">
        <v>3600</v>
      </c>
      <c r="C3554" s="1" t="s">
        <v>38</v>
      </c>
      <c r="D3554" s="1" t="s">
        <v>5566</v>
      </c>
      <c r="E3554" s="1" t="s">
        <v>3459</v>
      </c>
      <c r="F3554">
        <v>18.857192688965164</v>
      </c>
      <c r="G3554">
        <v>339.04088442237821</v>
      </c>
      <c r="H3554">
        <v>86.622590326938308</v>
      </c>
      <c r="I3554">
        <v>353.2176216677517</v>
      </c>
      <c r="J3554">
        <v>32.402321641525411</v>
      </c>
      <c r="K3554">
        <v>20.684057784879851</v>
      </c>
      <c r="L3554">
        <v>4.303493555211495</v>
      </c>
      <c r="M3554">
        <v>113.11793291100547</v>
      </c>
      <c r="N3554">
        <v>2.1690694060865754</v>
      </c>
      <c r="O3554">
        <v>7.9375335510346332</v>
      </c>
      <c r="P3554" s="11">
        <f t="shared" si="157"/>
        <v>0.29399999999999998</v>
      </c>
    </row>
    <row r="3555" spans="1:16">
      <c r="A3555" s="1" t="s">
        <v>3454</v>
      </c>
      <c r="B3555" s="1" t="s">
        <v>3601</v>
      </c>
      <c r="C3555" s="1" t="s">
        <v>38</v>
      </c>
      <c r="D3555" s="1" t="s">
        <v>5566</v>
      </c>
      <c r="E3555" s="1" t="s">
        <v>3459</v>
      </c>
      <c r="F3555">
        <v>6.6757090988266663</v>
      </c>
      <c r="G3555">
        <v>423.2419028425611</v>
      </c>
      <c r="H3555">
        <v>82.45821096584055</v>
      </c>
      <c r="I3555">
        <v>329.5952602763806</v>
      </c>
      <c r="J3555">
        <v>10.823569593416922</v>
      </c>
      <c r="K3555">
        <v>19.810640755466334</v>
      </c>
      <c r="L3555">
        <v>4.88330581621591</v>
      </c>
      <c r="M3555">
        <v>114.004407447519</v>
      </c>
      <c r="N3555">
        <v>2.8607928934318787</v>
      </c>
      <c r="O3555">
        <v>7.6216825553727423</v>
      </c>
      <c r="P3555" s="11">
        <f t="shared" si="157"/>
        <v>0.29399999999999998</v>
      </c>
    </row>
    <row r="3556" spans="1:16">
      <c r="A3556" s="1" t="s">
        <v>3454</v>
      </c>
      <c r="B3556" s="1" t="s">
        <v>3602</v>
      </c>
      <c r="C3556" s="1" t="s">
        <v>38</v>
      </c>
      <c r="D3556" s="1" t="s">
        <v>5566</v>
      </c>
      <c r="E3556" s="1" t="s">
        <v>3459</v>
      </c>
      <c r="F3556">
        <v>10.391872149206394</v>
      </c>
      <c r="G3556">
        <v>289.88213400013382</v>
      </c>
      <c r="H3556">
        <v>108.18155826018371</v>
      </c>
      <c r="I3556">
        <v>263.41195238896455</v>
      </c>
      <c r="J3556">
        <v>48.589514874134061</v>
      </c>
      <c r="K3556">
        <v>47.136483683905681</v>
      </c>
      <c r="L3556">
        <v>23.812323804498906</v>
      </c>
      <c r="M3556">
        <v>105.62430449041167</v>
      </c>
      <c r="N3556">
        <v>2.4609286379597815</v>
      </c>
      <c r="O3556">
        <v>11.020152764657228</v>
      </c>
      <c r="P3556" s="11">
        <f t="shared" si="157"/>
        <v>0.29399999999999998</v>
      </c>
    </row>
    <row r="3557" spans="1:16">
      <c r="A3557" s="1" t="s">
        <v>3454</v>
      </c>
      <c r="B3557" s="1" t="s">
        <v>3603</v>
      </c>
      <c r="C3557" s="1" t="s">
        <v>38</v>
      </c>
      <c r="D3557" s="1" t="s">
        <v>5566</v>
      </c>
      <c r="E3557" s="1" t="s">
        <v>3459</v>
      </c>
      <c r="F3557">
        <v>23.068873903679801</v>
      </c>
      <c r="G3557">
        <v>303.80802747619077</v>
      </c>
      <c r="H3557">
        <v>71.913263906426167</v>
      </c>
      <c r="I3557">
        <v>254.87263954629543</v>
      </c>
      <c r="J3557">
        <v>102.35588421371547</v>
      </c>
      <c r="K3557">
        <v>47.333522415155862</v>
      </c>
      <c r="L3557">
        <v>26.775855333628812</v>
      </c>
      <c r="M3557">
        <v>103.03848586196408</v>
      </c>
      <c r="N3557">
        <v>2.0250261040362543</v>
      </c>
      <c r="O3557">
        <v>12.758985485033989</v>
      </c>
      <c r="P3557" s="11">
        <f t="shared" si="157"/>
        <v>0.29399999999999998</v>
      </c>
    </row>
    <row r="3558" spans="1:16">
      <c r="A3558" s="1" t="s">
        <v>3454</v>
      </c>
      <c r="B3558" s="1" t="s">
        <v>3604</v>
      </c>
      <c r="C3558" s="1" t="s">
        <v>38</v>
      </c>
      <c r="D3558" s="1" t="s">
        <v>5566</v>
      </c>
      <c r="E3558" s="1" t="s">
        <v>3459</v>
      </c>
      <c r="F3558">
        <v>10.086817071460461</v>
      </c>
      <c r="G3558">
        <v>302.53705776717538</v>
      </c>
      <c r="H3558">
        <v>99.081884846586576</v>
      </c>
      <c r="I3558">
        <v>266.89961876069759</v>
      </c>
      <c r="J3558">
        <v>89.998230575102014</v>
      </c>
      <c r="K3558">
        <v>44.160041568878114</v>
      </c>
      <c r="L3558">
        <v>23.777464469648642</v>
      </c>
      <c r="M3558">
        <v>106.43885662399767</v>
      </c>
      <c r="N3558">
        <v>2.9025805958101203</v>
      </c>
      <c r="O3558">
        <v>11.151664085712069</v>
      </c>
      <c r="P3558" s="11">
        <f t="shared" si="157"/>
        <v>0.29399999999999998</v>
      </c>
    </row>
    <row r="3559" spans="1:16">
      <c r="A3559" s="1" t="s">
        <v>3454</v>
      </c>
      <c r="B3559" s="1" t="s">
        <v>3605</v>
      </c>
      <c r="C3559" s="1" t="s">
        <v>38</v>
      </c>
      <c r="D3559" s="1" t="s">
        <v>5566</v>
      </c>
      <c r="E3559" s="1" t="s">
        <v>3459</v>
      </c>
      <c r="F3559">
        <v>9.5068845401221527</v>
      </c>
      <c r="G3559">
        <v>326.36874674907972</v>
      </c>
      <c r="H3559">
        <v>254.09497499378875</v>
      </c>
      <c r="I3559">
        <v>259.88648580118797</v>
      </c>
      <c r="J3559">
        <v>49.236638260457987</v>
      </c>
      <c r="K3559">
        <v>44.652970431061568</v>
      </c>
      <c r="L3559">
        <v>24.654288365855326</v>
      </c>
      <c r="M3559">
        <v>100.8079783895157</v>
      </c>
      <c r="N3559">
        <v>3.5539011825229267</v>
      </c>
      <c r="O3559">
        <v>10.88385400453007</v>
      </c>
      <c r="P3559">
        <v>0.87767964969266954</v>
      </c>
    </row>
    <row r="3560" spans="1:16">
      <c r="A3560" s="1" t="s">
        <v>3454</v>
      </c>
      <c r="B3560" s="1" t="s">
        <v>3606</v>
      </c>
      <c r="C3560" s="1" t="s">
        <v>38</v>
      </c>
      <c r="D3560" s="1" t="s">
        <v>5566</v>
      </c>
      <c r="E3560" s="1" t="s">
        <v>3459</v>
      </c>
      <c r="F3560">
        <v>6.6110789971934576</v>
      </c>
      <c r="G3560">
        <v>228.69141498885222</v>
      </c>
      <c r="H3560">
        <v>58.026381972735436</v>
      </c>
      <c r="I3560">
        <v>296.11950152216741</v>
      </c>
      <c r="J3560">
        <v>40.227945013672759</v>
      </c>
      <c r="K3560">
        <v>44.804064338669015</v>
      </c>
      <c r="L3560">
        <v>23.878721237480004</v>
      </c>
      <c r="M3560">
        <v>102.20367936941966</v>
      </c>
      <c r="N3560">
        <v>3.2388913796486913</v>
      </c>
      <c r="O3560">
        <v>10.672407402432105</v>
      </c>
      <c r="P3560" s="11">
        <f>0.588/2</f>
        <v>0.29399999999999998</v>
      </c>
    </row>
    <row r="3561" spans="1:16">
      <c r="A3561" s="1" t="s">
        <v>3454</v>
      </c>
      <c r="B3561" s="1" t="s">
        <v>3607</v>
      </c>
      <c r="C3561" s="1" t="s">
        <v>38</v>
      </c>
      <c r="D3561" s="1" t="s">
        <v>5566</v>
      </c>
      <c r="E3561" s="1" t="s">
        <v>3459</v>
      </c>
      <c r="F3561">
        <v>21.422188660179749</v>
      </c>
      <c r="G3561">
        <v>302.33426194248403</v>
      </c>
      <c r="H3561">
        <v>204.12069773362569</v>
      </c>
      <c r="I3561">
        <v>274.41422900480654</v>
      </c>
      <c r="J3561">
        <v>59.800879490221241</v>
      </c>
      <c r="K3561">
        <v>60.012489680017488</v>
      </c>
      <c r="L3561">
        <v>40.380957061200988</v>
      </c>
      <c r="M3561">
        <v>114.94357977241391</v>
      </c>
      <c r="N3561">
        <v>2.509814598915169</v>
      </c>
      <c r="O3561">
        <v>15.283419734412762</v>
      </c>
      <c r="P3561">
        <v>0.78361487765590376</v>
      </c>
    </row>
    <row r="3562" spans="1:16">
      <c r="A3562" s="1" t="s">
        <v>3454</v>
      </c>
      <c r="B3562" s="1" t="s">
        <v>3608</v>
      </c>
      <c r="C3562" s="1" t="s">
        <v>38</v>
      </c>
      <c r="D3562" s="1" t="s">
        <v>5566</v>
      </c>
      <c r="E3562" s="1" t="s">
        <v>3459</v>
      </c>
      <c r="F3562">
        <v>8.1831181550607699</v>
      </c>
      <c r="G3562">
        <v>223.10571961492622</v>
      </c>
      <c r="H3562">
        <v>65.266396661870644</v>
      </c>
      <c r="I3562">
        <v>296.70287512466939</v>
      </c>
      <c r="J3562">
        <v>44.532267689927316</v>
      </c>
      <c r="K3562">
        <v>44.603122632255541</v>
      </c>
      <c r="L3562">
        <v>24.570342497298093</v>
      </c>
      <c r="M3562">
        <v>100.35972085813596</v>
      </c>
      <c r="N3562">
        <v>3.1500686679317043</v>
      </c>
      <c r="O3562">
        <v>11.945004003031752</v>
      </c>
      <c r="P3562" s="11">
        <f t="shared" ref="P3562:P3564" si="158">0.588/2</f>
        <v>0.29399999999999998</v>
      </c>
    </row>
    <row r="3563" spans="1:16">
      <c r="A3563" s="1" t="s">
        <v>3454</v>
      </c>
      <c r="B3563" s="1" t="s">
        <v>3609</v>
      </c>
      <c r="C3563" s="1" t="s">
        <v>38</v>
      </c>
      <c r="D3563" s="1" t="s">
        <v>5566</v>
      </c>
      <c r="E3563" s="1" t="s">
        <v>3459</v>
      </c>
      <c r="F3563">
        <v>4.9830051491555611</v>
      </c>
      <c r="G3563">
        <v>301.78970266725526</v>
      </c>
      <c r="H3563">
        <v>62.681994440837059</v>
      </c>
      <c r="I3563">
        <v>266.56970248273933</v>
      </c>
      <c r="J3563">
        <v>90.990196040083518</v>
      </c>
      <c r="K3563">
        <v>44.345971292931537</v>
      </c>
      <c r="L3563">
        <v>24.190402459009128</v>
      </c>
      <c r="M3563">
        <v>130.14196974921313</v>
      </c>
      <c r="N3563">
        <v>1.6771538409380649</v>
      </c>
      <c r="O3563">
        <v>9.4182127826101425</v>
      </c>
      <c r="P3563" s="11">
        <f t="shared" si="158"/>
        <v>0.29399999999999998</v>
      </c>
    </row>
    <row r="3564" spans="1:16">
      <c r="A3564" s="1" t="s">
        <v>3454</v>
      </c>
      <c r="B3564" s="1" t="s">
        <v>3610</v>
      </c>
      <c r="C3564" s="1" t="s">
        <v>38</v>
      </c>
      <c r="D3564" s="1" t="s">
        <v>5566</v>
      </c>
      <c r="E3564" s="1" t="s">
        <v>3459</v>
      </c>
      <c r="F3564">
        <v>6.657927086888872</v>
      </c>
      <c r="G3564">
        <v>454.03934846661559</v>
      </c>
      <c r="H3564">
        <v>99.389475991550711</v>
      </c>
      <c r="I3564">
        <v>784.76268401574339</v>
      </c>
      <c r="J3564" s="11">
        <f t="shared" ref="J3564:J3567" si="159">2.468/2</f>
        <v>1.234</v>
      </c>
      <c r="K3564">
        <v>12.097441666666386</v>
      </c>
      <c r="L3564">
        <v>22.255280083342278</v>
      </c>
      <c r="M3564">
        <v>75.381602690934088</v>
      </c>
      <c r="N3564">
        <v>3.7275805494701912</v>
      </c>
      <c r="O3564">
        <v>10.03711243379612</v>
      </c>
      <c r="P3564" s="11">
        <f t="shared" si="158"/>
        <v>0.29399999999999998</v>
      </c>
    </row>
    <row r="3565" spans="1:16">
      <c r="A3565" s="1" t="s">
        <v>3454</v>
      </c>
      <c r="B3565" s="1" t="s">
        <v>3611</v>
      </c>
      <c r="C3565" s="1" t="s">
        <v>38</v>
      </c>
      <c r="D3565" s="1" t="s">
        <v>5566</v>
      </c>
      <c r="E3565" s="1" t="s">
        <v>3459</v>
      </c>
      <c r="F3565">
        <v>9.9805900422193723</v>
      </c>
      <c r="G3565">
        <v>338.70460188651424</v>
      </c>
      <c r="H3565">
        <v>132.77684258247029</v>
      </c>
      <c r="I3565">
        <v>810.26309556102569</v>
      </c>
      <c r="J3565" s="11">
        <f t="shared" si="159"/>
        <v>1.234</v>
      </c>
      <c r="K3565">
        <v>13.541044426237224</v>
      </c>
      <c r="L3565">
        <v>19.526816278039448</v>
      </c>
      <c r="M3565">
        <v>69.0256510372798</v>
      </c>
      <c r="N3565">
        <v>3.818162660402463</v>
      </c>
      <c r="O3565">
        <v>8.2814374958372614</v>
      </c>
      <c r="P3565">
        <v>0.60034775877742541</v>
      </c>
    </row>
    <row r="3566" spans="1:16">
      <c r="A3566" s="1" t="s">
        <v>3454</v>
      </c>
      <c r="B3566" s="1" t="s">
        <v>3612</v>
      </c>
      <c r="C3566" s="1" t="s">
        <v>38</v>
      </c>
      <c r="D3566" s="1" t="s">
        <v>5566</v>
      </c>
      <c r="E3566" s="1" t="s">
        <v>3459</v>
      </c>
      <c r="F3566">
        <v>3.5110062713175778</v>
      </c>
      <c r="G3566">
        <v>233.71001561625977</v>
      </c>
      <c r="H3566">
        <v>91.707371167334188</v>
      </c>
      <c r="I3566">
        <v>830.42566729401312</v>
      </c>
      <c r="J3566" s="11">
        <f t="shared" si="159"/>
        <v>1.234</v>
      </c>
      <c r="K3566">
        <v>12.992837017291738</v>
      </c>
      <c r="L3566">
        <v>17.935174076463461</v>
      </c>
      <c r="M3566">
        <v>71.842121690316134</v>
      </c>
      <c r="N3566">
        <v>4.7888419898744825</v>
      </c>
      <c r="O3566">
        <v>6.6716796916510184</v>
      </c>
      <c r="P3566" s="11">
        <f t="shared" ref="P3566:P3576" si="160">0.588/2</f>
        <v>0.29399999999999998</v>
      </c>
    </row>
    <row r="3567" spans="1:16">
      <c r="A3567" s="1" t="s">
        <v>3454</v>
      </c>
      <c r="B3567" s="1" t="s">
        <v>3613</v>
      </c>
      <c r="C3567" s="1" t="s">
        <v>38</v>
      </c>
      <c r="D3567" s="1" t="s">
        <v>5566</v>
      </c>
      <c r="E3567" s="1" t="s">
        <v>3459</v>
      </c>
      <c r="F3567">
        <v>25.471580756794594</v>
      </c>
      <c r="G3567">
        <v>278.73136379312064</v>
      </c>
      <c r="H3567">
        <v>115.55008386435817</v>
      </c>
      <c r="I3567">
        <v>854.36096751759521</v>
      </c>
      <c r="J3567" s="11">
        <f t="shared" si="159"/>
        <v>1.234</v>
      </c>
      <c r="K3567">
        <v>12.900039217523277</v>
      </c>
      <c r="L3567">
        <v>17.693540074578671</v>
      </c>
      <c r="M3567">
        <v>73.953947285942874</v>
      </c>
      <c r="N3567">
        <v>3.4581213327335156</v>
      </c>
      <c r="O3567">
        <v>8.1386507429945123</v>
      </c>
      <c r="P3567" s="11">
        <f t="shared" si="160"/>
        <v>0.29399999999999998</v>
      </c>
    </row>
    <row r="3568" spans="1:16">
      <c r="A3568" s="1" t="s">
        <v>3454</v>
      </c>
      <c r="B3568" s="1" t="s">
        <v>3614</v>
      </c>
      <c r="C3568" s="1" t="s">
        <v>38</v>
      </c>
      <c r="D3568" s="1" t="s">
        <v>5566</v>
      </c>
      <c r="E3568" s="1" t="s">
        <v>3459</v>
      </c>
      <c r="F3568">
        <v>5.0150088175181837</v>
      </c>
      <c r="G3568">
        <v>371.31602902763569</v>
      </c>
      <c r="H3568">
        <v>68.609711412952436</v>
      </c>
      <c r="I3568">
        <v>827.44555978220092</v>
      </c>
      <c r="J3568">
        <v>2.9921232145414747</v>
      </c>
      <c r="K3568">
        <v>12.2279032377807</v>
      </c>
      <c r="L3568">
        <v>19.749251460888281</v>
      </c>
      <c r="M3568">
        <v>73.126754849700816</v>
      </c>
      <c r="N3568">
        <v>3.736692377022468</v>
      </c>
      <c r="O3568">
        <v>8.528019137562536</v>
      </c>
      <c r="P3568" s="11">
        <f t="shared" si="160"/>
        <v>0.29399999999999998</v>
      </c>
    </row>
    <row r="3569" spans="1:16">
      <c r="A3569" s="1" t="s">
        <v>3454</v>
      </c>
      <c r="B3569" s="1" t="s">
        <v>3615</v>
      </c>
      <c r="C3569" s="1" t="s">
        <v>38</v>
      </c>
      <c r="D3569" s="1" t="s">
        <v>5566</v>
      </c>
      <c r="E3569" s="1" t="s">
        <v>3459</v>
      </c>
      <c r="F3569">
        <v>40.98517737319505</v>
      </c>
      <c r="G3569">
        <v>214.33781713413353</v>
      </c>
      <c r="H3569">
        <v>94.882700737802452</v>
      </c>
      <c r="I3569">
        <v>387.697031646281</v>
      </c>
      <c r="J3569">
        <v>17.634791081033846</v>
      </c>
      <c r="K3569">
        <v>34.016691620746073</v>
      </c>
      <c r="L3569">
        <v>75.887795444825827</v>
      </c>
      <c r="M3569">
        <v>237.96048585545952</v>
      </c>
      <c r="N3569">
        <v>7.7659985940591918</v>
      </c>
      <c r="O3569">
        <v>18.424966497188127</v>
      </c>
      <c r="P3569" s="11">
        <f t="shared" si="160"/>
        <v>0.29399999999999998</v>
      </c>
    </row>
    <row r="3570" spans="1:16">
      <c r="A3570" s="1" t="s">
        <v>3454</v>
      </c>
      <c r="B3570" s="1" t="s">
        <v>3616</v>
      </c>
      <c r="C3570" s="1" t="s">
        <v>38</v>
      </c>
      <c r="D3570" s="1" t="s">
        <v>5566</v>
      </c>
      <c r="E3570" s="1" t="s">
        <v>3459</v>
      </c>
      <c r="F3570">
        <v>42.80092953051799</v>
      </c>
      <c r="G3570">
        <v>183.72128355526678</v>
      </c>
      <c r="H3570">
        <v>104.48814941843126</v>
      </c>
      <c r="I3570">
        <v>311.82175916527484</v>
      </c>
      <c r="J3570">
        <v>24.058172107480978</v>
      </c>
      <c r="K3570">
        <v>17.578311016115109</v>
      </c>
      <c r="L3570">
        <v>71.234895587020333</v>
      </c>
      <c r="M3570">
        <v>230.39706748840422</v>
      </c>
      <c r="N3570">
        <v>5.8941087972755311</v>
      </c>
      <c r="O3570">
        <v>18.559614307422542</v>
      </c>
      <c r="P3570" s="11">
        <f t="shared" si="160"/>
        <v>0.29399999999999998</v>
      </c>
    </row>
    <row r="3571" spans="1:16">
      <c r="A3571" s="1" t="s">
        <v>3454</v>
      </c>
      <c r="B3571" s="1" t="s">
        <v>3617</v>
      </c>
      <c r="C3571" s="1" t="s">
        <v>38</v>
      </c>
      <c r="D3571" s="1" t="s">
        <v>5566</v>
      </c>
      <c r="E3571" s="1" t="s">
        <v>3459</v>
      </c>
      <c r="F3571">
        <v>15.56216767752268</v>
      </c>
      <c r="G3571">
        <v>175.93416159851867</v>
      </c>
      <c r="H3571">
        <v>90.908581845268259</v>
      </c>
      <c r="I3571">
        <v>306.90027415483775</v>
      </c>
      <c r="J3571">
        <v>9.1930314103268902</v>
      </c>
      <c r="K3571">
        <v>15.251797718099358</v>
      </c>
      <c r="L3571">
        <v>77.04948247105844</v>
      </c>
      <c r="M3571">
        <v>233.07885428750933</v>
      </c>
      <c r="N3571">
        <v>6.1791416671809065</v>
      </c>
      <c r="O3571">
        <v>17.623430597466637</v>
      </c>
      <c r="P3571" s="11">
        <f t="shared" si="160"/>
        <v>0.29399999999999998</v>
      </c>
    </row>
    <row r="3572" spans="1:16">
      <c r="A3572" s="1" t="s">
        <v>3454</v>
      </c>
      <c r="B3572" s="1" t="s">
        <v>3618</v>
      </c>
      <c r="C3572" s="1" t="s">
        <v>38</v>
      </c>
      <c r="D3572" s="1" t="s">
        <v>5566</v>
      </c>
      <c r="E3572" s="1" t="s">
        <v>3459</v>
      </c>
      <c r="F3572">
        <v>59.445574404781276</v>
      </c>
      <c r="G3572">
        <v>179.799412427292</v>
      </c>
      <c r="H3572">
        <v>63.540011104552477</v>
      </c>
      <c r="I3572">
        <v>220.06827008833525</v>
      </c>
      <c r="J3572">
        <v>10.456274142571161</v>
      </c>
      <c r="K3572">
        <v>18.106090963891543</v>
      </c>
      <c r="L3572">
        <v>73.019980518610964</v>
      </c>
      <c r="M3572">
        <v>217.21566772549775</v>
      </c>
      <c r="N3572">
        <v>4.4386803588132722</v>
      </c>
      <c r="O3572">
        <v>16.632390713177838</v>
      </c>
      <c r="P3572" s="11">
        <f t="shared" si="160"/>
        <v>0.29399999999999998</v>
      </c>
    </row>
    <row r="3573" spans="1:16">
      <c r="A3573" s="1" t="s">
        <v>3454</v>
      </c>
      <c r="B3573" s="1" t="s">
        <v>3619</v>
      </c>
      <c r="C3573" s="1" t="s">
        <v>38</v>
      </c>
      <c r="D3573" s="1" t="s">
        <v>5566</v>
      </c>
      <c r="E3573" s="1" t="s">
        <v>3459</v>
      </c>
      <c r="F3573">
        <v>12.436831256351002</v>
      </c>
      <c r="G3573">
        <v>143.46633466634614</v>
      </c>
      <c r="H3573">
        <v>50.972113986687326</v>
      </c>
      <c r="I3573">
        <v>210.87537919227142</v>
      </c>
      <c r="J3573">
        <v>10.625853968439893</v>
      </c>
      <c r="K3573">
        <v>14.313804330112173</v>
      </c>
      <c r="L3573">
        <v>70.940331618295644</v>
      </c>
      <c r="M3573">
        <v>205.55649816212787</v>
      </c>
      <c r="N3573">
        <v>4.2138868733746309</v>
      </c>
      <c r="O3573">
        <v>16.76305936488146</v>
      </c>
      <c r="P3573" s="11">
        <f t="shared" si="160"/>
        <v>0.29399999999999998</v>
      </c>
    </row>
    <row r="3574" spans="1:16">
      <c r="A3574" s="1" t="s">
        <v>3454</v>
      </c>
      <c r="B3574" s="1" t="s">
        <v>3620</v>
      </c>
      <c r="C3574" s="1" t="s">
        <v>38</v>
      </c>
      <c r="D3574" s="1" t="s">
        <v>5566</v>
      </c>
      <c r="E3574" s="1" t="s">
        <v>3459</v>
      </c>
      <c r="F3574">
        <v>9.2629158184676914</v>
      </c>
      <c r="G3574">
        <v>144.1404199685133</v>
      </c>
      <c r="H3574">
        <v>182.52858708832298</v>
      </c>
      <c r="I3574">
        <v>227.30226218647141</v>
      </c>
      <c r="J3574" s="11">
        <f>2.468/2</f>
        <v>1.234</v>
      </c>
      <c r="K3574">
        <v>14.51253973361734</v>
      </c>
      <c r="L3574">
        <v>71.303623840239283</v>
      </c>
      <c r="M3574">
        <v>199.69439847237931</v>
      </c>
      <c r="N3574">
        <v>5.5327348310307043</v>
      </c>
      <c r="O3574">
        <v>17.304890729969323</v>
      </c>
      <c r="P3574" s="11">
        <f t="shared" si="160"/>
        <v>0.29399999999999998</v>
      </c>
    </row>
    <row r="3575" spans="1:16">
      <c r="A3575" s="1" t="s">
        <v>3454</v>
      </c>
      <c r="B3575" s="1" t="s">
        <v>3621</v>
      </c>
      <c r="C3575" s="1" t="s">
        <v>38</v>
      </c>
      <c r="D3575" s="1" t="s">
        <v>5566</v>
      </c>
      <c r="E3575" s="1" t="s">
        <v>3459</v>
      </c>
      <c r="F3575">
        <v>12.470481707036718</v>
      </c>
      <c r="G3575">
        <v>188.15560719263942</v>
      </c>
      <c r="H3575">
        <v>82.694013301086358</v>
      </c>
      <c r="I3575">
        <v>219.11724065443434</v>
      </c>
      <c r="J3575">
        <v>6.6274366291135962</v>
      </c>
      <c r="K3575">
        <v>20.540614970108503</v>
      </c>
      <c r="L3575">
        <v>74.858053512907588</v>
      </c>
      <c r="M3575">
        <v>201.94660155461003</v>
      </c>
      <c r="N3575">
        <v>6.5502879383636827</v>
      </c>
      <c r="O3575">
        <v>17.951419585233332</v>
      </c>
      <c r="P3575" s="11">
        <f t="shared" si="160"/>
        <v>0.29399999999999998</v>
      </c>
    </row>
    <row r="3576" spans="1:16">
      <c r="A3576" s="1" t="s">
        <v>3454</v>
      </c>
      <c r="B3576" s="1" t="s">
        <v>3622</v>
      </c>
      <c r="C3576" s="1" t="s">
        <v>38</v>
      </c>
      <c r="D3576" s="1" t="s">
        <v>5566</v>
      </c>
      <c r="E3576" s="1" t="s">
        <v>3459</v>
      </c>
      <c r="F3576">
        <v>12.886284423662291</v>
      </c>
      <c r="G3576">
        <v>161.42102961898695</v>
      </c>
      <c r="H3576">
        <v>369.82127119254278</v>
      </c>
      <c r="I3576">
        <v>230.24821875866544</v>
      </c>
      <c r="J3576">
        <v>5.7614881093520323</v>
      </c>
      <c r="K3576">
        <v>14.370465888829552</v>
      </c>
      <c r="L3576">
        <v>71.037036036272113</v>
      </c>
      <c r="M3576">
        <v>205.44146262621067</v>
      </c>
      <c r="N3576">
        <v>4.4465282997845561</v>
      </c>
      <c r="O3576">
        <v>16.66011204074794</v>
      </c>
      <c r="P3576" s="11">
        <f t="shared" si="160"/>
        <v>0.29399999999999998</v>
      </c>
    </row>
    <row r="3577" spans="1:16">
      <c r="A3577" s="1" t="s">
        <v>3454</v>
      </c>
      <c r="B3577" s="1" t="s">
        <v>3623</v>
      </c>
      <c r="C3577" s="1" t="s">
        <v>38</v>
      </c>
      <c r="D3577" s="1" t="s">
        <v>5566</v>
      </c>
      <c r="E3577" s="1" t="s">
        <v>3459</v>
      </c>
      <c r="F3577">
        <v>30.388278093484082</v>
      </c>
      <c r="G3577">
        <v>373.06846524658431</v>
      </c>
      <c r="H3577">
        <v>63.279364746982331</v>
      </c>
      <c r="I3577">
        <v>97.328926106540337</v>
      </c>
      <c r="J3577">
        <v>5.2200947702041294</v>
      </c>
      <c r="K3577">
        <v>96.810483675252897</v>
      </c>
      <c r="L3577">
        <v>80.504988150163996</v>
      </c>
      <c r="M3577">
        <v>56.17939217599308</v>
      </c>
      <c r="N3577">
        <v>9.2473213578664488</v>
      </c>
      <c r="O3577">
        <v>10.929940961564803</v>
      </c>
      <c r="P3577">
        <v>1.4010467089136376</v>
      </c>
    </row>
    <row r="3578" spans="1:16">
      <c r="A3578" s="1" t="s">
        <v>3454</v>
      </c>
      <c r="B3578" s="1" t="s">
        <v>3624</v>
      </c>
      <c r="C3578" s="1" t="s">
        <v>38</v>
      </c>
      <c r="D3578" s="1" t="s">
        <v>5566</v>
      </c>
      <c r="E3578" s="1" t="s">
        <v>3459</v>
      </c>
      <c r="F3578">
        <v>32.288830736592445</v>
      </c>
      <c r="G3578">
        <v>413.95400426987862</v>
      </c>
      <c r="H3578">
        <v>60.817823511415405</v>
      </c>
      <c r="I3578">
        <v>88.548981503268067</v>
      </c>
      <c r="J3578">
        <v>6.0211828039152326</v>
      </c>
      <c r="K3578">
        <v>95.740318085833309</v>
      </c>
      <c r="L3578">
        <v>83.740944390186144</v>
      </c>
      <c r="M3578">
        <v>51.399937762950266</v>
      </c>
      <c r="N3578">
        <v>8.0203016883452261</v>
      </c>
      <c r="O3578">
        <v>10.678294424882292</v>
      </c>
      <c r="P3578">
        <v>1.1950151257846244</v>
      </c>
    </row>
    <row r="3579" spans="1:16">
      <c r="A3579" s="1" t="s">
        <v>3454</v>
      </c>
      <c r="B3579" s="1" t="s">
        <v>3625</v>
      </c>
      <c r="C3579" s="1" t="s">
        <v>38</v>
      </c>
      <c r="D3579" s="1" t="s">
        <v>5566</v>
      </c>
      <c r="E3579" s="1" t="s">
        <v>3459</v>
      </c>
      <c r="F3579">
        <v>14.594409863935038</v>
      </c>
      <c r="G3579">
        <v>382.27334397016597</v>
      </c>
      <c r="H3579">
        <v>49.818583331664321</v>
      </c>
      <c r="I3579">
        <v>92.097291044202635</v>
      </c>
      <c r="J3579" s="11">
        <f t="shared" ref="J3579:J3580" si="161">2.468/2</f>
        <v>1.234</v>
      </c>
      <c r="K3579">
        <v>85.118083593689249</v>
      </c>
      <c r="L3579">
        <v>79.593309810418688</v>
      </c>
      <c r="M3579">
        <v>53.79802361275199</v>
      </c>
      <c r="N3579">
        <v>6.1130832339710848</v>
      </c>
      <c r="O3579">
        <v>10.33750509054974</v>
      </c>
      <c r="P3579" s="11">
        <f>0.588/2</f>
        <v>0.29399999999999998</v>
      </c>
    </row>
    <row r="3580" spans="1:16">
      <c r="A3580" s="1" t="s">
        <v>3454</v>
      </c>
      <c r="B3580" s="1" t="s">
        <v>3626</v>
      </c>
      <c r="C3580" s="1" t="s">
        <v>38</v>
      </c>
      <c r="D3580" s="1" t="s">
        <v>5566</v>
      </c>
      <c r="E3580" s="1" t="s">
        <v>3459</v>
      </c>
      <c r="F3580">
        <v>22.364858001778973</v>
      </c>
      <c r="G3580">
        <v>427.77196667963028</v>
      </c>
      <c r="H3580">
        <v>57.477249805699344</v>
      </c>
      <c r="I3580">
        <v>87.454593511907234</v>
      </c>
      <c r="J3580" s="11">
        <f t="shared" si="161"/>
        <v>1.234</v>
      </c>
      <c r="K3580">
        <v>99.168397375785204</v>
      </c>
      <c r="L3580">
        <v>81.177292833163733</v>
      </c>
      <c r="M3580">
        <v>51.78240819386906</v>
      </c>
      <c r="N3580">
        <v>11.007445185935531</v>
      </c>
      <c r="O3580">
        <v>11.18600597657705</v>
      </c>
      <c r="P3580">
        <v>1.1372369950633401</v>
      </c>
    </row>
    <row r="3581" spans="1:16">
      <c r="A3581" s="1" t="s">
        <v>3454</v>
      </c>
      <c r="B3581" s="1" t="s">
        <v>3627</v>
      </c>
      <c r="C3581" s="1" t="s">
        <v>38</v>
      </c>
      <c r="D3581" s="1" t="s">
        <v>5566</v>
      </c>
      <c r="E3581" s="1" t="s">
        <v>3459</v>
      </c>
      <c r="F3581">
        <v>52.315269571851822</v>
      </c>
      <c r="G3581">
        <v>442.49274367633296</v>
      </c>
      <c r="H3581">
        <v>71.948671879543497</v>
      </c>
      <c r="I3581">
        <v>90.812695759884519</v>
      </c>
      <c r="J3581">
        <v>4.8490430793732395</v>
      </c>
      <c r="K3581">
        <v>96.925509166924087</v>
      </c>
      <c r="L3581">
        <v>85.939781698065175</v>
      </c>
      <c r="M3581">
        <v>62.64728037785305</v>
      </c>
      <c r="N3581">
        <v>10.507597147462581</v>
      </c>
      <c r="O3581">
        <v>11.1948470240576</v>
      </c>
      <c r="P3581">
        <v>0.6269922580724675</v>
      </c>
    </row>
    <row r="3582" spans="1:16">
      <c r="A3582" s="1" t="s">
        <v>3454</v>
      </c>
      <c r="B3582" s="1" t="s">
        <v>3628</v>
      </c>
      <c r="C3582" s="1" t="s">
        <v>38</v>
      </c>
      <c r="D3582" s="1" t="s">
        <v>5566</v>
      </c>
      <c r="E3582" s="1" t="s">
        <v>3459</v>
      </c>
      <c r="F3582">
        <v>77.085300883432282</v>
      </c>
      <c r="G3582">
        <v>451.65961070372589</v>
      </c>
      <c r="H3582">
        <v>52.115503200005527</v>
      </c>
      <c r="I3582">
        <v>94.476967580354483</v>
      </c>
      <c r="J3582">
        <v>4.1148622042787562</v>
      </c>
      <c r="K3582">
        <v>106.54264959795645</v>
      </c>
      <c r="L3582">
        <v>82.73791219923919</v>
      </c>
      <c r="M3582">
        <v>69.443064480808047</v>
      </c>
      <c r="N3582">
        <v>5.0850291130087095</v>
      </c>
      <c r="O3582">
        <v>12.081538950989856</v>
      </c>
      <c r="P3582">
        <v>0.60170052774731764</v>
      </c>
    </row>
    <row r="3583" spans="1:16">
      <c r="A3583" s="1" t="s">
        <v>3454</v>
      </c>
      <c r="B3583" s="1" t="s">
        <v>3629</v>
      </c>
      <c r="C3583" s="1" t="s">
        <v>38</v>
      </c>
      <c r="D3583" s="1" t="s">
        <v>5566</v>
      </c>
      <c r="E3583" s="1" t="s">
        <v>3459</v>
      </c>
      <c r="F3583">
        <v>31.819794486711391</v>
      </c>
      <c r="G3583">
        <v>430.51030073274683</v>
      </c>
      <c r="H3583">
        <v>59.006672545687429</v>
      </c>
      <c r="I3583">
        <v>111.88367940009455</v>
      </c>
      <c r="J3583">
        <v>2.4719112689302469</v>
      </c>
      <c r="K3583">
        <v>102.80382023367051</v>
      </c>
      <c r="L3583">
        <v>84.893595987191091</v>
      </c>
      <c r="M3583">
        <v>78.957616396011801</v>
      </c>
      <c r="N3583">
        <v>6.5985394977329292</v>
      </c>
      <c r="O3583">
        <v>12.708765080626558</v>
      </c>
      <c r="P3583" s="11">
        <f>0.588/2</f>
        <v>0.29399999999999998</v>
      </c>
    </row>
    <row r="3584" spans="1:16">
      <c r="A3584" s="1" t="s">
        <v>3454</v>
      </c>
      <c r="B3584" s="1" t="s">
        <v>3630</v>
      </c>
      <c r="C3584" s="1" t="s">
        <v>38</v>
      </c>
      <c r="D3584" s="1" t="s">
        <v>5566</v>
      </c>
      <c r="E3584" s="1" t="s">
        <v>3459</v>
      </c>
      <c r="F3584">
        <v>57.223467496858426</v>
      </c>
      <c r="G3584">
        <v>422.68080538449266</v>
      </c>
      <c r="H3584">
        <v>46.733957655198424</v>
      </c>
      <c r="I3584">
        <v>115.89701400335883</v>
      </c>
      <c r="J3584">
        <v>3.5641120938589634</v>
      </c>
      <c r="K3584">
        <v>95.464290420273358</v>
      </c>
      <c r="L3584">
        <v>82.170873055796463</v>
      </c>
      <c r="M3584">
        <v>86.495858884008612</v>
      </c>
      <c r="N3584">
        <v>8.1180867964089707</v>
      </c>
      <c r="O3584">
        <v>11.495817731460287</v>
      </c>
      <c r="P3584">
        <v>1.0641052422427568</v>
      </c>
    </row>
    <row r="3585" spans="1:16">
      <c r="A3585" s="1" t="s">
        <v>3427</v>
      </c>
      <c r="B3585" s="1" t="s">
        <v>3631</v>
      </c>
      <c r="C3585" s="1" t="s">
        <v>18</v>
      </c>
      <c r="D3585" s="1" t="s">
        <v>19</v>
      </c>
      <c r="E3585" s="1" t="s">
        <v>3632</v>
      </c>
      <c r="F3585">
        <v>113.2</v>
      </c>
      <c r="G3585">
        <f>16.585/2</f>
        <v>8.2925000000000004</v>
      </c>
      <c r="H3585">
        <f>44.729/2</f>
        <v>22.3645</v>
      </c>
      <c r="I3585">
        <v>1464</v>
      </c>
      <c r="J3585">
        <v>13.746499999999999</v>
      </c>
      <c r="K3585">
        <v>352</v>
      </c>
      <c r="L3585">
        <v>94.4</v>
      </c>
      <c r="M3585">
        <v>269.7</v>
      </c>
      <c r="N3585">
        <v>15.1</v>
      </c>
      <c r="O3585">
        <v>5.14</v>
      </c>
      <c r="P3585">
        <v>0.27395000000000003</v>
      </c>
    </row>
    <row r="3586" spans="1:16">
      <c r="A3586" s="1" t="s">
        <v>3427</v>
      </c>
      <c r="B3586" s="1" t="s">
        <v>3633</v>
      </c>
      <c r="C3586" s="1" t="s">
        <v>18</v>
      </c>
      <c r="D3586" s="1" t="s">
        <v>19</v>
      </c>
      <c r="E3586" s="1" t="s">
        <v>3632</v>
      </c>
      <c r="F3586">
        <v>110</v>
      </c>
      <c r="G3586">
        <f>24.367/2</f>
        <v>12.1835</v>
      </c>
      <c r="H3586">
        <f>58.498/2</f>
        <v>29.248999999999999</v>
      </c>
      <c r="I3586">
        <v>1454</v>
      </c>
      <c r="J3586">
        <v>33</v>
      </c>
      <c r="K3586">
        <v>365.3</v>
      </c>
      <c r="L3586">
        <v>94.2</v>
      </c>
      <c r="M3586">
        <v>244.3</v>
      </c>
      <c r="N3586">
        <v>15</v>
      </c>
      <c r="O3586">
        <v>4.9800000000000004</v>
      </c>
      <c r="P3586">
        <v>0.83</v>
      </c>
    </row>
    <row r="3587" spans="1:16">
      <c r="A3587" s="1" t="s">
        <v>3427</v>
      </c>
      <c r="B3587" s="1" t="s">
        <v>3634</v>
      </c>
      <c r="C3587" s="1" t="s">
        <v>18</v>
      </c>
      <c r="D3587" s="1" t="s">
        <v>19</v>
      </c>
      <c r="E3587" s="1" t="s">
        <v>3635</v>
      </c>
      <c r="F3587">
        <v>2490</v>
      </c>
      <c r="G3587">
        <v>38</v>
      </c>
      <c r="H3587">
        <f>93.518/2</f>
        <v>46.759</v>
      </c>
      <c r="I3587">
        <v>1422</v>
      </c>
      <c r="J3587">
        <v>90</v>
      </c>
      <c r="K3587">
        <v>384.2</v>
      </c>
      <c r="L3587">
        <v>97.4</v>
      </c>
      <c r="M3587">
        <v>247</v>
      </c>
      <c r="N3587">
        <v>21.7</v>
      </c>
      <c r="O3587">
        <v>6.17</v>
      </c>
      <c r="P3587">
        <v>2.73</v>
      </c>
    </row>
    <row r="3588" spans="1:16">
      <c r="A3588" s="1" t="s">
        <v>3427</v>
      </c>
      <c r="B3588" s="1" t="s">
        <v>3636</v>
      </c>
      <c r="C3588" s="1" t="s">
        <v>18</v>
      </c>
      <c r="D3588" s="1" t="s">
        <v>19</v>
      </c>
      <c r="E3588" s="1" t="s">
        <v>3635</v>
      </c>
      <c r="F3588">
        <v>1340</v>
      </c>
      <c r="G3588">
        <f>28.033/2</f>
        <v>14.016500000000001</v>
      </c>
      <c r="H3588">
        <f>55.666/2</f>
        <v>27.832999999999998</v>
      </c>
      <c r="I3588">
        <v>1417</v>
      </c>
      <c r="J3588">
        <v>13.7805</v>
      </c>
      <c r="K3588">
        <v>369.1</v>
      </c>
      <c r="L3588">
        <v>95.9</v>
      </c>
      <c r="M3588">
        <v>259.39999999999998</v>
      </c>
      <c r="N3588">
        <v>15.8</v>
      </c>
      <c r="O3588">
        <v>5.19</v>
      </c>
      <c r="P3588">
        <v>0.35816500000000001</v>
      </c>
    </row>
    <row r="3589" spans="1:16">
      <c r="A3589" s="1" t="s">
        <v>3427</v>
      </c>
      <c r="B3589" s="1" t="s">
        <v>3637</v>
      </c>
      <c r="C3589" s="1" t="s">
        <v>18</v>
      </c>
      <c r="D3589" s="1" t="s">
        <v>19</v>
      </c>
      <c r="E3589" s="1" t="s">
        <v>3635</v>
      </c>
      <c r="F3589">
        <v>329</v>
      </c>
      <c r="G3589">
        <f>22.223/2</f>
        <v>11.111499999999999</v>
      </c>
      <c r="H3589">
        <v>61</v>
      </c>
      <c r="I3589">
        <v>1426</v>
      </c>
      <c r="J3589">
        <v>87</v>
      </c>
      <c r="K3589">
        <v>426.4</v>
      </c>
      <c r="L3589">
        <v>96</v>
      </c>
      <c r="M3589">
        <v>255</v>
      </c>
      <c r="N3589">
        <v>39.9</v>
      </c>
      <c r="O3589">
        <v>5.76</v>
      </c>
      <c r="P3589">
        <v>2.0099999999999998</v>
      </c>
    </row>
    <row r="3590" spans="1:16">
      <c r="A3590" s="1" t="s">
        <v>3427</v>
      </c>
      <c r="B3590" s="1" t="s">
        <v>3638</v>
      </c>
      <c r="C3590" s="1" t="s">
        <v>18</v>
      </c>
      <c r="D3590" s="1" t="s">
        <v>19</v>
      </c>
      <c r="E3590" s="1" t="s">
        <v>3635</v>
      </c>
      <c r="F3590">
        <v>202</v>
      </c>
      <c r="G3590">
        <f>21.26/2</f>
        <v>10.63</v>
      </c>
      <c r="H3590">
        <f>56.96/2</f>
        <v>28.48</v>
      </c>
      <c r="I3590">
        <v>1449</v>
      </c>
      <c r="J3590">
        <v>17.271999999999998</v>
      </c>
      <c r="K3590">
        <v>372.8</v>
      </c>
      <c r="L3590">
        <v>95.2</v>
      </c>
      <c r="M3590">
        <v>261.60000000000002</v>
      </c>
      <c r="N3590">
        <v>18.5</v>
      </c>
      <c r="O3590">
        <v>5.87</v>
      </c>
      <c r="P3590">
        <v>0.43519999999999998</v>
      </c>
    </row>
    <row r="3591" spans="1:16">
      <c r="A3591" s="1" t="s">
        <v>3427</v>
      </c>
      <c r="B3591" s="1" t="s">
        <v>3639</v>
      </c>
      <c r="C3591" s="1" t="s">
        <v>18</v>
      </c>
      <c r="D3591" s="1" t="s">
        <v>19</v>
      </c>
      <c r="E3591" s="1" t="s">
        <v>3635</v>
      </c>
      <c r="F3591">
        <v>840</v>
      </c>
      <c r="G3591">
        <v>420</v>
      </c>
      <c r="H3591">
        <v>30.913</v>
      </c>
      <c r="I3591">
        <v>1531</v>
      </c>
      <c r="J3591">
        <v>21.602</v>
      </c>
      <c r="K3591">
        <v>364.6</v>
      </c>
      <c r="L3591">
        <v>120.3</v>
      </c>
      <c r="M3591">
        <v>270.8</v>
      </c>
      <c r="N3591">
        <v>22.1</v>
      </c>
      <c r="O3591">
        <v>1.67</v>
      </c>
      <c r="P3591">
        <v>0.43771500000000002</v>
      </c>
    </row>
    <row r="3592" spans="1:16">
      <c r="A3592" s="1" t="s">
        <v>3427</v>
      </c>
      <c r="B3592" s="1" t="s">
        <v>3640</v>
      </c>
      <c r="C3592" s="1" t="s">
        <v>18</v>
      </c>
      <c r="D3592" s="1" t="s">
        <v>19</v>
      </c>
      <c r="E3592" s="1" t="s">
        <v>3635</v>
      </c>
      <c r="F3592">
        <v>600</v>
      </c>
      <c r="G3592">
        <v>410</v>
      </c>
      <c r="H3592">
        <v>106</v>
      </c>
      <c r="I3592">
        <v>1539</v>
      </c>
      <c r="J3592">
        <v>51</v>
      </c>
      <c r="K3592">
        <v>376.1</v>
      </c>
      <c r="L3592">
        <v>119.6</v>
      </c>
      <c r="M3592">
        <v>269.2</v>
      </c>
      <c r="N3592">
        <v>20.6</v>
      </c>
      <c r="O3592">
        <v>1.77</v>
      </c>
      <c r="P3592">
        <v>1.06</v>
      </c>
    </row>
    <row r="3593" spans="1:16">
      <c r="A3593" s="1" t="s">
        <v>3427</v>
      </c>
      <c r="B3593" s="1" t="s">
        <v>3641</v>
      </c>
      <c r="C3593" s="1" t="s">
        <v>18</v>
      </c>
      <c r="D3593" s="1" t="s">
        <v>19</v>
      </c>
      <c r="E3593" s="1" t="s">
        <v>3635</v>
      </c>
      <c r="F3593">
        <v>18.7</v>
      </c>
      <c r="G3593">
        <f>20.622/2</f>
        <v>10.311</v>
      </c>
      <c r="H3593">
        <v>49</v>
      </c>
      <c r="I3593">
        <v>1517</v>
      </c>
      <c r="J3593">
        <v>16.001999999999999</v>
      </c>
      <c r="K3593">
        <v>361.7</v>
      </c>
      <c r="L3593">
        <v>119.4</v>
      </c>
      <c r="M3593">
        <v>256.3</v>
      </c>
      <c r="N3593">
        <v>14</v>
      </c>
      <c r="O3593">
        <v>1.45</v>
      </c>
      <c r="P3593">
        <v>0.34388999999999997</v>
      </c>
    </row>
    <row r="3594" spans="1:16">
      <c r="A3594" s="1" t="s">
        <v>3427</v>
      </c>
      <c r="B3594" s="1" t="s">
        <v>3642</v>
      </c>
      <c r="C3594" s="1" t="s">
        <v>18</v>
      </c>
      <c r="D3594" s="1" t="s">
        <v>19</v>
      </c>
      <c r="E3594" s="1" t="s">
        <v>3635</v>
      </c>
      <c r="F3594">
        <v>24.8</v>
      </c>
      <c r="G3594">
        <f>28.088/2</f>
        <v>14.044</v>
      </c>
      <c r="H3594">
        <v>22.16</v>
      </c>
      <c r="I3594">
        <v>1507</v>
      </c>
      <c r="J3594">
        <v>85</v>
      </c>
      <c r="K3594">
        <v>347.6</v>
      </c>
      <c r="L3594">
        <v>115.6</v>
      </c>
      <c r="M3594">
        <v>262.5</v>
      </c>
      <c r="N3594">
        <v>15</v>
      </c>
      <c r="O3594">
        <v>1.77</v>
      </c>
      <c r="P3594">
        <v>0.32067499999999999</v>
      </c>
    </row>
    <row r="3595" spans="1:16">
      <c r="A3595" s="1" t="s">
        <v>3427</v>
      </c>
      <c r="B3595" s="1" t="s">
        <v>3643</v>
      </c>
      <c r="C3595" s="1" t="s">
        <v>18</v>
      </c>
      <c r="D3595" s="1" t="s">
        <v>19</v>
      </c>
      <c r="E3595" s="1" t="s">
        <v>3635</v>
      </c>
      <c r="F3595">
        <v>31.3</v>
      </c>
      <c r="G3595">
        <f>28.314/2</f>
        <v>14.157</v>
      </c>
      <c r="H3595">
        <v>20.3325</v>
      </c>
      <c r="I3595">
        <v>1529</v>
      </c>
      <c r="J3595">
        <v>17.821999999999999</v>
      </c>
      <c r="K3595">
        <v>366.2</v>
      </c>
      <c r="L3595">
        <v>118</v>
      </c>
      <c r="M3595">
        <v>259.89999999999998</v>
      </c>
      <c r="N3595">
        <v>17.3</v>
      </c>
      <c r="O3595">
        <v>1.62</v>
      </c>
      <c r="P3595">
        <v>0.36446499999999998</v>
      </c>
    </row>
    <row r="3596" spans="1:16">
      <c r="A3596" s="1" t="s">
        <v>3427</v>
      </c>
      <c r="B3596" s="1" t="s">
        <v>3644</v>
      </c>
      <c r="C3596" s="1" t="s">
        <v>18</v>
      </c>
      <c r="D3596" s="1" t="s">
        <v>19</v>
      </c>
      <c r="E3596" s="1" t="s">
        <v>3635</v>
      </c>
      <c r="F3596">
        <v>87</v>
      </c>
      <c r="G3596">
        <v>124</v>
      </c>
      <c r="H3596">
        <v>76</v>
      </c>
      <c r="I3596">
        <v>1504</v>
      </c>
      <c r="J3596">
        <v>53</v>
      </c>
      <c r="K3596">
        <v>354.5</v>
      </c>
      <c r="L3596">
        <v>114.1</v>
      </c>
      <c r="M3596">
        <v>251.7</v>
      </c>
      <c r="N3596">
        <v>15.3</v>
      </c>
      <c r="O3596">
        <v>1.89</v>
      </c>
      <c r="P3596">
        <v>0.97</v>
      </c>
    </row>
    <row r="3597" spans="1:16">
      <c r="A3597" s="1" t="s">
        <v>3427</v>
      </c>
      <c r="B3597" s="1" t="s">
        <v>3645</v>
      </c>
      <c r="C3597" s="1" t="s">
        <v>18</v>
      </c>
      <c r="D3597" s="1" t="s">
        <v>19</v>
      </c>
      <c r="E3597" s="1" t="s">
        <v>3635</v>
      </c>
      <c r="F3597">
        <v>143</v>
      </c>
      <c r="G3597">
        <v>99</v>
      </c>
      <c r="H3597">
        <v>25.005500000000001</v>
      </c>
      <c r="I3597">
        <v>1552</v>
      </c>
      <c r="J3597">
        <v>14.176500000000001</v>
      </c>
      <c r="K3597">
        <v>359.8</v>
      </c>
      <c r="L3597">
        <v>118.3</v>
      </c>
      <c r="M3597">
        <v>256.8</v>
      </c>
      <c r="N3597">
        <v>16.899999999999999</v>
      </c>
      <c r="O3597">
        <v>1.73</v>
      </c>
      <c r="P3597">
        <v>0.40052500000000002</v>
      </c>
    </row>
    <row r="3598" spans="1:16">
      <c r="A3598" s="1" t="s">
        <v>3427</v>
      </c>
      <c r="B3598" s="1" t="s">
        <v>3646</v>
      </c>
      <c r="C3598" s="1" t="s">
        <v>18</v>
      </c>
      <c r="D3598" s="1" t="s">
        <v>19</v>
      </c>
      <c r="E3598" s="1" t="s">
        <v>3635</v>
      </c>
      <c r="F3598">
        <v>47.2</v>
      </c>
      <c r="G3598">
        <f>28.02/2</f>
        <v>14.01</v>
      </c>
      <c r="H3598">
        <v>44</v>
      </c>
      <c r="I3598">
        <v>884</v>
      </c>
      <c r="J3598">
        <v>12.7995</v>
      </c>
      <c r="K3598">
        <v>315.7</v>
      </c>
      <c r="L3598">
        <v>64.78</v>
      </c>
      <c r="M3598">
        <v>166</v>
      </c>
      <c r="N3598">
        <v>13.5</v>
      </c>
      <c r="O3598">
        <v>11.5</v>
      </c>
      <c r="P3598">
        <v>0.33434999999999998</v>
      </c>
    </row>
    <row r="3599" spans="1:16">
      <c r="A3599" s="1" t="s">
        <v>3427</v>
      </c>
      <c r="B3599" s="1" t="s">
        <v>3647</v>
      </c>
      <c r="C3599" s="1" t="s">
        <v>18</v>
      </c>
      <c r="D3599" s="1" t="s">
        <v>19</v>
      </c>
      <c r="E3599" s="1" t="s">
        <v>3635</v>
      </c>
      <c r="F3599">
        <v>50</v>
      </c>
      <c r="G3599">
        <v>31.8</v>
      </c>
      <c r="H3599">
        <v>23.007999999999999</v>
      </c>
      <c r="I3599">
        <v>878</v>
      </c>
      <c r="J3599">
        <v>70</v>
      </c>
      <c r="K3599">
        <v>318.10000000000002</v>
      </c>
      <c r="L3599">
        <v>64.7</v>
      </c>
      <c r="M3599">
        <v>167.2</v>
      </c>
      <c r="N3599">
        <v>13.3</v>
      </c>
      <c r="O3599">
        <v>12.3</v>
      </c>
      <c r="P3599">
        <v>0.46045000000000003</v>
      </c>
    </row>
    <row r="3600" spans="1:16">
      <c r="A3600" s="1" t="s">
        <v>3427</v>
      </c>
      <c r="B3600" s="1" t="s">
        <v>3648</v>
      </c>
      <c r="C3600" s="1" t="s">
        <v>18</v>
      </c>
      <c r="D3600" s="1" t="s">
        <v>19</v>
      </c>
      <c r="E3600" s="1" t="s">
        <v>3635</v>
      </c>
      <c r="F3600">
        <v>106</v>
      </c>
      <c r="G3600">
        <v>43</v>
      </c>
      <c r="H3600">
        <v>31.334499999999998</v>
      </c>
      <c r="I3600">
        <v>892.7</v>
      </c>
      <c r="J3600">
        <v>14.959</v>
      </c>
      <c r="K3600">
        <v>337.5</v>
      </c>
      <c r="L3600">
        <v>69.3</v>
      </c>
      <c r="M3600">
        <v>163.9</v>
      </c>
      <c r="N3600">
        <v>19.899999999999999</v>
      </c>
      <c r="O3600">
        <v>11.72</v>
      </c>
      <c r="P3600">
        <v>0.34860999999999998</v>
      </c>
    </row>
    <row r="3601" spans="1:16">
      <c r="A3601" s="1" t="s">
        <v>3427</v>
      </c>
      <c r="B3601" s="1" t="s">
        <v>3649</v>
      </c>
      <c r="C3601" s="1" t="s">
        <v>18</v>
      </c>
      <c r="D3601" s="1" t="s">
        <v>19</v>
      </c>
      <c r="E3601" s="1" t="s">
        <v>3635</v>
      </c>
      <c r="F3601">
        <v>115</v>
      </c>
      <c r="G3601">
        <f>22.598/2</f>
        <v>11.298999999999999</v>
      </c>
      <c r="H3601">
        <v>25.7395</v>
      </c>
      <c r="I3601">
        <v>883.6</v>
      </c>
      <c r="J3601">
        <v>28</v>
      </c>
      <c r="K3601">
        <v>338</v>
      </c>
      <c r="L3601">
        <v>66.7</v>
      </c>
      <c r="M3601">
        <v>165.1</v>
      </c>
      <c r="N3601">
        <v>22.5</v>
      </c>
      <c r="O3601">
        <v>11.73</v>
      </c>
      <c r="P3601">
        <v>0.359765</v>
      </c>
    </row>
    <row r="3602" spans="1:16">
      <c r="A3602" s="1" t="s">
        <v>3427</v>
      </c>
      <c r="B3602" s="1" t="s">
        <v>3650</v>
      </c>
      <c r="C3602" s="1" t="s">
        <v>18</v>
      </c>
      <c r="D3602" s="1" t="s">
        <v>19</v>
      </c>
      <c r="E3602" s="1" t="s">
        <v>3635</v>
      </c>
      <c r="F3602">
        <v>42</v>
      </c>
      <c r="G3602">
        <f>29.042/2</f>
        <v>14.521000000000001</v>
      </c>
      <c r="H3602">
        <v>74</v>
      </c>
      <c r="I3602">
        <v>901.4</v>
      </c>
      <c r="J3602">
        <v>15.055999999999999</v>
      </c>
      <c r="K3602">
        <v>327.2</v>
      </c>
      <c r="L3602">
        <v>67.3</v>
      </c>
      <c r="M3602">
        <v>159.4</v>
      </c>
      <c r="N3602">
        <v>15.3</v>
      </c>
      <c r="O3602">
        <v>11.76</v>
      </c>
      <c r="P3602">
        <v>0.36127500000000001</v>
      </c>
    </row>
    <row r="3603" spans="1:16">
      <c r="A3603" s="1" t="s">
        <v>3427</v>
      </c>
      <c r="B3603" s="1" t="s">
        <v>3651</v>
      </c>
      <c r="C3603" s="1" t="s">
        <v>18</v>
      </c>
      <c r="D3603" s="1" t="s">
        <v>19</v>
      </c>
      <c r="E3603" s="1" t="s">
        <v>3635</v>
      </c>
      <c r="F3603">
        <v>136</v>
      </c>
      <c r="G3603">
        <v>47</v>
      </c>
      <c r="H3603">
        <v>66</v>
      </c>
      <c r="I3603">
        <v>880</v>
      </c>
      <c r="J3603">
        <v>42</v>
      </c>
      <c r="K3603">
        <v>324.2</v>
      </c>
      <c r="L3603">
        <v>65.400000000000006</v>
      </c>
      <c r="M3603">
        <v>152.6</v>
      </c>
      <c r="N3603">
        <v>12.6</v>
      </c>
      <c r="O3603">
        <v>11.41</v>
      </c>
      <c r="P3603">
        <v>0.33979500000000001</v>
      </c>
    </row>
    <row r="3604" spans="1:16">
      <c r="A3604" s="1" t="s">
        <v>3427</v>
      </c>
      <c r="B3604" s="1" t="s">
        <v>3652</v>
      </c>
      <c r="C3604" s="1" t="s">
        <v>18</v>
      </c>
      <c r="D3604" s="1" t="s">
        <v>19</v>
      </c>
      <c r="E3604" s="1" t="s">
        <v>3635</v>
      </c>
      <c r="F3604">
        <v>68</v>
      </c>
      <c r="G3604">
        <f>29.38/2</f>
        <v>14.69</v>
      </c>
      <c r="H3604">
        <v>70</v>
      </c>
      <c r="I3604">
        <v>873</v>
      </c>
      <c r="J3604">
        <v>16.609500000000001</v>
      </c>
      <c r="K3604">
        <v>306.39999999999998</v>
      </c>
      <c r="L3604">
        <v>66.900000000000006</v>
      </c>
      <c r="M3604">
        <v>150.80000000000001</v>
      </c>
      <c r="N3604">
        <v>17.100000000000001</v>
      </c>
      <c r="O3604">
        <v>12.63</v>
      </c>
      <c r="P3604">
        <v>0.30554999999999999</v>
      </c>
    </row>
    <row r="3605" spans="1:16">
      <c r="A3605" s="1" t="s">
        <v>3427</v>
      </c>
      <c r="B3605" s="1" t="s">
        <v>3653</v>
      </c>
      <c r="C3605" s="1" t="s">
        <v>18</v>
      </c>
      <c r="D3605" s="1" t="s">
        <v>19</v>
      </c>
      <c r="E3605" s="1" t="s">
        <v>3635</v>
      </c>
      <c r="F3605">
        <v>102</v>
      </c>
      <c r="G3605">
        <f>29.771</f>
        <v>29.771000000000001</v>
      </c>
      <c r="H3605">
        <v>29.204000000000001</v>
      </c>
      <c r="I3605">
        <v>890.8</v>
      </c>
      <c r="J3605">
        <v>15.87</v>
      </c>
      <c r="K3605">
        <v>310.7</v>
      </c>
      <c r="L3605">
        <v>65</v>
      </c>
      <c r="M3605">
        <v>158.80000000000001</v>
      </c>
      <c r="N3605">
        <v>15.3</v>
      </c>
      <c r="O3605">
        <v>11.74</v>
      </c>
      <c r="P3605">
        <v>0.36768499999999998</v>
      </c>
    </row>
    <row r="3606" spans="1:16">
      <c r="A3606" s="1" t="s">
        <v>3427</v>
      </c>
      <c r="B3606" s="1" t="s">
        <v>3654</v>
      </c>
      <c r="C3606" s="1" t="s">
        <v>18</v>
      </c>
      <c r="D3606" s="1" t="s">
        <v>19</v>
      </c>
      <c r="E3606" s="1" t="s">
        <v>3635</v>
      </c>
      <c r="F3606">
        <v>39.299999999999997</v>
      </c>
      <c r="G3606">
        <v>35.9</v>
      </c>
      <c r="H3606">
        <v>16.573499999999999</v>
      </c>
      <c r="I3606">
        <v>889</v>
      </c>
      <c r="J3606">
        <v>11.874000000000001</v>
      </c>
      <c r="K3606">
        <v>313.3</v>
      </c>
      <c r="L3606">
        <v>63.6</v>
      </c>
      <c r="M3606">
        <v>181.7</v>
      </c>
      <c r="N3606">
        <v>14.1</v>
      </c>
      <c r="O3606">
        <v>10.69</v>
      </c>
      <c r="P3606">
        <v>0.25281999999999999</v>
      </c>
    </row>
    <row r="3607" spans="1:16">
      <c r="A3607" s="1" t="s">
        <v>3427</v>
      </c>
      <c r="B3607" s="1" t="s">
        <v>3655</v>
      </c>
      <c r="C3607" s="1" t="s">
        <v>18</v>
      </c>
      <c r="D3607" s="1" t="s">
        <v>19</v>
      </c>
      <c r="E3607" s="1" t="s">
        <v>3635</v>
      </c>
      <c r="F3607">
        <v>20.8</v>
      </c>
      <c r="G3607">
        <f>31.689/2</f>
        <v>15.8445</v>
      </c>
      <c r="H3607">
        <v>163</v>
      </c>
      <c r="I3607">
        <v>1283</v>
      </c>
      <c r="J3607">
        <v>19.000499999999999</v>
      </c>
      <c r="K3607">
        <v>379.5</v>
      </c>
      <c r="L3607">
        <v>33.67</v>
      </c>
      <c r="M3607">
        <v>9.5229999999999997</v>
      </c>
      <c r="N3607">
        <v>15.3</v>
      </c>
      <c r="O3607">
        <v>3.05</v>
      </c>
      <c r="P3607">
        <v>0.85</v>
      </c>
    </row>
    <row r="3608" spans="1:16">
      <c r="A3608" s="1" t="s">
        <v>3427</v>
      </c>
      <c r="B3608" s="1" t="s">
        <v>3656</v>
      </c>
      <c r="C3608" s="1" t="s">
        <v>18</v>
      </c>
      <c r="D3608" s="1" t="s">
        <v>19</v>
      </c>
      <c r="E3608" s="1" t="s">
        <v>3635</v>
      </c>
      <c r="F3608">
        <v>77.400000000000006</v>
      </c>
      <c r="G3608">
        <v>247</v>
      </c>
      <c r="H3608">
        <v>23.642499999999998</v>
      </c>
      <c r="I3608">
        <v>1284</v>
      </c>
      <c r="J3608">
        <v>19.277999999999999</v>
      </c>
      <c r="K3608">
        <v>387.8</v>
      </c>
      <c r="L3608">
        <v>34.869999999999997</v>
      </c>
      <c r="M3608">
        <v>9.9009999999999998</v>
      </c>
      <c r="N3608">
        <v>18.100000000000001</v>
      </c>
      <c r="O3608">
        <v>2.86</v>
      </c>
      <c r="P3608">
        <v>0.405505</v>
      </c>
    </row>
    <row r="3609" spans="1:16">
      <c r="A3609" s="1" t="s">
        <v>3427</v>
      </c>
      <c r="B3609" s="1" t="s">
        <v>3657</v>
      </c>
      <c r="C3609" s="1" t="s">
        <v>18</v>
      </c>
      <c r="D3609" s="1" t="s">
        <v>19</v>
      </c>
      <c r="E3609" s="1" t="s">
        <v>3635</v>
      </c>
      <c r="F3609">
        <v>23.8</v>
      </c>
      <c r="G3609">
        <v>70</v>
      </c>
      <c r="H3609">
        <v>39.534500000000001</v>
      </c>
      <c r="I3609">
        <v>1277</v>
      </c>
      <c r="J3609">
        <v>69</v>
      </c>
      <c r="K3609">
        <v>467.2</v>
      </c>
      <c r="L3609">
        <v>34.31</v>
      </c>
      <c r="M3609">
        <v>15.2065</v>
      </c>
      <c r="N3609">
        <v>20.2</v>
      </c>
      <c r="O3609">
        <v>3.2</v>
      </c>
      <c r="P3609">
        <v>0.54869999999999997</v>
      </c>
    </row>
    <row r="3610" spans="1:16">
      <c r="A3610" s="1" t="s">
        <v>3427</v>
      </c>
      <c r="B3610" s="1" t="s">
        <v>3658</v>
      </c>
      <c r="C3610" s="1" t="s">
        <v>18</v>
      </c>
      <c r="D3610" s="1" t="s">
        <v>19</v>
      </c>
      <c r="E3610" s="1" t="s">
        <v>3635</v>
      </c>
      <c r="F3610">
        <f>38.604/2</f>
        <v>19.302</v>
      </c>
      <c r="G3610">
        <f>99.385/2</f>
        <v>49.692500000000003</v>
      </c>
      <c r="H3610">
        <v>254</v>
      </c>
      <c r="I3610">
        <v>1227</v>
      </c>
      <c r="J3610">
        <v>140</v>
      </c>
      <c r="K3610">
        <v>377.9</v>
      </c>
      <c r="L3610">
        <v>37.299999999999997</v>
      </c>
      <c r="M3610">
        <v>29.035</v>
      </c>
      <c r="N3610">
        <v>11.9</v>
      </c>
      <c r="O3610">
        <v>3.84</v>
      </c>
      <c r="P3610">
        <v>2.39</v>
      </c>
    </row>
    <row r="3611" spans="1:16">
      <c r="A3611" s="1" t="s">
        <v>3427</v>
      </c>
      <c r="B3611" s="1" t="s">
        <v>3659</v>
      </c>
      <c r="C3611" s="1" t="s">
        <v>18</v>
      </c>
      <c r="D3611" s="1" t="s">
        <v>19</v>
      </c>
      <c r="E3611" s="1" t="s">
        <v>3635</v>
      </c>
      <c r="F3611">
        <f>45.072/2</f>
        <v>22.536000000000001</v>
      </c>
      <c r="G3611">
        <f>103.56/2</f>
        <v>51.78</v>
      </c>
      <c r="H3611">
        <v>102.22</v>
      </c>
      <c r="I3611">
        <v>1250</v>
      </c>
      <c r="J3611">
        <v>49.075499999999998</v>
      </c>
      <c r="K3611">
        <v>369</v>
      </c>
      <c r="L3611">
        <v>37.4</v>
      </c>
      <c r="M3611">
        <v>41.276499999999999</v>
      </c>
      <c r="N3611">
        <v>5.7060000000000004</v>
      </c>
      <c r="O3611">
        <v>3.31</v>
      </c>
      <c r="P3611">
        <v>1.71705</v>
      </c>
    </row>
    <row r="3612" spans="1:16">
      <c r="A3612" s="1" t="s">
        <v>3427</v>
      </c>
      <c r="B3612" s="1" t="s">
        <v>3660</v>
      </c>
      <c r="C3612" s="1" t="s">
        <v>18</v>
      </c>
      <c r="D3612" s="1" t="s">
        <v>19</v>
      </c>
      <c r="E3612" s="1" t="s">
        <v>3635</v>
      </c>
      <c r="F3612">
        <v>95.6</v>
      </c>
      <c r="G3612">
        <v>1390</v>
      </c>
      <c r="H3612">
        <v>84.575000000000003</v>
      </c>
      <c r="I3612">
        <v>1265</v>
      </c>
      <c r="J3612">
        <v>43.951000000000001</v>
      </c>
      <c r="K3612">
        <v>452.4</v>
      </c>
      <c r="L3612">
        <v>37.4</v>
      </c>
      <c r="M3612">
        <v>24.505500000000001</v>
      </c>
      <c r="N3612">
        <v>12.3</v>
      </c>
      <c r="O3612">
        <v>3.31</v>
      </c>
      <c r="P3612">
        <v>7.4</v>
      </c>
    </row>
    <row r="3613" spans="1:16">
      <c r="A3613" s="1" t="s">
        <v>3427</v>
      </c>
      <c r="B3613" s="1" t="s">
        <v>3661</v>
      </c>
      <c r="C3613" s="1" t="s">
        <v>18</v>
      </c>
      <c r="D3613" s="1" t="s">
        <v>19</v>
      </c>
      <c r="E3613" s="1" t="s">
        <v>3635</v>
      </c>
      <c r="F3613">
        <f>40.686/2</f>
        <v>20.343</v>
      </c>
      <c r="G3613">
        <f>105.89/2</f>
        <v>52.945</v>
      </c>
      <c r="H3613">
        <v>78.73</v>
      </c>
      <c r="I3613">
        <v>1260</v>
      </c>
      <c r="J3613">
        <v>52.06</v>
      </c>
      <c r="K3613">
        <v>366.3</v>
      </c>
      <c r="L3613">
        <v>35.9</v>
      </c>
      <c r="M3613">
        <v>30.044</v>
      </c>
      <c r="N3613">
        <v>16</v>
      </c>
      <c r="O3613">
        <v>4.2</v>
      </c>
      <c r="P3613">
        <v>1.26105</v>
      </c>
    </row>
    <row r="3614" spans="1:16">
      <c r="A3614" s="1" t="s">
        <v>3427</v>
      </c>
      <c r="B3614" s="1" t="s">
        <v>3662</v>
      </c>
      <c r="C3614" s="1" t="s">
        <v>18</v>
      </c>
      <c r="D3614" s="1" t="s">
        <v>19</v>
      </c>
      <c r="E3614" s="1" t="s">
        <v>3635</v>
      </c>
      <c r="F3614">
        <v>86.9</v>
      </c>
      <c r="G3614">
        <v>109</v>
      </c>
      <c r="H3614">
        <v>29720</v>
      </c>
      <c r="I3614">
        <v>2001</v>
      </c>
      <c r="J3614">
        <v>17.904499999999999</v>
      </c>
      <c r="K3614">
        <v>76.900000000000006</v>
      </c>
      <c r="L3614">
        <v>11.98</v>
      </c>
      <c r="M3614">
        <v>7.9980000000000002</v>
      </c>
      <c r="N3614">
        <v>2.61</v>
      </c>
      <c r="O3614">
        <v>9.5500000000000007</v>
      </c>
      <c r="P3614">
        <v>6</v>
      </c>
    </row>
    <row r="3615" spans="1:16">
      <c r="A3615" s="1" t="s">
        <v>3427</v>
      </c>
      <c r="B3615" s="1" t="s">
        <v>3663</v>
      </c>
      <c r="C3615" s="1" t="s">
        <v>18</v>
      </c>
      <c r="D3615" s="1" t="s">
        <v>19</v>
      </c>
      <c r="E3615" s="1" t="s">
        <v>3635</v>
      </c>
      <c r="F3615">
        <v>60.6</v>
      </c>
      <c r="G3615">
        <v>146</v>
      </c>
      <c r="H3615">
        <v>22250</v>
      </c>
      <c r="I3615">
        <v>1771</v>
      </c>
      <c r="J3615">
        <v>56</v>
      </c>
      <c r="K3615">
        <v>61.9</v>
      </c>
      <c r="L3615">
        <v>8.33</v>
      </c>
      <c r="M3615">
        <v>10.135</v>
      </c>
      <c r="N3615">
        <v>1.65595</v>
      </c>
      <c r="O3615">
        <v>10.41</v>
      </c>
      <c r="P3615">
        <v>4.78</v>
      </c>
    </row>
    <row r="3616" spans="1:16">
      <c r="A3616" s="1" t="s">
        <v>3427</v>
      </c>
      <c r="B3616" s="1" t="s">
        <v>3664</v>
      </c>
      <c r="C3616" s="1" t="s">
        <v>18</v>
      </c>
      <c r="D3616" s="1" t="s">
        <v>19</v>
      </c>
      <c r="E3616" s="1" t="s">
        <v>3635</v>
      </c>
      <c r="F3616">
        <v>67</v>
      </c>
      <c r="G3616">
        <v>431</v>
      </c>
      <c r="H3616">
        <v>9550</v>
      </c>
      <c r="I3616">
        <v>1396</v>
      </c>
      <c r="J3616">
        <v>12.382999999999999</v>
      </c>
      <c r="K3616">
        <v>46</v>
      </c>
      <c r="L3616">
        <v>7.05</v>
      </c>
      <c r="M3616">
        <v>61</v>
      </c>
      <c r="N3616">
        <v>4.9000000000000004</v>
      </c>
      <c r="O3616">
        <v>16.7</v>
      </c>
      <c r="P3616">
        <v>3.41</v>
      </c>
    </row>
    <row r="3617" spans="1:16">
      <c r="A3617" s="1" t="s">
        <v>3427</v>
      </c>
      <c r="B3617" s="1" t="s">
        <v>3665</v>
      </c>
      <c r="C3617" s="1" t="s">
        <v>18</v>
      </c>
      <c r="D3617" s="1" t="s">
        <v>19</v>
      </c>
      <c r="E3617" s="1" t="s">
        <v>3635</v>
      </c>
      <c r="F3617">
        <v>186</v>
      </c>
      <c r="G3617">
        <v>700</v>
      </c>
      <c r="H3617">
        <v>65</v>
      </c>
      <c r="I3617">
        <v>937</v>
      </c>
      <c r="J3617">
        <v>72</v>
      </c>
      <c r="K3617">
        <v>60.6</v>
      </c>
      <c r="L3617">
        <v>5.98</v>
      </c>
      <c r="M3617">
        <v>372.6</v>
      </c>
      <c r="N3617">
        <v>7.2</v>
      </c>
      <c r="O3617">
        <v>30.1</v>
      </c>
      <c r="P3617">
        <v>0.31403500000000001</v>
      </c>
    </row>
    <row r="3618" spans="1:16">
      <c r="A3618" s="1" t="s">
        <v>3427</v>
      </c>
      <c r="B3618" s="1" t="s">
        <v>3666</v>
      </c>
      <c r="C3618" s="1" t="s">
        <v>18</v>
      </c>
      <c r="D3618" s="1" t="s">
        <v>19</v>
      </c>
      <c r="E3618" s="1" t="s">
        <v>3635</v>
      </c>
      <c r="F3618">
        <v>21.1</v>
      </c>
      <c r="G3618">
        <v>166</v>
      </c>
      <c r="H3618">
        <v>15.821</v>
      </c>
      <c r="I3618">
        <v>896</v>
      </c>
      <c r="J3618">
        <v>9.9320000000000004</v>
      </c>
      <c r="K3618">
        <v>39.799999999999997</v>
      </c>
      <c r="L3618">
        <v>2.7</v>
      </c>
      <c r="M3618">
        <v>337.7</v>
      </c>
      <c r="N3618">
        <v>1.0286999999999999</v>
      </c>
      <c r="O3618">
        <v>23.54</v>
      </c>
      <c r="P3618">
        <v>0.239455</v>
      </c>
    </row>
    <row r="3619" spans="1:16">
      <c r="A3619" s="1" t="s">
        <v>3427</v>
      </c>
      <c r="B3619" s="1" t="s">
        <v>3667</v>
      </c>
      <c r="C3619" s="1" t="s">
        <v>18</v>
      </c>
      <c r="D3619" s="1" t="s">
        <v>19</v>
      </c>
      <c r="E3619" s="1" t="s">
        <v>3635</v>
      </c>
      <c r="F3619">
        <v>13.3</v>
      </c>
      <c r="G3619">
        <f>29.452/2</f>
        <v>14.726000000000001</v>
      </c>
      <c r="H3619">
        <v>510</v>
      </c>
      <c r="I3619">
        <v>960</v>
      </c>
      <c r="J3619">
        <v>18.172499999999999</v>
      </c>
      <c r="K3619">
        <v>54.2</v>
      </c>
      <c r="L3619">
        <v>1.91</v>
      </c>
      <c r="M3619">
        <v>339</v>
      </c>
      <c r="N3619">
        <v>3</v>
      </c>
      <c r="O3619">
        <v>27.29</v>
      </c>
      <c r="P3619">
        <v>0.47704999999999997</v>
      </c>
    </row>
    <row r="3620" spans="1:16">
      <c r="A3620" s="1" t="s">
        <v>3427</v>
      </c>
      <c r="B3620" s="1" t="s">
        <v>3668</v>
      </c>
      <c r="C3620" s="1" t="s">
        <v>18</v>
      </c>
      <c r="D3620" s="1" t="s">
        <v>19</v>
      </c>
      <c r="E3620" s="1" t="s">
        <v>3635</v>
      </c>
      <c r="F3620">
        <v>194.5</v>
      </c>
      <c r="G3620">
        <v>224</v>
      </c>
      <c r="H3620">
        <v>21.508500000000002</v>
      </c>
      <c r="I3620">
        <v>542.9</v>
      </c>
      <c r="J3620">
        <v>17.867999999999999</v>
      </c>
      <c r="K3620">
        <v>402.3</v>
      </c>
      <c r="L3620">
        <v>118.6</v>
      </c>
      <c r="M3620">
        <v>205.8</v>
      </c>
      <c r="N3620">
        <v>8.6</v>
      </c>
      <c r="O3620">
        <v>27.21</v>
      </c>
      <c r="P3620">
        <v>0.33116000000000001</v>
      </c>
    </row>
    <row r="3621" spans="1:16">
      <c r="A3621" s="1" t="s">
        <v>3427</v>
      </c>
      <c r="B3621" s="1" t="s">
        <v>3669</v>
      </c>
      <c r="C3621" s="1" t="s">
        <v>18</v>
      </c>
      <c r="D3621" s="1" t="s">
        <v>19</v>
      </c>
      <c r="E3621" s="1" t="s">
        <v>3635</v>
      </c>
      <c r="F3621">
        <v>191.3</v>
      </c>
      <c r="G3621">
        <v>366</v>
      </c>
      <c r="H3621">
        <v>27.679500000000001</v>
      </c>
      <c r="I3621">
        <v>553.29999999999995</v>
      </c>
      <c r="J3621">
        <v>14.167</v>
      </c>
      <c r="K3621">
        <v>365.5</v>
      </c>
      <c r="L3621">
        <v>122.1</v>
      </c>
      <c r="M3621">
        <v>213.1</v>
      </c>
      <c r="N3621">
        <v>3.8</v>
      </c>
      <c r="O3621">
        <v>27.66</v>
      </c>
      <c r="P3621">
        <v>0.37181999999999998</v>
      </c>
    </row>
    <row r="3622" spans="1:16">
      <c r="A3622" s="1" t="s">
        <v>3427</v>
      </c>
      <c r="B3622" s="1" t="s">
        <v>3670</v>
      </c>
      <c r="C3622" s="1" t="s">
        <v>18</v>
      </c>
      <c r="D3622" s="1" t="s">
        <v>19</v>
      </c>
      <c r="E3622" s="1" t="s">
        <v>3635</v>
      </c>
      <c r="F3622">
        <v>214.2</v>
      </c>
      <c r="G3622">
        <v>126</v>
      </c>
      <c r="H3622">
        <v>23.536000000000001</v>
      </c>
      <c r="I3622">
        <v>557.1</v>
      </c>
      <c r="J3622">
        <v>16.056000000000001</v>
      </c>
      <c r="K3622">
        <v>407.4</v>
      </c>
      <c r="L3622">
        <v>121.7</v>
      </c>
      <c r="M3622">
        <v>212.2</v>
      </c>
      <c r="N3622">
        <v>12</v>
      </c>
      <c r="O3622">
        <v>28.1</v>
      </c>
      <c r="P3622">
        <v>0.39850999999999998</v>
      </c>
    </row>
    <row r="3623" spans="1:16">
      <c r="A3623" s="1" t="s">
        <v>3427</v>
      </c>
      <c r="B3623" s="1" t="s">
        <v>3671</v>
      </c>
      <c r="C3623" s="1" t="s">
        <v>18</v>
      </c>
      <c r="D3623" s="1" t="s">
        <v>19</v>
      </c>
      <c r="E3623" s="1" t="s">
        <v>3635</v>
      </c>
      <c r="F3623">
        <v>228.2</v>
      </c>
      <c r="G3623">
        <v>81</v>
      </c>
      <c r="H3623">
        <v>31.538499999999999</v>
      </c>
      <c r="I3623">
        <v>549.79999999999995</v>
      </c>
      <c r="J3623">
        <v>13.987</v>
      </c>
      <c r="K3623">
        <v>404.5</v>
      </c>
      <c r="L3623">
        <v>119.8</v>
      </c>
      <c r="M3623">
        <v>213.9</v>
      </c>
      <c r="N3623">
        <v>13.1</v>
      </c>
      <c r="O3623">
        <v>28.5</v>
      </c>
      <c r="P3623">
        <v>0.37879000000000002</v>
      </c>
    </row>
    <row r="3624" spans="1:16">
      <c r="A3624" s="1" t="s">
        <v>3427</v>
      </c>
      <c r="B3624" s="1" t="s">
        <v>3672</v>
      </c>
      <c r="C3624" s="1" t="s">
        <v>18</v>
      </c>
      <c r="D3624" s="1" t="s">
        <v>19</v>
      </c>
      <c r="E3624" s="1" t="s">
        <v>3635</v>
      </c>
      <c r="F3624">
        <v>192.5</v>
      </c>
      <c r="G3624">
        <v>70</v>
      </c>
      <c r="H3624">
        <v>26.123999999999999</v>
      </c>
      <c r="I3624">
        <v>546.9</v>
      </c>
      <c r="J3624">
        <v>16.943000000000001</v>
      </c>
      <c r="K3624">
        <v>371.7</v>
      </c>
      <c r="L3624">
        <v>119.1</v>
      </c>
      <c r="M3624">
        <v>202.8</v>
      </c>
      <c r="N3624">
        <v>8.9</v>
      </c>
      <c r="O3624">
        <v>26.95</v>
      </c>
      <c r="P3624">
        <v>0.38473499999999999</v>
      </c>
    </row>
    <row r="3625" spans="1:16">
      <c r="A3625" s="1" t="s">
        <v>3427</v>
      </c>
      <c r="B3625" s="1" t="s">
        <v>3673</v>
      </c>
      <c r="C3625" s="1" t="s">
        <v>18</v>
      </c>
      <c r="D3625" s="1" t="s">
        <v>19</v>
      </c>
      <c r="E3625" s="1" t="s">
        <v>3635</v>
      </c>
      <c r="F3625">
        <v>305</v>
      </c>
      <c r="G3625">
        <v>132</v>
      </c>
      <c r="H3625">
        <v>25.815999999999999</v>
      </c>
      <c r="I3625">
        <v>545.70000000000005</v>
      </c>
      <c r="J3625">
        <v>15.093500000000001</v>
      </c>
      <c r="K3625">
        <v>378.4</v>
      </c>
      <c r="L3625">
        <v>121.9</v>
      </c>
      <c r="M3625">
        <v>196.5</v>
      </c>
      <c r="N3625">
        <v>11.8</v>
      </c>
      <c r="O3625">
        <v>28.58</v>
      </c>
      <c r="P3625">
        <v>0.281385</v>
      </c>
    </row>
    <row r="3626" spans="1:16">
      <c r="A3626" s="1" t="s">
        <v>3427</v>
      </c>
      <c r="B3626" s="1" t="s">
        <v>3674</v>
      </c>
      <c r="C3626" s="1" t="s">
        <v>18</v>
      </c>
      <c r="D3626" s="1" t="s">
        <v>19</v>
      </c>
      <c r="E3626" s="1" t="s">
        <v>3635</v>
      </c>
      <c r="F3626">
        <v>41.4</v>
      </c>
      <c r="G3626">
        <f>26.014/2</f>
        <v>13.007</v>
      </c>
      <c r="H3626">
        <v>18.146999999999998</v>
      </c>
      <c r="I3626">
        <v>803</v>
      </c>
      <c r="J3626">
        <v>85</v>
      </c>
      <c r="K3626">
        <v>585</v>
      </c>
      <c r="L3626">
        <v>34.799999999999997</v>
      </c>
      <c r="M3626">
        <v>10.134</v>
      </c>
      <c r="N3626">
        <v>29</v>
      </c>
      <c r="O3626">
        <v>17.829999999999998</v>
      </c>
      <c r="P3626">
        <v>0.26143499999999997</v>
      </c>
    </row>
    <row r="3627" spans="1:16">
      <c r="A3627" s="1" t="s">
        <v>3427</v>
      </c>
      <c r="B3627" s="1" t="s">
        <v>3675</v>
      </c>
      <c r="C3627" s="1" t="s">
        <v>18</v>
      </c>
      <c r="D3627" s="1" t="s">
        <v>19</v>
      </c>
      <c r="E3627" s="1" t="s">
        <v>3635</v>
      </c>
      <c r="F3627">
        <v>53.7</v>
      </c>
      <c r="G3627">
        <f>28.521/2</f>
        <v>14.2605</v>
      </c>
      <c r="H3627">
        <v>24.0685</v>
      </c>
      <c r="I3627">
        <v>802</v>
      </c>
      <c r="J3627">
        <v>60</v>
      </c>
      <c r="K3627">
        <v>640.4</v>
      </c>
      <c r="L3627">
        <v>34.729999999999997</v>
      </c>
      <c r="M3627">
        <v>8.423</v>
      </c>
      <c r="N3627">
        <v>32.5</v>
      </c>
      <c r="O3627">
        <v>18.38</v>
      </c>
      <c r="P3627">
        <v>0.30456</v>
      </c>
    </row>
    <row r="3628" spans="1:16">
      <c r="A3628" s="1" t="s">
        <v>3427</v>
      </c>
      <c r="B3628" s="1" t="s">
        <v>3676</v>
      </c>
      <c r="C3628" s="1" t="s">
        <v>18</v>
      </c>
      <c r="D3628" s="1" t="s">
        <v>19</v>
      </c>
      <c r="E3628" s="1" t="s">
        <v>3635</v>
      </c>
      <c r="F3628">
        <v>94</v>
      </c>
      <c r="G3628">
        <v>106</v>
      </c>
      <c r="H3628">
        <v>25.554500000000001</v>
      </c>
      <c r="I3628">
        <v>790</v>
      </c>
      <c r="J3628">
        <v>96</v>
      </c>
      <c r="K3628">
        <v>600.4</v>
      </c>
      <c r="L3628">
        <v>35.22</v>
      </c>
      <c r="M3628">
        <v>9.5280000000000005</v>
      </c>
      <c r="N3628">
        <v>33</v>
      </c>
      <c r="O3628">
        <v>18.52</v>
      </c>
      <c r="P3628">
        <v>0.31800499999999998</v>
      </c>
    </row>
    <row r="3629" spans="1:16">
      <c r="A3629" s="1" t="s">
        <v>3427</v>
      </c>
      <c r="B3629" s="1" t="s">
        <v>3677</v>
      </c>
      <c r="C3629" s="1" t="s">
        <v>18</v>
      </c>
      <c r="D3629" s="1" t="s">
        <v>19</v>
      </c>
      <c r="E3629" s="1" t="s">
        <v>3635</v>
      </c>
      <c r="F3629">
        <v>66</v>
      </c>
      <c r="G3629">
        <v>112</v>
      </c>
      <c r="H3629">
        <v>16.064499999999999</v>
      </c>
      <c r="I3629">
        <v>735</v>
      </c>
      <c r="J3629">
        <v>76</v>
      </c>
      <c r="K3629">
        <v>621</v>
      </c>
      <c r="L3629">
        <v>34.9</v>
      </c>
      <c r="M3629">
        <v>8.8825000000000003</v>
      </c>
      <c r="N3629">
        <v>24.4</v>
      </c>
      <c r="O3629">
        <v>14.73</v>
      </c>
      <c r="P3629">
        <v>0.35844999999999999</v>
      </c>
    </row>
    <row r="3630" spans="1:16">
      <c r="A3630" s="1" t="s">
        <v>3427</v>
      </c>
      <c r="B3630" s="1" t="s">
        <v>3678</v>
      </c>
      <c r="C3630" s="1" t="s">
        <v>18</v>
      </c>
      <c r="D3630" s="1" t="s">
        <v>19</v>
      </c>
      <c r="E3630" s="1" t="s">
        <v>3635</v>
      </c>
      <c r="F3630">
        <v>69</v>
      </c>
      <c r="G3630">
        <v>74</v>
      </c>
      <c r="H3630">
        <v>26.8065</v>
      </c>
      <c r="I3630">
        <v>731</v>
      </c>
      <c r="J3630">
        <v>79</v>
      </c>
      <c r="K3630">
        <v>627</v>
      </c>
      <c r="L3630">
        <v>33.1</v>
      </c>
      <c r="M3630">
        <v>12.263500000000001</v>
      </c>
      <c r="N3630">
        <v>23.1</v>
      </c>
      <c r="O3630">
        <v>15.5</v>
      </c>
      <c r="P3630">
        <v>0.40777000000000002</v>
      </c>
    </row>
    <row r="3631" spans="1:16">
      <c r="A3631" s="1" t="s">
        <v>3427</v>
      </c>
      <c r="B3631" s="1" t="s">
        <v>3679</v>
      </c>
      <c r="C3631" s="1" t="s">
        <v>18</v>
      </c>
      <c r="D3631" s="1" t="s">
        <v>19</v>
      </c>
      <c r="E3631" s="1" t="s">
        <v>3635</v>
      </c>
      <c r="F3631">
        <v>90</v>
      </c>
      <c r="G3631">
        <v>33</v>
      </c>
      <c r="H3631">
        <v>22.2685</v>
      </c>
      <c r="I3631">
        <v>977</v>
      </c>
      <c r="J3631">
        <v>52</v>
      </c>
      <c r="K3631">
        <v>370</v>
      </c>
      <c r="L3631">
        <v>42.4</v>
      </c>
      <c r="M3631">
        <v>51.6</v>
      </c>
      <c r="N3631">
        <v>19.899999999999999</v>
      </c>
      <c r="O3631">
        <v>9.7200000000000006</v>
      </c>
      <c r="P3631">
        <v>0.28950500000000001</v>
      </c>
    </row>
    <row r="3632" spans="1:16">
      <c r="A3632" s="1" t="s">
        <v>3427</v>
      </c>
      <c r="B3632" s="1" t="s">
        <v>3680</v>
      </c>
      <c r="C3632" s="1" t="s">
        <v>18</v>
      </c>
      <c r="D3632" s="1" t="s">
        <v>19</v>
      </c>
      <c r="E3632" s="1" t="s">
        <v>3635</v>
      </c>
      <c r="F3632">
        <v>30.6</v>
      </c>
      <c r="G3632">
        <f>32.996/2</f>
        <v>16.498000000000001</v>
      </c>
      <c r="H3632">
        <v>24.839500000000001</v>
      </c>
      <c r="I3632">
        <v>996</v>
      </c>
      <c r="J3632">
        <v>15.406000000000001</v>
      </c>
      <c r="K3632">
        <v>383.1</v>
      </c>
      <c r="L3632">
        <v>45.05</v>
      </c>
      <c r="M3632">
        <v>13.2775</v>
      </c>
      <c r="N3632">
        <v>15.1</v>
      </c>
      <c r="O3632">
        <v>10.36</v>
      </c>
      <c r="P3632">
        <v>0.379635</v>
      </c>
    </row>
    <row r="3633" spans="1:16">
      <c r="A3633" s="1" t="s">
        <v>3427</v>
      </c>
      <c r="B3633" s="1" t="s">
        <v>3681</v>
      </c>
      <c r="C3633" s="1" t="s">
        <v>18</v>
      </c>
      <c r="D3633" s="1" t="s">
        <v>19</v>
      </c>
      <c r="E3633" s="1" t="s">
        <v>3635</v>
      </c>
      <c r="F3633">
        <v>20.3</v>
      </c>
      <c r="G3633">
        <f>24.425/2</f>
        <v>12.2125</v>
      </c>
      <c r="H3633">
        <v>18.466000000000001</v>
      </c>
      <c r="I3633">
        <v>989</v>
      </c>
      <c r="J3633">
        <v>96</v>
      </c>
      <c r="K3633">
        <v>388.4</v>
      </c>
      <c r="L3633">
        <v>44.61</v>
      </c>
      <c r="M3633">
        <v>35.200000000000003</v>
      </c>
      <c r="N3633">
        <v>12.1</v>
      </c>
      <c r="O3633">
        <v>9.49</v>
      </c>
      <c r="P3633">
        <v>0.29865999999999998</v>
      </c>
    </row>
    <row r="3634" spans="1:16">
      <c r="A3634" s="1" t="s">
        <v>3427</v>
      </c>
      <c r="B3634" s="1" t="s">
        <v>3682</v>
      </c>
      <c r="C3634" s="1" t="s">
        <v>18</v>
      </c>
      <c r="D3634" s="1" t="s">
        <v>19</v>
      </c>
      <c r="E3634" s="1" t="s">
        <v>3635</v>
      </c>
      <c r="F3634">
        <v>14.9</v>
      </c>
      <c r="G3634">
        <f>27.802/2</f>
        <v>13.901</v>
      </c>
      <c r="H3634">
        <v>50</v>
      </c>
      <c r="I3634">
        <v>986</v>
      </c>
      <c r="J3634">
        <v>91</v>
      </c>
      <c r="K3634">
        <v>364.1</v>
      </c>
      <c r="L3634">
        <v>43.63</v>
      </c>
      <c r="M3634">
        <v>40.5</v>
      </c>
      <c r="N3634">
        <v>14.7</v>
      </c>
      <c r="O3634">
        <v>9.7799999999999994</v>
      </c>
      <c r="P3634">
        <v>0.53</v>
      </c>
    </row>
    <row r="3635" spans="1:16">
      <c r="A3635" s="1" t="s">
        <v>3427</v>
      </c>
      <c r="B3635" s="1" t="s">
        <v>3683</v>
      </c>
      <c r="C3635" s="1" t="s">
        <v>18</v>
      </c>
      <c r="D3635" s="1" t="s">
        <v>19</v>
      </c>
      <c r="E3635" s="1" t="s">
        <v>3635</v>
      </c>
      <c r="F3635">
        <v>39</v>
      </c>
      <c r="G3635">
        <f>30.938/2</f>
        <v>15.468999999999999</v>
      </c>
      <c r="H3635">
        <v>85</v>
      </c>
      <c r="I3635">
        <v>983</v>
      </c>
      <c r="J3635">
        <v>21.0245</v>
      </c>
      <c r="K3635">
        <v>363.2</v>
      </c>
      <c r="L3635">
        <v>41.74</v>
      </c>
      <c r="M3635">
        <v>24.7</v>
      </c>
      <c r="N3635">
        <v>16.7</v>
      </c>
      <c r="O3635">
        <v>9.99</v>
      </c>
      <c r="P3635">
        <v>0.40114499999999997</v>
      </c>
    </row>
    <row r="3636" spans="1:16">
      <c r="A3636" s="1" t="s">
        <v>3427</v>
      </c>
      <c r="B3636" s="1" t="s">
        <v>3684</v>
      </c>
      <c r="C3636" s="1" t="s">
        <v>18</v>
      </c>
      <c r="D3636" s="1" t="s">
        <v>19</v>
      </c>
      <c r="E3636" s="1" t="s">
        <v>3635</v>
      </c>
      <c r="F3636">
        <v>112</v>
      </c>
      <c r="G3636">
        <v>64</v>
      </c>
      <c r="H3636">
        <v>71</v>
      </c>
      <c r="I3636">
        <v>992</v>
      </c>
      <c r="J3636">
        <v>26.133500000000002</v>
      </c>
      <c r="K3636">
        <v>373.7</v>
      </c>
      <c r="L3636">
        <v>43.17</v>
      </c>
      <c r="M3636">
        <v>34.1</v>
      </c>
      <c r="N3636">
        <v>21.8</v>
      </c>
      <c r="O3636">
        <v>10.63</v>
      </c>
      <c r="P3636">
        <v>0.35758000000000001</v>
      </c>
    </row>
    <row r="3637" spans="1:16">
      <c r="A3637" s="1" t="s">
        <v>3427</v>
      </c>
      <c r="B3637" s="1" t="s">
        <v>3685</v>
      </c>
      <c r="C3637" s="1" t="s">
        <v>18</v>
      </c>
      <c r="D3637" s="1" t="s">
        <v>19</v>
      </c>
      <c r="E3637" s="1" t="s">
        <v>3635</v>
      </c>
      <c r="F3637">
        <v>320</v>
      </c>
      <c r="G3637">
        <v>180</v>
      </c>
      <c r="H3637">
        <v>67</v>
      </c>
      <c r="I3637">
        <v>976</v>
      </c>
      <c r="J3637">
        <v>26.3215</v>
      </c>
      <c r="K3637">
        <v>390.9</v>
      </c>
      <c r="L3637">
        <v>43.38</v>
      </c>
      <c r="M3637">
        <v>29.5</v>
      </c>
      <c r="N3637">
        <v>19.899999999999999</v>
      </c>
      <c r="O3637">
        <v>10.28</v>
      </c>
      <c r="P3637">
        <v>0.34292499999999998</v>
      </c>
    </row>
    <row r="3638" spans="1:16">
      <c r="A3638" s="1" t="s">
        <v>3427</v>
      </c>
      <c r="B3638" s="1" t="s">
        <v>3686</v>
      </c>
      <c r="C3638" s="1" t="s">
        <v>18</v>
      </c>
      <c r="D3638" s="1" t="s">
        <v>19</v>
      </c>
      <c r="E3638" s="1" t="s">
        <v>3635</v>
      </c>
      <c r="F3638">
        <f>12.116/2</f>
        <v>6.0579999999999998</v>
      </c>
      <c r="G3638">
        <f>28.639/2</f>
        <v>14.3195</v>
      </c>
      <c r="H3638">
        <v>20.416499999999999</v>
      </c>
      <c r="I3638">
        <v>167.3</v>
      </c>
      <c r="J3638">
        <v>101</v>
      </c>
      <c r="K3638">
        <v>288.10000000000002</v>
      </c>
      <c r="L3638">
        <v>22.95</v>
      </c>
      <c r="M3638">
        <v>8.2210000000000001</v>
      </c>
      <c r="N3638">
        <v>7.4</v>
      </c>
      <c r="O3638">
        <v>7.86</v>
      </c>
      <c r="P3638">
        <v>0.29169499999999998</v>
      </c>
    </row>
    <row r="3639" spans="1:16">
      <c r="A3639" s="1" t="s">
        <v>3427</v>
      </c>
      <c r="B3639" s="1" t="s">
        <v>3687</v>
      </c>
      <c r="C3639" s="1" t="s">
        <v>18</v>
      </c>
      <c r="D3639" s="1" t="s">
        <v>19</v>
      </c>
      <c r="E3639" s="1" t="s">
        <v>3635</v>
      </c>
      <c r="F3639">
        <f>9.5816/2</f>
        <v>4.7907999999999999</v>
      </c>
      <c r="G3639">
        <f>28.046/2</f>
        <v>14.023</v>
      </c>
      <c r="H3639">
        <v>21.047999999999998</v>
      </c>
      <c r="I3639">
        <v>185.4</v>
      </c>
      <c r="J3639">
        <v>24.362500000000001</v>
      </c>
      <c r="K3639">
        <v>272</v>
      </c>
      <c r="L3639">
        <v>23.7</v>
      </c>
      <c r="M3639">
        <v>7.88</v>
      </c>
      <c r="N3639">
        <v>5.5</v>
      </c>
      <c r="O3639">
        <v>6.01</v>
      </c>
      <c r="P3639">
        <v>0.31418499999999999</v>
      </c>
    </row>
    <row r="3640" spans="1:16">
      <c r="A3640" s="1" t="s">
        <v>3427</v>
      </c>
      <c r="B3640" s="1" t="s">
        <v>3688</v>
      </c>
      <c r="C3640" s="1" t="s">
        <v>18</v>
      </c>
      <c r="D3640" s="1" t="s">
        <v>19</v>
      </c>
      <c r="E3640" s="1" t="s">
        <v>3635</v>
      </c>
      <c r="F3640">
        <v>56</v>
      </c>
      <c r="G3640">
        <f>23.731/2</f>
        <v>11.865500000000001</v>
      </c>
      <c r="H3640">
        <v>19.017499999999998</v>
      </c>
      <c r="I3640">
        <v>1801</v>
      </c>
      <c r="J3640">
        <v>18.443999999999999</v>
      </c>
      <c r="K3640">
        <v>282</v>
      </c>
      <c r="L3640">
        <v>36.78</v>
      </c>
      <c r="M3640">
        <v>64.3</v>
      </c>
      <c r="N3640">
        <v>16.2</v>
      </c>
      <c r="O3640">
        <v>14.57</v>
      </c>
      <c r="P3640">
        <v>0.32362000000000002</v>
      </c>
    </row>
    <row r="3641" spans="1:16">
      <c r="A3641" s="1" t="s">
        <v>3427</v>
      </c>
      <c r="B3641" s="1" t="s">
        <v>3689</v>
      </c>
      <c r="C3641" s="1" t="s">
        <v>18</v>
      </c>
      <c r="D3641" s="1" t="s">
        <v>19</v>
      </c>
      <c r="E3641" s="1" t="s">
        <v>3635</v>
      </c>
      <c r="F3641">
        <f>15.3/2</f>
        <v>7.65</v>
      </c>
      <c r="G3641">
        <f>25.076/2</f>
        <v>12.538</v>
      </c>
      <c r="H3641">
        <v>50</v>
      </c>
      <c r="I3641">
        <v>1727</v>
      </c>
      <c r="J3641">
        <v>103</v>
      </c>
      <c r="K3641">
        <v>296.3</v>
      </c>
      <c r="L3641">
        <v>38.26</v>
      </c>
      <c r="M3641">
        <v>44.4</v>
      </c>
      <c r="N3641">
        <v>19</v>
      </c>
      <c r="O3641">
        <v>12.99</v>
      </c>
      <c r="P3641">
        <v>0.30149999999999999</v>
      </c>
    </row>
    <row r="3642" spans="1:16">
      <c r="A3642" s="1" t="s">
        <v>3427</v>
      </c>
      <c r="B3642" s="1" t="s">
        <v>3690</v>
      </c>
      <c r="C3642" s="1" t="s">
        <v>18</v>
      </c>
      <c r="D3642" s="1" t="s">
        <v>19</v>
      </c>
      <c r="E3642" s="1" t="s">
        <v>3635</v>
      </c>
      <c r="F3642">
        <v>30.5</v>
      </c>
      <c r="G3642">
        <v>44</v>
      </c>
      <c r="H3642">
        <v>17.795500000000001</v>
      </c>
      <c r="I3642">
        <v>1705</v>
      </c>
      <c r="J3642">
        <v>44</v>
      </c>
      <c r="K3642">
        <v>245.3</v>
      </c>
      <c r="L3642">
        <v>35.51</v>
      </c>
      <c r="M3642">
        <v>54.1</v>
      </c>
      <c r="N3642">
        <v>13.5</v>
      </c>
      <c r="O3642">
        <v>13.97</v>
      </c>
      <c r="P3642">
        <v>0.29035499999999997</v>
      </c>
    </row>
    <row r="3643" spans="1:16">
      <c r="A3643" s="1" t="s">
        <v>3427</v>
      </c>
      <c r="B3643" s="1" t="s">
        <v>3691</v>
      </c>
      <c r="C3643" s="1" t="s">
        <v>18</v>
      </c>
      <c r="D3643" s="1" t="s">
        <v>19</v>
      </c>
      <c r="E3643" s="1" t="s">
        <v>3635</v>
      </c>
      <c r="F3643">
        <v>77</v>
      </c>
      <c r="G3643">
        <v>116</v>
      </c>
      <c r="H3643">
        <v>20.353000000000002</v>
      </c>
      <c r="I3643">
        <v>885</v>
      </c>
      <c r="J3643">
        <v>83</v>
      </c>
      <c r="K3643">
        <v>340.6</v>
      </c>
      <c r="L3643">
        <v>41.44</v>
      </c>
      <c r="M3643">
        <v>9.57</v>
      </c>
      <c r="N3643">
        <v>23.6</v>
      </c>
      <c r="O3643">
        <v>4.8</v>
      </c>
      <c r="P3643">
        <v>0.35953499999999999</v>
      </c>
    </row>
    <row r="3644" spans="1:16">
      <c r="A3644" s="1" t="s">
        <v>3427</v>
      </c>
      <c r="B3644" s="1" t="s">
        <v>3692</v>
      </c>
      <c r="C3644" s="1" t="s">
        <v>18</v>
      </c>
      <c r="D3644" s="1" t="s">
        <v>19</v>
      </c>
      <c r="E3644" s="1" t="s">
        <v>3635</v>
      </c>
      <c r="F3644">
        <f>14.359/2</f>
        <v>7.1795</v>
      </c>
      <c r="G3644">
        <f>31.425/2</f>
        <v>15.7125</v>
      </c>
      <c r="H3644">
        <v>27.036000000000001</v>
      </c>
      <c r="I3644">
        <v>955</v>
      </c>
      <c r="J3644">
        <v>22.780999999999999</v>
      </c>
      <c r="K3644">
        <v>447.9</v>
      </c>
      <c r="L3644">
        <v>43.13</v>
      </c>
      <c r="M3644">
        <v>9.7590000000000003</v>
      </c>
      <c r="N3644">
        <v>32.299999999999997</v>
      </c>
      <c r="O3644">
        <v>4.47</v>
      </c>
      <c r="P3644">
        <v>0.29117999999999999</v>
      </c>
    </row>
    <row r="3645" spans="1:16">
      <c r="A3645" s="1" t="s">
        <v>3427</v>
      </c>
      <c r="B3645" s="1" t="s">
        <v>3693</v>
      </c>
      <c r="C3645" s="1" t="s">
        <v>18</v>
      </c>
      <c r="D3645" s="1" t="s">
        <v>19</v>
      </c>
      <c r="E3645" s="1" t="s">
        <v>3635</v>
      </c>
      <c r="F3645">
        <f>13.004/2</f>
        <v>6.5019999999999998</v>
      </c>
      <c r="G3645">
        <f>31.346/2</f>
        <v>15.673</v>
      </c>
      <c r="H3645">
        <v>23.700500000000002</v>
      </c>
      <c r="I3645">
        <v>943</v>
      </c>
      <c r="J3645">
        <v>68</v>
      </c>
      <c r="K3645">
        <v>417</v>
      </c>
      <c r="L3645">
        <v>42</v>
      </c>
      <c r="M3645">
        <v>12.1775</v>
      </c>
      <c r="N3645">
        <v>30.2</v>
      </c>
      <c r="O3645">
        <v>4.1900000000000004</v>
      </c>
      <c r="P3645">
        <v>0.36768499999999998</v>
      </c>
    </row>
    <row r="3646" spans="1:16">
      <c r="A3646" s="1" t="s">
        <v>3427</v>
      </c>
      <c r="B3646" s="1" t="s">
        <v>3694</v>
      </c>
      <c r="C3646" s="1" t="s">
        <v>18</v>
      </c>
      <c r="D3646" s="1" t="s">
        <v>19</v>
      </c>
      <c r="E3646" s="1" t="s">
        <v>3635</v>
      </c>
      <c r="F3646">
        <v>18.600000000000001</v>
      </c>
      <c r="G3646">
        <f>29.709/2</f>
        <v>14.8545</v>
      </c>
      <c r="H3646">
        <f>29.709/2</f>
        <v>14.8545</v>
      </c>
      <c r="I3646">
        <v>966</v>
      </c>
      <c r="J3646">
        <v>23.435500000000001</v>
      </c>
      <c r="K3646">
        <v>438.1</v>
      </c>
      <c r="L3646">
        <v>43.36</v>
      </c>
      <c r="M3646">
        <v>8.4779999999999998</v>
      </c>
      <c r="N3646">
        <v>35.6</v>
      </c>
      <c r="O3646">
        <v>4.12</v>
      </c>
      <c r="P3646">
        <v>0.28849000000000002</v>
      </c>
    </row>
    <row r="3647" spans="1:16">
      <c r="A3647" s="1" t="s">
        <v>3427</v>
      </c>
      <c r="B3647" s="1" t="s">
        <v>3695</v>
      </c>
      <c r="C3647" s="1" t="s">
        <v>18</v>
      </c>
      <c r="D3647" s="1" t="s">
        <v>19</v>
      </c>
      <c r="E3647" s="1" t="s">
        <v>3635</v>
      </c>
      <c r="F3647">
        <v>123</v>
      </c>
      <c r="G3647">
        <f>27.738/2</f>
        <v>13.869</v>
      </c>
      <c r="H3647">
        <f>27.738/2</f>
        <v>13.869</v>
      </c>
      <c r="I3647">
        <v>967</v>
      </c>
      <c r="J3647">
        <v>128</v>
      </c>
      <c r="K3647">
        <v>442.6</v>
      </c>
      <c r="L3647">
        <v>43.6</v>
      </c>
      <c r="M3647">
        <v>7.5374999999999996</v>
      </c>
      <c r="N3647">
        <v>35.4</v>
      </c>
      <c r="O3647">
        <v>4.28</v>
      </c>
      <c r="P3647">
        <v>0.25675999999999999</v>
      </c>
    </row>
    <row r="3648" spans="1:16">
      <c r="A3648" s="1" t="s">
        <v>3427</v>
      </c>
      <c r="B3648" s="1" t="s">
        <v>3696</v>
      </c>
      <c r="C3648" s="1" t="s">
        <v>18</v>
      </c>
      <c r="D3648" s="1" t="s">
        <v>19</v>
      </c>
      <c r="E3648" s="1" t="s">
        <v>3635</v>
      </c>
      <c r="F3648">
        <f>12.46/2</f>
        <v>6.23</v>
      </c>
      <c r="G3648">
        <f>27.558/2</f>
        <v>13.779</v>
      </c>
      <c r="H3648">
        <f>27.558/2</f>
        <v>13.779</v>
      </c>
      <c r="I3648">
        <v>1023</v>
      </c>
      <c r="J3648">
        <v>24.2605</v>
      </c>
      <c r="K3648">
        <v>440.4</v>
      </c>
      <c r="L3648">
        <v>44.25</v>
      </c>
      <c r="M3648">
        <v>10.2035</v>
      </c>
      <c r="N3648">
        <v>32.5</v>
      </c>
      <c r="O3648">
        <v>4.3600000000000003</v>
      </c>
      <c r="P3648">
        <v>0.32579000000000002</v>
      </c>
    </row>
    <row r="3649" spans="1:16">
      <c r="A3649" s="1" t="s">
        <v>3427</v>
      </c>
      <c r="B3649" s="1" t="s">
        <v>3697</v>
      </c>
      <c r="C3649" s="1" t="s">
        <v>18</v>
      </c>
      <c r="D3649" s="1" t="s">
        <v>19</v>
      </c>
      <c r="E3649" s="1" t="s">
        <v>3635</v>
      </c>
      <c r="F3649">
        <v>15.8</v>
      </c>
      <c r="G3649">
        <f>36.9/2</f>
        <v>18.45</v>
      </c>
      <c r="H3649">
        <f>36.9/2</f>
        <v>18.45</v>
      </c>
      <c r="I3649">
        <v>1012</v>
      </c>
      <c r="J3649">
        <v>22.067</v>
      </c>
      <c r="K3649">
        <v>472.4</v>
      </c>
      <c r="L3649">
        <v>43.8</v>
      </c>
      <c r="M3649">
        <v>8.9734999999999996</v>
      </c>
      <c r="N3649">
        <v>36</v>
      </c>
      <c r="O3649">
        <v>4.2699999999999996</v>
      </c>
      <c r="P3649">
        <v>0.37490499999999999</v>
      </c>
    </row>
    <row r="3650" spans="1:16">
      <c r="A3650" s="1" t="s">
        <v>3427</v>
      </c>
      <c r="B3650" s="1" t="s">
        <v>3698</v>
      </c>
      <c r="C3650" s="1" t="s">
        <v>18</v>
      </c>
      <c r="D3650" s="1" t="s">
        <v>19</v>
      </c>
      <c r="E3650" s="1" t="s">
        <v>3635</v>
      </c>
      <c r="F3650">
        <f>14.813/2</f>
        <v>7.4065000000000003</v>
      </c>
      <c r="G3650">
        <f>38.245/2</f>
        <v>19.122499999999999</v>
      </c>
      <c r="H3650">
        <f>38.245/2</f>
        <v>19.122499999999999</v>
      </c>
      <c r="I3650">
        <v>296</v>
      </c>
      <c r="J3650">
        <v>437</v>
      </c>
      <c r="K3650">
        <v>87.1</v>
      </c>
      <c r="L3650">
        <v>12.2</v>
      </c>
      <c r="M3650">
        <v>11.6165</v>
      </c>
      <c r="N3650">
        <v>12.5</v>
      </c>
      <c r="O3650">
        <v>10.28</v>
      </c>
      <c r="P3650">
        <v>0.40386</v>
      </c>
    </row>
    <row r="3651" spans="1:16">
      <c r="A3651" s="1" t="s">
        <v>3427</v>
      </c>
      <c r="B3651" s="1" t="s">
        <v>3699</v>
      </c>
      <c r="C3651" s="1" t="s">
        <v>18</v>
      </c>
      <c r="D3651" s="1" t="s">
        <v>19</v>
      </c>
      <c r="E3651" s="1" t="s">
        <v>3635</v>
      </c>
      <c r="F3651">
        <v>39.1</v>
      </c>
      <c r="G3651">
        <v>166</v>
      </c>
      <c r="H3651">
        <v>23.006499999999999</v>
      </c>
      <c r="I3651">
        <v>351.1</v>
      </c>
      <c r="J3651">
        <v>424</v>
      </c>
      <c r="K3651">
        <v>102</v>
      </c>
      <c r="L3651">
        <v>7.86</v>
      </c>
      <c r="M3651">
        <v>7.9320000000000004</v>
      </c>
      <c r="N3651">
        <v>9.4</v>
      </c>
      <c r="O3651">
        <v>11.19</v>
      </c>
      <c r="P3651">
        <v>0.38337500000000002</v>
      </c>
    </row>
    <row r="3652" spans="1:16">
      <c r="A3652" s="1" t="s">
        <v>3427</v>
      </c>
      <c r="B3652" s="1" t="s">
        <v>3700</v>
      </c>
      <c r="C3652" s="1" t="s">
        <v>18</v>
      </c>
      <c r="D3652" s="1" t="s">
        <v>19</v>
      </c>
      <c r="E3652" s="1" t="s">
        <v>3635</v>
      </c>
      <c r="F3652">
        <v>35.9</v>
      </c>
      <c r="G3652">
        <f>31.266/2</f>
        <v>15.632999999999999</v>
      </c>
      <c r="H3652">
        <v>20.3705</v>
      </c>
      <c r="I3652">
        <v>1080</v>
      </c>
      <c r="J3652">
        <v>59</v>
      </c>
      <c r="K3652">
        <v>140.1</v>
      </c>
      <c r="L3652">
        <v>127.6</v>
      </c>
      <c r="M3652">
        <v>308.89999999999998</v>
      </c>
      <c r="N3652">
        <v>14.8</v>
      </c>
      <c r="O3652">
        <v>20.51</v>
      </c>
      <c r="P3652">
        <v>0.31583</v>
      </c>
    </row>
    <row r="3653" spans="1:16">
      <c r="A3653" s="1" t="s">
        <v>3427</v>
      </c>
      <c r="B3653" s="1" t="s">
        <v>3701</v>
      </c>
      <c r="C3653" s="1" t="s">
        <v>18</v>
      </c>
      <c r="D3653" s="1" t="s">
        <v>19</v>
      </c>
      <c r="E3653" s="1" t="s">
        <v>3635</v>
      </c>
      <c r="F3653">
        <v>128</v>
      </c>
      <c r="G3653">
        <v>142</v>
      </c>
      <c r="H3653">
        <v>358</v>
      </c>
      <c r="I3653">
        <v>1093</v>
      </c>
      <c r="J3653">
        <v>28.323</v>
      </c>
      <c r="K3653">
        <v>147.4</v>
      </c>
      <c r="L3653">
        <v>125.8</v>
      </c>
      <c r="M3653">
        <v>300.60000000000002</v>
      </c>
      <c r="N3653">
        <v>25.9</v>
      </c>
      <c r="O3653">
        <v>22.77</v>
      </c>
      <c r="P3653">
        <v>0.9</v>
      </c>
    </row>
    <row r="3654" spans="1:16">
      <c r="A3654" s="1" t="s">
        <v>3427</v>
      </c>
      <c r="B3654" s="1" t="s">
        <v>3702</v>
      </c>
      <c r="C3654" s="1" t="s">
        <v>18</v>
      </c>
      <c r="D3654" s="1" t="s">
        <v>19</v>
      </c>
      <c r="E3654" s="1" t="s">
        <v>3635</v>
      </c>
      <c r="F3654">
        <v>24.9</v>
      </c>
      <c r="G3654">
        <f>33.206/2</f>
        <v>16.603000000000002</v>
      </c>
      <c r="H3654">
        <v>231</v>
      </c>
      <c r="I3654">
        <v>1072</v>
      </c>
      <c r="J3654">
        <v>26.494</v>
      </c>
      <c r="K3654">
        <v>145.30000000000001</v>
      </c>
      <c r="L3654">
        <v>128.1</v>
      </c>
      <c r="M3654">
        <v>299</v>
      </c>
      <c r="N3654">
        <v>19.5</v>
      </c>
      <c r="O3654">
        <v>21.21</v>
      </c>
      <c r="P3654">
        <v>0.34343499999999999</v>
      </c>
    </row>
    <row r="3655" spans="1:16">
      <c r="A3655" s="1" t="s">
        <v>3427</v>
      </c>
      <c r="B3655" s="1" t="s">
        <v>3703</v>
      </c>
      <c r="C3655" s="1" t="s">
        <v>18</v>
      </c>
      <c r="D3655" s="1" t="s">
        <v>19</v>
      </c>
      <c r="E3655" s="1" t="s">
        <v>3635</v>
      </c>
      <c r="F3655">
        <f>41.773/2</f>
        <v>20.886500000000002</v>
      </c>
      <c r="G3655">
        <f>85.105/2</f>
        <v>42.552500000000002</v>
      </c>
      <c r="H3655">
        <v>1970</v>
      </c>
      <c r="I3655">
        <v>1082</v>
      </c>
      <c r="J3655">
        <v>180</v>
      </c>
      <c r="K3655">
        <v>165.4</v>
      </c>
      <c r="L3655">
        <v>137.80000000000001</v>
      </c>
      <c r="M3655">
        <v>278</v>
      </c>
      <c r="N3655">
        <v>28.3</v>
      </c>
      <c r="O3655">
        <v>28.2</v>
      </c>
      <c r="P3655">
        <v>1.96</v>
      </c>
    </row>
    <row r="3656" spans="1:16">
      <c r="A3656" s="1" t="s">
        <v>3427</v>
      </c>
      <c r="B3656" s="1" t="s">
        <v>3704</v>
      </c>
      <c r="C3656" s="1" t="s">
        <v>18</v>
      </c>
      <c r="D3656" s="1" t="s">
        <v>19</v>
      </c>
      <c r="E3656" s="1" t="s">
        <v>3635</v>
      </c>
      <c r="F3656">
        <v>31.3</v>
      </c>
      <c r="G3656">
        <f>33.053/2</f>
        <v>16.526499999999999</v>
      </c>
      <c r="H3656">
        <v>31.259499999999999</v>
      </c>
      <c r="I3656">
        <v>1054</v>
      </c>
      <c r="J3656">
        <v>23.1905</v>
      </c>
      <c r="K3656">
        <v>149.5</v>
      </c>
      <c r="L3656">
        <v>130</v>
      </c>
      <c r="M3656">
        <v>319.89999999999998</v>
      </c>
      <c r="N3656">
        <v>23.7</v>
      </c>
      <c r="O3656">
        <v>21.79</v>
      </c>
      <c r="P3656">
        <v>0.38934999999999997</v>
      </c>
    </row>
    <row r="3657" spans="1:16">
      <c r="A3657" s="1" t="s">
        <v>3427</v>
      </c>
      <c r="B3657" s="1" t="s">
        <v>3705</v>
      </c>
      <c r="C3657" s="1" t="s">
        <v>18</v>
      </c>
      <c r="D3657" s="1" t="s">
        <v>19</v>
      </c>
      <c r="E3657" s="1" t="s">
        <v>3635</v>
      </c>
      <c r="F3657">
        <f>15.563/2</f>
        <v>7.7815000000000003</v>
      </c>
      <c r="G3657">
        <f>32.638/2</f>
        <v>16.318999999999999</v>
      </c>
      <c r="H3657">
        <v>27.654499999999999</v>
      </c>
      <c r="I3657">
        <v>1068</v>
      </c>
      <c r="J3657">
        <v>24.270499999999998</v>
      </c>
      <c r="K3657">
        <v>147.69999999999999</v>
      </c>
      <c r="L3657">
        <v>128</v>
      </c>
      <c r="M3657">
        <v>301.7</v>
      </c>
      <c r="N3657">
        <v>17.600000000000001</v>
      </c>
      <c r="O3657">
        <v>21.61</v>
      </c>
      <c r="P3657">
        <v>0.35998000000000002</v>
      </c>
    </row>
    <row r="3658" spans="1:16">
      <c r="A3658" s="1" t="s">
        <v>3427</v>
      </c>
      <c r="B3658" s="1" t="s">
        <v>3706</v>
      </c>
      <c r="C3658" s="1" t="s">
        <v>18</v>
      </c>
      <c r="D3658" s="1" t="s">
        <v>19</v>
      </c>
      <c r="E3658" s="1" t="s">
        <v>3635</v>
      </c>
      <c r="F3658">
        <f>17.852/2</f>
        <v>8.9260000000000002</v>
      </c>
      <c r="G3658">
        <f>40.238/2</f>
        <v>20.119</v>
      </c>
      <c r="H3658">
        <v>321</v>
      </c>
      <c r="I3658">
        <v>937</v>
      </c>
      <c r="J3658">
        <v>33.216000000000001</v>
      </c>
      <c r="K3658">
        <v>58.9</v>
      </c>
      <c r="L3658">
        <v>122.6</v>
      </c>
      <c r="M3658">
        <v>160.4</v>
      </c>
      <c r="N3658">
        <v>14.2</v>
      </c>
      <c r="O3658">
        <v>5.85</v>
      </c>
      <c r="P3658">
        <v>0.56645000000000001</v>
      </c>
    </row>
    <row r="3659" spans="1:16">
      <c r="A3659" s="1" t="s">
        <v>3427</v>
      </c>
      <c r="B3659" s="1" t="s">
        <v>3707</v>
      </c>
      <c r="C3659" s="1" t="s">
        <v>18</v>
      </c>
      <c r="D3659" s="1" t="s">
        <v>19</v>
      </c>
      <c r="E3659" s="1" t="s">
        <v>3635</v>
      </c>
      <c r="F3659">
        <v>106</v>
      </c>
      <c r="G3659">
        <v>126</v>
      </c>
      <c r="H3659">
        <v>4380</v>
      </c>
      <c r="I3659">
        <v>942</v>
      </c>
      <c r="J3659">
        <v>23</v>
      </c>
      <c r="K3659">
        <v>61.3</v>
      </c>
      <c r="L3659">
        <v>128.1</v>
      </c>
      <c r="M3659">
        <v>166.1</v>
      </c>
      <c r="N3659">
        <v>16.600000000000001</v>
      </c>
      <c r="O3659">
        <v>5.97</v>
      </c>
      <c r="P3659">
        <v>0.33768999999999999</v>
      </c>
    </row>
    <row r="3660" spans="1:16">
      <c r="A3660" s="1" t="s">
        <v>3427</v>
      </c>
      <c r="B3660" s="1" t="s">
        <v>3708</v>
      </c>
      <c r="C3660" s="1" t="s">
        <v>18</v>
      </c>
      <c r="D3660" s="1" t="s">
        <v>19</v>
      </c>
      <c r="E3660" s="1" t="s">
        <v>3635</v>
      </c>
      <c r="F3660">
        <v>16.600000000000001</v>
      </c>
      <c r="G3660">
        <v>155</v>
      </c>
      <c r="H3660">
        <v>5150</v>
      </c>
      <c r="I3660">
        <v>616</v>
      </c>
      <c r="J3660">
        <v>75</v>
      </c>
      <c r="K3660">
        <v>21.8</v>
      </c>
      <c r="L3660">
        <v>2.94</v>
      </c>
      <c r="M3660">
        <v>7.1449999999999996</v>
      </c>
      <c r="N3660">
        <v>0.90295000000000003</v>
      </c>
      <c r="O3660">
        <v>3.28</v>
      </c>
      <c r="P3660">
        <v>1.84</v>
      </c>
    </row>
    <row r="3661" spans="1:16">
      <c r="A3661" s="1" t="s">
        <v>3427</v>
      </c>
      <c r="B3661" s="1" t="s">
        <v>3709</v>
      </c>
      <c r="C3661" s="1" t="s">
        <v>18</v>
      </c>
      <c r="D3661" s="1" t="s">
        <v>19</v>
      </c>
      <c r="E3661" s="1" t="s">
        <v>3635</v>
      </c>
      <c r="F3661">
        <f>12.912/2</f>
        <v>6.4560000000000004</v>
      </c>
      <c r="G3661">
        <v>107</v>
      </c>
      <c r="H3661">
        <v>5040</v>
      </c>
      <c r="I3661">
        <v>601.1</v>
      </c>
      <c r="J3661">
        <v>20.200500000000002</v>
      </c>
      <c r="K3661">
        <v>12.8</v>
      </c>
      <c r="L3661">
        <v>3.39</v>
      </c>
      <c r="M3661">
        <v>8.7505000000000006</v>
      </c>
      <c r="N3661">
        <v>1.0721499999999999</v>
      </c>
      <c r="O3661">
        <v>3.55</v>
      </c>
      <c r="P3661">
        <v>1.69</v>
      </c>
    </row>
    <row r="3662" spans="1:16">
      <c r="A3662" s="1" t="s">
        <v>3427</v>
      </c>
      <c r="B3662" s="1" t="s">
        <v>3710</v>
      </c>
      <c r="C3662" s="1" t="s">
        <v>18</v>
      </c>
      <c r="D3662" s="1" t="s">
        <v>19</v>
      </c>
      <c r="E3662" s="1" t="s">
        <v>3635</v>
      </c>
      <c r="F3662">
        <f>27.105/2</f>
        <v>13.5525</v>
      </c>
      <c r="G3662">
        <f>76.996/2</f>
        <v>38.497999999999998</v>
      </c>
      <c r="H3662">
        <v>4160</v>
      </c>
      <c r="I3662">
        <v>593</v>
      </c>
      <c r="J3662">
        <v>55.704999999999998</v>
      </c>
      <c r="K3662">
        <v>15.7</v>
      </c>
      <c r="L3662">
        <v>2.56</v>
      </c>
      <c r="M3662">
        <v>21.876999999999999</v>
      </c>
      <c r="N3662">
        <v>3.3975499999999998</v>
      </c>
      <c r="O3662">
        <v>3.3</v>
      </c>
      <c r="P3662">
        <v>2.62</v>
      </c>
    </row>
    <row r="3663" spans="1:16">
      <c r="A3663" s="1" t="s">
        <v>3427</v>
      </c>
      <c r="B3663" s="1" t="s">
        <v>3711</v>
      </c>
      <c r="C3663" s="1" t="s">
        <v>18</v>
      </c>
      <c r="D3663" s="1" t="s">
        <v>19</v>
      </c>
      <c r="E3663" s="1" t="s">
        <v>3635</v>
      </c>
      <c r="F3663">
        <f>14.432/2</f>
        <v>7.2160000000000002</v>
      </c>
      <c r="G3663">
        <f>32.15/2</f>
        <v>16.074999999999999</v>
      </c>
      <c r="H3663">
        <v>26.930499999999999</v>
      </c>
      <c r="I3663">
        <v>228.6</v>
      </c>
      <c r="J3663">
        <v>56</v>
      </c>
      <c r="K3663">
        <v>34.1</v>
      </c>
      <c r="L3663">
        <v>70.3</v>
      </c>
      <c r="M3663">
        <v>81.3</v>
      </c>
      <c r="N3663">
        <v>5.4</v>
      </c>
      <c r="O3663">
        <v>1.67</v>
      </c>
      <c r="P3663">
        <v>0.428595</v>
      </c>
    </row>
    <row r="3664" spans="1:16">
      <c r="A3664" s="1" t="s">
        <v>3427</v>
      </c>
      <c r="B3664" s="1" t="s">
        <v>3712</v>
      </c>
      <c r="C3664" s="1" t="s">
        <v>18</v>
      </c>
      <c r="D3664" s="1" t="s">
        <v>19</v>
      </c>
      <c r="E3664" s="1" t="s">
        <v>3635</v>
      </c>
      <c r="F3664">
        <f>25.81/2</f>
        <v>12.904999999999999</v>
      </c>
      <c r="G3664">
        <f>65.617/2</f>
        <v>32.808500000000002</v>
      </c>
      <c r="H3664">
        <v>1120</v>
      </c>
      <c r="I3664">
        <v>232.6</v>
      </c>
      <c r="J3664">
        <v>49.722499999999997</v>
      </c>
      <c r="K3664">
        <v>36.299999999999997</v>
      </c>
      <c r="L3664">
        <v>70.099999999999994</v>
      </c>
      <c r="M3664">
        <v>74</v>
      </c>
      <c r="N3664">
        <v>5.7</v>
      </c>
      <c r="O3664">
        <v>1.69</v>
      </c>
      <c r="P3664">
        <v>0.53144999999999998</v>
      </c>
    </row>
    <row r="3665" spans="1:16">
      <c r="A3665" s="1" t="s">
        <v>3427</v>
      </c>
      <c r="B3665" s="1" t="s">
        <v>3713</v>
      </c>
      <c r="C3665" s="1" t="s">
        <v>18</v>
      </c>
      <c r="D3665" s="1" t="s">
        <v>19</v>
      </c>
      <c r="E3665" s="1" t="s">
        <v>3635</v>
      </c>
      <c r="F3665">
        <v>210</v>
      </c>
      <c r="G3665">
        <f>42.899/2</f>
        <v>21.4495</v>
      </c>
      <c r="H3665">
        <v>27.391500000000001</v>
      </c>
      <c r="I3665">
        <v>224.5</v>
      </c>
      <c r="J3665">
        <v>25.512</v>
      </c>
      <c r="K3665">
        <v>41</v>
      </c>
      <c r="L3665">
        <v>64.7</v>
      </c>
      <c r="M3665">
        <v>66</v>
      </c>
      <c r="N3665">
        <v>10.7</v>
      </c>
      <c r="O3665">
        <v>1.52</v>
      </c>
      <c r="P3665">
        <v>0.30177500000000002</v>
      </c>
    </row>
    <row r="3666" spans="1:16">
      <c r="A3666" s="1" t="s">
        <v>3427</v>
      </c>
      <c r="B3666" s="1" t="s">
        <v>3714</v>
      </c>
      <c r="C3666" s="1" t="s">
        <v>18</v>
      </c>
      <c r="D3666" s="1" t="s">
        <v>19</v>
      </c>
      <c r="E3666" s="1" t="s">
        <v>3635</v>
      </c>
      <c r="F3666">
        <v>23.4</v>
      </c>
      <c r="G3666">
        <f>32.603/2</f>
        <v>16.301500000000001</v>
      </c>
      <c r="H3666">
        <v>25.832000000000001</v>
      </c>
      <c r="I3666">
        <v>228.2</v>
      </c>
      <c r="J3666">
        <v>29.259</v>
      </c>
      <c r="K3666">
        <v>39.5</v>
      </c>
      <c r="L3666">
        <v>77.3</v>
      </c>
      <c r="M3666">
        <v>72.3</v>
      </c>
      <c r="N3666">
        <v>3.45</v>
      </c>
      <c r="O3666">
        <v>1.71</v>
      </c>
      <c r="P3666">
        <v>0.34360000000000002</v>
      </c>
    </row>
    <row r="3667" spans="1:16">
      <c r="A3667" s="1" t="s">
        <v>3427</v>
      </c>
      <c r="B3667" s="1" t="s">
        <v>3715</v>
      </c>
      <c r="C3667" s="1" t="s">
        <v>18</v>
      </c>
      <c r="D3667" s="1" t="s">
        <v>19</v>
      </c>
      <c r="E3667" s="1" t="s">
        <v>3635</v>
      </c>
      <c r="F3667">
        <v>20</v>
      </c>
      <c r="G3667">
        <f>31.542/2</f>
        <v>15.771000000000001</v>
      </c>
      <c r="H3667">
        <v>22.698499999999999</v>
      </c>
      <c r="I3667">
        <v>239.3</v>
      </c>
      <c r="J3667">
        <v>50</v>
      </c>
      <c r="K3667">
        <v>40.6</v>
      </c>
      <c r="L3667">
        <v>73.5</v>
      </c>
      <c r="M3667">
        <v>101.7</v>
      </c>
      <c r="N3667">
        <v>3.1</v>
      </c>
      <c r="O3667">
        <v>1.79</v>
      </c>
      <c r="P3667">
        <v>0.27809</v>
      </c>
    </row>
    <row r="3668" spans="1:16">
      <c r="A3668" s="1" t="s">
        <v>3427</v>
      </c>
      <c r="B3668" s="1" t="s">
        <v>3716</v>
      </c>
      <c r="C3668" s="1" t="s">
        <v>18</v>
      </c>
      <c r="D3668" s="1" t="s">
        <v>19</v>
      </c>
      <c r="E3668" s="1" t="s">
        <v>3635</v>
      </c>
      <c r="F3668">
        <v>31.3</v>
      </c>
      <c r="G3668">
        <f>37.679/2</f>
        <v>18.839500000000001</v>
      </c>
      <c r="H3668">
        <v>22.562999999999999</v>
      </c>
      <c r="I3668">
        <v>235.9</v>
      </c>
      <c r="J3668">
        <v>23.08</v>
      </c>
      <c r="K3668">
        <v>42.1</v>
      </c>
      <c r="L3668">
        <v>69.400000000000006</v>
      </c>
      <c r="M3668">
        <v>76</v>
      </c>
      <c r="N3668">
        <v>3.4</v>
      </c>
      <c r="O3668">
        <v>2.0499999999999998</v>
      </c>
      <c r="P3668">
        <v>0.36522500000000002</v>
      </c>
    </row>
    <row r="3669" spans="1:16">
      <c r="A3669" s="1" t="s">
        <v>16</v>
      </c>
      <c r="B3669" s="1" t="s">
        <v>3717</v>
      </c>
      <c r="C3669" s="1" t="s">
        <v>18</v>
      </c>
      <c r="D3669" s="1" t="s">
        <v>19</v>
      </c>
      <c r="E3669" s="1" t="s">
        <v>3635</v>
      </c>
      <c r="F3669">
        <v>13740</v>
      </c>
      <c r="G3669">
        <v>1796</v>
      </c>
      <c r="H3669">
        <v>82.64</v>
      </c>
      <c r="I3669">
        <v>1002</v>
      </c>
      <c r="J3669">
        <v>32.012500000000003</v>
      </c>
      <c r="K3669">
        <v>481</v>
      </c>
      <c r="L3669">
        <v>175.9</v>
      </c>
      <c r="M3669">
        <v>426</v>
      </c>
      <c r="N3669">
        <v>19.632000000000001</v>
      </c>
      <c r="O3669">
        <v>1.7</v>
      </c>
      <c r="P3669">
        <v>15.9</v>
      </c>
    </row>
    <row r="3670" spans="1:16">
      <c r="A3670" s="1" t="s">
        <v>16</v>
      </c>
      <c r="B3670" s="1" t="s">
        <v>3718</v>
      </c>
      <c r="C3670" s="1" t="s">
        <v>18</v>
      </c>
      <c r="D3670" s="1" t="s">
        <v>19</v>
      </c>
      <c r="E3670" s="1" t="s">
        <v>3635</v>
      </c>
      <c r="F3670">
        <v>14420</v>
      </c>
      <c r="G3670">
        <v>2209</v>
      </c>
      <c r="H3670">
        <v>215</v>
      </c>
      <c r="I3670">
        <v>1045</v>
      </c>
      <c r="J3670">
        <v>25.400500000000001</v>
      </c>
      <c r="K3670">
        <v>532</v>
      </c>
      <c r="L3670">
        <v>162.1</v>
      </c>
      <c r="M3670">
        <v>416</v>
      </c>
      <c r="N3670">
        <v>63</v>
      </c>
      <c r="O3670">
        <v>2.68</v>
      </c>
      <c r="P3670">
        <v>13.7</v>
      </c>
    </row>
    <row r="3671" spans="1:16">
      <c r="A3671" s="1" t="s">
        <v>16</v>
      </c>
      <c r="B3671" s="1" t="s">
        <v>3719</v>
      </c>
      <c r="C3671" s="1" t="s">
        <v>18</v>
      </c>
      <c r="D3671" s="1" t="s">
        <v>19</v>
      </c>
      <c r="E3671" s="1" t="s">
        <v>3635</v>
      </c>
      <c r="F3671">
        <v>12900</v>
      </c>
      <c r="G3671">
        <v>1715</v>
      </c>
      <c r="H3671">
        <v>239</v>
      </c>
      <c r="I3671">
        <v>1030</v>
      </c>
      <c r="J3671">
        <v>22.6325</v>
      </c>
      <c r="K3671">
        <v>485</v>
      </c>
      <c r="L3671">
        <v>163.30000000000001</v>
      </c>
      <c r="M3671">
        <v>446</v>
      </c>
      <c r="N3671">
        <v>52.6</v>
      </c>
      <c r="O3671">
        <v>2.33</v>
      </c>
      <c r="P3671">
        <v>14.4</v>
      </c>
    </row>
    <row r="3672" spans="1:16">
      <c r="A3672" s="1" t="s">
        <v>16</v>
      </c>
      <c r="B3672" s="1" t="s">
        <v>3720</v>
      </c>
      <c r="C3672" s="1" t="s">
        <v>18</v>
      </c>
      <c r="D3672" s="1" t="s">
        <v>19</v>
      </c>
      <c r="E3672" s="1" t="s">
        <v>3635</v>
      </c>
      <c r="F3672">
        <v>9110</v>
      </c>
      <c r="G3672">
        <v>1099</v>
      </c>
      <c r="H3672">
        <v>162</v>
      </c>
      <c r="I3672">
        <v>960</v>
      </c>
      <c r="J3672">
        <v>31.630500000000001</v>
      </c>
      <c r="K3672">
        <v>403</v>
      </c>
      <c r="L3672">
        <v>160</v>
      </c>
      <c r="M3672">
        <v>483</v>
      </c>
      <c r="N3672">
        <v>36.799999999999997</v>
      </c>
      <c r="O3672">
        <v>1.93</v>
      </c>
      <c r="P3672">
        <v>13.9</v>
      </c>
    </row>
    <row r="3673" spans="1:16">
      <c r="A3673" s="1" t="s">
        <v>16</v>
      </c>
      <c r="B3673" s="1" t="s">
        <v>3721</v>
      </c>
      <c r="C3673" s="1" t="s">
        <v>18</v>
      </c>
      <c r="D3673" s="1" t="s">
        <v>19</v>
      </c>
      <c r="E3673" s="1" t="s">
        <v>3635</v>
      </c>
      <c r="F3673">
        <v>9580</v>
      </c>
      <c r="G3673">
        <v>2240</v>
      </c>
      <c r="H3673">
        <v>86.144999999999996</v>
      </c>
      <c r="I3673">
        <v>999</v>
      </c>
      <c r="J3673">
        <v>25.158999999999999</v>
      </c>
      <c r="K3673">
        <v>245</v>
      </c>
      <c r="L3673">
        <v>158.5</v>
      </c>
      <c r="M3673">
        <v>447</v>
      </c>
      <c r="N3673">
        <v>38.9</v>
      </c>
      <c r="O3673">
        <v>1.68</v>
      </c>
      <c r="P3673">
        <v>13.9</v>
      </c>
    </row>
    <row r="3674" spans="1:16">
      <c r="A3674" s="1" t="s">
        <v>16</v>
      </c>
      <c r="B3674" s="1" t="s">
        <v>3722</v>
      </c>
      <c r="C3674" s="1" t="s">
        <v>18</v>
      </c>
      <c r="D3674" s="1" t="s">
        <v>19</v>
      </c>
      <c r="E3674" s="1" t="s">
        <v>3635</v>
      </c>
      <c r="F3674">
        <v>9640</v>
      </c>
      <c r="G3674">
        <v>1470</v>
      </c>
      <c r="H3674">
        <v>100.91500000000001</v>
      </c>
      <c r="I3674">
        <v>1068</v>
      </c>
      <c r="J3674">
        <v>36.371499999999997</v>
      </c>
      <c r="K3674">
        <v>388</v>
      </c>
      <c r="L3674">
        <v>167.6</v>
      </c>
      <c r="M3674">
        <v>462</v>
      </c>
      <c r="N3674">
        <v>58</v>
      </c>
      <c r="O3674">
        <v>3.4</v>
      </c>
      <c r="P3674">
        <v>13.5</v>
      </c>
    </row>
    <row r="3675" spans="1:16">
      <c r="A3675" s="1" t="s">
        <v>16</v>
      </c>
      <c r="B3675" s="1" t="s">
        <v>3723</v>
      </c>
      <c r="C3675" s="1" t="s">
        <v>18</v>
      </c>
      <c r="D3675" s="1" t="s">
        <v>19</v>
      </c>
      <c r="E3675" s="1" t="s">
        <v>3635</v>
      </c>
      <c r="F3675">
        <v>9060</v>
      </c>
      <c r="G3675">
        <v>1586</v>
      </c>
      <c r="H3675">
        <v>64.14</v>
      </c>
      <c r="I3675">
        <v>1045</v>
      </c>
      <c r="J3675">
        <v>55</v>
      </c>
      <c r="K3675">
        <v>433</v>
      </c>
      <c r="L3675">
        <v>163.5</v>
      </c>
      <c r="M3675">
        <v>441</v>
      </c>
      <c r="N3675">
        <v>67</v>
      </c>
      <c r="O3675">
        <v>3.21</v>
      </c>
      <c r="P3675">
        <v>15.6</v>
      </c>
    </row>
    <row r="3676" spans="1:16">
      <c r="A3676" s="1" t="s">
        <v>16</v>
      </c>
      <c r="B3676" s="1" t="s">
        <v>3724</v>
      </c>
      <c r="C3676" s="1" t="s">
        <v>18</v>
      </c>
      <c r="D3676" s="1" t="s">
        <v>19</v>
      </c>
      <c r="E3676" s="1" t="s">
        <v>3635</v>
      </c>
      <c r="F3676">
        <v>10970</v>
      </c>
      <c r="G3676">
        <v>1474</v>
      </c>
      <c r="H3676">
        <v>63.83</v>
      </c>
      <c r="I3676">
        <v>1059</v>
      </c>
      <c r="J3676">
        <v>24.402999999999999</v>
      </c>
      <c r="K3676">
        <v>470</v>
      </c>
      <c r="L3676">
        <v>149.19999999999999</v>
      </c>
      <c r="M3676">
        <v>419</v>
      </c>
      <c r="N3676">
        <v>49.9</v>
      </c>
      <c r="O3676">
        <v>1.68</v>
      </c>
      <c r="P3676">
        <v>9.8000000000000007</v>
      </c>
    </row>
    <row r="3677" spans="1:16">
      <c r="A3677" s="1" t="s">
        <v>16</v>
      </c>
      <c r="B3677" s="1" t="s">
        <v>3725</v>
      </c>
      <c r="C3677" s="1" t="s">
        <v>18</v>
      </c>
      <c r="D3677" s="1" t="s">
        <v>19</v>
      </c>
      <c r="E3677" s="1" t="s">
        <v>3635</v>
      </c>
      <c r="F3677">
        <v>8700</v>
      </c>
      <c r="G3677">
        <v>1478</v>
      </c>
      <c r="H3677">
        <v>113</v>
      </c>
      <c r="I3677">
        <v>873</v>
      </c>
      <c r="J3677">
        <v>29.523499999999999</v>
      </c>
      <c r="K3677">
        <v>325</v>
      </c>
      <c r="L3677">
        <v>149</v>
      </c>
      <c r="M3677">
        <v>459</v>
      </c>
      <c r="N3677">
        <v>34.5</v>
      </c>
      <c r="O3677">
        <v>2.11</v>
      </c>
      <c r="P3677">
        <v>13.5</v>
      </c>
    </row>
    <row r="3678" spans="1:16">
      <c r="A3678" s="1" t="s">
        <v>16</v>
      </c>
      <c r="B3678" s="1" t="s">
        <v>3726</v>
      </c>
      <c r="C3678" s="1" t="s">
        <v>18</v>
      </c>
      <c r="D3678" s="1" t="s">
        <v>19</v>
      </c>
      <c r="E3678" s="1" t="s">
        <v>3635</v>
      </c>
      <c r="F3678">
        <v>8980</v>
      </c>
      <c r="G3678">
        <v>1326</v>
      </c>
      <c r="H3678">
        <v>149</v>
      </c>
      <c r="I3678">
        <v>878</v>
      </c>
      <c r="J3678">
        <v>24.746500000000001</v>
      </c>
      <c r="K3678">
        <v>407</v>
      </c>
      <c r="L3678">
        <v>141.30000000000001</v>
      </c>
      <c r="M3678">
        <v>408</v>
      </c>
      <c r="N3678">
        <v>31.8</v>
      </c>
      <c r="O3678">
        <v>1.45</v>
      </c>
      <c r="P3678">
        <v>10</v>
      </c>
    </row>
    <row r="3679" spans="1:16">
      <c r="A3679" s="1" t="s">
        <v>16</v>
      </c>
      <c r="B3679" s="1" t="s">
        <v>3727</v>
      </c>
      <c r="C3679" s="1" t="s">
        <v>18</v>
      </c>
      <c r="D3679" s="1" t="s">
        <v>19</v>
      </c>
      <c r="E3679" s="1" t="s">
        <v>3635</v>
      </c>
      <c r="F3679">
        <v>7800</v>
      </c>
      <c r="G3679">
        <v>1337</v>
      </c>
      <c r="H3679">
        <v>238</v>
      </c>
      <c r="I3679">
        <v>898</v>
      </c>
      <c r="J3679">
        <v>26.0215</v>
      </c>
      <c r="K3679">
        <v>288</v>
      </c>
      <c r="L3679">
        <v>153.19999999999999</v>
      </c>
      <c r="M3679">
        <v>414</v>
      </c>
      <c r="N3679">
        <v>40.1</v>
      </c>
      <c r="O3679">
        <v>1.71</v>
      </c>
      <c r="P3679">
        <v>12.7</v>
      </c>
    </row>
    <row r="3680" spans="1:16">
      <c r="A3680" s="1" t="s">
        <v>16</v>
      </c>
      <c r="B3680" s="1" t="s">
        <v>3728</v>
      </c>
      <c r="C3680" s="1" t="s">
        <v>18</v>
      </c>
      <c r="D3680" s="1" t="s">
        <v>19</v>
      </c>
      <c r="E3680" s="1" t="s">
        <v>3635</v>
      </c>
      <c r="F3680">
        <v>12400</v>
      </c>
      <c r="G3680">
        <v>1771</v>
      </c>
      <c r="H3680">
        <v>373</v>
      </c>
      <c r="I3680">
        <v>1016</v>
      </c>
      <c r="J3680">
        <v>37.472499999999997</v>
      </c>
      <c r="K3680">
        <v>494</v>
      </c>
      <c r="L3680">
        <v>133.19999999999999</v>
      </c>
      <c r="M3680">
        <v>400</v>
      </c>
      <c r="N3680">
        <v>66</v>
      </c>
      <c r="O3680">
        <v>2.21</v>
      </c>
      <c r="P3680">
        <v>12.2</v>
      </c>
    </row>
    <row r="3681" spans="1:16">
      <c r="A3681" s="1" t="s">
        <v>16</v>
      </c>
      <c r="B3681" s="1" t="s">
        <v>3729</v>
      </c>
      <c r="C3681" s="1" t="s">
        <v>18</v>
      </c>
      <c r="D3681" s="1" t="s">
        <v>19</v>
      </c>
      <c r="E3681" s="1" t="s">
        <v>3635</v>
      </c>
      <c r="F3681">
        <v>9270</v>
      </c>
      <c r="G3681">
        <v>1460</v>
      </c>
      <c r="H3681">
        <v>424</v>
      </c>
      <c r="I3681">
        <v>939</v>
      </c>
      <c r="J3681">
        <v>22.433499999999999</v>
      </c>
      <c r="K3681">
        <v>462</v>
      </c>
      <c r="L3681">
        <v>138</v>
      </c>
      <c r="M3681">
        <v>434</v>
      </c>
      <c r="N3681">
        <v>65</v>
      </c>
      <c r="O3681">
        <v>1.74</v>
      </c>
      <c r="P3681">
        <v>12.4</v>
      </c>
    </row>
    <row r="3682" spans="1:16">
      <c r="A3682" s="1" t="s">
        <v>16</v>
      </c>
      <c r="B3682" s="1" t="s">
        <v>3730</v>
      </c>
      <c r="C3682" s="1" t="s">
        <v>18</v>
      </c>
      <c r="D3682" s="1" t="s">
        <v>19</v>
      </c>
      <c r="E3682" s="1" t="s">
        <v>3635</v>
      </c>
      <c r="F3682">
        <v>10170</v>
      </c>
      <c r="G3682">
        <v>1343</v>
      </c>
      <c r="H3682">
        <v>580</v>
      </c>
      <c r="I3682">
        <v>1032</v>
      </c>
      <c r="J3682">
        <v>55.18</v>
      </c>
      <c r="K3682">
        <v>485</v>
      </c>
      <c r="L3682">
        <v>129.80000000000001</v>
      </c>
      <c r="M3682">
        <v>409</v>
      </c>
      <c r="N3682">
        <v>105.04</v>
      </c>
      <c r="O3682">
        <v>3.1259999999999999</v>
      </c>
      <c r="P3682">
        <f>15.665/2</f>
        <v>7.8324999999999996</v>
      </c>
    </row>
    <row r="3683" spans="1:16">
      <c r="A3683" s="1" t="s">
        <v>16</v>
      </c>
      <c r="B3683" s="1" t="s">
        <v>3731</v>
      </c>
      <c r="C3683" s="1" t="s">
        <v>18</v>
      </c>
      <c r="D3683" s="1" t="s">
        <v>19</v>
      </c>
      <c r="E3683" s="1" t="s">
        <v>3635</v>
      </c>
      <c r="F3683">
        <v>8970</v>
      </c>
      <c r="G3683">
        <v>1092</v>
      </c>
      <c r="H3683">
        <v>332</v>
      </c>
      <c r="I3683">
        <v>1056</v>
      </c>
      <c r="J3683">
        <v>22.557500000000001</v>
      </c>
      <c r="K3683">
        <v>463</v>
      </c>
      <c r="L3683">
        <v>131.69999999999999</v>
      </c>
      <c r="M3683">
        <v>421</v>
      </c>
      <c r="N3683">
        <v>55</v>
      </c>
      <c r="O3683">
        <v>0.44281500000000001</v>
      </c>
      <c r="P3683">
        <v>9.8000000000000007</v>
      </c>
    </row>
    <row r="3684" spans="1:16">
      <c r="A3684" s="1" t="s">
        <v>16</v>
      </c>
      <c r="B3684" s="1" t="s">
        <v>3732</v>
      </c>
      <c r="C3684" s="1" t="s">
        <v>18</v>
      </c>
      <c r="D3684" s="1" t="s">
        <v>19</v>
      </c>
      <c r="E3684" s="1" t="s">
        <v>3635</v>
      </c>
      <c r="F3684">
        <v>5720</v>
      </c>
      <c r="G3684">
        <v>891</v>
      </c>
      <c r="H3684">
        <v>204</v>
      </c>
      <c r="I3684">
        <v>1032</v>
      </c>
      <c r="J3684">
        <v>54</v>
      </c>
      <c r="K3684">
        <v>307</v>
      </c>
      <c r="L3684">
        <v>155.4</v>
      </c>
      <c r="M3684">
        <v>467</v>
      </c>
      <c r="N3684">
        <v>39.200000000000003</v>
      </c>
      <c r="O3684">
        <v>1.43</v>
      </c>
      <c r="P3684">
        <v>10.6</v>
      </c>
    </row>
    <row r="3685" spans="1:16">
      <c r="A3685" s="1" t="s">
        <v>16</v>
      </c>
      <c r="B3685" s="1" t="s">
        <v>3733</v>
      </c>
      <c r="C3685" s="1" t="s">
        <v>18</v>
      </c>
      <c r="D3685" s="1" t="s">
        <v>19</v>
      </c>
      <c r="E3685" s="1" t="s">
        <v>3635</v>
      </c>
      <c r="F3685">
        <v>6450</v>
      </c>
      <c r="G3685">
        <v>746</v>
      </c>
      <c r="H3685">
        <v>91.47</v>
      </c>
      <c r="I3685">
        <v>1000</v>
      </c>
      <c r="J3685">
        <v>36.281500000000001</v>
      </c>
      <c r="K3685">
        <v>304.2</v>
      </c>
      <c r="L3685">
        <v>136.19999999999999</v>
      </c>
      <c r="M3685">
        <v>451</v>
      </c>
      <c r="N3685">
        <v>16.1785</v>
      </c>
      <c r="O3685">
        <v>1.93</v>
      </c>
      <c r="P3685">
        <v>15.9</v>
      </c>
    </row>
    <row r="3686" spans="1:16">
      <c r="A3686" s="1" t="s">
        <v>16</v>
      </c>
      <c r="B3686" s="1" t="s">
        <v>3734</v>
      </c>
      <c r="C3686" s="1" t="s">
        <v>18</v>
      </c>
      <c r="D3686" s="1" t="s">
        <v>19</v>
      </c>
      <c r="E3686" s="1" t="s">
        <v>3635</v>
      </c>
      <c r="F3686">
        <v>5390</v>
      </c>
      <c r="G3686">
        <v>838</v>
      </c>
      <c r="H3686">
        <v>63.03</v>
      </c>
      <c r="I3686">
        <v>996</v>
      </c>
      <c r="J3686">
        <v>30.481000000000002</v>
      </c>
      <c r="K3686">
        <v>267</v>
      </c>
      <c r="L3686">
        <v>143.6</v>
      </c>
      <c r="M3686">
        <v>403</v>
      </c>
      <c r="N3686">
        <v>16.2575</v>
      </c>
      <c r="O3686">
        <v>1.74</v>
      </c>
      <c r="P3686">
        <v>10.3</v>
      </c>
    </row>
    <row r="3687" spans="1:16">
      <c r="A3687" s="1" t="s">
        <v>16</v>
      </c>
      <c r="B3687" s="1" t="s">
        <v>3735</v>
      </c>
      <c r="C3687" s="1" t="s">
        <v>18</v>
      </c>
      <c r="D3687" s="1" t="s">
        <v>19</v>
      </c>
      <c r="E3687" s="1" t="s">
        <v>3635</v>
      </c>
      <c r="F3687">
        <v>2640</v>
      </c>
      <c r="G3687">
        <v>206</v>
      </c>
      <c r="H3687">
        <v>270</v>
      </c>
      <c r="I3687">
        <v>630</v>
      </c>
      <c r="J3687">
        <v>24.162500000000001</v>
      </c>
      <c r="K3687">
        <v>209</v>
      </c>
      <c r="L3687">
        <v>95.9</v>
      </c>
      <c r="M3687">
        <v>281</v>
      </c>
      <c r="N3687">
        <v>54.8</v>
      </c>
      <c r="O3687">
        <v>0.33093</v>
      </c>
      <c r="P3687">
        <v>13.9</v>
      </c>
    </row>
    <row r="3688" spans="1:16">
      <c r="A3688" s="1" t="s">
        <v>16</v>
      </c>
      <c r="B3688" s="1" t="s">
        <v>3736</v>
      </c>
      <c r="C3688" s="1" t="s">
        <v>18</v>
      </c>
      <c r="D3688" s="1" t="s">
        <v>19</v>
      </c>
      <c r="E3688" s="1" t="s">
        <v>3635</v>
      </c>
      <c r="F3688">
        <v>7610</v>
      </c>
      <c r="G3688">
        <v>77</v>
      </c>
      <c r="H3688">
        <v>460</v>
      </c>
      <c r="I3688">
        <v>553</v>
      </c>
      <c r="J3688">
        <v>14.02</v>
      </c>
      <c r="K3688">
        <v>362</v>
      </c>
      <c r="L3688">
        <v>122.5</v>
      </c>
      <c r="M3688">
        <v>256</v>
      </c>
      <c r="N3688">
        <v>60.4</v>
      </c>
      <c r="O3688">
        <v>1.44</v>
      </c>
      <c r="P3688">
        <v>13.22</v>
      </c>
    </row>
    <row r="3689" spans="1:16">
      <c r="A3689" s="1" t="s">
        <v>16</v>
      </c>
      <c r="B3689" s="1" t="s">
        <v>3737</v>
      </c>
      <c r="C3689" s="1" t="s">
        <v>18</v>
      </c>
      <c r="D3689" s="1" t="s">
        <v>19</v>
      </c>
      <c r="E3689" s="1" t="s">
        <v>3635</v>
      </c>
      <c r="F3689">
        <v>8840</v>
      </c>
      <c r="G3689">
        <v>58</v>
      </c>
      <c r="H3689">
        <v>174.23</v>
      </c>
      <c r="I3689">
        <v>561</v>
      </c>
      <c r="J3689">
        <v>132</v>
      </c>
      <c r="K3689">
        <v>406.7</v>
      </c>
      <c r="L3689">
        <v>126.9</v>
      </c>
      <c r="M3689">
        <v>273</v>
      </c>
      <c r="N3689">
        <v>52.3</v>
      </c>
      <c r="O3689">
        <v>0.9</v>
      </c>
      <c r="P3689">
        <v>11.7</v>
      </c>
    </row>
    <row r="3690" spans="1:16">
      <c r="A3690" s="1" t="s">
        <v>16</v>
      </c>
      <c r="B3690" s="1" t="s">
        <v>3738</v>
      </c>
      <c r="C3690" s="1" t="s">
        <v>18</v>
      </c>
      <c r="D3690" s="1" t="s">
        <v>19</v>
      </c>
      <c r="E3690" s="1" t="s">
        <v>3635</v>
      </c>
      <c r="F3690">
        <v>7220</v>
      </c>
      <c r="G3690">
        <v>82</v>
      </c>
      <c r="H3690">
        <v>70.045000000000002</v>
      </c>
      <c r="I3690">
        <v>586</v>
      </c>
      <c r="J3690">
        <v>57</v>
      </c>
      <c r="K3690">
        <v>340</v>
      </c>
      <c r="L3690">
        <v>119.7</v>
      </c>
      <c r="M3690">
        <v>263</v>
      </c>
      <c r="N3690">
        <v>58.7</v>
      </c>
      <c r="O3690">
        <v>1.26</v>
      </c>
      <c r="P3690">
        <v>12.84</v>
      </c>
    </row>
    <row r="3691" spans="1:16">
      <c r="A3691" s="1" t="s">
        <v>16</v>
      </c>
      <c r="B3691" s="1" t="s">
        <v>3739</v>
      </c>
      <c r="C3691" s="1" t="s">
        <v>18</v>
      </c>
      <c r="D3691" s="1" t="s">
        <v>19</v>
      </c>
      <c r="E3691" s="1" t="s">
        <v>3635</v>
      </c>
      <c r="F3691">
        <v>5820</v>
      </c>
      <c r="G3691">
        <v>79</v>
      </c>
      <c r="H3691">
        <v>50.104999999999997</v>
      </c>
      <c r="I3691">
        <v>638</v>
      </c>
      <c r="J3691">
        <v>20.442</v>
      </c>
      <c r="K3691">
        <v>315.8</v>
      </c>
      <c r="L3691">
        <v>110.2</v>
      </c>
      <c r="M3691">
        <v>256</v>
      </c>
      <c r="N3691">
        <v>54</v>
      </c>
      <c r="O3691">
        <v>0.66</v>
      </c>
      <c r="P3691">
        <v>13.11</v>
      </c>
    </row>
    <row r="3692" spans="1:16">
      <c r="A3692" s="1" t="s">
        <v>16</v>
      </c>
      <c r="B3692" s="1" t="s">
        <v>3740</v>
      </c>
      <c r="C3692" s="1" t="s">
        <v>18</v>
      </c>
      <c r="D3692" s="1" t="s">
        <v>19</v>
      </c>
      <c r="E3692" s="1" t="s">
        <v>3635</v>
      </c>
      <c r="F3692">
        <v>9200</v>
      </c>
      <c r="G3692">
        <v>30</v>
      </c>
      <c r="H3692">
        <v>1290</v>
      </c>
      <c r="I3692">
        <v>538.4</v>
      </c>
      <c r="J3692">
        <v>23.9175</v>
      </c>
      <c r="K3692">
        <v>399.3</v>
      </c>
      <c r="L3692">
        <v>117.1</v>
      </c>
      <c r="M3692">
        <v>299</v>
      </c>
      <c r="N3692">
        <v>63</v>
      </c>
      <c r="O3692">
        <v>1.1200000000000001</v>
      </c>
      <c r="P3692">
        <v>13.8</v>
      </c>
    </row>
    <row r="3693" spans="1:16">
      <c r="A3693" s="1" t="s">
        <v>16</v>
      </c>
      <c r="B3693" s="1" t="s">
        <v>3741</v>
      </c>
      <c r="C3693" s="1" t="s">
        <v>18</v>
      </c>
      <c r="D3693" s="1" t="s">
        <v>19</v>
      </c>
      <c r="E3693" s="1" t="s">
        <v>3635</v>
      </c>
      <c r="F3693">
        <v>8160</v>
      </c>
      <c r="G3693">
        <v>56</v>
      </c>
      <c r="H3693">
        <v>306.47000000000003</v>
      </c>
      <c r="I3693">
        <v>521</v>
      </c>
      <c r="J3693">
        <v>18.361000000000001</v>
      </c>
      <c r="K3693">
        <v>348.4</v>
      </c>
      <c r="L3693">
        <v>121.6</v>
      </c>
      <c r="M3693">
        <v>307</v>
      </c>
      <c r="N3693">
        <v>55.6</v>
      </c>
      <c r="O3693">
        <v>1.36</v>
      </c>
      <c r="P3693">
        <v>16.71</v>
      </c>
    </row>
    <row r="3694" spans="1:16">
      <c r="A3694" s="1" t="s">
        <v>16</v>
      </c>
      <c r="B3694" s="1" t="s">
        <v>3742</v>
      </c>
      <c r="C3694" s="1" t="s">
        <v>18</v>
      </c>
      <c r="D3694" s="1" t="s">
        <v>19</v>
      </c>
      <c r="E3694" s="1" t="s">
        <v>3635</v>
      </c>
      <c r="F3694">
        <v>5940</v>
      </c>
      <c r="G3694">
        <v>60</v>
      </c>
      <c r="H3694">
        <v>280</v>
      </c>
      <c r="I3694">
        <v>545</v>
      </c>
      <c r="J3694">
        <v>25.687999999999999</v>
      </c>
      <c r="K3694">
        <v>291</v>
      </c>
      <c r="L3694">
        <v>112.6</v>
      </c>
      <c r="M3694">
        <v>301</v>
      </c>
      <c r="N3694">
        <v>38</v>
      </c>
      <c r="O3694">
        <v>1.97</v>
      </c>
      <c r="P3694">
        <v>15.4</v>
      </c>
    </row>
    <row r="3695" spans="1:16">
      <c r="A3695" s="1" t="s">
        <v>16</v>
      </c>
      <c r="B3695" s="1" t="s">
        <v>3743</v>
      </c>
      <c r="C3695" s="1" t="s">
        <v>18</v>
      </c>
      <c r="D3695" s="1" t="s">
        <v>19</v>
      </c>
      <c r="E3695" s="1" t="s">
        <v>3635</v>
      </c>
      <c r="F3695">
        <v>4950</v>
      </c>
      <c r="G3695">
        <v>82</v>
      </c>
      <c r="H3695">
        <v>637.54999999999995</v>
      </c>
      <c r="I3695">
        <v>555</v>
      </c>
      <c r="J3695">
        <v>18.037500000000001</v>
      </c>
      <c r="K3695">
        <v>234</v>
      </c>
      <c r="L3695">
        <v>111</v>
      </c>
      <c r="M3695">
        <v>297</v>
      </c>
      <c r="N3695">
        <v>24.216999999999999</v>
      </c>
      <c r="O3695">
        <v>0.9</v>
      </c>
      <c r="P3695">
        <v>12.66</v>
      </c>
    </row>
    <row r="3696" spans="1:16">
      <c r="A3696" s="1" t="s">
        <v>16</v>
      </c>
      <c r="B3696" s="1" t="s">
        <v>3744</v>
      </c>
      <c r="C3696" s="1" t="s">
        <v>18</v>
      </c>
      <c r="D3696" s="1" t="s">
        <v>19</v>
      </c>
      <c r="E3696" s="1" t="s">
        <v>3635</v>
      </c>
      <c r="F3696">
        <v>6700</v>
      </c>
      <c r="G3696">
        <v>21</v>
      </c>
      <c r="H3696">
        <v>34.975499999999997</v>
      </c>
      <c r="I3696">
        <v>550</v>
      </c>
      <c r="J3696">
        <v>54</v>
      </c>
      <c r="K3696">
        <v>303</v>
      </c>
      <c r="L3696">
        <v>114.2</v>
      </c>
      <c r="M3696">
        <v>266.60000000000002</v>
      </c>
      <c r="N3696">
        <v>47.8</v>
      </c>
      <c r="O3696">
        <v>1.33</v>
      </c>
      <c r="P3696">
        <v>12.8</v>
      </c>
    </row>
    <row r="3697" spans="1:16" s="11" customFormat="1">
      <c r="A3697" s="1" t="s">
        <v>16</v>
      </c>
      <c r="B3697" s="1" t="s">
        <v>5567</v>
      </c>
      <c r="C3697" s="1" t="s">
        <v>38</v>
      </c>
      <c r="D3697" s="1" t="s">
        <v>5503</v>
      </c>
      <c r="E3697" s="1" t="s">
        <v>3635</v>
      </c>
      <c r="F3697" s="11">
        <v>2403</v>
      </c>
      <c r="G3697" s="11">
        <v>6050</v>
      </c>
      <c r="H3697" s="11">
        <v>62100</v>
      </c>
      <c r="I3697" s="11">
        <v>3168</v>
      </c>
      <c r="J3697" s="11">
        <v>664</v>
      </c>
      <c r="K3697" s="11">
        <v>3723</v>
      </c>
      <c r="L3697" s="11">
        <v>127.7</v>
      </c>
      <c r="M3697" s="11">
        <v>223</v>
      </c>
      <c r="N3697" s="11">
        <v>847</v>
      </c>
      <c r="O3697" s="11">
        <v>52.3</v>
      </c>
      <c r="P3697" s="11">
        <v>6.93</v>
      </c>
    </row>
    <row r="3698" spans="1:16" s="11" customFormat="1">
      <c r="A3698" s="1" t="s">
        <v>16</v>
      </c>
      <c r="B3698" s="1" t="s">
        <v>5568</v>
      </c>
      <c r="C3698" s="1" t="s">
        <v>38</v>
      </c>
      <c r="D3698" s="1" t="s">
        <v>5503</v>
      </c>
      <c r="E3698" s="1" t="s">
        <v>3635</v>
      </c>
      <c r="F3698" s="11">
        <v>3310</v>
      </c>
      <c r="G3698" s="11">
        <v>6370</v>
      </c>
      <c r="H3698" s="11">
        <v>62100</v>
      </c>
      <c r="I3698" s="11">
        <v>3050</v>
      </c>
      <c r="J3698" s="11">
        <v>775</v>
      </c>
      <c r="K3698" s="11">
        <v>4690</v>
      </c>
      <c r="L3698" s="11">
        <v>123.5</v>
      </c>
      <c r="M3698" s="11">
        <v>241</v>
      </c>
      <c r="N3698" s="11">
        <v>2210</v>
      </c>
      <c r="O3698" s="11">
        <v>48.7</v>
      </c>
      <c r="P3698" s="11">
        <v>6.8</v>
      </c>
    </row>
    <row r="3699" spans="1:16" s="11" customFormat="1">
      <c r="A3699" s="1" t="s">
        <v>16</v>
      </c>
      <c r="B3699" s="1" t="s">
        <v>5569</v>
      </c>
      <c r="C3699" s="1" t="s">
        <v>38</v>
      </c>
      <c r="D3699" s="1" t="s">
        <v>5503</v>
      </c>
      <c r="E3699" s="1" t="s">
        <v>3635</v>
      </c>
      <c r="F3699" s="11">
        <v>2088</v>
      </c>
      <c r="G3699" s="11">
        <v>5040</v>
      </c>
      <c r="H3699" s="11">
        <v>56500</v>
      </c>
      <c r="I3699" s="11">
        <v>3167</v>
      </c>
      <c r="J3699" s="11">
        <v>839</v>
      </c>
      <c r="K3699" s="11">
        <v>3360</v>
      </c>
      <c r="L3699" s="11">
        <v>123</v>
      </c>
      <c r="M3699" s="11">
        <v>305</v>
      </c>
      <c r="N3699" s="11">
        <v>1251</v>
      </c>
      <c r="O3699" s="11">
        <v>53.5</v>
      </c>
      <c r="P3699" s="11">
        <v>10.199999999999999</v>
      </c>
    </row>
    <row r="3700" spans="1:16" s="11" customFormat="1">
      <c r="A3700" s="1" t="s">
        <v>16</v>
      </c>
      <c r="B3700" s="1" t="s">
        <v>5570</v>
      </c>
      <c r="C3700" s="1" t="s">
        <v>38</v>
      </c>
      <c r="D3700" s="1" t="s">
        <v>5503</v>
      </c>
      <c r="E3700" s="1" t="s">
        <v>3635</v>
      </c>
      <c r="F3700" s="11">
        <v>2410</v>
      </c>
      <c r="G3700" s="11">
        <v>5210</v>
      </c>
      <c r="H3700" s="11">
        <v>59800</v>
      </c>
      <c r="I3700" s="11">
        <v>3122</v>
      </c>
      <c r="J3700" s="11">
        <v>842</v>
      </c>
      <c r="K3700" s="11">
        <v>3570</v>
      </c>
      <c r="L3700" s="11">
        <v>121.5</v>
      </c>
      <c r="M3700" s="11">
        <v>281</v>
      </c>
      <c r="N3700" s="11">
        <v>1212</v>
      </c>
      <c r="O3700" s="11">
        <v>50.6</v>
      </c>
      <c r="P3700" s="11">
        <v>10.4</v>
      </c>
    </row>
    <row r="3701" spans="1:16" s="11" customFormat="1">
      <c r="A3701" s="1" t="s">
        <v>16</v>
      </c>
      <c r="B3701" s="1" t="s">
        <v>5571</v>
      </c>
      <c r="C3701" s="1" t="s">
        <v>38</v>
      </c>
      <c r="D3701" s="1" t="s">
        <v>5503</v>
      </c>
      <c r="E3701" s="1" t="s">
        <v>3635</v>
      </c>
      <c r="F3701" s="11">
        <v>4690</v>
      </c>
      <c r="G3701" s="11">
        <v>5420</v>
      </c>
      <c r="H3701" s="11">
        <v>70900</v>
      </c>
      <c r="I3701" s="11">
        <v>2990</v>
      </c>
      <c r="J3701" s="11">
        <v>590</v>
      </c>
      <c r="K3701" s="11">
        <v>4210</v>
      </c>
      <c r="L3701" s="11">
        <v>128.4</v>
      </c>
      <c r="M3701" s="11">
        <v>274</v>
      </c>
      <c r="N3701" s="11">
        <v>1103</v>
      </c>
      <c r="O3701" s="11">
        <v>51.5</v>
      </c>
      <c r="P3701" s="11">
        <v>17.8</v>
      </c>
    </row>
    <row r="3702" spans="1:16" s="11" customFormat="1">
      <c r="A3702" s="1" t="s">
        <v>16</v>
      </c>
      <c r="B3702" s="1" t="s">
        <v>5572</v>
      </c>
      <c r="C3702" s="1" t="s">
        <v>38</v>
      </c>
      <c r="D3702" s="1" t="s">
        <v>5503</v>
      </c>
      <c r="E3702" s="1" t="s">
        <v>3635</v>
      </c>
      <c r="F3702" s="11">
        <v>3430</v>
      </c>
      <c r="G3702" s="11">
        <v>4840</v>
      </c>
      <c r="H3702" s="11">
        <v>64600</v>
      </c>
      <c r="I3702" s="11">
        <v>2951</v>
      </c>
      <c r="J3702" s="11">
        <v>748</v>
      </c>
      <c r="K3702" s="11">
        <v>5040</v>
      </c>
      <c r="L3702" s="11">
        <v>124.4</v>
      </c>
      <c r="M3702" s="11">
        <v>196</v>
      </c>
      <c r="N3702" s="11">
        <v>1691</v>
      </c>
      <c r="O3702" s="11">
        <v>49.6</v>
      </c>
      <c r="P3702" s="11">
        <v>6.34</v>
      </c>
    </row>
    <row r="3703" spans="1:16" s="11" customFormat="1">
      <c r="A3703" s="1" t="s">
        <v>16</v>
      </c>
      <c r="B3703" s="1" t="s">
        <v>5573</v>
      </c>
      <c r="C3703" s="1" t="s">
        <v>38</v>
      </c>
      <c r="D3703" s="1" t="s">
        <v>5503</v>
      </c>
      <c r="E3703" s="1" t="s">
        <v>3635</v>
      </c>
      <c r="F3703" s="11">
        <v>1438</v>
      </c>
      <c r="G3703" s="11">
        <v>3730</v>
      </c>
      <c r="H3703" s="11">
        <v>56300</v>
      </c>
      <c r="I3703" s="11">
        <v>2809</v>
      </c>
      <c r="J3703" s="11">
        <v>700</v>
      </c>
      <c r="K3703" s="11">
        <v>3523</v>
      </c>
      <c r="L3703" s="11">
        <v>107.2</v>
      </c>
      <c r="M3703" s="11">
        <v>152</v>
      </c>
      <c r="N3703" s="11">
        <v>844</v>
      </c>
      <c r="O3703" s="11">
        <v>45.2</v>
      </c>
      <c r="P3703" s="11">
        <v>5.95</v>
      </c>
    </row>
    <row r="3704" spans="1:16" s="11" customFormat="1">
      <c r="A3704" s="1" t="s">
        <v>16</v>
      </c>
      <c r="B3704" s="1" t="s">
        <v>5574</v>
      </c>
      <c r="C3704" s="1" t="s">
        <v>38</v>
      </c>
      <c r="D3704" s="1" t="s">
        <v>5503</v>
      </c>
      <c r="E3704" s="1" t="s">
        <v>3635</v>
      </c>
      <c r="F3704" s="11">
        <v>3250</v>
      </c>
      <c r="G3704" s="11">
        <v>4600</v>
      </c>
      <c r="H3704" s="11">
        <v>91000</v>
      </c>
      <c r="I3704" s="11">
        <v>2721</v>
      </c>
      <c r="J3704" s="11">
        <v>630</v>
      </c>
      <c r="K3704" s="11">
        <v>5060</v>
      </c>
      <c r="L3704" s="11">
        <v>114.7</v>
      </c>
      <c r="M3704" s="11">
        <v>155</v>
      </c>
      <c r="N3704" s="11">
        <v>1164</v>
      </c>
      <c r="O3704" s="11">
        <v>44.6</v>
      </c>
      <c r="P3704" s="11">
        <v>6.77</v>
      </c>
    </row>
    <row r="3705" spans="1:16" s="11" customFormat="1">
      <c r="A3705" s="1" t="s">
        <v>16</v>
      </c>
      <c r="B3705" s="1" t="s">
        <v>5575</v>
      </c>
      <c r="C3705" s="1" t="s">
        <v>38</v>
      </c>
      <c r="D3705" s="1" t="s">
        <v>5503</v>
      </c>
      <c r="E3705" s="1" t="s">
        <v>3635</v>
      </c>
      <c r="F3705" s="11">
        <v>2147</v>
      </c>
      <c r="G3705" s="11">
        <v>9340</v>
      </c>
      <c r="H3705" s="11">
        <v>57300</v>
      </c>
      <c r="I3705" s="11">
        <v>3160</v>
      </c>
      <c r="J3705" s="11">
        <v>837</v>
      </c>
      <c r="K3705" s="11">
        <v>3786</v>
      </c>
      <c r="L3705" s="11">
        <v>127.4</v>
      </c>
      <c r="M3705" s="11">
        <v>226</v>
      </c>
      <c r="N3705" s="11">
        <v>3060</v>
      </c>
      <c r="O3705" s="11">
        <v>57</v>
      </c>
      <c r="P3705" s="11">
        <f>11.177/2</f>
        <v>5.5884999999999998</v>
      </c>
    </row>
    <row r="3706" spans="1:16" s="11" customFormat="1">
      <c r="A3706" s="1" t="s">
        <v>16</v>
      </c>
      <c r="B3706" s="1" t="s">
        <v>5576</v>
      </c>
      <c r="C3706" s="1" t="s">
        <v>38</v>
      </c>
      <c r="D3706" s="1" t="s">
        <v>5503</v>
      </c>
      <c r="E3706" s="1" t="s">
        <v>3635</v>
      </c>
      <c r="F3706" s="11">
        <v>2516</v>
      </c>
      <c r="G3706" s="11">
        <v>10270</v>
      </c>
      <c r="H3706" s="11">
        <v>66100</v>
      </c>
      <c r="I3706" s="11">
        <v>3241</v>
      </c>
      <c r="J3706" s="11">
        <v>772</v>
      </c>
      <c r="K3706" s="11">
        <v>3915</v>
      </c>
      <c r="L3706" s="11">
        <v>131.1</v>
      </c>
      <c r="M3706" s="11">
        <v>188</v>
      </c>
      <c r="N3706" s="11">
        <v>1659</v>
      </c>
      <c r="O3706" s="11">
        <v>51.3</v>
      </c>
      <c r="P3706" s="11">
        <v>6.51</v>
      </c>
    </row>
    <row r="3707" spans="1:16" s="11" customFormat="1">
      <c r="A3707" s="1" t="s">
        <v>16</v>
      </c>
      <c r="B3707" s="1" t="s">
        <v>5577</v>
      </c>
      <c r="C3707" s="1" t="s">
        <v>38</v>
      </c>
      <c r="D3707" s="1" t="s">
        <v>5503</v>
      </c>
      <c r="E3707" s="1" t="s">
        <v>3635</v>
      </c>
      <c r="F3707" s="11">
        <v>2220</v>
      </c>
      <c r="G3707" s="11">
        <v>8870</v>
      </c>
      <c r="H3707" s="11">
        <v>57400</v>
      </c>
      <c r="I3707" s="11">
        <v>2926</v>
      </c>
      <c r="J3707" s="11">
        <v>739</v>
      </c>
      <c r="K3707" s="11">
        <v>3484</v>
      </c>
      <c r="L3707" s="11">
        <v>118.9</v>
      </c>
      <c r="M3707" s="11">
        <v>176</v>
      </c>
      <c r="N3707" s="11">
        <v>2780</v>
      </c>
      <c r="O3707" s="11">
        <v>50.7</v>
      </c>
      <c r="P3707" s="11">
        <v>7.8</v>
      </c>
    </row>
    <row r="3708" spans="1:16" s="11" customFormat="1">
      <c r="A3708" s="1" t="s">
        <v>16</v>
      </c>
      <c r="B3708" s="1" t="s">
        <v>5578</v>
      </c>
      <c r="C3708" s="1" t="s">
        <v>38</v>
      </c>
      <c r="D3708" s="1" t="s">
        <v>5503</v>
      </c>
      <c r="E3708" s="1" t="s">
        <v>3635</v>
      </c>
      <c r="F3708" s="11">
        <v>2089</v>
      </c>
      <c r="G3708" s="11">
        <v>8980</v>
      </c>
      <c r="H3708" s="11">
        <v>64000</v>
      </c>
      <c r="I3708" s="11">
        <v>3010</v>
      </c>
      <c r="J3708" s="11">
        <v>718</v>
      </c>
      <c r="K3708" s="11">
        <v>3839</v>
      </c>
      <c r="L3708" s="11">
        <v>126.2</v>
      </c>
      <c r="M3708" s="11">
        <v>174</v>
      </c>
      <c r="N3708" s="11">
        <v>1666</v>
      </c>
      <c r="O3708" s="11">
        <v>46.8</v>
      </c>
      <c r="P3708" s="11">
        <v>7.5</v>
      </c>
    </row>
    <row r="3709" spans="1:16" s="11" customFormat="1">
      <c r="A3709" s="1" t="s">
        <v>16</v>
      </c>
      <c r="B3709" s="1" t="s">
        <v>5579</v>
      </c>
      <c r="C3709" s="1" t="s">
        <v>38</v>
      </c>
      <c r="D3709" s="1" t="s">
        <v>5503</v>
      </c>
      <c r="E3709" s="1" t="s">
        <v>3635</v>
      </c>
      <c r="F3709" s="11">
        <v>2030</v>
      </c>
      <c r="G3709" s="11">
        <v>5270</v>
      </c>
      <c r="H3709" s="11">
        <v>70600</v>
      </c>
      <c r="I3709" s="11">
        <v>2616</v>
      </c>
      <c r="J3709" s="11">
        <v>646</v>
      </c>
      <c r="K3709" s="11">
        <v>4372</v>
      </c>
      <c r="L3709" s="11">
        <v>101.4</v>
      </c>
      <c r="M3709" s="11">
        <v>132</v>
      </c>
      <c r="N3709" s="11">
        <v>1468</v>
      </c>
      <c r="O3709" s="11">
        <v>45.2</v>
      </c>
      <c r="P3709" s="11">
        <v>8.9</v>
      </c>
    </row>
    <row r="3710" spans="1:16" s="11" customFormat="1">
      <c r="A3710" s="1" t="s">
        <v>16</v>
      </c>
      <c r="B3710" s="1" t="s">
        <v>5580</v>
      </c>
      <c r="C3710" s="1" t="s">
        <v>38</v>
      </c>
      <c r="D3710" s="1" t="s">
        <v>5503</v>
      </c>
      <c r="E3710" s="1" t="s">
        <v>3635</v>
      </c>
      <c r="F3710" s="11">
        <v>2162</v>
      </c>
      <c r="G3710" s="11">
        <v>5490</v>
      </c>
      <c r="H3710" s="11">
        <v>80100</v>
      </c>
      <c r="I3710" s="11">
        <v>2708</v>
      </c>
      <c r="J3710" s="11">
        <v>503</v>
      </c>
      <c r="K3710" s="11">
        <v>4839</v>
      </c>
      <c r="L3710" s="11">
        <v>101.9</v>
      </c>
      <c r="M3710" s="11">
        <v>139</v>
      </c>
      <c r="N3710" s="11">
        <v>1850</v>
      </c>
      <c r="O3710" s="11">
        <v>44.3</v>
      </c>
      <c r="P3710" s="11">
        <v>6.9</v>
      </c>
    </row>
    <row r="3711" spans="1:16" s="11" customFormat="1">
      <c r="A3711" s="1" t="s">
        <v>16</v>
      </c>
      <c r="B3711" s="1" t="s">
        <v>5581</v>
      </c>
      <c r="C3711" s="1" t="s">
        <v>38</v>
      </c>
      <c r="D3711" s="1" t="s">
        <v>5503</v>
      </c>
      <c r="E3711" s="1" t="s">
        <v>3635</v>
      </c>
      <c r="F3711" s="11">
        <v>2219</v>
      </c>
      <c r="G3711" s="11">
        <v>5550</v>
      </c>
      <c r="H3711" s="11">
        <v>70000</v>
      </c>
      <c r="I3711" s="11">
        <v>2571</v>
      </c>
      <c r="J3711" s="11">
        <v>642</v>
      </c>
      <c r="K3711" s="11">
        <v>4465</v>
      </c>
      <c r="L3711" s="11">
        <v>101.4</v>
      </c>
      <c r="M3711" s="11">
        <v>140</v>
      </c>
      <c r="N3711" s="11">
        <v>1967</v>
      </c>
      <c r="O3711" s="11">
        <v>44.6</v>
      </c>
      <c r="P3711" s="11">
        <f>9.4211/2</f>
        <v>4.7105499999999996</v>
      </c>
    </row>
    <row r="3712" spans="1:16" s="11" customFormat="1">
      <c r="A3712" s="1" t="s">
        <v>5590</v>
      </c>
      <c r="B3712" s="1" t="s">
        <v>5582</v>
      </c>
      <c r="C3712" s="1" t="s">
        <v>38</v>
      </c>
      <c r="D3712" s="1" t="s">
        <v>5503</v>
      </c>
      <c r="E3712" s="1" t="s">
        <v>3635</v>
      </c>
      <c r="F3712" s="11">
        <v>13430</v>
      </c>
      <c r="G3712" s="11">
        <v>13710</v>
      </c>
      <c r="H3712" s="11">
        <v>79800</v>
      </c>
      <c r="I3712" s="11">
        <v>4683</v>
      </c>
      <c r="J3712" s="11">
        <v>747</v>
      </c>
      <c r="K3712" s="11">
        <v>4345</v>
      </c>
      <c r="L3712" s="11">
        <v>264.3</v>
      </c>
      <c r="M3712" s="11">
        <v>496</v>
      </c>
      <c r="N3712" s="11">
        <v>1127</v>
      </c>
      <c r="O3712" s="11">
        <v>68</v>
      </c>
      <c r="P3712" s="11">
        <v>27.6</v>
      </c>
    </row>
    <row r="3713" spans="1:16" s="11" customFormat="1">
      <c r="A3713" s="1" t="s">
        <v>5590</v>
      </c>
      <c r="B3713" s="1" t="s">
        <v>5583</v>
      </c>
      <c r="C3713" s="1" t="s">
        <v>38</v>
      </c>
      <c r="D3713" s="1" t="s">
        <v>5503</v>
      </c>
      <c r="E3713" s="1" t="s">
        <v>3635</v>
      </c>
      <c r="F3713" s="11">
        <v>13680</v>
      </c>
      <c r="G3713" s="11">
        <v>13350</v>
      </c>
      <c r="H3713" s="11">
        <v>79100</v>
      </c>
      <c r="I3713" s="11">
        <v>4605</v>
      </c>
      <c r="J3713" s="11">
        <v>811</v>
      </c>
      <c r="K3713" s="11">
        <v>4304</v>
      </c>
      <c r="L3713" s="11">
        <v>264.5</v>
      </c>
      <c r="M3713" s="11">
        <v>320</v>
      </c>
      <c r="N3713" s="11">
        <v>1151</v>
      </c>
      <c r="O3713" s="11">
        <v>70.400000000000006</v>
      </c>
      <c r="P3713" s="11">
        <v>27.4</v>
      </c>
    </row>
    <row r="3714" spans="1:16" s="11" customFormat="1">
      <c r="A3714" s="1" t="s">
        <v>5590</v>
      </c>
      <c r="B3714" s="1" t="s">
        <v>5584</v>
      </c>
      <c r="C3714" s="1" t="s">
        <v>38</v>
      </c>
      <c r="D3714" s="1" t="s">
        <v>5503</v>
      </c>
      <c r="E3714" s="1" t="s">
        <v>3635</v>
      </c>
      <c r="F3714" s="11">
        <v>13450</v>
      </c>
      <c r="G3714" s="11">
        <v>13690</v>
      </c>
      <c r="H3714" s="11">
        <v>79000</v>
      </c>
      <c r="I3714" s="11">
        <v>4496</v>
      </c>
      <c r="J3714" s="11">
        <v>773</v>
      </c>
      <c r="K3714" s="11">
        <v>4174</v>
      </c>
      <c r="L3714" s="11">
        <v>252.6</v>
      </c>
      <c r="M3714" s="11">
        <v>263</v>
      </c>
      <c r="N3714" s="11">
        <v>1087</v>
      </c>
      <c r="O3714" s="11">
        <v>63.9</v>
      </c>
      <c r="P3714" s="11">
        <v>25</v>
      </c>
    </row>
    <row r="3715" spans="1:16" s="11" customFormat="1">
      <c r="A3715" s="1" t="s">
        <v>5590</v>
      </c>
      <c r="B3715" s="1" t="s">
        <v>5585</v>
      </c>
      <c r="C3715" s="1" t="s">
        <v>38</v>
      </c>
      <c r="D3715" s="1" t="s">
        <v>5503</v>
      </c>
      <c r="E3715" s="1" t="s">
        <v>3635</v>
      </c>
      <c r="F3715" s="11">
        <v>13790</v>
      </c>
      <c r="G3715" s="11">
        <v>13550</v>
      </c>
      <c r="H3715" s="11">
        <v>81600</v>
      </c>
      <c r="I3715" s="11">
        <v>4631</v>
      </c>
      <c r="J3715" s="11">
        <v>847</v>
      </c>
      <c r="K3715" s="11">
        <v>4309</v>
      </c>
      <c r="L3715" s="11">
        <v>263.8</v>
      </c>
      <c r="M3715" s="11">
        <v>279</v>
      </c>
      <c r="N3715" s="11">
        <v>1009</v>
      </c>
      <c r="O3715" s="11">
        <v>67.8</v>
      </c>
      <c r="P3715" s="11">
        <v>25.2</v>
      </c>
    </row>
    <row r="3716" spans="1:16" s="11" customFormat="1">
      <c r="A3716" s="1" t="s">
        <v>5590</v>
      </c>
      <c r="B3716" s="1" t="s">
        <v>5586</v>
      </c>
      <c r="C3716" s="1" t="s">
        <v>38</v>
      </c>
      <c r="D3716" s="1" t="s">
        <v>5503</v>
      </c>
      <c r="E3716" s="1" t="s">
        <v>3635</v>
      </c>
      <c r="F3716" s="11">
        <v>15080</v>
      </c>
      <c r="G3716" s="11">
        <v>7650</v>
      </c>
      <c r="H3716" s="11">
        <v>113200</v>
      </c>
      <c r="I3716" s="11">
        <v>5250</v>
      </c>
      <c r="J3716" s="11">
        <v>795</v>
      </c>
      <c r="K3716" s="11">
        <v>3930</v>
      </c>
      <c r="L3716" s="11">
        <v>214.8</v>
      </c>
      <c r="M3716" s="11">
        <v>340</v>
      </c>
      <c r="N3716" s="11">
        <v>1309</v>
      </c>
      <c r="O3716" s="11">
        <v>52.9</v>
      </c>
      <c r="P3716" s="11">
        <v>41</v>
      </c>
    </row>
    <row r="3717" spans="1:16" s="11" customFormat="1">
      <c r="A3717" s="1" t="s">
        <v>5590</v>
      </c>
      <c r="B3717" s="1" t="s">
        <v>5587</v>
      </c>
      <c r="C3717" s="1" t="s">
        <v>38</v>
      </c>
      <c r="D3717" s="1" t="s">
        <v>5503</v>
      </c>
      <c r="E3717" s="1" t="s">
        <v>3635</v>
      </c>
      <c r="F3717" s="11">
        <v>14780</v>
      </c>
      <c r="G3717" s="11">
        <v>10850</v>
      </c>
      <c r="H3717" s="11">
        <v>77800</v>
      </c>
      <c r="I3717" s="11">
        <v>4820</v>
      </c>
      <c r="J3717" s="11">
        <v>771</v>
      </c>
      <c r="K3717" s="11">
        <v>3907</v>
      </c>
      <c r="L3717" s="11">
        <v>236</v>
      </c>
      <c r="M3717" s="11">
        <v>373</v>
      </c>
      <c r="N3717" s="11">
        <v>1665</v>
      </c>
      <c r="O3717" s="11">
        <v>66.400000000000006</v>
      </c>
      <c r="P3717" s="11">
        <v>26.2</v>
      </c>
    </row>
    <row r="3718" spans="1:16" s="11" customFormat="1">
      <c r="A3718" s="1" t="s">
        <v>5590</v>
      </c>
      <c r="B3718" s="1" t="s">
        <v>5588</v>
      </c>
      <c r="C3718" s="1" t="s">
        <v>38</v>
      </c>
      <c r="D3718" s="1" t="s">
        <v>5503</v>
      </c>
      <c r="E3718" s="1" t="s">
        <v>3635</v>
      </c>
      <c r="F3718" s="11">
        <v>15320</v>
      </c>
      <c r="G3718" s="11">
        <v>15000</v>
      </c>
      <c r="H3718" s="11">
        <v>75900</v>
      </c>
      <c r="I3718" s="11">
        <v>4080</v>
      </c>
      <c r="J3718" s="11">
        <v>916</v>
      </c>
      <c r="K3718" s="11">
        <v>3816</v>
      </c>
      <c r="L3718" s="11">
        <v>246.6</v>
      </c>
      <c r="M3718" s="11">
        <v>368</v>
      </c>
      <c r="N3718" s="11">
        <v>1408</v>
      </c>
      <c r="O3718" s="11">
        <v>68.099999999999994</v>
      </c>
      <c r="P3718" s="11">
        <v>24.2</v>
      </c>
    </row>
    <row r="3719" spans="1:16" s="11" customFormat="1">
      <c r="A3719" s="1" t="s">
        <v>5590</v>
      </c>
      <c r="B3719" s="1" t="s">
        <v>5589</v>
      </c>
      <c r="C3719" s="1" t="s">
        <v>38</v>
      </c>
      <c r="D3719" s="1" t="s">
        <v>5503</v>
      </c>
      <c r="E3719" s="1" t="s">
        <v>3635</v>
      </c>
      <c r="F3719" s="11">
        <v>15990</v>
      </c>
      <c r="G3719" s="11">
        <v>12990</v>
      </c>
      <c r="H3719" s="11">
        <v>77600</v>
      </c>
      <c r="I3719" s="11">
        <v>4030</v>
      </c>
      <c r="J3719" s="11">
        <v>914</v>
      </c>
      <c r="K3719" s="11">
        <v>3955</v>
      </c>
      <c r="L3719" s="11">
        <v>242</v>
      </c>
      <c r="M3719" s="11">
        <v>382</v>
      </c>
      <c r="N3719" s="11">
        <v>1277</v>
      </c>
      <c r="O3719" s="11">
        <v>61.6</v>
      </c>
      <c r="P3719" s="11">
        <v>22.2</v>
      </c>
    </row>
    <row r="3720" spans="1:16">
      <c r="A3720" s="1" t="s">
        <v>3745</v>
      </c>
      <c r="B3720" s="1" t="s">
        <v>3746</v>
      </c>
      <c r="C3720" s="1" t="s">
        <v>18</v>
      </c>
      <c r="D3720" s="1" t="s">
        <v>569</v>
      </c>
      <c r="E3720" s="1" t="s">
        <v>3747</v>
      </c>
      <c r="F3720">
        <v>1560</v>
      </c>
      <c r="G3720">
        <v>5390</v>
      </c>
      <c r="H3720">
        <v>6800</v>
      </c>
      <c r="I3720">
        <v>877</v>
      </c>
      <c r="J3720">
        <v>3</v>
      </c>
      <c r="K3720">
        <v>1552</v>
      </c>
      <c r="L3720">
        <v>25.6</v>
      </c>
      <c r="M3720">
        <v>21.4</v>
      </c>
      <c r="N3720">
        <v>756</v>
      </c>
      <c r="O3720">
        <v>74.900000000000006</v>
      </c>
      <c r="P3720">
        <v>5.8</v>
      </c>
    </row>
    <row r="3721" spans="1:16">
      <c r="A3721" s="1" t="s">
        <v>3745</v>
      </c>
      <c r="B3721" s="1" t="s">
        <v>3748</v>
      </c>
      <c r="C3721" s="1" t="s">
        <v>18</v>
      </c>
      <c r="D3721" s="1" t="s">
        <v>569</v>
      </c>
      <c r="E3721" s="1" t="s">
        <v>3747</v>
      </c>
      <c r="F3721">
        <v>332</v>
      </c>
      <c r="G3721">
        <v>3700</v>
      </c>
      <c r="H3721">
        <v>5300</v>
      </c>
      <c r="I3721">
        <v>677</v>
      </c>
      <c r="J3721">
        <v>9.6</v>
      </c>
      <c r="K3721">
        <v>1480</v>
      </c>
      <c r="L3721">
        <v>44</v>
      </c>
      <c r="M3721">
        <v>20.9</v>
      </c>
      <c r="N3721">
        <v>690</v>
      </c>
      <c r="O3721">
        <v>69.099999999999994</v>
      </c>
      <c r="P3721">
        <v>4</v>
      </c>
    </row>
    <row r="3722" spans="1:16">
      <c r="A3722" s="1" t="s">
        <v>3745</v>
      </c>
      <c r="B3722" s="1" t="s">
        <v>3749</v>
      </c>
      <c r="C3722" s="1" t="s">
        <v>18</v>
      </c>
      <c r="D3722" s="1" t="s">
        <v>569</v>
      </c>
      <c r="E3722" s="1" t="s">
        <v>3750</v>
      </c>
      <c r="F3722">
        <v>600</v>
      </c>
      <c r="G3722">
        <v>3980</v>
      </c>
      <c r="H3722">
        <v>9300</v>
      </c>
      <c r="I3722">
        <v>690</v>
      </c>
      <c r="J3722">
        <v>3.5</v>
      </c>
      <c r="K3722">
        <v>1695</v>
      </c>
      <c r="L3722">
        <v>42.1</v>
      </c>
      <c r="M3722">
        <v>22.5</v>
      </c>
      <c r="N3722">
        <v>880</v>
      </c>
      <c r="O3722">
        <v>82</v>
      </c>
      <c r="P3722">
        <v>5.45</v>
      </c>
    </row>
    <row r="3723" spans="1:16">
      <c r="A3723" s="1" t="s">
        <v>3745</v>
      </c>
      <c r="B3723" s="1" t="s">
        <v>3751</v>
      </c>
      <c r="C3723" s="1" t="s">
        <v>18</v>
      </c>
      <c r="D3723" s="1" t="s">
        <v>569</v>
      </c>
      <c r="E3723" s="1" t="s">
        <v>3750</v>
      </c>
      <c r="F3723">
        <v>1260</v>
      </c>
      <c r="G3723">
        <v>3390</v>
      </c>
      <c r="H3723">
        <v>15400</v>
      </c>
      <c r="I3723">
        <v>812</v>
      </c>
      <c r="J3723">
        <v>192.7</v>
      </c>
      <c r="K3723">
        <v>1472</v>
      </c>
      <c r="L3723">
        <v>34.9</v>
      </c>
      <c r="M3723">
        <v>19.5</v>
      </c>
      <c r="N3723">
        <v>583</v>
      </c>
      <c r="O3723">
        <v>57.2</v>
      </c>
      <c r="P3723">
        <v>7.49</v>
      </c>
    </row>
    <row r="3724" spans="1:16">
      <c r="A3724" s="1" t="s">
        <v>3745</v>
      </c>
      <c r="B3724" s="1" t="s">
        <v>3752</v>
      </c>
      <c r="C3724" s="1" t="s">
        <v>18</v>
      </c>
      <c r="D3724" s="1" t="s">
        <v>569</v>
      </c>
      <c r="E3724" s="1" t="s">
        <v>3750</v>
      </c>
      <c r="F3724">
        <v>2250</v>
      </c>
      <c r="G3724">
        <v>4730</v>
      </c>
      <c r="H3724">
        <v>12320</v>
      </c>
      <c r="I3724">
        <v>1225</v>
      </c>
      <c r="J3724">
        <v>4.7300000000000004</v>
      </c>
      <c r="K3724">
        <v>4510</v>
      </c>
      <c r="L3724">
        <v>50.6</v>
      </c>
      <c r="M3724">
        <v>25.9</v>
      </c>
      <c r="N3724">
        <v>1084</v>
      </c>
      <c r="O3724">
        <v>74.2</v>
      </c>
      <c r="P3724">
        <v>7.56</v>
      </c>
    </row>
    <row r="3725" spans="1:16">
      <c r="A3725" s="1" t="s">
        <v>3745</v>
      </c>
      <c r="B3725" s="1" t="s">
        <v>3753</v>
      </c>
      <c r="C3725" s="1" t="s">
        <v>18</v>
      </c>
      <c r="D3725" s="1" t="s">
        <v>569</v>
      </c>
      <c r="E3725" s="1" t="s">
        <v>3750</v>
      </c>
      <c r="F3725">
        <v>2340</v>
      </c>
      <c r="G3725">
        <v>4970</v>
      </c>
      <c r="H3725">
        <v>12900</v>
      </c>
      <c r="I3725">
        <v>1343</v>
      </c>
      <c r="J3725">
        <v>2.12</v>
      </c>
      <c r="K3725">
        <v>5550</v>
      </c>
      <c r="L3725">
        <v>54.6</v>
      </c>
      <c r="M3725">
        <v>26</v>
      </c>
      <c r="N3725">
        <v>1296</v>
      </c>
      <c r="O3725">
        <v>74.2</v>
      </c>
      <c r="P3725">
        <v>7.52</v>
      </c>
    </row>
    <row r="3726" spans="1:16">
      <c r="A3726" s="1" t="s">
        <v>3745</v>
      </c>
      <c r="B3726" s="1" t="s">
        <v>3754</v>
      </c>
      <c r="C3726" s="1" t="s">
        <v>18</v>
      </c>
      <c r="D3726" s="1" t="s">
        <v>569</v>
      </c>
      <c r="E3726" s="1" t="s">
        <v>3750</v>
      </c>
      <c r="F3726">
        <v>1830</v>
      </c>
      <c r="G3726">
        <v>4450</v>
      </c>
      <c r="H3726">
        <v>17000</v>
      </c>
      <c r="I3726">
        <v>1339</v>
      </c>
      <c r="J3726">
        <v>1.97</v>
      </c>
      <c r="K3726">
        <v>6880</v>
      </c>
      <c r="L3726">
        <v>55.6</v>
      </c>
      <c r="M3726">
        <v>24.4</v>
      </c>
      <c r="N3726">
        <v>1358</v>
      </c>
      <c r="O3726">
        <v>72.2</v>
      </c>
      <c r="P3726">
        <v>7.32</v>
      </c>
    </row>
    <row r="3727" spans="1:16">
      <c r="A3727" s="1" t="s">
        <v>3745</v>
      </c>
      <c r="B3727" s="1" t="s">
        <v>3755</v>
      </c>
      <c r="C3727" s="1" t="s">
        <v>18</v>
      </c>
      <c r="D3727" s="1" t="s">
        <v>569</v>
      </c>
      <c r="E3727" s="1" t="s">
        <v>3750</v>
      </c>
      <c r="F3727">
        <v>500</v>
      </c>
      <c r="G3727">
        <v>4390</v>
      </c>
      <c r="H3727">
        <v>9100</v>
      </c>
      <c r="I3727">
        <v>1419</v>
      </c>
      <c r="J3727">
        <v>440.9</v>
      </c>
      <c r="K3727">
        <v>2840</v>
      </c>
      <c r="L3727">
        <v>61.9</v>
      </c>
      <c r="M3727">
        <v>29.6</v>
      </c>
      <c r="N3727">
        <v>1550</v>
      </c>
      <c r="O3727">
        <v>70.599999999999994</v>
      </c>
      <c r="P3727">
        <v>5.92</v>
      </c>
    </row>
    <row r="3728" spans="1:16">
      <c r="A3728" s="1" t="s">
        <v>3745</v>
      </c>
      <c r="B3728" s="1" t="s">
        <v>3756</v>
      </c>
      <c r="C3728" s="1" t="s">
        <v>18</v>
      </c>
      <c r="D3728" s="1" t="s">
        <v>569</v>
      </c>
      <c r="E3728" s="1" t="s">
        <v>3750</v>
      </c>
      <c r="F3728">
        <v>392</v>
      </c>
      <c r="G3728">
        <v>5190</v>
      </c>
      <c r="H3728">
        <v>2920</v>
      </c>
      <c r="I3728">
        <v>858</v>
      </c>
      <c r="J3728">
        <v>1.6</v>
      </c>
      <c r="K3728">
        <v>1189</v>
      </c>
      <c r="L3728">
        <v>7</v>
      </c>
      <c r="M3728">
        <v>8.6999999999999993</v>
      </c>
      <c r="N3728">
        <v>239</v>
      </c>
      <c r="O3728">
        <v>113.3</v>
      </c>
      <c r="P3728">
        <v>2.66</v>
      </c>
    </row>
    <row r="3729" spans="1:16">
      <c r="A3729" s="1" t="s">
        <v>3745</v>
      </c>
      <c r="B3729" s="1" t="s">
        <v>3757</v>
      </c>
      <c r="C3729" s="1" t="s">
        <v>18</v>
      </c>
      <c r="D3729" s="1" t="s">
        <v>569</v>
      </c>
      <c r="E3729" s="1" t="s">
        <v>3750</v>
      </c>
      <c r="F3729">
        <v>316</v>
      </c>
      <c r="G3729">
        <v>5330</v>
      </c>
      <c r="H3729">
        <v>2470</v>
      </c>
      <c r="I3729">
        <v>1027</v>
      </c>
      <c r="J3729">
        <v>235</v>
      </c>
      <c r="K3729">
        <v>875</v>
      </c>
      <c r="L3729">
        <v>9.36</v>
      </c>
      <c r="M3729">
        <v>9</v>
      </c>
      <c r="N3729">
        <v>283</v>
      </c>
      <c r="O3729">
        <v>108.9</v>
      </c>
      <c r="P3729">
        <v>1.34</v>
      </c>
    </row>
    <row r="3730" spans="1:16">
      <c r="A3730" s="1" t="s">
        <v>3745</v>
      </c>
      <c r="B3730" s="1" t="s">
        <v>3758</v>
      </c>
      <c r="C3730" s="1" t="s">
        <v>18</v>
      </c>
      <c r="D3730" s="1" t="s">
        <v>569</v>
      </c>
      <c r="E3730" s="1" t="s">
        <v>3750</v>
      </c>
      <c r="F3730">
        <v>162</v>
      </c>
      <c r="G3730">
        <v>4220</v>
      </c>
      <c r="H3730">
        <v>2090</v>
      </c>
      <c r="I3730">
        <v>1004</v>
      </c>
      <c r="J3730">
        <v>248</v>
      </c>
      <c r="K3730">
        <v>480</v>
      </c>
      <c r="L3730">
        <v>9.4700000000000006</v>
      </c>
      <c r="M3730">
        <v>9.1</v>
      </c>
      <c r="N3730">
        <v>180</v>
      </c>
      <c r="O3730">
        <v>79.099999999999994</v>
      </c>
      <c r="P3730">
        <v>2.11</v>
      </c>
    </row>
    <row r="3731" spans="1:16">
      <c r="A3731" s="1" t="s">
        <v>3745</v>
      </c>
      <c r="B3731" s="1" t="s">
        <v>3759</v>
      </c>
      <c r="C3731" s="1" t="s">
        <v>18</v>
      </c>
      <c r="D3731" s="1" t="s">
        <v>569</v>
      </c>
      <c r="E3731" s="1" t="s">
        <v>3750</v>
      </c>
      <c r="F3731">
        <v>2460</v>
      </c>
      <c r="G3731">
        <v>7790</v>
      </c>
      <c r="H3731">
        <v>27620</v>
      </c>
      <c r="I3731">
        <v>2098</v>
      </c>
      <c r="J3731">
        <v>144.5</v>
      </c>
      <c r="K3731">
        <v>5980</v>
      </c>
      <c r="L3731">
        <v>40.799999999999997</v>
      </c>
      <c r="M3731">
        <v>11.9</v>
      </c>
      <c r="N3731">
        <v>2190</v>
      </c>
      <c r="O3731">
        <v>62.5</v>
      </c>
      <c r="P3731">
        <v>7.03</v>
      </c>
    </row>
    <row r="3732" spans="1:16">
      <c r="A3732" s="1" t="s">
        <v>3745</v>
      </c>
      <c r="B3732" s="1" t="s">
        <v>3760</v>
      </c>
      <c r="C3732" s="1" t="s">
        <v>18</v>
      </c>
      <c r="D3732" s="1" t="s">
        <v>569</v>
      </c>
      <c r="E3732" s="1" t="s">
        <v>3750</v>
      </c>
      <c r="F3732">
        <v>3290</v>
      </c>
      <c r="G3732">
        <v>5360</v>
      </c>
      <c r="H3732">
        <v>24200</v>
      </c>
      <c r="I3732">
        <v>1836</v>
      </c>
      <c r="J3732">
        <v>127.3</v>
      </c>
      <c r="K3732">
        <v>11720</v>
      </c>
      <c r="L3732">
        <v>63</v>
      </c>
      <c r="M3732">
        <v>18.399999999999999</v>
      </c>
      <c r="N3732">
        <v>1894</v>
      </c>
      <c r="O3732">
        <v>59.3</v>
      </c>
      <c r="P3732">
        <v>10.3</v>
      </c>
    </row>
    <row r="3733" spans="1:16">
      <c r="A3733" s="1" t="s">
        <v>3745</v>
      </c>
      <c r="B3733" s="1" t="s">
        <v>3761</v>
      </c>
      <c r="C3733" s="1" t="s">
        <v>38</v>
      </c>
      <c r="D3733" s="1" t="s">
        <v>5592</v>
      </c>
      <c r="E3733" s="1" t="s">
        <v>3750</v>
      </c>
      <c r="F3733">
        <v>3470</v>
      </c>
      <c r="G3733">
        <v>5920</v>
      </c>
      <c r="H3733">
        <v>20900</v>
      </c>
      <c r="I3733">
        <v>1940</v>
      </c>
      <c r="J3733">
        <v>144</v>
      </c>
      <c r="K3733">
        <v>11540</v>
      </c>
      <c r="L3733">
        <v>50.6</v>
      </c>
      <c r="M3733">
        <v>13.2</v>
      </c>
      <c r="N3733">
        <v>1720</v>
      </c>
      <c r="O3733">
        <v>61.3</v>
      </c>
      <c r="P3733">
        <v>6.61</v>
      </c>
    </row>
    <row r="3734" spans="1:16">
      <c r="A3734" s="1" t="s">
        <v>3745</v>
      </c>
      <c r="B3734" s="1" t="s">
        <v>3762</v>
      </c>
      <c r="C3734" s="1" t="s">
        <v>38</v>
      </c>
      <c r="D3734" s="1" t="s">
        <v>5592</v>
      </c>
      <c r="E3734" s="1" t="s">
        <v>3750</v>
      </c>
      <c r="F3734">
        <v>4200</v>
      </c>
      <c r="G3734">
        <v>6680</v>
      </c>
      <c r="H3734">
        <v>20230</v>
      </c>
      <c r="I3734">
        <v>2050</v>
      </c>
      <c r="J3734">
        <v>122.2</v>
      </c>
      <c r="K3734">
        <v>8590</v>
      </c>
      <c r="L3734">
        <v>54.1</v>
      </c>
      <c r="M3734">
        <v>13.2</v>
      </c>
      <c r="N3734">
        <v>1560</v>
      </c>
      <c r="O3734">
        <v>62.3</v>
      </c>
      <c r="P3734">
        <v>7.4</v>
      </c>
    </row>
    <row r="3735" spans="1:16">
      <c r="A3735" s="1" t="s">
        <v>3745</v>
      </c>
      <c r="B3735" s="1" t="s">
        <v>3763</v>
      </c>
      <c r="C3735" s="1" t="s">
        <v>38</v>
      </c>
      <c r="D3735" s="1" t="s">
        <v>5592</v>
      </c>
      <c r="E3735" s="1" t="s">
        <v>3750</v>
      </c>
      <c r="F3735">
        <v>1071</v>
      </c>
      <c r="G3735">
        <v>4110</v>
      </c>
      <c r="H3735">
        <v>10140</v>
      </c>
      <c r="I3735">
        <v>512</v>
      </c>
      <c r="J3735">
        <v>120</v>
      </c>
      <c r="K3735">
        <v>2460</v>
      </c>
      <c r="L3735">
        <v>33</v>
      </c>
      <c r="M3735">
        <v>47</v>
      </c>
      <c r="N3735">
        <v>1160</v>
      </c>
      <c r="O3735">
        <v>86.7</v>
      </c>
      <c r="P3735">
        <v>8.7100000000000009</v>
      </c>
    </row>
    <row r="3736" spans="1:16">
      <c r="A3736" s="1" t="s">
        <v>3745</v>
      </c>
      <c r="B3736" s="1" t="s">
        <v>3764</v>
      </c>
      <c r="C3736" s="1" t="s">
        <v>38</v>
      </c>
      <c r="D3736" s="1" t="s">
        <v>569</v>
      </c>
      <c r="E3736" s="1" t="s">
        <v>3750</v>
      </c>
      <c r="F3736">
        <v>1856</v>
      </c>
      <c r="G3736">
        <v>4200</v>
      </c>
      <c r="H3736">
        <v>9920</v>
      </c>
      <c r="I3736">
        <v>545</v>
      </c>
      <c r="J3736">
        <v>1.6</v>
      </c>
      <c r="K3736">
        <v>2850</v>
      </c>
      <c r="L3736">
        <v>39.799999999999997</v>
      </c>
      <c r="M3736">
        <v>15.3</v>
      </c>
      <c r="N3736">
        <v>1180</v>
      </c>
      <c r="O3736">
        <v>98.5</v>
      </c>
      <c r="P3736">
        <v>10.57</v>
      </c>
    </row>
    <row r="3737" spans="1:16">
      <c r="A3737" s="1" t="s">
        <v>3745</v>
      </c>
      <c r="B3737" s="1" t="s">
        <v>3765</v>
      </c>
      <c r="C3737" s="1" t="s">
        <v>18</v>
      </c>
      <c r="D3737" s="1" t="s">
        <v>569</v>
      </c>
      <c r="E3737" s="1" t="s">
        <v>3750</v>
      </c>
      <c r="F3737">
        <v>1720</v>
      </c>
      <c r="G3737">
        <v>4820</v>
      </c>
      <c r="H3737">
        <v>11600</v>
      </c>
      <c r="I3737">
        <v>547</v>
      </c>
      <c r="J3737">
        <v>389</v>
      </c>
      <c r="K3737">
        <v>2200</v>
      </c>
      <c r="L3737">
        <v>33.6</v>
      </c>
      <c r="M3737">
        <v>10.7</v>
      </c>
      <c r="N3737">
        <v>950</v>
      </c>
      <c r="O3737">
        <v>85.2</v>
      </c>
      <c r="P3737">
        <v>9.02</v>
      </c>
    </row>
    <row r="3738" spans="1:16">
      <c r="A3738" s="1" t="s">
        <v>3745</v>
      </c>
      <c r="B3738" s="1" t="s">
        <v>3766</v>
      </c>
      <c r="C3738" s="1" t="s">
        <v>18</v>
      </c>
      <c r="D3738" s="1" t="s">
        <v>569</v>
      </c>
      <c r="E3738" s="1" t="s">
        <v>3750</v>
      </c>
      <c r="F3738">
        <v>948</v>
      </c>
      <c r="G3738">
        <v>4150</v>
      </c>
      <c r="H3738">
        <v>13480</v>
      </c>
      <c r="I3738">
        <v>562</v>
      </c>
      <c r="J3738">
        <v>611</v>
      </c>
      <c r="K3738">
        <v>2130</v>
      </c>
      <c r="L3738">
        <v>38.299999999999997</v>
      </c>
      <c r="M3738">
        <v>11.5</v>
      </c>
      <c r="N3738">
        <v>1090</v>
      </c>
      <c r="O3738">
        <v>85.7</v>
      </c>
      <c r="P3738">
        <v>8.2200000000000006</v>
      </c>
    </row>
    <row r="3739" spans="1:16">
      <c r="A3739" s="1" t="s">
        <v>3767</v>
      </c>
      <c r="B3739" s="1" t="s">
        <v>3768</v>
      </c>
      <c r="C3739" s="1" t="s">
        <v>18</v>
      </c>
      <c r="D3739" s="1" t="s">
        <v>569</v>
      </c>
      <c r="E3739" s="1" t="s">
        <v>3750</v>
      </c>
      <c r="F3739">
        <v>1175</v>
      </c>
      <c r="G3739">
        <v>8660</v>
      </c>
      <c r="H3739">
        <v>14860</v>
      </c>
      <c r="I3739">
        <v>1360</v>
      </c>
      <c r="J3739">
        <v>101.1</v>
      </c>
      <c r="K3739">
        <v>1976</v>
      </c>
      <c r="L3739">
        <v>4.78</v>
      </c>
      <c r="M3739">
        <v>12.5</v>
      </c>
      <c r="N3739">
        <v>1810</v>
      </c>
      <c r="O3739">
        <v>107.9</v>
      </c>
      <c r="P3739">
        <v>7.7</v>
      </c>
    </row>
    <row r="3740" spans="1:16">
      <c r="A3740" s="1" t="s">
        <v>3767</v>
      </c>
      <c r="B3740" s="1" t="s">
        <v>3769</v>
      </c>
      <c r="C3740" s="1" t="s">
        <v>18</v>
      </c>
      <c r="D3740" s="1" t="s">
        <v>569</v>
      </c>
      <c r="E3740" s="1" t="s">
        <v>3750</v>
      </c>
      <c r="F3740">
        <v>944</v>
      </c>
      <c r="G3740">
        <v>8430</v>
      </c>
      <c r="H3740">
        <v>16330</v>
      </c>
      <c r="I3740">
        <v>1394</v>
      </c>
      <c r="J3740">
        <v>92.3</v>
      </c>
      <c r="K3740">
        <v>2105</v>
      </c>
      <c r="L3740">
        <v>5.2</v>
      </c>
      <c r="M3740">
        <v>18.600000000000001</v>
      </c>
      <c r="N3740">
        <v>1969</v>
      </c>
      <c r="O3740">
        <v>101.5</v>
      </c>
      <c r="P3740">
        <v>7.95</v>
      </c>
    </row>
    <row r="3741" spans="1:16">
      <c r="A3741" s="1" t="s">
        <v>3767</v>
      </c>
      <c r="B3741" s="1" t="s">
        <v>3770</v>
      </c>
      <c r="C3741" s="1" t="s">
        <v>38</v>
      </c>
      <c r="D3741" s="1" t="s">
        <v>5593</v>
      </c>
      <c r="E3741" s="1" t="s">
        <v>3750</v>
      </c>
      <c r="F3741">
        <v>700</v>
      </c>
      <c r="G3741">
        <v>770</v>
      </c>
      <c r="H3741">
        <v>668</v>
      </c>
      <c r="I3741">
        <v>249.5</v>
      </c>
      <c r="J3741">
        <v>1.69</v>
      </c>
      <c r="K3741">
        <v>2060</v>
      </c>
      <c r="L3741">
        <v>6.8</v>
      </c>
      <c r="M3741">
        <v>20.9</v>
      </c>
      <c r="N3741">
        <v>678</v>
      </c>
      <c r="O3741">
        <v>17.010000000000002</v>
      </c>
      <c r="P3741">
        <v>1.1200000000000001</v>
      </c>
    </row>
    <row r="3742" spans="1:16">
      <c r="A3742" s="1" t="s">
        <v>3767</v>
      </c>
      <c r="B3742" s="1" t="s">
        <v>3771</v>
      </c>
      <c r="C3742" s="1" t="s">
        <v>38</v>
      </c>
      <c r="D3742" s="1" t="s">
        <v>5593</v>
      </c>
      <c r="E3742" s="1" t="s">
        <v>3750</v>
      </c>
      <c r="F3742">
        <v>1060</v>
      </c>
      <c r="G3742">
        <v>305</v>
      </c>
      <c r="H3742">
        <v>252</v>
      </c>
      <c r="I3742">
        <v>304</v>
      </c>
      <c r="J3742">
        <v>1.03</v>
      </c>
      <c r="K3742">
        <v>2740</v>
      </c>
      <c r="L3742">
        <v>5.64</v>
      </c>
      <c r="M3742">
        <v>20.9</v>
      </c>
      <c r="N3742">
        <v>520</v>
      </c>
      <c r="O3742">
        <v>14.79</v>
      </c>
      <c r="P3742">
        <v>1.1399999999999999</v>
      </c>
    </row>
    <row r="3743" spans="1:16">
      <c r="A3743" s="1" t="s">
        <v>3767</v>
      </c>
      <c r="B3743" s="1" t="s">
        <v>3772</v>
      </c>
      <c r="C3743" s="1" t="s">
        <v>18</v>
      </c>
      <c r="D3743" s="1" t="s">
        <v>569</v>
      </c>
      <c r="E3743" s="1" t="s">
        <v>3750</v>
      </c>
      <c r="F3743">
        <v>90.9</v>
      </c>
      <c r="G3743">
        <v>1535</v>
      </c>
      <c r="H3743">
        <v>1290</v>
      </c>
      <c r="I3743">
        <v>3590</v>
      </c>
      <c r="J3743">
        <v>218.6</v>
      </c>
      <c r="K3743">
        <v>1026</v>
      </c>
      <c r="L3743">
        <v>51.7</v>
      </c>
      <c r="M3743">
        <v>45.4</v>
      </c>
      <c r="N3743">
        <v>344</v>
      </c>
      <c r="O3743">
        <v>50.6</v>
      </c>
      <c r="P3743">
        <v>1.26</v>
      </c>
    </row>
    <row r="3744" spans="1:16">
      <c r="A3744" s="1" t="s">
        <v>3767</v>
      </c>
      <c r="B3744" s="1" t="s">
        <v>3773</v>
      </c>
      <c r="C3744" s="1" t="s">
        <v>18</v>
      </c>
      <c r="D3744" s="1" t="s">
        <v>569</v>
      </c>
      <c r="E3744" s="1" t="s">
        <v>3750</v>
      </c>
      <c r="F3744">
        <v>57.5</v>
      </c>
      <c r="G3744">
        <v>1620</v>
      </c>
      <c r="H3744">
        <v>758</v>
      </c>
      <c r="I3744">
        <v>3299</v>
      </c>
      <c r="J3744">
        <v>489</v>
      </c>
      <c r="K3744">
        <v>756</v>
      </c>
      <c r="L3744">
        <v>34.200000000000003</v>
      </c>
      <c r="M3744">
        <v>51.6</v>
      </c>
      <c r="N3744">
        <v>253</v>
      </c>
      <c r="O3744">
        <v>28.3</v>
      </c>
      <c r="P3744">
        <v>0.92</v>
      </c>
    </row>
    <row r="3745" spans="1:16">
      <c r="A3745" s="1" t="s">
        <v>3767</v>
      </c>
      <c r="B3745" s="1" t="s">
        <v>3774</v>
      </c>
      <c r="C3745" s="1" t="s">
        <v>38</v>
      </c>
      <c r="D3745" s="1" t="s">
        <v>5593</v>
      </c>
      <c r="E3745" s="1" t="s">
        <v>3750</v>
      </c>
      <c r="F3745">
        <v>36.1</v>
      </c>
      <c r="G3745">
        <v>310</v>
      </c>
      <c r="H3745">
        <v>326</v>
      </c>
      <c r="I3745">
        <v>2518</v>
      </c>
      <c r="J3745">
        <v>417.3</v>
      </c>
      <c r="K3745">
        <v>738</v>
      </c>
      <c r="L3745">
        <v>16</v>
      </c>
      <c r="M3745">
        <v>40.9</v>
      </c>
      <c r="N3745">
        <v>61.3</v>
      </c>
      <c r="O3745">
        <v>15.94</v>
      </c>
      <c r="P3745">
        <v>0.14000000000000001</v>
      </c>
    </row>
    <row r="3746" spans="1:16">
      <c r="A3746" s="1" t="s">
        <v>3767</v>
      </c>
      <c r="B3746" s="1" t="s">
        <v>3775</v>
      </c>
      <c r="C3746" s="1" t="s">
        <v>38</v>
      </c>
      <c r="D3746" s="1" t="s">
        <v>5593</v>
      </c>
      <c r="E3746" s="1" t="s">
        <v>3750</v>
      </c>
      <c r="F3746">
        <v>47.5</v>
      </c>
      <c r="G3746">
        <v>389</v>
      </c>
      <c r="H3746">
        <v>995</v>
      </c>
      <c r="I3746">
        <v>2818</v>
      </c>
      <c r="J3746">
        <v>363.6</v>
      </c>
      <c r="K3746">
        <v>908</v>
      </c>
      <c r="L3746">
        <v>21.8</v>
      </c>
      <c r="M3746">
        <v>32</v>
      </c>
      <c r="N3746">
        <v>88.3</v>
      </c>
      <c r="O3746">
        <v>19.8</v>
      </c>
      <c r="P3746">
        <v>0.19</v>
      </c>
    </row>
    <row r="3747" spans="1:16">
      <c r="A3747" s="1" t="s">
        <v>3776</v>
      </c>
      <c r="B3747" s="1" t="s">
        <v>3777</v>
      </c>
      <c r="C3747" s="1" t="s">
        <v>38</v>
      </c>
      <c r="D3747" s="1" t="s">
        <v>5592</v>
      </c>
      <c r="E3747" s="1" t="s">
        <v>3750</v>
      </c>
      <c r="F3747">
        <v>703</v>
      </c>
      <c r="G3747">
        <v>1781</v>
      </c>
      <c r="H3747">
        <v>3670</v>
      </c>
      <c r="I3747">
        <v>1035</v>
      </c>
      <c r="J3747">
        <v>151.5</v>
      </c>
      <c r="K3747">
        <v>827</v>
      </c>
      <c r="L3747">
        <v>63.7</v>
      </c>
      <c r="M3747">
        <v>319</v>
      </c>
      <c r="N3747">
        <v>666</v>
      </c>
      <c r="O3747">
        <v>49.3</v>
      </c>
      <c r="P3747">
        <v>2.2200000000000002</v>
      </c>
    </row>
    <row r="3748" spans="1:16">
      <c r="A3748" s="1" t="s">
        <v>3776</v>
      </c>
      <c r="B3748" s="1" t="s">
        <v>3778</v>
      </c>
      <c r="C3748" s="1" t="s">
        <v>38</v>
      </c>
      <c r="D3748" s="1" t="s">
        <v>5592</v>
      </c>
      <c r="E3748" s="1" t="s">
        <v>3750</v>
      </c>
      <c r="F3748">
        <v>1045</v>
      </c>
      <c r="G3748">
        <v>1680</v>
      </c>
      <c r="H3748">
        <v>3570</v>
      </c>
      <c r="I3748">
        <v>1094</v>
      </c>
      <c r="J3748">
        <v>29.2</v>
      </c>
      <c r="K3748">
        <v>1368</v>
      </c>
      <c r="L3748">
        <v>84.24</v>
      </c>
      <c r="M3748">
        <v>429</v>
      </c>
      <c r="N3748">
        <v>732</v>
      </c>
      <c r="O3748">
        <v>53.6</v>
      </c>
      <c r="P3748">
        <v>1.83</v>
      </c>
    </row>
    <row r="3749" spans="1:16">
      <c r="A3749" s="1" t="s">
        <v>3776</v>
      </c>
      <c r="B3749" s="1" t="s">
        <v>3779</v>
      </c>
      <c r="C3749" s="1" t="s">
        <v>18</v>
      </c>
      <c r="D3749" s="1" t="s">
        <v>569</v>
      </c>
      <c r="E3749" s="1" t="s">
        <v>3750</v>
      </c>
      <c r="F3749">
        <v>512</v>
      </c>
      <c r="G3749">
        <v>1505</v>
      </c>
      <c r="H3749">
        <v>2480</v>
      </c>
      <c r="I3749">
        <v>933</v>
      </c>
      <c r="J3749">
        <v>261</v>
      </c>
      <c r="K3749">
        <v>1100</v>
      </c>
      <c r="L3749">
        <v>69.2</v>
      </c>
      <c r="M3749">
        <v>350</v>
      </c>
      <c r="N3749">
        <v>880</v>
      </c>
      <c r="O3749">
        <v>57.7</v>
      </c>
      <c r="P3749">
        <v>3.61</v>
      </c>
    </row>
    <row r="3750" spans="1:16">
      <c r="A3750" s="1" t="s">
        <v>3776</v>
      </c>
      <c r="B3750" s="1" t="s">
        <v>3780</v>
      </c>
      <c r="C3750" s="1" t="s">
        <v>18</v>
      </c>
      <c r="D3750" s="1" t="s">
        <v>569</v>
      </c>
      <c r="E3750" s="1" t="s">
        <v>3750</v>
      </c>
      <c r="F3750">
        <v>300</v>
      </c>
      <c r="G3750">
        <v>1740</v>
      </c>
      <c r="H3750">
        <v>960</v>
      </c>
      <c r="I3750">
        <v>589</v>
      </c>
      <c r="J3750">
        <v>3.6</v>
      </c>
      <c r="K3750">
        <v>166</v>
      </c>
      <c r="L3750">
        <v>110</v>
      </c>
      <c r="M3750">
        <v>86</v>
      </c>
      <c r="N3750">
        <v>620</v>
      </c>
      <c r="O3750">
        <v>67.099999999999994</v>
      </c>
      <c r="P3750">
        <v>2.78</v>
      </c>
    </row>
    <row r="3751" spans="1:16">
      <c r="A3751" s="1" t="s">
        <v>3776</v>
      </c>
      <c r="B3751" s="1" t="s">
        <v>3781</v>
      </c>
      <c r="C3751" s="1" t="s">
        <v>18</v>
      </c>
      <c r="D3751" s="1" t="s">
        <v>569</v>
      </c>
      <c r="E3751" s="1" t="s">
        <v>3750</v>
      </c>
      <c r="F3751">
        <v>520</v>
      </c>
      <c r="G3751">
        <v>2100</v>
      </c>
      <c r="H3751">
        <v>770</v>
      </c>
      <c r="I3751">
        <v>610</v>
      </c>
      <c r="J3751">
        <v>1.2</v>
      </c>
      <c r="K3751">
        <v>242</v>
      </c>
      <c r="L3751">
        <v>120</v>
      </c>
      <c r="M3751">
        <v>99</v>
      </c>
      <c r="N3751">
        <v>530</v>
      </c>
      <c r="O3751">
        <v>69</v>
      </c>
      <c r="P3751">
        <v>2.13</v>
      </c>
    </row>
    <row r="3752" spans="1:16">
      <c r="A3752" s="1" t="s">
        <v>3782</v>
      </c>
      <c r="B3752" s="1" t="s">
        <v>3783</v>
      </c>
      <c r="C3752" s="1" t="s">
        <v>18</v>
      </c>
      <c r="D3752" s="1" t="s">
        <v>569</v>
      </c>
      <c r="E3752" s="1" t="s">
        <v>3750</v>
      </c>
      <c r="F3752">
        <v>2083</v>
      </c>
      <c r="G3752">
        <v>99</v>
      </c>
      <c r="H3752">
        <v>11.2</v>
      </c>
      <c r="I3752">
        <v>2.08</v>
      </c>
      <c r="J3752">
        <v>0.54</v>
      </c>
      <c r="K3752">
        <v>2706</v>
      </c>
      <c r="L3752">
        <v>47.7</v>
      </c>
      <c r="M3752">
        <v>42</v>
      </c>
      <c r="N3752">
        <v>352</v>
      </c>
      <c r="O3752">
        <v>2.04</v>
      </c>
      <c r="P3752">
        <v>4.49</v>
      </c>
    </row>
    <row r="3753" spans="1:16">
      <c r="A3753" s="1" t="s">
        <v>3782</v>
      </c>
      <c r="B3753" s="1" t="s">
        <v>3784</v>
      </c>
      <c r="C3753" s="1" t="s">
        <v>18</v>
      </c>
      <c r="D3753" s="1" t="s">
        <v>569</v>
      </c>
      <c r="E3753" s="1" t="s">
        <v>3750</v>
      </c>
      <c r="F3753">
        <v>2490</v>
      </c>
      <c r="G3753">
        <v>1666</v>
      </c>
      <c r="H3753">
        <v>301</v>
      </c>
      <c r="I3753">
        <v>24.93</v>
      </c>
      <c r="J3753">
        <v>57</v>
      </c>
      <c r="K3753">
        <v>3035</v>
      </c>
      <c r="L3753">
        <v>56.8</v>
      </c>
      <c r="M3753">
        <v>25</v>
      </c>
      <c r="N3753">
        <v>388</v>
      </c>
      <c r="O3753">
        <v>3.96</v>
      </c>
      <c r="P3753">
        <v>4.46</v>
      </c>
    </row>
    <row r="3754" spans="1:16">
      <c r="A3754" s="1" t="s">
        <v>3785</v>
      </c>
      <c r="B3754" s="1" t="s">
        <v>3786</v>
      </c>
      <c r="C3754" s="1" t="s">
        <v>18</v>
      </c>
      <c r="D3754" s="1" t="s">
        <v>569</v>
      </c>
      <c r="E3754" s="1" t="s">
        <v>3750</v>
      </c>
      <c r="F3754">
        <v>790</v>
      </c>
      <c r="G3754">
        <v>4400</v>
      </c>
      <c r="H3754">
        <v>843</v>
      </c>
      <c r="I3754">
        <v>644</v>
      </c>
      <c r="J3754">
        <v>2.7</v>
      </c>
      <c r="K3754">
        <v>399</v>
      </c>
      <c r="L3754">
        <v>44.2</v>
      </c>
      <c r="M3754">
        <v>84.4</v>
      </c>
      <c r="N3754">
        <v>130.30000000000001</v>
      </c>
      <c r="O3754">
        <v>83.6</v>
      </c>
      <c r="P3754">
        <v>3.79</v>
      </c>
    </row>
    <row r="3755" spans="1:16">
      <c r="A3755" s="1" t="s">
        <v>3785</v>
      </c>
      <c r="B3755" s="1" t="s">
        <v>3787</v>
      </c>
      <c r="C3755" s="1" t="s">
        <v>18</v>
      </c>
      <c r="D3755" s="1" t="s">
        <v>569</v>
      </c>
      <c r="E3755" s="1" t="s">
        <v>3750</v>
      </c>
      <c r="F3755">
        <v>218.6</v>
      </c>
      <c r="G3755">
        <v>2450</v>
      </c>
      <c r="H3755">
        <v>555</v>
      </c>
      <c r="I3755">
        <v>630.1</v>
      </c>
      <c r="J3755">
        <v>0.5</v>
      </c>
      <c r="K3755">
        <v>371</v>
      </c>
      <c r="L3755">
        <v>36.08</v>
      </c>
      <c r="M3755">
        <v>75.400000000000006</v>
      </c>
      <c r="N3755">
        <v>72.8</v>
      </c>
      <c r="O3755">
        <v>62</v>
      </c>
      <c r="P3755">
        <v>1.38</v>
      </c>
    </row>
    <row r="3756" spans="1:16">
      <c r="A3756" s="1" t="s">
        <v>3785</v>
      </c>
      <c r="B3756" s="1" t="s">
        <v>3788</v>
      </c>
      <c r="C3756" s="1" t="s">
        <v>18</v>
      </c>
      <c r="D3756" s="1" t="s">
        <v>569</v>
      </c>
      <c r="E3756" s="1" t="s">
        <v>3750</v>
      </c>
      <c r="F3756">
        <v>536</v>
      </c>
      <c r="G3756">
        <v>3950</v>
      </c>
      <c r="H3756">
        <v>790</v>
      </c>
      <c r="I3756">
        <v>633.70000000000005</v>
      </c>
      <c r="J3756">
        <v>0.51</v>
      </c>
      <c r="K3756">
        <v>374</v>
      </c>
      <c r="L3756">
        <v>41.52</v>
      </c>
      <c r="M3756">
        <v>79.400000000000006</v>
      </c>
      <c r="N3756">
        <v>95.8</v>
      </c>
      <c r="O3756">
        <v>73.900000000000006</v>
      </c>
      <c r="P3756">
        <v>1.89</v>
      </c>
    </row>
    <row r="3757" spans="1:16">
      <c r="A3757" s="1" t="s">
        <v>3785</v>
      </c>
      <c r="B3757" s="1" t="s">
        <v>3789</v>
      </c>
      <c r="C3757" s="1" t="s">
        <v>18</v>
      </c>
      <c r="D3757" s="1" t="s">
        <v>569</v>
      </c>
      <c r="E3757" s="1" t="s">
        <v>3750</v>
      </c>
      <c r="F3757">
        <v>960</v>
      </c>
      <c r="G3757">
        <v>4800</v>
      </c>
      <c r="H3757">
        <v>3430</v>
      </c>
      <c r="I3757">
        <v>766</v>
      </c>
      <c r="J3757">
        <v>5.27</v>
      </c>
      <c r="K3757">
        <v>164</v>
      </c>
      <c r="L3757">
        <v>33.4</v>
      </c>
      <c r="M3757">
        <v>93.4</v>
      </c>
      <c r="N3757">
        <v>551</v>
      </c>
      <c r="O3757">
        <v>67.2</v>
      </c>
      <c r="P3757">
        <v>2.12</v>
      </c>
    </row>
    <row r="3758" spans="1:16">
      <c r="A3758" s="1" t="s">
        <v>3785</v>
      </c>
      <c r="B3758" s="1" t="s">
        <v>3790</v>
      </c>
      <c r="C3758" s="1" t="s">
        <v>18</v>
      </c>
      <c r="D3758" s="1" t="s">
        <v>569</v>
      </c>
      <c r="E3758" s="1" t="s">
        <v>3750</v>
      </c>
      <c r="F3758">
        <v>595</v>
      </c>
      <c r="G3758">
        <v>3510</v>
      </c>
      <c r="H3758">
        <v>5000</v>
      </c>
      <c r="I3758">
        <v>639.79999999999995</v>
      </c>
      <c r="J3758">
        <v>6.5</v>
      </c>
      <c r="K3758">
        <v>550</v>
      </c>
      <c r="L3758">
        <v>77.400000000000006</v>
      </c>
      <c r="M3758">
        <v>75.8</v>
      </c>
      <c r="N3758">
        <v>905</v>
      </c>
      <c r="O3758">
        <v>46.9</v>
      </c>
      <c r="P3758">
        <v>2.1800000000000002</v>
      </c>
    </row>
    <row r="3759" spans="1:16">
      <c r="A3759" s="1" t="s">
        <v>3791</v>
      </c>
      <c r="B3759" s="1" t="s">
        <v>3792</v>
      </c>
      <c r="C3759" s="1" t="s">
        <v>18</v>
      </c>
      <c r="D3759" s="1" t="s">
        <v>569</v>
      </c>
      <c r="E3759" s="1" t="s">
        <v>3750</v>
      </c>
      <c r="F3759">
        <v>682</v>
      </c>
      <c r="G3759">
        <v>5150</v>
      </c>
      <c r="H3759">
        <v>3300</v>
      </c>
      <c r="I3759">
        <v>737</v>
      </c>
      <c r="J3759">
        <v>5</v>
      </c>
      <c r="K3759">
        <v>111.4</v>
      </c>
      <c r="L3759">
        <v>32.1</v>
      </c>
      <c r="M3759">
        <v>86.7</v>
      </c>
      <c r="N3759">
        <v>686</v>
      </c>
      <c r="O3759">
        <v>65.3</v>
      </c>
      <c r="P3759">
        <v>1.55</v>
      </c>
    </row>
    <row r="3760" spans="1:16">
      <c r="A3760" s="1" t="s">
        <v>3785</v>
      </c>
      <c r="B3760" s="1" t="s">
        <v>3793</v>
      </c>
      <c r="C3760" s="1" t="s">
        <v>18</v>
      </c>
      <c r="D3760" s="1" t="s">
        <v>569</v>
      </c>
      <c r="E3760" s="1" t="s">
        <v>3750</v>
      </c>
      <c r="F3760">
        <v>718</v>
      </c>
      <c r="G3760">
        <v>3470</v>
      </c>
      <c r="H3760">
        <v>3540</v>
      </c>
      <c r="I3760">
        <v>619</v>
      </c>
      <c r="J3760">
        <v>4</v>
      </c>
      <c r="K3760">
        <v>477</v>
      </c>
      <c r="L3760">
        <v>78.400000000000006</v>
      </c>
      <c r="M3760">
        <v>94</v>
      </c>
      <c r="N3760">
        <v>544</v>
      </c>
      <c r="O3760">
        <v>45.47</v>
      </c>
      <c r="P3760">
        <v>1.41</v>
      </c>
    </row>
    <row r="3761" spans="1:16">
      <c r="A3761" s="1" t="s">
        <v>3785</v>
      </c>
      <c r="B3761" s="1" t="s">
        <v>3794</v>
      </c>
      <c r="C3761" s="1" t="s">
        <v>18</v>
      </c>
      <c r="D3761" s="1" t="s">
        <v>569</v>
      </c>
      <c r="E3761" s="1" t="s">
        <v>3750</v>
      </c>
      <c r="F3761">
        <v>801</v>
      </c>
      <c r="G3761">
        <v>4500</v>
      </c>
      <c r="H3761">
        <v>3900</v>
      </c>
      <c r="I3761">
        <v>1356</v>
      </c>
      <c r="J3761">
        <v>2</v>
      </c>
      <c r="K3761">
        <v>300</v>
      </c>
      <c r="L3761">
        <v>52.8</v>
      </c>
      <c r="M3761">
        <v>135.69999999999999</v>
      </c>
      <c r="N3761">
        <v>59.8</v>
      </c>
      <c r="O3761">
        <v>77.7</v>
      </c>
      <c r="P3761">
        <v>6.4</v>
      </c>
    </row>
    <row r="3762" spans="1:16">
      <c r="A3762" s="1" t="s">
        <v>3795</v>
      </c>
      <c r="B3762" s="1" t="s">
        <v>3796</v>
      </c>
      <c r="C3762" s="1" t="s">
        <v>18</v>
      </c>
      <c r="D3762" s="1" t="s">
        <v>569</v>
      </c>
      <c r="E3762" s="1" t="s">
        <v>3750</v>
      </c>
      <c r="F3762">
        <v>953</v>
      </c>
      <c r="G3762">
        <v>3100</v>
      </c>
      <c r="H3762">
        <v>4590</v>
      </c>
      <c r="I3762">
        <v>1365</v>
      </c>
      <c r="J3762">
        <v>22</v>
      </c>
      <c r="K3762">
        <v>1100</v>
      </c>
      <c r="L3762">
        <v>50</v>
      </c>
      <c r="M3762">
        <v>55.1</v>
      </c>
      <c r="N3762">
        <v>269</v>
      </c>
      <c r="O3762">
        <v>49.4</v>
      </c>
      <c r="P3762">
        <v>9.1999999999999993</v>
      </c>
    </row>
    <row r="3763" spans="1:16">
      <c r="A3763" s="1" t="s">
        <v>3795</v>
      </c>
      <c r="B3763" s="1" t="s">
        <v>3797</v>
      </c>
      <c r="C3763" s="1" t="s">
        <v>18</v>
      </c>
      <c r="D3763" s="1" t="s">
        <v>569</v>
      </c>
      <c r="E3763" s="1" t="s">
        <v>3750</v>
      </c>
      <c r="F3763">
        <v>2530</v>
      </c>
      <c r="G3763">
        <v>5100</v>
      </c>
      <c r="H3763">
        <v>5500</v>
      </c>
      <c r="I3763">
        <v>1404</v>
      </c>
      <c r="J3763">
        <v>4.2</v>
      </c>
      <c r="K3763">
        <v>2600</v>
      </c>
      <c r="L3763">
        <v>73.2</v>
      </c>
      <c r="M3763">
        <v>58</v>
      </c>
      <c r="N3763">
        <v>533</v>
      </c>
      <c r="O3763">
        <v>42.5</v>
      </c>
      <c r="P3763">
        <v>6.77</v>
      </c>
    </row>
    <row r="3764" spans="1:16">
      <c r="A3764" s="1" t="s">
        <v>3795</v>
      </c>
      <c r="B3764" s="1" t="s">
        <v>3798</v>
      </c>
      <c r="C3764" s="1" t="s">
        <v>18</v>
      </c>
      <c r="D3764" s="1" t="s">
        <v>569</v>
      </c>
      <c r="E3764" s="1" t="s">
        <v>3750</v>
      </c>
      <c r="F3764">
        <v>2330</v>
      </c>
      <c r="G3764">
        <v>2900</v>
      </c>
      <c r="H3764">
        <v>3380</v>
      </c>
      <c r="I3764">
        <v>1333</v>
      </c>
      <c r="J3764">
        <v>0.72</v>
      </c>
      <c r="K3764">
        <v>1880</v>
      </c>
      <c r="L3764">
        <v>77.400000000000006</v>
      </c>
      <c r="M3764">
        <v>60.2</v>
      </c>
      <c r="N3764">
        <v>560</v>
      </c>
      <c r="O3764">
        <v>46</v>
      </c>
      <c r="P3764">
        <v>7.71</v>
      </c>
    </row>
    <row r="3765" spans="1:16">
      <c r="A3765" s="1" t="s">
        <v>3799</v>
      </c>
      <c r="B3765" s="6" t="s">
        <v>3800</v>
      </c>
      <c r="C3765" s="1" t="s">
        <v>18</v>
      </c>
      <c r="D3765" s="1" t="s">
        <v>5595</v>
      </c>
      <c r="E3765" s="1" t="s">
        <v>3801</v>
      </c>
      <c r="F3765">
        <v>83.763155844586905</v>
      </c>
      <c r="G3765">
        <v>43.058752236912902</v>
      </c>
      <c r="H3765">
        <v>305.67103778777602</v>
      </c>
      <c r="I3765">
        <v>452.18636891787099</v>
      </c>
      <c r="J3765">
        <v>5.9534759049149404</v>
      </c>
      <c r="K3765">
        <v>131.89479024979599</v>
      </c>
      <c r="L3765">
        <v>4.74885619096022</v>
      </c>
      <c r="M3765">
        <v>37.3947833379328</v>
      </c>
      <c r="N3765">
        <v>82.395594575011003</v>
      </c>
      <c r="O3765">
        <v>1.90256775130539</v>
      </c>
      <c r="P3765">
        <v>6.8353719785246403</v>
      </c>
    </row>
    <row r="3766" spans="1:16">
      <c r="A3766" s="1" t="s">
        <v>3799</v>
      </c>
      <c r="B3766" s="6" t="s">
        <v>3802</v>
      </c>
      <c r="C3766" s="1" t="s">
        <v>18</v>
      </c>
      <c r="D3766" s="1" t="s">
        <v>5595</v>
      </c>
      <c r="E3766" s="1" t="s">
        <v>3801</v>
      </c>
      <c r="F3766">
        <v>128.51281469217199</v>
      </c>
      <c r="G3766">
        <v>27.894399887591099</v>
      </c>
      <c r="H3766">
        <v>255.00066678237101</v>
      </c>
      <c r="I3766">
        <v>513.97864047723601</v>
      </c>
      <c r="J3766">
        <v>8.5811266113797195</v>
      </c>
      <c r="K3766">
        <v>170.98398620171901</v>
      </c>
      <c r="L3766">
        <v>5.80099328807606</v>
      </c>
      <c r="M3766">
        <v>46.440603184483301</v>
      </c>
      <c r="N3766">
        <v>70.433260395029095</v>
      </c>
      <c r="O3766">
        <v>1.7123005413333801</v>
      </c>
      <c r="P3766">
        <v>8.4086543427004408</v>
      </c>
    </row>
    <row r="3767" spans="1:16">
      <c r="A3767" s="1" t="s">
        <v>3799</v>
      </c>
      <c r="B3767" s="6" t="s">
        <v>3803</v>
      </c>
      <c r="C3767" s="1" t="s">
        <v>18</v>
      </c>
      <c r="D3767" s="1" t="s">
        <v>5595</v>
      </c>
      <c r="E3767" s="1" t="s">
        <v>3804</v>
      </c>
      <c r="F3767">
        <v>114.33311341326301</v>
      </c>
      <c r="G3767">
        <v>115.163907433706</v>
      </c>
      <c r="H3767">
        <v>255.160878620228</v>
      </c>
      <c r="I3767">
        <v>546.78075249829499</v>
      </c>
      <c r="J3767">
        <v>9.1545507249690203</v>
      </c>
      <c r="K3767">
        <v>98.553037509819404</v>
      </c>
      <c r="L3767">
        <v>9.3089590733563892</v>
      </c>
      <c r="M3767">
        <v>64.952873545665497</v>
      </c>
      <c r="N3767">
        <v>92.690415271595398</v>
      </c>
      <c r="O3767">
        <v>3.2157928608222699</v>
      </c>
      <c r="P3767">
        <v>5.2956988670196896</v>
      </c>
    </row>
    <row r="3768" spans="1:16">
      <c r="A3768" s="1" t="s">
        <v>3799</v>
      </c>
      <c r="B3768" s="6" t="s">
        <v>3805</v>
      </c>
      <c r="C3768" s="1" t="s">
        <v>18</v>
      </c>
      <c r="D3768" s="1" t="s">
        <v>5595</v>
      </c>
      <c r="E3768" s="1" t="s">
        <v>3804</v>
      </c>
      <c r="F3768">
        <v>60.4488809746992</v>
      </c>
      <c r="G3768">
        <v>70.480031683417295</v>
      </c>
      <c r="H3768">
        <v>320.47139233908399</v>
      </c>
      <c r="I3768">
        <v>533.19544198287099</v>
      </c>
      <c r="J3768">
        <v>6.1948125316860603</v>
      </c>
      <c r="K3768">
        <v>138.01945448677699</v>
      </c>
      <c r="L3768">
        <v>9.5034137888484391</v>
      </c>
      <c r="M3768">
        <v>58.370739266900102</v>
      </c>
      <c r="N3768">
        <v>105.08261880449299</v>
      </c>
      <c r="O3768">
        <v>3.0810162210371299</v>
      </c>
      <c r="P3768">
        <v>9.6263083094411996</v>
      </c>
    </row>
    <row r="3769" spans="1:16">
      <c r="A3769" s="1" t="s">
        <v>3799</v>
      </c>
      <c r="B3769" s="6" t="s">
        <v>3806</v>
      </c>
      <c r="C3769" s="1" t="s">
        <v>18</v>
      </c>
      <c r="D3769" s="1" t="s">
        <v>5595</v>
      </c>
      <c r="E3769" s="1" t="s">
        <v>3804</v>
      </c>
      <c r="F3769">
        <v>106.913330385319</v>
      </c>
      <c r="G3769">
        <v>79.876864805878895</v>
      </c>
      <c r="H3769">
        <v>319.61813912822498</v>
      </c>
      <c r="I3769">
        <v>568.03791648780805</v>
      </c>
      <c r="J3769">
        <v>5.6255950144191598</v>
      </c>
      <c r="K3769">
        <v>112.258204981677</v>
      </c>
      <c r="L3769">
        <v>9.4203073173192493</v>
      </c>
      <c r="M3769">
        <v>55.6035744268911</v>
      </c>
      <c r="N3769">
        <v>84.7937740132475</v>
      </c>
      <c r="O3769">
        <v>3.2321297662288502</v>
      </c>
      <c r="P3769">
        <v>8.8471864699500902</v>
      </c>
    </row>
    <row r="3770" spans="1:16">
      <c r="A3770" s="1" t="s">
        <v>3799</v>
      </c>
      <c r="B3770" s="6" t="s">
        <v>3807</v>
      </c>
      <c r="C3770" s="1" t="s">
        <v>18</v>
      </c>
      <c r="D3770" s="1" t="s">
        <v>5595</v>
      </c>
      <c r="E3770" s="1" t="s">
        <v>3804</v>
      </c>
      <c r="F3770">
        <v>71.859278634995107</v>
      </c>
      <c r="G3770">
        <v>86.308021934672595</v>
      </c>
      <c r="H3770">
        <v>214.57313139085801</v>
      </c>
      <c r="I3770">
        <v>475.16010992982899</v>
      </c>
      <c r="J3770">
        <v>10.712639298092</v>
      </c>
      <c r="K3770">
        <v>76.876582502667603</v>
      </c>
      <c r="L3770">
        <v>8.5699911405399707</v>
      </c>
      <c r="M3770">
        <v>70.290270294225394</v>
      </c>
      <c r="N3770">
        <v>54.743157562193197</v>
      </c>
      <c r="O3770">
        <v>1.6627208378015299</v>
      </c>
      <c r="P3770">
        <v>4.1223921839931696</v>
      </c>
    </row>
    <row r="3771" spans="1:16">
      <c r="A3771" s="1" t="s">
        <v>3799</v>
      </c>
      <c r="B3771" s="6" t="s">
        <v>3808</v>
      </c>
      <c r="C3771" s="1" t="s">
        <v>18</v>
      </c>
      <c r="D3771" s="1" t="s">
        <v>5595</v>
      </c>
      <c r="E3771" s="1" t="s">
        <v>3804</v>
      </c>
      <c r="F3771">
        <v>22.5042681771349</v>
      </c>
      <c r="G3771">
        <v>21.5764601106202</v>
      </c>
      <c r="H3771">
        <v>254.56831292516199</v>
      </c>
      <c r="I3771">
        <v>474.67621540829799</v>
      </c>
      <c r="J3771">
        <v>0.48758229150758298</v>
      </c>
      <c r="K3771">
        <v>57.402195088973997</v>
      </c>
      <c r="L3771">
        <v>7.9305949325141096</v>
      </c>
      <c r="M3771">
        <v>23.636210955240902</v>
      </c>
      <c r="N3771">
        <v>47.151694728131098</v>
      </c>
      <c r="O3771">
        <v>1.4291616322096301</v>
      </c>
      <c r="P3771">
        <v>6.2895820271744798</v>
      </c>
    </row>
    <row r="3772" spans="1:16">
      <c r="A3772" s="1" t="s">
        <v>3799</v>
      </c>
      <c r="B3772" s="6" t="s">
        <v>3809</v>
      </c>
      <c r="C3772" s="1" t="s">
        <v>18</v>
      </c>
      <c r="D3772" s="1" t="s">
        <v>5595</v>
      </c>
      <c r="E3772" s="1" t="s">
        <v>3804</v>
      </c>
      <c r="F3772">
        <v>55.894210228415901</v>
      </c>
      <c r="G3772">
        <v>55.0030183049359</v>
      </c>
      <c r="H3772">
        <v>288.95559615974298</v>
      </c>
      <c r="I3772">
        <v>660.45816868847498</v>
      </c>
      <c r="J3772">
        <v>41.534814850690402</v>
      </c>
      <c r="K3772">
        <v>110.456101810969</v>
      </c>
      <c r="L3772">
        <v>6.9234819481799699</v>
      </c>
      <c r="M3772">
        <v>83.427432125062893</v>
      </c>
      <c r="N3772">
        <v>88.146724057763393</v>
      </c>
      <c r="O3772">
        <v>1.56105155278906</v>
      </c>
      <c r="P3772">
        <v>7.6096194745661698</v>
      </c>
    </row>
    <row r="3773" spans="1:16">
      <c r="A3773" s="1" t="s">
        <v>3799</v>
      </c>
      <c r="B3773" s="6" t="s">
        <v>3810</v>
      </c>
      <c r="C3773" s="1" t="s">
        <v>18</v>
      </c>
      <c r="D3773" s="1" t="s">
        <v>5595</v>
      </c>
      <c r="E3773" s="1" t="s">
        <v>3804</v>
      </c>
      <c r="F3773">
        <v>248.017666190819</v>
      </c>
      <c r="G3773">
        <v>101.070402560915</v>
      </c>
      <c r="H3773">
        <v>245.462515739959</v>
      </c>
      <c r="I3773">
        <v>738.61773232625603</v>
      </c>
      <c r="J3773">
        <v>40.587208578674797</v>
      </c>
      <c r="K3773">
        <v>70.752277943802895</v>
      </c>
      <c r="L3773">
        <v>8.0878561868048795</v>
      </c>
      <c r="M3773">
        <v>84.640473086188706</v>
      </c>
      <c r="N3773">
        <v>98.459489844602004</v>
      </c>
      <c r="O3773">
        <v>2.02969634139588</v>
      </c>
      <c r="P3773">
        <v>4.2198639798821098</v>
      </c>
    </row>
    <row r="3774" spans="1:16">
      <c r="A3774" s="1" t="s">
        <v>3799</v>
      </c>
      <c r="B3774" s="6" t="s">
        <v>3811</v>
      </c>
      <c r="C3774" s="1" t="s">
        <v>18</v>
      </c>
      <c r="D3774" s="1" t="s">
        <v>5595</v>
      </c>
      <c r="E3774" s="1" t="s">
        <v>3804</v>
      </c>
      <c r="F3774">
        <v>20.9285065657226</v>
      </c>
      <c r="G3774">
        <v>49.5945350324792</v>
      </c>
      <c r="H3774">
        <v>246.76689488954</v>
      </c>
      <c r="I3774">
        <v>1209.14451833462</v>
      </c>
      <c r="J3774">
        <v>12.0210680741245</v>
      </c>
      <c r="K3774">
        <v>88.117343568405204</v>
      </c>
      <c r="L3774">
        <v>9.3040489959271397</v>
      </c>
      <c r="M3774">
        <v>91.298827812746396</v>
      </c>
      <c r="N3774">
        <v>67.678726594865495</v>
      </c>
      <c r="O3774">
        <v>3.3907124918748202</v>
      </c>
      <c r="P3774">
        <v>3.5722580617079398</v>
      </c>
    </row>
    <row r="3775" spans="1:16">
      <c r="A3775" s="1" t="s">
        <v>3799</v>
      </c>
      <c r="B3775" s="6" t="s">
        <v>3812</v>
      </c>
      <c r="C3775" s="1" t="s">
        <v>18</v>
      </c>
      <c r="D3775" s="1" t="s">
        <v>5595</v>
      </c>
      <c r="E3775" s="1" t="s">
        <v>3804</v>
      </c>
      <c r="F3775">
        <v>182.72918706970199</v>
      </c>
      <c r="G3775">
        <v>201.706243331981</v>
      </c>
      <c r="H3775">
        <v>301.75616934603403</v>
      </c>
      <c r="I3775">
        <v>756.96338242403897</v>
      </c>
      <c r="J3775">
        <v>26.676888505770801</v>
      </c>
      <c r="K3775">
        <v>266.22447768254801</v>
      </c>
      <c r="L3775">
        <v>5.1975804294679699</v>
      </c>
      <c r="M3775">
        <v>33.210140618046303</v>
      </c>
      <c r="N3775">
        <v>82.044359238714307</v>
      </c>
      <c r="O3775">
        <v>2.7835493150285302</v>
      </c>
      <c r="P3775">
        <v>8.9357504240140102</v>
      </c>
    </row>
    <row r="3776" spans="1:16">
      <c r="A3776" s="1" t="s">
        <v>3799</v>
      </c>
      <c r="B3776" s="6" t="s">
        <v>3813</v>
      </c>
      <c r="C3776" s="1" t="s">
        <v>18</v>
      </c>
      <c r="D3776" s="1" t="s">
        <v>5595</v>
      </c>
      <c r="E3776" s="1" t="s">
        <v>3804</v>
      </c>
      <c r="F3776">
        <v>1904.7035134053799</v>
      </c>
      <c r="G3776">
        <v>163.80518678700099</v>
      </c>
      <c r="H3776">
        <v>325.320510089197</v>
      </c>
      <c r="I3776">
        <v>562.53945929322799</v>
      </c>
      <c r="J3776">
        <v>16.519498549593902</v>
      </c>
      <c r="K3776">
        <v>660.25634224148405</v>
      </c>
      <c r="L3776">
        <v>4.6700034167333699</v>
      </c>
      <c r="M3776">
        <v>37.511033379467101</v>
      </c>
      <c r="N3776">
        <v>132.84734303805601</v>
      </c>
      <c r="O3776">
        <v>3.6419565117033499</v>
      </c>
      <c r="P3776">
        <v>5.71558702620327</v>
      </c>
    </row>
    <row r="3777" spans="1:16">
      <c r="A3777" s="1" t="s">
        <v>3799</v>
      </c>
      <c r="B3777" s="6" t="s">
        <v>3814</v>
      </c>
      <c r="C3777" s="1" t="s">
        <v>18</v>
      </c>
      <c r="D3777" s="1" t="s">
        <v>5595</v>
      </c>
      <c r="E3777" s="1" t="s">
        <v>3804</v>
      </c>
      <c r="F3777">
        <v>227.783182289645</v>
      </c>
      <c r="G3777">
        <v>151.52530907282099</v>
      </c>
      <c r="H3777">
        <v>94.132071564226294</v>
      </c>
      <c r="I3777">
        <v>632.03583107409497</v>
      </c>
      <c r="J3777">
        <v>14.870736549726599</v>
      </c>
      <c r="K3777">
        <v>534.83159337521602</v>
      </c>
      <c r="L3777">
        <v>6.0214527481857196</v>
      </c>
      <c r="M3777">
        <v>42.200762027257099</v>
      </c>
      <c r="N3777">
        <v>143.45411449607499</v>
      </c>
      <c r="O3777">
        <v>2.7379891412722901</v>
      </c>
      <c r="P3777">
        <v>3.2855119849924801</v>
      </c>
    </row>
    <row r="3778" spans="1:16">
      <c r="A3778" s="1" t="s">
        <v>3799</v>
      </c>
      <c r="B3778" s="6" t="s">
        <v>3815</v>
      </c>
      <c r="C3778" s="1" t="s">
        <v>18</v>
      </c>
      <c r="D3778" s="1" t="s">
        <v>5595</v>
      </c>
      <c r="E3778" s="1" t="s">
        <v>3804</v>
      </c>
      <c r="F3778">
        <v>71.307151724232696</v>
      </c>
      <c r="G3778">
        <v>109.821953769399</v>
      </c>
      <c r="H3778">
        <v>163.94561628451299</v>
      </c>
      <c r="I3778">
        <v>590.29197623595201</v>
      </c>
      <c r="J3778">
        <v>14.706227597729301</v>
      </c>
      <c r="K3778">
        <v>288.91826639210001</v>
      </c>
      <c r="L3778">
        <v>4.7410703245646904</v>
      </c>
      <c r="M3778">
        <v>42.639003721245999</v>
      </c>
      <c r="N3778">
        <v>91.994896539867199</v>
      </c>
      <c r="O3778">
        <v>2.5047111022640398</v>
      </c>
      <c r="P3778">
        <v>4.0657102441022204</v>
      </c>
    </row>
    <row r="3779" spans="1:16">
      <c r="A3779" s="1" t="s">
        <v>3799</v>
      </c>
      <c r="B3779" s="6" t="s">
        <v>3816</v>
      </c>
      <c r="C3779" s="1" t="s">
        <v>18</v>
      </c>
      <c r="D3779" s="1" t="s">
        <v>5595</v>
      </c>
      <c r="E3779" s="1" t="s">
        <v>3804</v>
      </c>
      <c r="F3779">
        <v>178.63170015176601</v>
      </c>
      <c r="G3779">
        <v>145.012100838891</v>
      </c>
      <c r="H3779">
        <v>138.149389720849</v>
      </c>
      <c r="I3779">
        <v>632.94847197670902</v>
      </c>
      <c r="J3779">
        <v>9.1044524804580291</v>
      </c>
      <c r="K3779">
        <v>137.528887825059</v>
      </c>
      <c r="L3779">
        <v>4.7194941392212097</v>
      </c>
      <c r="M3779">
        <v>45.432957200309701</v>
      </c>
      <c r="N3779">
        <v>121.04080115158</v>
      </c>
      <c r="O3779">
        <v>3.7588492085902101</v>
      </c>
      <c r="P3779">
        <v>5.0261534771376901</v>
      </c>
    </row>
    <row r="3780" spans="1:16">
      <c r="A3780" s="1" t="s">
        <v>3799</v>
      </c>
      <c r="B3780" s="6" t="s">
        <v>3817</v>
      </c>
      <c r="C3780" s="1" t="s">
        <v>18</v>
      </c>
      <c r="D3780" s="1" t="s">
        <v>5595</v>
      </c>
      <c r="E3780" s="1" t="s">
        <v>3804</v>
      </c>
      <c r="F3780">
        <v>231.09078091112099</v>
      </c>
      <c r="G3780">
        <v>193.08216607351</v>
      </c>
      <c r="H3780">
        <v>136.669813881192</v>
      </c>
      <c r="I3780">
        <v>611.44039987942404</v>
      </c>
      <c r="J3780">
        <v>3.6577218144282</v>
      </c>
      <c r="K3780">
        <v>291.52264868789399</v>
      </c>
      <c r="L3780">
        <v>0.59017292984414804</v>
      </c>
      <c r="M3780">
        <v>40.569435099678898</v>
      </c>
      <c r="N3780">
        <v>95.533916104153903</v>
      </c>
      <c r="O3780">
        <v>1.76467676272159</v>
      </c>
      <c r="P3780">
        <v>4.7559849828729499</v>
      </c>
    </row>
    <row r="3781" spans="1:16">
      <c r="A3781" s="1" t="s">
        <v>3799</v>
      </c>
      <c r="B3781" s="6" t="s">
        <v>3818</v>
      </c>
      <c r="C3781" s="1" t="s">
        <v>18</v>
      </c>
      <c r="D3781" s="1" t="s">
        <v>5595</v>
      </c>
      <c r="E3781" s="1" t="s">
        <v>3804</v>
      </c>
      <c r="F3781">
        <v>376.63253322725097</v>
      </c>
      <c r="G3781">
        <v>231.04274858541999</v>
      </c>
      <c r="H3781">
        <v>247.74034179795001</v>
      </c>
      <c r="I3781">
        <v>566.01179536807399</v>
      </c>
      <c r="J3781">
        <v>13.2820084455941</v>
      </c>
      <c r="K3781">
        <v>203.025067617914</v>
      </c>
      <c r="L3781">
        <v>0.432415457858214</v>
      </c>
      <c r="M3781">
        <v>38.316630000211298</v>
      </c>
      <c r="N3781">
        <v>65.033048614974007</v>
      </c>
      <c r="O3781">
        <v>1.96088316643877</v>
      </c>
      <c r="P3781">
        <v>8.3521432123068493</v>
      </c>
    </row>
    <row r="3782" spans="1:16">
      <c r="A3782" s="1" t="s">
        <v>3799</v>
      </c>
      <c r="B3782" s="6" t="s">
        <v>3819</v>
      </c>
      <c r="C3782" s="1" t="s">
        <v>18</v>
      </c>
      <c r="D3782" s="1" t="s">
        <v>5595</v>
      </c>
      <c r="E3782" s="1" t="s">
        <v>3804</v>
      </c>
      <c r="F3782">
        <v>176.45258375072299</v>
      </c>
      <c r="G3782">
        <v>168.56072809392501</v>
      </c>
      <c r="H3782">
        <v>120.525435811222</v>
      </c>
      <c r="I3782">
        <v>629.12595949360798</v>
      </c>
      <c r="J3782">
        <v>2.90894335376754</v>
      </c>
      <c r="K3782">
        <v>179.63800118772099</v>
      </c>
      <c r="L3782">
        <v>0.87663632469958097</v>
      </c>
      <c r="M3782">
        <v>35.096947965748598</v>
      </c>
      <c r="N3782">
        <v>71.717628617187401</v>
      </c>
      <c r="O3782">
        <v>2.8136997985704899</v>
      </c>
      <c r="P3782">
        <v>3.3274308308778902</v>
      </c>
    </row>
    <row r="3783" spans="1:16">
      <c r="A3783" s="1" t="s">
        <v>3820</v>
      </c>
      <c r="B3783" s="8" t="s">
        <v>3821</v>
      </c>
      <c r="C3783" s="1" t="s">
        <v>5591</v>
      </c>
      <c r="D3783" s="1" t="s">
        <v>5596</v>
      </c>
      <c r="E3783" s="1" t="s">
        <v>3804</v>
      </c>
      <c r="F3783">
        <v>2314.8901998067799</v>
      </c>
      <c r="G3783">
        <v>4959.3799743162299</v>
      </c>
      <c r="H3783">
        <v>35258.3860140045</v>
      </c>
      <c r="I3783">
        <v>1960.7341245207999</v>
      </c>
      <c r="J3783">
        <v>186.950876449313</v>
      </c>
      <c r="K3783">
        <v>3481.6447881696199</v>
      </c>
      <c r="L3783">
        <v>124.66667602583099</v>
      </c>
      <c r="M3783">
        <v>105.092585222937</v>
      </c>
      <c r="N3783">
        <v>2807.5953075814</v>
      </c>
      <c r="O3783">
        <v>26.314597882463801</v>
      </c>
      <c r="P3783">
        <v>79.092686085543605</v>
      </c>
    </row>
    <row r="3784" spans="1:16">
      <c r="A3784" s="1" t="s">
        <v>3820</v>
      </c>
      <c r="B3784" s="8" t="s">
        <v>3822</v>
      </c>
      <c r="C3784" s="1" t="s">
        <v>5591</v>
      </c>
      <c r="D3784" s="1" t="s">
        <v>5596</v>
      </c>
      <c r="E3784" s="1" t="s">
        <v>3804</v>
      </c>
      <c r="F3784">
        <v>2667.8250186076202</v>
      </c>
      <c r="G3784">
        <v>5230.8697864011201</v>
      </c>
      <c r="H3784">
        <v>35863.802924327698</v>
      </c>
      <c r="I3784">
        <v>1975.55019242148</v>
      </c>
      <c r="J3784">
        <v>208.07551011507101</v>
      </c>
      <c r="K3784">
        <v>4119.8020716833398</v>
      </c>
      <c r="L3784">
        <v>119.40513063586</v>
      </c>
      <c r="M3784">
        <v>90.839188943719506</v>
      </c>
      <c r="N3784">
        <v>2484.4226919006001</v>
      </c>
      <c r="O3784">
        <v>28.1747104015083</v>
      </c>
      <c r="P3784">
        <v>69.727288574521594</v>
      </c>
    </row>
    <row r="3785" spans="1:16">
      <c r="A3785" s="1" t="s">
        <v>3820</v>
      </c>
      <c r="B3785" s="8" t="s">
        <v>3823</v>
      </c>
      <c r="C3785" s="1" t="s">
        <v>5591</v>
      </c>
      <c r="D3785" s="1" t="s">
        <v>5596</v>
      </c>
      <c r="E3785" s="1" t="s">
        <v>3804</v>
      </c>
      <c r="F3785">
        <v>2862.9210032333599</v>
      </c>
      <c r="G3785">
        <v>5053.6403059273598</v>
      </c>
      <c r="H3785">
        <v>39159.255538900303</v>
      </c>
      <c r="I3785">
        <v>1927.4250026091499</v>
      </c>
      <c r="J3785">
        <v>271.81787758181002</v>
      </c>
      <c r="K3785">
        <v>3888.5894800227302</v>
      </c>
      <c r="L3785">
        <v>110.994835690944</v>
      </c>
      <c r="M3785">
        <v>85.681800414583293</v>
      </c>
      <c r="N3785">
        <v>2116.5408971705001</v>
      </c>
      <c r="O3785">
        <v>27.0734447770411</v>
      </c>
      <c r="P3785">
        <v>72.8112892748468</v>
      </c>
    </row>
    <row r="3786" spans="1:16">
      <c r="A3786" s="1" t="s">
        <v>3820</v>
      </c>
      <c r="B3786" s="8" t="s">
        <v>3824</v>
      </c>
      <c r="C3786" s="1" t="s">
        <v>5591</v>
      </c>
      <c r="D3786" s="1" t="s">
        <v>5596</v>
      </c>
      <c r="E3786" s="1" t="s">
        <v>3804</v>
      </c>
      <c r="F3786">
        <v>2522.9196517916598</v>
      </c>
      <c r="G3786">
        <v>5061.1683994437299</v>
      </c>
      <c r="H3786">
        <v>36136.370557249</v>
      </c>
      <c r="I3786">
        <v>2014.4783933132101</v>
      </c>
      <c r="J3786">
        <v>231.226946685293</v>
      </c>
      <c r="K3786">
        <v>3784.7550053629302</v>
      </c>
      <c r="L3786">
        <v>117.55264831086301</v>
      </c>
      <c r="M3786">
        <v>91.216224779868696</v>
      </c>
      <c r="N3786">
        <v>2367.6266312288399</v>
      </c>
      <c r="O3786">
        <v>27.850890261141998</v>
      </c>
      <c r="P3786">
        <v>69.423764291825705</v>
      </c>
    </row>
    <row r="3787" spans="1:16">
      <c r="A3787" s="1" t="s">
        <v>3820</v>
      </c>
      <c r="B3787" s="8" t="s">
        <v>3825</v>
      </c>
      <c r="C3787" s="1" t="s">
        <v>5591</v>
      </c>
      <c r="D3787" s="1" t="s">
        <v>5596</v>
      </c>
      <c r="E3787" s="1" t="s">
        <v>3804</v>
      </c>
      <c r="F3787">
        <v>2739.5281989599298</v>
      </c>
      <c r="G3787">
        <v>5130.5767273144702</v>
      </c>
      <c r="H3787">
        <v>37846.050629442601</v>
      </c>
      <c r="I3787">
        <v>1973.0579523752101</v>
      </c>
      <c r="J3787">
        <v>176.62119680723799</v>
      </c>
      <c r="K3787">
        <v>3767.99214281576</v>
      </c>
      <c r="L3787">
        <v>116.335549421918</v>
      </c>
      <c r="M3787">
        <v>84.776769702794496</v>
      </c>
      <c r="N3787">
        <v>2141.8003454937002</v>
      </c>
      <c r="O3787">
        <v>27.513987158722099</v>
      </c>
      <c r="P3787">
        <v>67.511050766464606</v>
      </c>
    </row>
    <row r="3788" spans="1:16">
      <c r="A3788" s="1" t="s">
        <v>3820</v>
      </c>
      <c r="B3788" s="8" t="s">
        <v>3826</v>
      </c>
      <c r="C3788" s="1" t="s">
        <v>5591</v>
      </c>
      <c r="D3788" s="1" t="s">
        <v>5596</v>
      </c>
      <c r="E3788" s="1" t="s">
        <v>3804</v>
      </c>
      <c r="F3788">
        <v>2806.6564687936998</v>
      </c>
      <c r="G3788">
        <v>5122.2025667601902</v>
      </c>
      <c r="H3788">
        <v>30220.7279835021</v>
      </c>
      <c r="I3788">
        <v>1999.60685320164</v>
      </c>
      <c r="J3788">
        <v>142.74952610058301</v>
      </c>
      <c r="K3788">
        <v>4333.3772887546002</v>
      </c>
      <c r="L3788">
        <v>121.79944875119899</v>
      </c>
      <c r="M3788">
        <v>90.990116556703697</v>
      </c>
      <c r="N3788">
        <v>2871.4516058356198</v>
      </c>
      <c r="O3788">
        <v>27.220583572979301</v>
      </c>
      <c r="P3788">
        <v>64.283525525425603</v>
      </c>
    </row>
    <row r="3789" spans="1:16">
      <c r="A3789" s="1" t="s">
        <v>3820</v>
      </c>
      <c r="B3789" s="8" t="s">
        <v>3827</v>
      </c>
      <c r="C3789" s="1" t="s">
        <v>5591</v>
      </c>
      <c r="D3789" s="1" t="s">
        <v>5596</v>
      </c>
      <c r="E3789" s="1" t="s">
        <v>3804</v>
      </c>
      <c r="F3789">
        <v>3128.0622461308899</v>
      </c>
      <c r="G3789">
        <v>5125.6629004304696</v>
      </c>
      <c r="H3789">
        <v>38709.773540690701</v>
      </c>
      <c r="I3789">
        <v>1943.37808459862</v>
      </c>
      <c r="J3789">
        <v>171.378129301342</v>
      </c>
      <c r="K3789">
        <v>4461.0632233113802</v>
      </c>
      <c r="L3789">
        <v>115.55656797790699</v>
      </c>
      <c r="M3789">
        <v>87.437861262875401</v>
      </c>
      <c r="N3789">
        <v>2579.9323146268198</v>
      </c>
      <c r="O3789">
        <v>27.323100959122598</v>
      </c>
      <c r="P3789">
        <v>67.746701734903596</v>
      </c>
    </row>
    <row r="3790" spans="1:16">
      <c r="A3790" s="1" t="s">
        <v>3820</v>
      </c>
      <c r="B3790" s="8" t="s">
        <v>3828</v>
      </c>
      <c r="C3790" s="1" t="s">
        <v>5591</v>
      </c>
      <c r="D3790" s="1" t="s">
        <v>5596</v>
      </c>
      <c r="E3790" s="1" t="s">
        <v>3804</v>
      </c>
      <c r="F3790">
        <v>2693.24826588108</v>
      </c>
      <c r="G3790">
        <v>5163.2205614988297</v>
      </c>
      <c r="H3790">
        <v>31059.255768364201</v>
      </c>
      <c r="I3790">
        <v>1995.9878956919399</v>
      </c>
      <c r="J3790">
        <v>165.115755420461</v>
      </c>
      <c r="K3790">
        <v>4166.0831599003004</v>
      </c>
      <c r="L3790">
        <v>111.534667967788</v>
      </c>
      <c r="M3790">
        <v>87.797589049734697</v>
      </c>
      <c r="N3790">
        <v>2372.3868968114298</v>
      </c>
      <c r="O3790">
        <v>28.328208800658398</v>
      </c>
      <c r="P3790">
        <v>67.348918207195297</v>
      </c>
    </row>
    <row r="3791" spans="1:16">
      <c r="A3791" s="1" t="s">
        <v>3820</v>
      </c>
      <c r="B3791" s="8" t="s">
        <v>3829</v>
      </c>
      <c r="C3791" s="1" t="s">
        <v>5591</v>
      </c>
      <c r="D3791" s="1" t="s">
        <v>5596</v>
      </c>
      <c r="E3791" s="1" t="s">
        <v>3804</v>
      </c>
      <c r="F3791">
        <v>2178.0064126853099</v>
      </c>
      <c r="G3791">
        <v>1900.6977102892999</v>
      </c>
      <c r="H3791">
        <v>16647.045813500099</v>
      </c>
      <c r="I3791">
        <v>3751.1399723827999</v>
      </c>
      <c r="J3791">
        <v>64.952250633342103</v>
      </c>
      <c r="K3791">
        <v>1008.019974594</v>
      </c>
      <c r="L3791">
        <v>62.781393133663201</v>
      </c>
      <c r="M3791">
        <v>53.626582033483302</v>
      </c>
      <c r="N3791">
        <v>743.36833308043299</v>
      </c>
      <c r="O3791">
        <v>21.705899983012799</v>
      </c>
      <c r="P3791">
        <v>37.972938265174101</v>
      </c>
    </row>
    <row r="3792" spans="1:16">
      <c r="A3792" s="1" t="s">
        <v>3820</v>
      </c>
      <c r="B3792" s="8" t="s">
        <v>3830</v>
      </c>
      <c r="C3792" s="1" t="s">
        <v>5591</v>
      </c>
      <c r="D3792" s="1" t="s">
        <v>5596</v>
      </c>
      <c r="E3792" s="1" t="s">
        <v>3804</v>
      </c>
      <c r="F3792">
        <v>2474.3114346837101</v>
      </c>
      <c r="G3792">
        <v>1978.3866311352001</v>
      </c>
      <c r="H3792">
        <v>20473.4480217936</v>
      </c>
      <c r="I3792">
        <v>3535.15168429305</v>
      </c>
      <c r="J3792">
        <v>68.635640963803496</v>
      </c>
      <c r="K3792">
        <v>1020.00926203826</v>
      </c>
      <c r="L3792">
        <v>59.741691833921301</v>
      </c>
      <c r="M3792">
        <v>58.017533247010697</v>
      </c>
      <c r="N3792">
        <v>757.26320423425204</v>
      </c>
      <c r="O3792">
        <v>21.290715404511701</v>
      </c>
      <c r="P3792">
        <v>40.284202612203003</v>
      </c>
    </row>
    <row r="3793" spans="1:16">
      <c r="A3793" s="1" t="s">
        <v>3820</v>
      </c>
      <c r="B3793" s="8" t="s">
        <v>3831</v>
      </c>
      <c r="C3793" s="1" t="s">
        <v>5591</v>
      </c>
      <c r="D3793" s="1" t="s">
        <v>5596</v>
      </c>
      <c r="E3793" s="1" t="s">
        <v>3804</v>
      </c>
      <c r="F3793">
        <v>2322.71682225935</v>
      </c>
      <c r="G3793">
        <v>908.53984012066496</v>
      </c>
      <c r="H3793">
        <v>26631.150799900399</v>
      </c>
      <c r="I3793">
        <v>3552.53099023706</v>
      </c>
      <c r="J3793">
        <v>96.873594046401095</v>
      </c>
      <c r="K3793">
        <v>1175.28059818825</v>
      </c>
      <c r="L3793">
        <v>37.259968673984503</v>
      </c>
      <c r="M3793">
        <v>68.004888699191397</v>
      </c>
      <c r="N3793">
        <v>453.43391501432097</v>
      </c>
      <c r="O3793">
        <v>16.559193815161802</v>
      </c>
      <c r="P3793">
        <v>44.0329414804648</v>
      </c>
    </row>
    <row r="3794" spans="1:16">
      <c r="A3794" s="1" t="s">
        <v>3820</v>
      </c>
      <c r="B3794" s="8" t="s">
        <v>3832</v>
      </c>
      <c r="C3794" s="1" t="s">
        <v>5591</v>
      </c>
      <c r="D3794" s="1" t="s">
        <v>5596</v>
      </c>
      <c r="E3794" s="1" t="s">
        <v>3804</v>
      </c>
      <c r="F3794">
        <v>2913.3177952402898</v>
      </c>
      <c r="G3794">
        <v>1455.7307682998901</v>
      </c>
      <c r="H3794">
        <v>25114.4881156591</v>
      </c>
      <c r="I3794">
        <v>3097.0827996825701</v>
      </c>
      <c r="J3794">
        <v>90.555206069597304</v>
      </c>
      <c r="K3794">
        <v>1606.13436237007</v>
      </c>
      <c r="L3794">
        <v>68.002779693364701</v>
      </c>
      <c r="M3794">
        <v>62.885672421541599</v>
      </c>
      <c r="N3794">
        <v>853.60317234802699</v>
      </c>
      <c r="O3794">
        <v>19.845033544625799</v>
      </c>
      <c r="P3794">
        <v>43.287166571249799</v>
      </c>
    </row>
    <row r="3795" spans="1:16">
      <c r="A3795" s="1" t="s">
        <v>3820</v>
      </c>
      <c r="B3795" s="8" t="s">
        <v>3833</v>
      </c>
      <c r="C3795" s="1" t="s">
        <v>5591</v>
      </c>
      <c r="D3795" s="1" t="s">
        <v>5596</v>
      </c>
      <c r="E3795" s="1" t="s">
        <v>3804</v>
      </c>
      <c r="F3795">
        <v>2050.2190538623699</v>
      </c>
      <c r="G3795">
        <v>1790.77800810435</v>
      </c>
      <c r="H3795">
        <v>17175.908251361801</v>
      </c>
      <c r="I3795">
        <v>3546.59232160289</v>
      </c>
      <c r="J3795">
        <v>78.141675400270898</v>
      </c>
      <c r="K3795">
        <v>1420.1879361336701</v>
      </c>
      <c r="L3795">
        <v>55.045676481985701</v>
      </c>
      <c r="M3795">
        <v>55.385034581233</v>
      </c>
      <c r="N3795">
        <v>785.65434697748299</v>
      </c>
      <c r="O3795">
        <v>21.631779159607799</v>
      </c>
      <c r="P3795">
        <v>44.830901431619402</v>
      </c>
    </row>
    <row r="3796" spans="1:16">
      <c r="A3796" s="1" t="s">
        <v>3820</v>
      </c>
      <c r="B3796" s="8" t="s">
        <v>3834</v>
      </c>
      <c r="C3796" s="1" t="s">
        <v>5591</v>
      </c>
      <c r="D3796" s="1" t="s">
        <v>5596</v>
      </c>
      <c r="E3796" s="1" t="s">
        <v>3804</v>
      </c>
      <c r="F3796">
        <v>1834.0206601970201</v>
      </c>
      <c r="G3796">
        <v>1510.6963202596901</v>
      </c>
      <c r="H3796">
        <v>20347.231837137599</v>
      </c>
      <c r="I3796">
        <v>3500.4939399407299</v>
      </c>
      <c r="J3796">
        <v>142.72593083835599</v>
      </c>
      <c r="K3796">
        <v>1136.0772903823599</v>
      </c>
      <c r="L3796">
        <v>55.708870336272902</v>
      </c>
      <c r="M3796">
        <v>57.219393764523097</v>
      </c>
      <c r="N3796">
        <v>433.13697554967899</v>
      </c>
      <c r="O3796">
        <v>20.069023988854202</v>
      </c>
      <c r="P3796">
        <v>51.613526432340699</v>
      </c>
    </row>
    <row r="3797" spans="1:16">
      <c r="A3797" s="1" t="s">
        <v>3820</v>
      </c>
      <c r="B3797" s="8" t="s">
        <v>3835</v>
      </c>
      <c r="C3797" s="1" t="s">
        <v>5591</v>
      </c>
      <c r="D3797" s="1" t="s">
        <v>5596</v>
      </c>
      <c r="E3797" s="1" t="s">
        <v>3804</v>
      </c>
      <c r="F3797">
        <v>4270.4507717054303</v>
      </c>
      <c r="G3797">
        <v>4646.4266600084802</v>
      </c>
      <c r="H3797">
        <v>14865.6529595949</v>
      </c>
      <c r="I3797">
        <v>1850.38594624487</v>
      </c>
      <c r="J3797">
        <v>26.465446125521801</v>
      </c>
      <c r="K3797">
        <v>3723.7732681811799</v>
      </c>
      <c r="L3797">
        <v>92.873015082293506</v>
      </c>
      <c r="M3797">
        <v>77.242646847266499</v>
      </c>
      <c r="N3797">
        <v>2830.7396605362701</v>
      </c>
      <c r="O3797">
        <v>27.625350681071499</v>
      </c>
      <c r="P3797">
        <v>44.896680829606098</v>
      </c>
    </row>
    <row r="3798" spans="1:16">
      <c r="A3798" s="1" t="s">
        <v>3820</v>
      </c>
      <c r="B3798" s="8" t="s">
        <v>3836</v>
      </c>
      <c r="C3798" s="1" t="s">
        <v>5591</v>
      </c>
      <c r="D3798" s="1" t="s">
        <v>5596</v>
      </c>
      <c r="E3798" s="1" t="s">
        <v>3804</v>
      </c>
      <c r="F3798">
        <v>3332.93351595889</v>
      </c>
      <c r="G3798">
        <v>3621.0243538190298</v>
      </c>
      <c r="H3798">
        <v>22461.6571180227</v>
      </c>
      <c r="I3798">
        <v>2038.19259539686</v>
      </c>
      <c r="J3798">
        <v>23.732201923743499</v>
      </c>
      <c r="K3798">
        <v>3705.4236515070802</v>
      </c>
      <c r="L3798">
        <v>73.987273941969306</v>
      </c>
      <c r="M3798">
        <v>70.521759360547705</v>
      </c>
      <c r="N3798">
        <v>2502.5858109931901</v>
      </c>
      <c r="O3798">
        <v>26.075945477468402</v>
      </c>
      <c r="P3798">
        <v>53.087714520546903</v>
      </c>
    </row>
    <row r="3799" spans="1:16">
      <c r="A3799" s="1" t="s">
        <v>3820</v>
      </c>
      <c r="B3799" s="8" t="s">
        <v>3837</v>
      </c>
      <c r="C3799" s="1" t="s">
        <v>5591</v>
      </c>
      <c r="D3799" s="1" t="s">
        <v>5596</v>
      </c>
      <c r="E3799" s="1" t="s">
        <v>3804</v>
      </c>
      <c r="F3799">
        <v>2677.9247198236098</v>
      </c>
      <c r="G3799">
        <v>3799.3985658987199</v>
      </c>
      <c r="H3799">
        <v>13826.8527121025</v>
      </c>
      <c r="I3799">
        <v>1972.1887951373899</v>
      </c>
      <c r="J3799">
        <v>115.578383755019</v>
      </c>
      <c r="K3799">
        <v>4330.2799688715204</v>
      </c>
      <c r="L3799">
        <v>119.153962782243</v>
      </c>
      <c r="M3799">
        <v>76.866494811411201</v>
      </c>
      <c r="N3799">
        <v>2701.8025406842398</v>
      </c>
      <c r="O3799">
        <v>29.773175182546399</v>
      </c>
      <c r="P3799">
        <v>51.490629111164601</v>
      </c>
    </row>
    <row r="3800" spans="1:16">
      <c r="A3800" s="1" t="s">
        <v>3820</v>
      </c>
      <c r="B3800" s="8" t="s">
        <v>3838</v>
      </c>
      <c r="C3800" s="1" t="s">
        <v>5591</v>
      </c>
      <c r="D3800" s="1" t="s">
        <v>5596</v>
      </c>
      <c r="E3800" s="1" t="s">
        <v>3804</v>
      </c>
      <c r="F3800">
        <v>3319.63108186502</v>
      </c>
      <c r="G3800">
        <v>4540.9766000090003</v>
      </c>
      <c r="H3800">
        <v>15012.3078678806</v>
      </c>
      <c r="I3800">
        <v>1922.23691063908</v>
      </c>
      <c r="J3800">
        <v>61.559713141848199</v>
      </c>
      <c r="K3800">
        <v>4594.26418970137</v>
      </c>
      <c r="L3800">
        <v>104.425265975011</v>
      </c>
      <c r="M3800">
        <v>78.662420202949406</v>
      </c>
      <c r="N3800">
        <v>3507.67472386499</v>
      </c>
      <c r="O3800">
        <v>28.702003295635901</v>
      </c>
      <c r="P3800">
        <v>49.6934463056973</v>
      </c>
    </row>
    <row r="3801" spans="1:16">
      <c r="A3801" s="1" t="s">
        <v>3820</v>
      </c>
      <c r="B3801" s="8" t="s">
        <v>3839</v>
      </c>
      <c r="C3801" s="1" t="s">
        <v>5591</v>
      </c>
      <c r="D3801" s="1" t="s">
        <v>5596</v>
      </c>
      <c r="E3801" s="1" t="s">
        <v>3804</v>
      </c>
      <c r="F3801">
        <v>1230.0005817834799</v>
      </c>
      <c r="G3801">
        <v>3220.6796190628102</v>
      </c>
      <c r="H3801">
        <v>22138.305826063101</v>
      </c>
      <c r="I3801">
        <v>1906.6598500791999</v>
      </c>
      <c r="J3801">
        <v>327.48282462321703</v>
      </c>
      <c r="K3801">
        <v>1338.07905652827</v>
      </c>
      <c r="L3801">
        <v>111.98395544899</v>
      </c>
      <c r="M3801">
        <v>92.825822609244995</v>
      </c>
      <c r="N3801">
        <v>4103.9552283056801</v>
      </c>
      <c r="O3801">
        <v>22.839892671134301</v>
      </c>
      <c r="P3801">
        <v>56.143416832451898</v>
      </c>
    </row>
    <row r="3802" spans="1:16">
      <c r="A3802" s="1" t="s">
        <v>3820</v>
      </c>
      <c r="B3802" s="8" t="s">
        <v>3840</v>
      </c>
      <c r="C3802" s="1" t="s">
        <v>5591</v>
      </c>
      <c r="D3802" s="1" t="s">
        <v>5596</v>
      </c>
      <c r="E3802" s="1" t="s">
        <v>3804</v>
      </c>
      <c r="F3802">
        <v>1219.0664232131101</v>
      </c>
      <c r="G3802">
        <v>4186.3704637693299</v>
      </c>
      <c r="H3802">
        <v>18429.601866056499</v>
      </c>
      <c r="I3802">
        <v>1970.12852299049</v>
      </c>
      <c r="J3802">
        <v>42.893232176520698</v>
      </c>
      <c r="K3802">
        <v>2937.2361922825698</v>
      </c>
      <c r="L3802">
        <v>125.114844331679</v>
      </c>
      <c r="M3802">
        <v>98.995903504367305</v>
      </c>
      <c r="N3802">
        <v>4031.4999053541001</v>
      </c>
      <c r="O3802">
        <v>25.131129873648899</v>
      </c>
      <c r="P3802">
        <v>50.554523535037198</v>
      </c>
    </row>
    <row r="3803" spans="1:16">
      <c r="A3803" s="1" t="s">
        <v>3820</v>
      </c>
      <c r="B3803" s="8" t="s">
        <v>3841</v>
      </c>
      <c r="C3803" s="1" t="s">
        <v>5591</v>
      </c>
      <c r="D3803" s="1" t="s">
        <v>5596</v>
      </c>
      <c r="E3803" s="1" t="s">
        <v>3804</v>
      </c>
      <c r="F3803">
        <v>947.69042155283296</v>
      </c>
      <c r="G3803">
        <v>2443.55679966458</v>
      </c>
      <c r="H3803">
        <v>19813.720107503799</v>
      </c>
      <c r="I3803">
        <v>2067.1490301711501</v>
      </c>
      <c r="J3803">
        <v>80.290477052526398</v>
      </c>
      <c r="K3803">
        <v>1057.240119998</v>
      </c>
      <c r="L3803">
        <v>99.736438097831694</v>
      </c>
      <c r="M3803">
        <v>88.799312407202805</v>
      </c>
      <c r="N3803">
        <v>2069.51864725121</v>
      </c>
      <c r="O3803">
        <v>19.492834031504</v>
      </c>
      <c r="P3803">
        <v>57.284008097723202</v>
      </c>
    </row>
    <row r="3804" spans="1:16">
      <c r="A3804" s="1" t="s">
        <v>3820</v>
      </c>
      <c r="B3804" s="8" t="s">
        <v>3842</v>
      </c>
      <c r="C3804" s="1" t="s">
        <v>5591</v>
      </c>
      <c r="D3804" s="1" t="s">
        <v>5596</v>
      </c>
      <c r="E3804" s="1" t="s">
        <v>3804</v>
      </c>
      <c r="F3804">
        <v>909.61131772464</v>
      </c>
      <c r="G3804">
        <v>2451.4607280786699</v>
      </c>
      <c r="H3804">
        <v>20698.2979274016</v>
      </c>
      <c r="I3804">
        <v>2174.3849675594702</v>
      </c>
      <c r="J3804">
        <v>107.43200192097601</v>
      </c>
      <c r="K3804">
        <v>1004.1113570075</v>
      </c>
      <c r="L3804">
        <v>82.783826826683097</v>
      </c>
      <c r="M3804">
        <v>85.773136029798707</v>
      </c>
      <c r="N3804">
        <v>2137.6405255652398</v>
      </c>
      <c r="O3804">
        <v>20.958320432433499</v>
      </c>
      <c r="P3804">
        <v>94.773100061881607</v>
      </c>
    </row>
    <row r="3805" spans="1:16">
      <c r="A3805" s="1" t="s">
        <v>3820</v>
      </c>
      <c r="B3805" s="8" t="s">
        <v>3843</v>
      </c>
      <c r="C3805" s="1" t="s">
        <v>5591</v>
      </c>
      <c r="D3805" s="1" t="s">
        <v>5596</v>
      </c>
      <c r="E3805" s="1" t="s">
        <v>3804</v>
      </c>
      <c r="F3805">
        <v>2494.6145739807798</v>
      </c>
      <c r="G3805">
        <v>3627.7158396590298</v>
      </c>
      <c r="H3805">
        <v>40889.734966247001</v>
      </c>
      <c r="I3805">
        <v>1795.3765519124599</v>
      </c>
      <c r="J3805">
        <v>38.561210676968699</v>
      </c>
      <c r="K3805">
        <v>3219.30419435986</v>
      </c>
      <c r="L3805">
        <v>93.465342844623095</v>
      </c>
      <c r="M3805">
        <v>69.007178233623094</v>
      </c>
      <c r="N3805">
        <v>2063.9073194940802</v>
      </c>
      <c r="O3805">
        <v>23.044390865195499</v>
      </c>
      <c r="P3805">
        <v>50.079476790336997</v>
      </c>
    </row>
    <row r="3806" spans="1:16">
      <c r="A3806" s="1" t="s">
        <v>3820</v>
      </c>
      <c r="B3806" s="8" t="s">
        <v>3844</v>
      </c>
      <c r="C3806" s="1" t="s">
        <v>5591</v>
      </c>
      <c r="D3806" s="1" t="s">
        <v>5596</v>
      </c>
      <c r="E3806" s="1" t="s">
        <v>3804</v>
      </c>
      <c r="F3806">
        <v>2845.7200581448201</v>
      </c>
      <c r="G3806">
        <v>3741.1921984844098</v>
      </c>
      <c r="H3806">
        <v>15760.8351181372</v>
      </c>
      <c r="I3806">
        <v>1985.2170741111199</v>
      </c>
      <c r="J3806">
        <v>34.733677490045203</v>
      </c>
      <c r="K3806">
        <v>3531.9293898815699</v>
      </c>
      <c r="L3806">
        <v>91.899467704408906</v>
      </c>
      <c r="M3806">
        <v>75.037906249969595</v>
      </c>
      <c r="N3806">
        <v>2962.1394420322199</v>
      </c>
      <c r="O3806">
        <v>26.888134749096299</v>
      </c>
      <c r="P3806">
        <v>47.956919056304102</v>
      </c>
    </row>
    <row r="3807" spans="1:16">
      <c r="A3807" s="1" t="s">
        <v>3820</v>
      </c>
      <c r="B3807" s="8" t="s">
        <v>3845</v>
      </c>
      <c r="C3807" s="1" t="s">
        <v>5591</v>
      </c>
      <c r="D3807" s="1" t="s">
        <v>5596</v>
      </c>
      <c r="E3807" s="1" t="s">
        <v>3804</v>
      </c>
      <c r="F3807">
        <v>2640.6081614995101</v>
      </c>
      <c r="G3807">
        <v>4103.3025103568098</v>
      </c>
      <c r="H3807">
        <v>15527.863286931401</v>
      </c>
      <c r="I3807">
        <v>2143.18433675503</v>
      </c>
      <c r="J3807">
        <v>22.3899219978037</v>
      </c>
      <c r="K3807">
        <v>3158.74330615291</v>
      </c>
      <c r="L3807">
        <v>68.768874843162195</v>
      </c>
      <c r="M3807">
        <v>65.166817670577103</v>
      </c>
      <c r="N3807">
        <v>2178.8422840338098</v>
      </c>
      <c r="O3807">
        <v>26.1369723973074</v>
      </c>
      <c r="P3807">
        <v>45.106166037970297</v>
      </c>
    </row>
    <row r="3808" spans="1:16">
      <c r="A3808" s="1" t="s">
        <v>3820</v>
      </c>
      <c r="B3808" s="8" t="s">
        <v>3846</v>
      </c>
      <c r="C3808" s="1" t="s">
        <v>5591</v>
      </c>
      <c r="D3808" s="1" t="s">
        <v>5596</v>
      </c>
      <c r="E3808" s="1" t="s">
        <v>3804</v>
      </c>
      <c r="F3808">
        <v>2254.34312393865</v>
      </c>
      <c r="G3808">
        <v>3378.3905235132902</v>
      </c>
      <c r="H3808">
        <v>17065.4276750385</v>
      </c>
      <c r="I3808">
        <v>2091.3080789063702</v>
      </c>
      <c r="J3808">
        <v>28.7529587673884</v>
      </c>
      <c r="K3808">
        <v>3211.2617205855199</v>
      </c>
      <c r="L3808">
        <v>80.467363615050402</v>
      </c>
      <c r="M3808">
        <v>74.474137815740406</v>
      </c>
      <c r="N3808">
        <v>2499.99813669068</v>
      </c>
      <c r="O3808">
        <v>25.098842750216399</v>
      </c>
      <c r="P3808">
        <v>44.040895510171403</v>
      </c>
    </row>
    <row r="3809" spans="1:16">
      <c r="A3809" s="1" t="s">
        <v>3820</v>
      </c>
      <c r="B3809" s="8" t="s">
        <v>3847</v>
      </c>
      <c r="C3809" s="1" t="s">
        <v>5591</v>
      </c>
      <c r="D3809" s="1" t="s">
        <v>5596</v>
      </c>
      <c r="E3809" s="1" t="s">
        <v>3804</v>
      </c>
      <c r="F3809">
        <v>1783.5668663863901</v>
      </c>
      <c r="G3809">
        <v>3411.19892709735</v>
      </c>
      <c r="H3809">
        <v>15968.1367479785</v>
      </c>
      <c r="I3809">
        <v>2107.0813389936998</v>
      </c>
      <c r="J3809">
        <v>73.239157471748896</v>
      </c>
      <c r="K3809">
        <v>1962.69091636949</v>
      </c>
      <c r="L3809">
        <v>82.869001204840103</v>
      </c>
      <c r="M3809">
        <v>62.255990686178798</v>
      </c>
      <c r="N3809">
        <v>2168.37405129738</v>
      </c>
      <c r="O3809">
        <v>25.507707818068699</v>
      </c>
      <c r="P3809">
        <v>39.381765837849599</v>
      </c>
    </row>
    <row r="3810" spans="1:16">
      <c r="A3810" s="1" t="s">
        <v>3820</v>
      </c>
      <c r="B3810" s="8" t="s">
        <v>3848</v>
      </c>
      <c r="C3810" s="1" t="s">
        <v>5591</v>
      </c>
      <c r="D3810" s="1" t="s">
        <v>5596</v>
      </c>
      <c r="E3810" s="1" t="s">
        <v>3804</v>
      </c>
      <c r="F3810">
        <v>1358.5796808964501</v>
      </c>
      <c r="G3810">
        <v>2943.4247395786301</v>
      </c>
      <c r="H3810">
        <v>10575.843886656399</v>
      </c>
      <c r="I3810">
        <v>1953.2632686080899</v>
      </c>
      <c r="J3810">
        <v>57.959321258919303</v>
      </c>
      <c r="K3810">
        <v>1881.81450257693</v>
      </c>
      <c r="L3810">
        <v>95.529400280304202</v>
      </c>
      <c r="M3810">
        <v>75.6386651198019</v>
      </c>
      <c r="N3810">
        <v>1461.9459088124599</v>
      </c>
      <c r="O3810">
        <v>22.620164716896099</v>
      </c>
      <c r="P3810">
        <v>38.3843624219096</v>
      </c>
    </row>
    <row r="3811" spans="1:16">
      <c r="A3811" s="1" t="s">
        <v>3820</v>
      </c>
      <c r="B3811" s="8" t="s">
        <v>3849</v>
      </c>
      <c r="C3811" s="1" t="s">
        <v>5591</v>
      </c>
      <c r="D3811" s="1" t="s">
        <v>5596</v>
      </c>
      <c r="E3811" s="1" t="s">
        <v>3804</v>
      </c>
      <c r="F3811">
        <v>1164.0576232636299</v>
      </c>
      <c r="G3811">
        <v>1710.7870243485499</v>
      </c>
      <c r="H3811">
        <v>22804.9139277742</v>
      </c>
      <c r="I3811">
        <v>2056.43689292408</v>
      </c>
      <c r="J3811">
        <v>56.474486747373298</v>
      </c>
      <c r="K3811">
        <v>1018.89308011739</v>
      </c>
      <c r="L3811">
        <v>44.222790970682397</v>
      </c>
      <c r="M3811">
        <v>64.425534715150803</v>
      </c>
      <c r="N3811">
        <v>958.42028236123804</v>
      </c>
      <c r="O3811">
        <v>17.9185404621971</v>
      </c>
      <c r="P3811">
        <v>58.1636763096773</v>
      </c>
    </row>
    <row r="3812" spans="1:16">
      <c r="A3812" s="1" t="s">
        <v>3850</v>
      </c>
      <c r="B3812" s="8" t="s">
        <v>3851</v>
      </c>
      <c r="C3812" s="1" t="s">
        <v>5591</v>
      </c>
      <c r="D3812" s="1" t="s">
        <v>5597</v>
      </c>
      <c r="E3812" s="1" t="s">
        <v>3804</v>
      </c>
      <c r="F3812">
        <v>28433.216959584399</v>
      </c>
      <c r="G3812">
        <v>42133.165355421297</v>
      </c>
      <c r="H3812">
        <v>32864.845006215503</v>
      </c>
      <c r="I3812">
        <v>1102.5585181494801</v>
      </c>
      <c r="J3812">
        <v>3.2618273973904599</v>
      </c>
      <c r="K3812">
        <v>40916.320806388503</v>
      </c>
      <c r="L3812">
        <v>78.924627312623201</v>
      </c>
      <c r="M3812">
        <v>7.7071114620213699</v>
      </c>
      <c r="N3812">
        <v>1675.8622639176799</v>
      </c>
      <c r="O3812">
        <v>41.3403375221719</v>
      </c>
      <c r="P3812">
        <v>7.84410618193</v>
      </c>
    </row>
    <row r="3813" spans="1:16">
      <c r="A3813" s="1" t="s">
        <v>3850</v>
      </c>
      <c r="B3813" s="8" t="s">
        <v>3852</v>
      </c>
      <c r="C3813" s="1" t="s">
        <v>5591</v>
      </c>
      <c r="D3813" s="1" t="s">
        <v>5597</v>
      </c>
      <c r="E3813" s="1" t="s">
        <v>3804</v>
      </c>
      <c r="F3813">
        <v>25340.58906455</v>
      </c>
      <c r="G3813">
        <v>38966.165454734903</v>
      </c>
      <c r="H3813">
        <v>32153.893509193698</v>
      </c>
      <c r="I3813">
        <v>1023.04895024474</v>
      </c>
      <c r="J3813">
        <v>6.9677961493506402</v>
      </c>
      <c r="K3813">
        <v>43420.0323464045</v>
      </c>
      <c r="L3813">
        <v>85.873429314912897</v>
      </c>
      <c r="M3813">
        <v>7.9791343550593199</v>
      </c>
      <c r="N3813">
        <v>2168.1300615124101</v>
      </c>
      <c r="O3813">
        <v>42.577527044350703</v>
      </c>
      <c r="P3813">
        <v>5.7585133957505503</v>
      </c>
    </row>
    <row r="3814" spans="1:16">
      <c r="A3814" s="1" t="s">
        <v>3850</v>
      </c>
      <c r="B3814" s="8" t="s">
        <v>3853</v>
      </c>
      <c r="C3814" s="1" t="s">
        <v>5591</v>
      </c>
      <c r="D3814" s="1" t="s">
        <v>5597</v>
      </c>
      <c r="E3814" s="1" t="s">
        <v>3804</v>
      </c>
      <c r="F3814">
        <v>24099.874724711899</v>
      </c>
      <c r="G3814">
        <v>36027.028670335698</v>
      </c>
      <c r="H3814">
        <v>31601.882330894899</v>
      </c>
      <c r="I3814">
        <v>1070.4034416546599</v>
      </c>
      <c r="J3814">
        <v>12.438421554230899</v>
      </c>
      <c r="K3814">
        <v>43495.277197836702</v>
      </c>
      <c r="L3814">
        <v>83.511029558125898</v>
      </c>
      <c r="M3814">
        <v>8.3130995230680895</v>
      </c>
      <c r="N3814">
        <v>1519.9693432506699</v>
      </c>
      <c r="O3814">
        <v>40.822167668608103</v>
      </c>
      <c r="P3814">
        <v>7.13464754571066</v>
      </c>
    </row>
    <row r="3815" spans="1:16">
      <c r="A3815" s="1" t="s">
        <v>3850</v>
      </c>
      <c r="B3815" s="8" t="s">
        <v>3854</v>
      </c>
      <c r="C3815" s="1" t="s">
        <v>5591</v>
      </c>
      <c r="D3815" s="1" t="s">
        <v>5597</v>
      </c>
      <c r="E3815" s="1" t="s">
        <v>3804</v>
      </c>
      <c r="F3815">
        <v>24348.2673462567</v>
      </c>
      <c r="G3815">
        <v>30640.100817618899</v>
      </c>
      <c r="H3815">
        <v>31974.000260629899</v>
      </c>
      <c r="I3815">
        <v>1062.3699892596401</v>
      </c>
      <c r="J3815">
        <v>5.7956489396019801</v>
      </c>
      <c r="K3815">
        <v>46119.413746458398</v>
      </c>
      <c r="L3815">
        <v>83.565908612385201</v>
      </c>
      <c r="M3815">
        <v>6.9405274032960396</v>
      </c>
      <c r="N3815">
        <v>1699.6270695211699</v>
      </c>
      <c r="O3815">
        <v>42.878477382470599</v>
      </c>
      <c r="P3815">
        <v>5.30369762056245</v>
      </c>
    </row>
    <row r="3816" spans="1:16">
      <c r="A3816" s="1" t="s">
        <v>3850</v>
      </c>
      <c r="B3816" s="8" t="s">
        <v>3855</v>
      </c>
      <c r="C3816" s="1" t="s">
        <v>5591</v>
      </c>
      <c r="D3816" s="1" t="s">
        <v>5597</v>
      </c>
      <c r="E3816" s="1" t="s">
        <v>3804</v>
      </c>
      <c r="F3816">
        <v>23503.141458959199</v>
      </c>
      <c r="G3816">
        <v>42191.438060203</v>
      </c>
      <c r="H3816">
        <v>30869.946024548299</v>
      </c>
      <c r="I3816">
        <v>1013.98299314437</v>
      </c>
      <c r="J3816">
        <v>3.9928373895838001</v>
      </c>
      <c r="K3816">
        <v>45617.058030819899</v>
      </c>
      <c r="L3816">
        <v>84.564955600475699</v>
      </c>
      <c r="M3816">
        <v>7.9233135132192301</v>
      </c>
      <c r="N3816">
        <v>2894.3955048950402</v>
      </c>
      <c r="O3816">
        <v>44.6044334282007</v>
      </c>
      <c r="P3816">
        <v>5.8172007131525199</v>
      </c>
    </row>
    <row r="3817" spans="1:16">
      <c r="A3817" s="1" t="s">
        <v>3850</v>
      </c>
      <c r="B3817" s="8" t="s">
        <v>3856</v>
      </c>
      <c r="C3817" s="1" t="s">
        <v>5591</v>
      </c>
      <c r="D3817" s="1" t="s">
        <v>5597</v>
      </c>
      <c r="E3817" s="1" t="s">
        <v>3804</v>
      </c>
      <c r="F3817">
        <v>20716.3557374554</v>
      </c>
      <c r="G3817">
        <v>27699.943286527701</v>
      </c>
      <c r="H3817">
        <v>31201.617012061601</v>
      </c>
      <c r="I3817">
        <v>1108.2143347053</v>
      </c>
      <c r="J3817">
        <v>8.3590297005504599</v>
      </c>
      <c r="K3817">
        <v>47200.5456430501</v>
      </c>
      <c r="L3817">
        <v>79.888538354543897</v>
      </c>
      <c r="M3817">
        <v>6.3534908901804803</v>
      </c>
      <c r="N3817">
        <v>2197.9897270695301</v>
      </c>
      <c r="O3817">
        <v>42.937673880173897</v>
      </c>
      <c r="P3817">
        <v>6.5476407277891804</v>
      </c>
    </row>
    <row r="3818" spans="1:16">
      <c r="A3818" s="1" t="s">
        <v>3850</v>
      </c>
      <c r="B3818" s="8" t="s">
        <v>3857</v>
      </c>
      <c r="C3818" s="1" t="s">
        <v>5591</v>
      </c>
      <c r="D3818" s="1" t="s">
        <v>5597</v>
      </c>
      <c r="E3818" s="1" t="s">
        <v>3804</v>
      </c>
      <c r="F3818">
        <v>19957.873119090102</v>
      </c>
      <c r="G3818">
        <v>21292.648660983599</v>
      </c>
      <c r="H3818">
        <v>28756.201971097598</v>
      </c>
      <c r="I3818">
        <v>1255.14359088078</v>
      </c>
      <c r="J3818">
        <v>7.6251819646053001</v>
      </c>
      <c r="K3818">
        <v>54815.559346186303</v>
      </c>
      <c r="L3818">
        <v>80.829633329225203</v>
      </c>
      <c r="M3818">
        <v>6.8529916387937799</v>
      </c>
      <c r="N3818">
        <v>2150.7258468550799</v>
      </c>
      <c r="O3818">
        <v>40.578505898612597</v>
      </c>
      <c r="P3818">
        <v>5.2064515937372002</v>
      </c>
    </row>
    <row r="3819" spans="1:16">
      <c r="A3819" s="1" t="s">
        <v>3850</v>
      </c>
      <c r="B3819" s="8" t="s">
        <v>3858</v>
      </c>
      <c r="C3819" s="1" t="s">
        <v>5591</v>
      </c>
      <c r="D3819" s="1" t="s">
        <v>5597</v>
      </c>
      <c r="E3819" s="1" t="s">
        <v>3804</v>
      </c>
      <c r="F3819">
        <v>21680.182249906698</v>
      </c>
      <c r="G3819">
        <v>38456.348634956397</v>
      </c>
      <c r="H3819">
        <v>30566.6005623727</v>
      </c>
      <c r="I3819">
        <v>1180.12734833082</v>
      </c>
      <c r="J3819">
        <v>12.531773413052999</v>
      </c>
      <c r="K3819">
        <v>53149.210462149298</v>
      </c>
      <c r="L3819">
        <v>84.168824947715393</v>
      </c>
      <c r="M3819">
        <v>6.2048060607220403</v>
      </c>
      <c r="N3819">
        <v>3207.60297527392</v>
      </c>
      <c r="O3819">
        <v>40.935379819029002</v>
      </c>
      <c r="P3819">
        <v>5.72109837245074</v>
      </c>
    </row>
    <row r="3820" spans="1:16">
      <c r="A3820" s="1" t="s">
        <v>3850</v>
      </c>
      <c r="B3820" s="8" t="s">
        <v>3859</v>
      </c>
      <c r="C3820" s="1" t="s">
        <v>5591</v>
      </c>
      <c r="D3820" s="1" t="s">
        <v>5597</v>
      </c>
      <c r="E3820" s="1" t="s">
        <v>3804</v>
      </c>
      <c r="F3820">
        <v>27340.323257477801</v>
      </c>
      <c r="G3820">
        <v>35499.191599259801</v>
      </c>
      <c r="H3820">
        <v>32058.443208746299</v>
      </c>
      <c r="I3820">
        <v>1358.9278819578201</v>
      </c>
      <c r="J3820">
        <v>4.84574611597494</v>
      </c>
      <c r="K3820">
        <v>44043.3438241939</v>
      </c>
      <c r="L3820">
        <v>81.775055607423596</v>
      </c>
      <c r="M3820">
        <v>7.7612681641366201</v>
      </c>
      <c r="N3820">
        <v>1800.33416038562</v>
      </c>
      <c r="O3820">
        <v>42.404363746431002</v>
      </c>
      <c r="P3820">
        <v>9.4836417133181001</v>
      </c>
    </row>
    <row r="3821" spans="1:16">
      <c r="A3821" s="1" t="s">
        <v>3850</v>
      </c>
      <c r="B3821" s="8" t="s">
        <v>3860</v>
      </c>
      <c r="C3821" s="1" t="s">
        <v>5591</v>
      </c>
      <c r="D3821" s="1" t="s">
        <v>5597</v>
      </c>
      <c r="E3821" s="1" t="s">
        <v>3804</v>
      </c>
      <c r="F3821">
        <v>15516.2440052649</v>
      </c>
      <c r="G3821">
        <v>17035.7860144884</v>
      </c>
      <c r="H3821">
        <v>20973.684722079601</v>
      </c>
      <c r="I3821">
        <v>1290.32207258116</v>
      </c>
      <c r="J3821">
        <v>0.36841282725022001</v>
      </c>
      <c r="K3821">
        <v>47137.116100678999</v>
      </c>
      <c r="L3821">
        <v>87.035176717342495</v>
      </c>
      <c r="M3821">
        <v>7.0571344433659497</v>
      </c>
      <c r="N3821">
        <v>1046.81579258242</v>
      </c>
      <c r="O3821">
        <v>48.240347368883</v>
      </c>
      <c r="P3821">
        <v>3.6455495187252902</v>
      </c>
    </row>
    <row r="3822" spans="1:16">
      <c r="A3822" s="1" t="s">
        <v>3850</v>
      </c>
      <c r="B3822" s="8" t="s">
        <v>3861</v>
      </c>
      <c r="C3822" s="1" t="s">
        <v>5591</v>
      </c>
      <c r="D3822" s="1" t="s">
        <v>5597</v>
      </c>
      <c r="E3822" s="1" t="s">
        <v>3804</v>
      </c>
      <c r="F3822">
        <v>14466.081065071199</v>
      </c>
      <c r="G3822">
        <v>17562.1642073849</v>
      </c>
      <c r="H3822">
        <v>20080.893107772401</v>
      </c>
      <c r="I3822">
        <v>1077.01808658708</v>
      </c>
      <c r="J3822">
        <v>0.17020406803007401</v>
      </c>
      <c r="K3822">
        <v>34906.853285381301</v>
      </c>
      <c r="L3822">
        <v>93.009557083892702</v>
      </c>
      <c r="M3822">
        <v>10.790922761112601</v>
      </c>
      <c r="N3822">
        <v>857.33860284318098</v>
      </c>
      <c r="O3822">
        <v>47.978682473982403</v>
      </c>
      <c r="P3822">
        <v>3.1552160626389498</v>
      </c>
    </row>
    <row r="3823" spans="1:16">
      <c r="A3823" s="1" t="s">
        <v>3850</v>
      </c>
      <c r="B3823" s="8" t="s">
        <v>3862</v>
      </c>
      <c r="C3823" s="1" t="s">
        <v>5591</v>
      </c>
      <c r="D3823" s="1" t="s">
        <v>5597</v>
      </c>
      <c r="E3823" s="1" t="s">
        <v>3804</v>
      </c>
      <c r="F3823">
        <v>20399.778265982699</v>
      </c>
      <c r="G3823">
        <v>29704.602036344</v>
      </c>
      <c r="H3823">
        <v>30084.148337724499</v>
      </c>
      <c r="I3823">
        <v>1535.55838375402</v>
      </c>
      <c r="J3823">
        <v>1.8951766571992701</v>
      </c>
      <c r="K3823">
        <v>50644.868639264001</v>
      </c>
      <c r="L3823">
        <v>17.0086895762892</v>
      </c>
      <c r="M3823">
        <v>8.9391381684021596</v>
      </c>
      <c r="N3823">
        <v>1799.22668563607</v>
      </c>
      <c r="O3823">
        <v>37.345066032630598</v>
      </c>
      <c r="P3823">
        <v>5.4997674855899996</v>
      </c>
    </row>
    <row r="3824" spans="1:16">
      <c r="A3824" s="1" t="s">
        <v>3850</v>
      </c>
      <c r="B3824" s="8" t="s">
        <v>3863</v>
      </c>
      <c r="C3824" s="1" t="s">
        <v>5591</v>
      </c>
      <c r="D3824" s="1" t="s">
        <v>5597</v>
      </c>
      <c r="E3824" s="1" t="s">
        <v>3804</v>
      </c>
      <c r="F3824">
        <v>22130.2161396716</v>
      </c>
      <c r="G3824">
        <v>40086.465212510702</v>
      </c>
      <c r="H3824">
        <v>31066.877862751</v>
      </c>
      <c r="I3824">
        <v>1520.89244790871</v>
      </c>
      <c r="J3824">
        <v>1.07993697465892</v>
      </c>
      <c r="K3824">
        <v>50249.418580607897</v>
      </c>
      <c r="L3824">
        <v>17.281307835897</v>
      </c>
      <c r="M3824">
        <v>0.16769211658903199</v>
      </c>
      <c r="N3824">
        <v>2067.9673627340298</v>
      </c>
      <c r="O3824">
        <v>41.082072425083503</v>
      </c>
      <c r="P3824">
        <v>6.7399779617203697</v>
      </c>
    </row>
    <row r="3825" spans="1:16">
      <c r="A3825" s="1" t="s">
        <v>3850</v>
      </c>
      <c r="B3825" s="8" t="s">
        <v>3864</v>
      </c>
      <c r="C3825" s="1" t="s">
        <v>5591</v>
      </c>
      <c r="D3825" s="1" t="s">
        <v>5562</v>
      </c>
      <c r="E3825" s="1" t="s">
        <v>3804</v>
      </c>
      <c r="F3825">
        <v>17859.7937688643</v>
      </c>
      <c r="G3825">
        <v>4534.29296175321</v>
      </c>
      <c r="H3825">
        <v>19485.866975060999</v>
      </c>
      <c r="I3825">
        <v>1113.5994232180401</v>
      </c>
      <c r="J3825">
        <v>4.1218403512742698</v>
      </c>
      <c r="K3825">
        <v>61674.814158286703</v>
      </c>
      <c r="L3825">
        <v>25.7514504113072</v>
      </c>
      <c r="M3825">
        <v>0.30711109542793402</v>
      </c>
      <c r="N3825">
        <v>2095.6565117736</v>
      </c>
      <c r="O3825">
        <v>20.4512524228033</v>
      </c>
      <c r="P3825">
        <v>4.9780076256528796</v>
      </c>
    </row>
    <row r="3826" spans="1:16">
      <c r="A3826" s="1" t="s">
        <v>3850</v>
      </c>
      <c r="B3826" s="8" t="s">
        <v>3865</v>
      </c>
      <c r="C3826" s="1" t="s">
        <v>5591</v>
      </c>
      <c r="D3826" s="1" t="s">
        <v>5562</v>
      </c>
      <c r="E3826" s="1" t="s">
        <v>3804</v>
      </c>
      <c r="F3826">
        <v>17432.511727044599</v>
      </c>
      <c r="G3826">
        <v>2694.8854848599899</v>
      </c>
      <c r="H3826">
        <v>20805.828137142598</v>
      </c>
      <c r="I3826">
        <v>1194.5319541424999</v>
      </c>
      <c r="J3826">
        <v>0.153285284473307</v>
      </c>
      <c r="K3826">
        <v>60963.528169159501</v>
      </c>
      <c r="L3826">
        <v>25.142253148281899</v>
      </c>
      <c r="M3826">
        <v>0.31101784937677002</v>
      </c>
      <c r="N3826">
        <v>1894.2276147807399</v>
      </c>
      <c r="O3826">
        <v>19.159898921850001</v>
      </c>
      <c r="P3826">
        <v>5.1413149889148597</v>
      </c>
    </row>
    <row r="3827" spans="1:16">
      <c r="A3827" s="1" t="s">
        <v>3850</v>
      </c>
      <c r="B3827" s="8" t="s">
        <v>3866</v>
      </c>
      <c r="C3827" s="1" t="s">
        <v>5591</v>
      </c>
      <c r="D3827" s="1" t="s">
        <v>5562</v>
      </c>
      <c r="E3827" s="1" t="s">
        <v>3804</v>
      </c>
      <c r="F3827">
        <v>10913.2479259187</v>
      </c>
      <c r="G3827">
        <v>7860.8884313610197</v>
      </c>
      <c r="H3827">
        <v>21152.286045997</v>
      </c>
      <c r="I3827">
        <v>1462.5426383404699</v>
      </c>
      <c r="J3827">
        <v>0.99708895482628601</v>
      </c>
      <c r="K3827">
        <v>46749.497696316997</v>
      </c>
      <c r="L3827">
        <v>16.741447731923099</v>
      </c>
      <c r="M3827">
        <v>0.20553041505654801</v>
      </c>
      <c r="N3827">
        <v>1297.5594936800001</v>
      </c>
      <c r="O3827">
        <v>34.070980889558101</v>
      </c>
      <c r="P3827">
        <v>3.2986574413913301</v>
      </c>
    </row>
    <row r="3828" spans="1:16">
      <c r="A3828" s="1" t="s">
        <v>3850</v>
      </c>
      <c r="B3828" s="8" t="s">
        <v>3867</v>
      </c>
      <c r="C3828" s="1" t="s">
        <v>5591</v>
      </c>
      <c r="D3828" s="1" t="s">
        <v>5562</v>
      </c>
      <c r="E3828" s="1" t="s">
        <v>3804</v>
      </c>
      <c r="F3828">
        <v>10999.5592069594</v>
      </c>
      <c r="G3828">
        <v>8200.9186599930199</v>
      </c>
      <c r="H3828">
        <v>20796.926201037299</v>
      </c>
      <c r="I3828">
        <v>1476.7023568792899</v>
      </c>
      <c r="J3828">
        <v>0.64479882938657895</v>
      </c>
      <c r="K3828">
        <v>48601.934473606998</v>
      </c>
      <c r="L3828">
        <v>17.3621345019606</v>
      </c>
      <c r="M3828">
        <v>1.1678677963627799E-2</v>
      </c>
      <c r="N3828">
        <v>1324.3399945429501</v>
      </c>
      <c r="O3828">
        <v>33.996564811225603</v>
      </c>
      <c r="P3828">
        <v>3.5224484075530502</v>
      </c>
    </row>
    <row r="3829" spans="1:16">
      <c r="A3829" s="1" t="s">
        <v>3850</v>
      </c>
      <c r="B3829" s="8" t="s">
        <v>3868</v>
      </c>
      <c r="C3829" s="1" t="s">
        <v>5591</v>
      </c>
      <c r="D3829" s="1" t="s">
        <v>5562</v>
      </c>
      <c r="E3829" s="1" t="s">
        <v>3804</v>
      </c>
      <c r="F3829">
        <v>12852.8424656019</v>
      </c>
      <c r="G3829">
        <v>142.007461523372</v>
      </c>
      <c r="H3829">
        <v>19447.183426393902</v>
      </c>
      <c r="I3829">
        <v>4697.3914480293297</v>
      </c>
      <c r="J3829">
        <v>0.36461284753164003</v>
      </c>
      <c r="K3829">
        <v>36410.132340447497</v>
      </c>
      <c r="L3829">
        <v>15.911605187361401</v>
      </c>
      <c r="M3829">
        <v>8.7773652741291799E-2</v>
      </c>
      <c r="N3829">
        <v>3556.7190854792302</v>
      </c>
      <c r="O3829">
        <v>11.0560061456297</v>
      </c>
      <c r="P3829">
        <v>5.6045997831189496</v>
      </c>
    </row>
    <row r="3830" spans="1:16">
      <c r="A3830" s="1" t="s">
        <v>3850</v>
      </c>
      <c r="B3830" s="8" t="s">
        <v>3869</v>
      </c>
      <c r="C3830" s="1" t="s">
        <v>5591</v>
      </c>
      <c r="D3830" s="1" t="s">
        <v>5562</v>
      </c>
      <c r="E3830" s="1" t="s">
        <v>3804</v>
      </c>
      <c r="F3830">
        <v>24300.155385265702</v>
      </c>
      <c r="G3830">
        <v>1738.57308804286</v>
      </c>
      <c r="H3830">
        <v>21120.165517464899</v>
      </c>
      <c r="I3830">
        <v>1268.8024882843899</v>
      </c>
      <c r="J3830">
        <v>1.14277312797865E-2</v>
      </c>
      <c r="K3830">
        <v>67714.603681410095</v>
      </c>
      <c r="L3830">
        <v>23.245736563645799</v>
      </c>
      <c r="M3830">
        <v>1.86395021111109E-2</v>
      </c>
      <c r="N3830">
        <v>2622.8726539853801</v>
      </c>
      <c r="O3830">
        <v>25.132240571812101</v>
      </c>
      <c r="P3830">
        <v>6.2092355366079497</v>
      </c>
    </row>
    <row r="3831" spans="1:16">
      <c r="A3831" s="1" t="s">
        <v>3850</v>
      </c>
      <c r="B3831" s="8" t="s">
        <v>3870</v>
      </c>
      <c r="C3831" s="1" t="s">
        <v>5591</v>
      </c>
      <c r="D3831" s="1" t="s">
        <v>5562</v>
      </c>
      <c r="E3831" s="1" t="s">
        <v>3804</v>
      </c>
      <c r="F3831">
        <v>24198.5501919173</v>
      </c>
      <c r="G3831">
        <v>3020.7338222847602</v>
      </c>
      <c r="H3831">
        <v>23997.386807368301</v>
      </c>
      <c r="I3831">
        <v>1032.8005630012401</v>
      </c>
      <c r="J3831">
        <v>0.39845979748462301</v>
      </c>
      <c r="K3831">
        <v>65688.056557923104</v>
      </c>
      <c r="L3831">
        <v>23.563781468647299</v>
      </c>
      <c r="M3831">
        <v>5.05780274561149E-2</v>
      </c>
      <c r="N3831">
        <v>3205.1442863697098</v>
      </c>
      <c r="O3831">
        <v>26.0426429842448</v>
      </c>
      <c r="P3831">
        <v>6.6567222932666601</v>
      </c>
    </row>
    <row r="3832" spans="1:16">
      <c r="A3832" s="1" t="s">
        <v>3850</v>
      </c>
      <c r="B3832" s="8" t="s">
        <v>3871</v>
      </c>
      <c r="C3832" s="1" t="s">
        <v>5591</v>
      </c>
      <c r="D3832" s="1" t="s">
        <v>5562</v>
      </c>
      <c r="E3832" s="1" t="s">
        <v>3804</v>
      </c>
      <c r="F3832">
        <v>668.93507372776105</v>
      </c>
      <c r="G3832">
        <v>1388.9914161081199</v>
      </c>
      <c r="H3832">
        <v>5476.6086770154798</v>
      </c>
      <c r="I3832">
        <v>1924.2299878701101</v>
      </c>
      <c r="J3832">
        <v>3.2204693559751201</v>
      </c>
      <c r="K3832">
        <v>1074.99776061442</v>
      </c>
      <c r="L3832">
        <v>12.5872775319156</v>
      </c>
      <c r="M3832">
        <v>11.205330707034699</v>
      </c>
      <c r="N3832">
        <v>1341.93490919906</v>
      </c>
      <c r="O3832">
        <v>17.450268080255199</v>
      </c>
      <c r="P3832">
        <v>10.3764133893748</v>
      </c>
    </row>
    <row r="3833" spans="1:16">
      <c r="A3833" s="1" t="s">
        <v>3850</v>
      </c>
      <c r="B3833" s="8" t="s">
        <v>3872</v>
      </c>
      <c r="C3833" s="1" t="s">
        <v>5591</v>
      </c>
      <c r="D3833" s="1" t="s">
        <v>5562</v>
      </c>
      <c r="E3833" s="1" t="s">
        <v>3804</v>
      </c>
      <c r="F3833">
        <v>831.89082355005701</v>
      </c>
      <c r="G3833">
        <v>1114.1086775215899</v>
      </c>
      <c r="H3833">
        <v>7910.9950388594198</v>
      </c>
      <c r="I3833">
        <v>1553.25409591735</v>
      </c>
      <c r="J3833">
        <v>2.6288254368102102</v>
      </c>
      <c r="K3833">
        <v>3038.9306626125299</v>
      </c>
      <c r="L3833">
        <v>12.722251557109001</v>
      </c>
      <c r="M3833">
        <v>10.4536614280851</v>
      </c>
      <c r="N3833">
        <v>999.89595688492</v>
      </c>
      <c r="O3833">
        <v>20.499183649092299</v>
      </c>
      <c r="P3833">
        <v>10.416221545260401</v>
      </c>
    </row>
    <row r="3834" spans="1:16">
      <c r="A3834" s="1" t="s">
        <v>3850</v>
      </c>
      <c r="B3834" s="8" t="s">
        <v>3873</v>
      </c>
      <c r="C3834" s="1" t="s">
        <v>5591</v>
      </c>
      <c r="D3834" s="1" t="s">
        <v>5562</v>
      </c>
      <c r="E3834" s="1" t="s">
        <v>3804</v>
      </c>
      <c r="F3834">
        <v>795.29653061937097</v>
      </c>
      <c r="G3834">
        <v>959.93578188685206</v>
      </c>
      <c r="H3834">
        <v>5604.2778247633996</v>
      </c>
      <c r="I3834">
        <v>1332.4901788252</v>
      </c>
      <c r="J3834">
        <v>3.48987882513179</v>
      </c>
      <c r="K3834">
        <v>2153.11729519849</v>
      </c>
      <c r="L3834">
        <v>13.7322298577787</v>
      </c>
      <c r="M3834">
        <v>11.3391200373704</v>
      </c>
      <c r="N3834">
        <v>1641.36002847125</v>
      </c>
      <c r="O3834">
        <v>15.768601212001199</v>
      </c>
      <c r="P3834">
        <v>8.9571665666231599</v>
      </c>
    </row>
    <row r="3835" spans="1:16">
      <c r="A3835" s="1" t="s">
        <v>3874</v>
      </c>
      <c r="B3835" s="1" t="s">
        <v>3875</v>
      </c>
      <c r="C3835" s="1" t="s">
        <v>1764</v>
      </c>
      <c r="D3835" s="1" t="s">
        <v>44</v>
      </c>
      <c r="E3835" s="1" t="s">
        <v>3876</v>
      </c>
      <c r="F3835">
        <v>3907.5467685349895</v>
      </c>
      <c r="G3835">
        <v>6649.6327837005701</v>
      </c>
      <c r="H3835">
        <v>597.6620639402197</v>
      </c>
      <c r="I3835">
        <v>21.672758103266801</v>
      </c>
      <c r="J3835">
        <v>0.84760287055689654</v>
      </c>
      <c r="K3835">
        <v>13658.280636690983</v>
      </c>
      <c r="L3835">
        <v>4.7137299285055487</v>
      </c>
      <c r="M3835">
        <v>33.367951326676696</v>
      </c>
      <c r="N3835">
        <v>6968.152206844652</v>
      </c>
      <c r="O3835">
        <v>28.81817535491416</v>
      </c>
      <c r="P3835">
        <v>2560.4551996373179</v>
      </c>
    </row>
    <row r="3836" spans="1:16">
      <c r="A3836" s="1" t="s">
        <v>3874</v>
      </c>
      <c r="B3836" s="1" t="s">
        <v>3877</v>
      </c>
      <c r="C3836" s="1" t="s">
        <v>1764</v>
      </c>
      <c r="D3836" s="1" t="s">
        <v>44</v>
      </c>
      <c r="E3836" s="1" t="s">
        <v>3876</v>
      </c>
      <c r="F3836">
        <v>3764.539590766447</v>
      </c>
      <c r="G3836">
        <v>7328.5579576920891</v>
      </c>
      <c r="H3836">
        <v>876.36824170794171</v>
      </c>
      <c r="I3836">
        <v>37.503108720197353</v>
      </c>
      <c r="J3836">
        <v>71.578241203471464</v>
      </c>
      <c r="K3836">
        <v>13403.547744220925</v>
      </c>
      <c r="L3836">
        <v>5.320975153426641</v>
      </c>
      <c r="M3836">
        <v>33.127447736185758</v>
      </c>
      <c r="N3836">
        <v>6920.7932673606583</v>
      </c>
      <c r="O3836">
        <v>29.630718948945052</v>
      </c>
      <c r="P3836">
        <v>3017.8273411842279</v>
      </c>
    </row>
    <row r="3837" spans="1:16">
      <c r="A3837" s="1" t="s">
        <v>3874</v>
      </c>
      <c r="B3837" s="1" t="s">
        <v>3878</v>
      </c>
      <c r="C3837" s="1" t="s">
        <v>1764</v>
      </c>
      <c r="D3837" s="1" t="s">
        <v>44</v>
      </c>
      <c r="E3837" s="1" t="s">
        <v>3879</v>
      </c>
      <c r="F3837">
        <v>3612.6352490986224</v>
      </c>
      <c r="G3837">
        <v>7015.594089773479</v>
      </c>
      <c r="H3837">
        <v>1088.9396977233773</v>
      </c>
      <c r="I3837">
        <v>43.655289112896128</v>
      </c>
      <c r="J3837">
        <v>49.073584894131002</v>
      </c>
      <c r="K3837">
        <v>14038.649843852267</v>
      </c>
      <c r="L3837">
        <v>4.9508946215072589</v>
      </c>
      <c r="M3837">
        <v>33.074568862661856</v>
      </c>
      <c r="N3837">
        <v>6858.6431639236016</v>
      </c>
      <c r="O3837">
        <v>31.483937919382562</v>
      </c>
      <c r="P3837">
        <v>2445.0087196314867</v>
      </c>
    </row>
    <row r="3838" spans="1:16">
      <c r="A3838" s="1" t="s">
        <v>3874</v>
      </c>
      <c r="B3838" s="1" t="s">
        <v>3880</v>
      </c>
      <c r="C3838" s="1" t="s">
        <v>1764</v>
      </c>
      <c r="D3838" s="1" t="s">
        <v>44</v>
      </c>
      <c r="E3838" s="1" t="s">
        <v>3879</v>
      </c>
      <c r="F3838">
        <v>3373.4127642532944</v>
      </c>
      <c r="G3838">
        <v>6963.5662634953724</v>
      </c>
      <c r="H3838">
        <v>917.8222672703331</v>
      </c>
      <c r="I3838">
        <v>34.430809910965372</v>
      </c>
      <c r="J3838">
        <v>24.657339973932633</v>
      </c>
      <c r="K3838">
        <v>14010.44118008168</v>
      </c>
      <c r="L3838">
        <v>5.6585982836201429</v>
      </c>
      <c r="M3838">
        <v>32.287998525983866</v>
      </c>
      <c r="N3838">
        <v>6562.7687566731911</v>
      </c>
      <c r="O3838">
        <v>28.945336835320067</v>
      </c>
      <c r="P3838">
        <v>2984.0781052014281</v>
      </c>
    </row>
    <row r="3839" spans="1:16">
      <c r="A3839" s="1" t="s">
        <v>3874</v>
      </c>
      <c r="B3839" s="1" t="s">
        <v>3881</v>
      </c>
      <c r="C3839" s="1" t="s">
        <v>1764</v>
      </c>
      <c r="D3839" s="1" t="s">
        <v>44</v>
      </c>
      <c r="E3839" s="1" t="s">
        <v>3879</v>
      </c>
      <c r="F3839">
        <v>3350.2786126546043</v>
      </c>
      <c r="G3839">
        <v>7464.7463749121707</v>
      </c>
      <c r="H3839">
        <v>891.98114442318592</v>
      </c>
      <c r="I3839">
        <v>29.109210675208224</v>
      </c>
      <c r="J3839">
        <v>14.172714087367288</v>
      </c>
      <c r="K3839">
        <v>13223.271283674136</v>
      </c>
      <c r="L3839">
        <v>5.8925678235686574</v>
      </c>
      <c r="M3839">
        <v>31.619090603471957</v>
      </c>
      <c r="N3839">
        <v>6882.5264327737696</v>
      </c>
      <c r="O3839">
        <v>30.562794759076581</v>
      </c>
      <c r="P3839">
        <v>3458.6131785982229</v>
      </c>
    </row>
    <row r="3840" spans="1:16">
      <c r="A3840" s="1" t="s">
        <v>3874</v>
      </c>
      <c r="B3840" s="1" t="s">
        <v>3882</v>
      </c>
      <c r="C3840" s="1" t="s">
        <v>1764</v>
      </c>
      <c r="D3840" s="1" t="s">
        <v>44</v>
      </c>
      <c r="E3840" s="1" t="s">
        <v>3879</v>
      </c>
      <c r="F3840">
        <v>3650.0185726298937</v>
      </c>
      <c r="G3840">
        <v>8619.8760735393134</v>
      </c>
      <c r="H3840">
        <v>1199.3160486887616</v>
      </c>
      <c r="I3840">
        <v>47.445562874756405</v>
      </c>
      <c r="J3840">
        <v>60.768846782901811</v>
      </c>
      <c r="K3840">
        <v>13884.618363051484</v>
      </c>
      <c r="L3840">
        <v>5.9997296475956254</v>
      </c>
      <c r="M3840">
        <v>34.015440951729047</v>
      </c>
      <c r="N3840">
        <v>7605.7452537867603</v>
      </c>
      <c r="O3840">
        <v>36.239624347614921</v>
      </c>
      <c r="P3840">
        <v>3755.4814870601053</v>
      </c>
    </row>
    <row r="3841" spans="1:16">
      <c r="A3841" s="1" t="s">
        <v>3874</v>
      </c>
      <c r="B3841" s="1" t="s">
        <v>3883</v>
      </c>
      <c r="C3841" s="1" t="s">
        <v>1764</v>
      </c>
      <c r="D3841" s="1" t="s">
        <v>44</v>
      </c>
      <c r="E3841" s="1" t="s">
        <v>3879</v>
      </c>
      <c r="F3841">
        <v>2800.796487725192</v>
      </c>
      <c r="G3841">
        <v>7572.6543169021861</v>
      </c>
      <c r="H3841">
        <v>1195.631404485759</v>
      </c>
      <c r="I3841">
        <v>40.574064201830929</v>
      </c>
      <c r="J3841">
        <v>103.55640191652205</v>
      </c>
      <c r="K3841">
        <v>9690.3639004871202</v>
      </c>
      <c r="L3841">
        <v>4.6248917577677728</v>
      </c>
      <c r="M3841">
        <v>45.832404818074465</v>
      </c>
      <c r="N3841">
        <v>7107.2642035946219</v>
      </c>
      <c r="O3841">
        <v>40.961336033883263</v>
      </c>
      <c r="P3841">
        <v>2936.7595582629087</v>
      </c>
    </row>
    <row r="3842" spans="1:16">
      <c r="A3842" s="1" t="s">
        <v>3874</v>
      </c>
      <c r="B3842" s="1" t="s">
        <v>3884</v>
      </c>
      <c r="C3842" s="1" t="s">
        <v>1764</v>
      </c>
      <c r="D3842" s="1" t="s">
        <v>44</v>
      </c>
      <c r="E3842" s="1" t="s">
        <v>3879</v>
      </c>
      <c r="F3842">
        <v>3091.2538949841287</v>
      </c>
      <c r="G3842">
        <v>5724.7102673237041</v>
      </c>
      <c r="H3842">
        <v>479.15896202525818</v>
      </c>
      <c r="I3842">
        <v>23.552777585320289</v>
      </c>
      <c r="J3842">
        <v>33.999035639177833</v>
      </c>
      <c r="K3842">
        <v>11299.12843082825</v>
      </c>
      <c r="L3842">
        <v>5.1291264318998655</v>
      </c>
      <c r="M3842">
        <v>35.222665537232537</v>
      </c>
      <c r="N3842">
        <v>5814.4936904958004</v>
      </c>
      <c r="O3842">
        <v>30.684028657897212</v>
      </c>
      <c r="P3842">
        <v>2226.6690355664027</v>
      </c>
    </row>
    <row r="3843" spans="1:16">
      <c r="A3843" s="1" t="s">
        <v>3874</v>
      </c>
      <c r="B3843" s="1" t="s">
        <v>3885</v>
      </c>
      <c r="C3843" s="1" t="s">
        <v>1764</v>
      </c>
      <c r="D3843" s="1" t="s">
        <v>44</v>
      </c>
      <c r="E3843" s="1" t="s">
        <v>3879</v>
      </c>
      <c r="F3843">
        <v>3408.5242456666529</v>
      </c>
      <c r="G3843">
        <v>5973.6859563946036</v>
      </c>
      <c r="H3843">
        <v>521.9699108735665</v>
      </c>
      <c r="I3843">
        <v>18.762274949131385</v>
      </c>
      <c r="J3843">
        <v>5.7671547970721644</v>
      </c>
      <c r="K3843">
        <v>12515.753760569653</v>
      </c>
      <c r="L3843">
        <v>5.3535789192367682</v>
      </c>
      <c r="M3843">
        <v>33.951656634870254</v>
      </c>
      <c r="N3843">
        <v>6266.9050298599759</v>
      </c>
      <c r="O3843">
        <v>29.407930770821096</v>
      </c>
      <c r="P3843">
        <v>2214.6633710563237</v>
      </c>
    </row>
    <row r="3844" spans="1:16">
      <c r="A3844" s="1" t="s">
        <v>3874</v>
      </c>
      <c r="B3844" s="1" t="s">
        <v>3886</v>
      </c>
      <c r="C3844" s="1" t="s">
        <v>1764</v>
      </c>
      <c r="D3844" s="1" t="s">
        <v>44</v>
      </c>
      <c r="E3844" s="1" t="s">
        <v>3879</v>
      </c>
      <c r="F3844">
        <v>3750.8578056891124</v>
      </c>
      <c r="G3844">
        <v>5847.1588985135477</v>
      </c>
      <c r="H3844">
        <v>619.91914987222094</v>
      </c>
      <c r="I3844">
        <v>20.532756821079651</v>
      </c>
      <c r="J3844">
        <v>5.0987484726400965</v>
      </c>
      <c r="K3844">
        <v>13173.781390802771</v>
      </c>
      <c r="L3844">
        <v>5.0176073467274911</v>
      </c>
      <c r="M3844">
        <v>32.731606587747201</v>
      </c>
      <c r="N3844">
        <v>6324.5714460304907</v>
      </c>
      <c r="O3844">
        <v>30.726379136861464</v>
      </c>
      <c r="P3844">
        <v>2404.2499565176026</v>
      </c>
    </row>
    <row r="3845" spans="1:16">
      <c r="A3845" s="1" t="s">
        <v>3874</v>
      </c>
      <c r="B3845" s="1" t="s">
        <v>3887</v>
      </c>
      <c r="C3845" s="1" t="s">
        <v>1764</v>
      </c>
      <c r="D3845" s="1" t="s">
        <v>44</v>
      </c>
      <c r="E3845" s="1" t="s">
        <v>3879</v>
      </c>
      <c r="F3845">
        <v>3478.0663133129497</v>
      </c>
      <c r="G3845">
        <v>5584.3670447059749</v>
      </c>
      <c r="H3845">
        <v>486.66467571440216</v>
      </c>
      <c r="I3845">
        <v>15.481645634022675</v>
      </c>
      <c r="J3845">
        <v>5.3158674438325564</v>
      </c>
      <c r="K3845">
        <v>12472.116332880079</v>
      </c>
      <c r="L3845">
        <v>5.1968579475963672</v>
      </c>
      <c r="M3845">
        <v>40.723449898957064</v>
      </c>
      <c r="N3845">
        <v>5963.3329707815983</v>
      </c>
      <c r="O3845">
        <v>31.288243931232127</v>
      </c>
      <c r="P3845">
        <v>2407.2558664905441</v>
      </c>
    </row>
    <row r="3846" spans="1:16">
      <c r="A3846" s="1" t="s">
        <v>3874</v>
      </c>
      <c r="B3846" s="1" t="s">
        <v>3888</v>
      </c>
      <c r="C3846" s="1" t="s">
        <v>1764</v>
      </c>
      <c r="D3846" s="1" t="s">
        <v>44</v>
      </c>
      <c r="E3846" s="1" t="s">
        <v>3879</v>
      </c>
      <c r="F3846">
        <v>3561.7394118253815</v>
      </c>
      <c r="G3846">
        <v>5629.1717151931061</v>
      </c>
      <c r="H3846">
        <v>508.30169819775125</v>
      </c>
      <c r="I3846">
        <v>19.354739815618007</v>
      </c>
      <c r="J3846">
        <v>32.903419767387078</v>
      </c>
      <c r="K3846">
        <v>12570.060780704731</v>
      </c>
      <c r="L3846">
        <v>4.8994243397307882</v>
      </c>
      <c r="M3846">
        <v>39.609628674444622</v>
      </c>
      <c r="N3846">
        <v>6019.2196246391759</v>
      </c>
      <c r="O3846">
        <v>32.820463392144688</v>
      </c>
      <c r="P3846">
        <v>2285.2092967214717</v>
      </c>
    </row>
    <row r="3847" spans="1:16">
      <c r="A3847" s="1" t="s">
        <v>3874</v>
      </c>
      <c r="B3847" s="1" t="s">
        <v>3889</v>
      </c>
      <c r="C3847" s="1" t="s">
        <v>1764</v>
      </c>
      <c r="D3847" s="1" t="s">
        <v>44</v>
      </c>
      <c r="E3847" s="1" t="s">
        <v>3879</v>
      </c>
      <c r="F3847">
        <v>3229.8491905921292</v>
      </c>
      <c r="G3847">
        <v>5344.2644262728463</v>
      </c>
      <c r="H3847">
        <v>433.8747897193627</v>
      </c>
      <c r="I3847">
        <v>14.864635643029649</v>
      </c>
      <c r="J3847">
        <v>14.691410146013718</v>
      </c>
      <c r="K3847">
        <v>11843.133785693699</v>
      </c>
      <c r="L3847">
        <v>4.2495563246003032</v>
      </c>
      <c r="M3847">
        <v>39.225340595477988</v>
      </c>
      <c r="N3847">
        <v>5453.7700411446749</v>
      </c>
      <c r="O3847">
        <v>29.893010203312457</v>
      </c>
      <c r="P3847">
        <v>2112.2515833750399</v>
      </c>
    </row>
    <row r="3848" spans="1:16">
      <c r="A3848" s="1" t="s">
        <v>3874</v>
      </c>
      <c r="B3848" s="1" t="s">
        <v>3890</v>
      </c>
      <c r="C3848" s="1" t="s">
        <v>1764</v>
      </c>
      <c r="D3848" s="1" t="s">
        <v>44</v>
      </c>
      <c r="E3848" s="1" t="s">
        <v>3879</v>
      </c>
      <c r="F3848">
        <v>3442.668388452586</v>
      </c>
      <c r="G3848">
        <v>4574.2748216126802</v>
      </c>
      <c r="H3848">
        <v>262.92351691939473</v>
      </c>
      <c r="I3848">
        <v>14.21403739334025</v>
      </c>
      <c r="J3848">
        <v>0.51901289436816289</v>
      </c>
      <c r="K3848">
        <v>12758.671793124648</v>
      </c>
      <c r="L3848">
        <v>5.2965419291155333</v>
      </c>
      <c r="M3848">
        <v>43.843534459651188</v>
      </c>
      <c r="N3848">
        <v>7185.1934645000019</v>
      </c>
      <c r="O3848">
        <v>35.466403379503681</v>
      </c>
      <c r="P3848">
        <v>2271.1150012057856</v>
      </c>
    </row>
    <row r="3849" spans="1:16">
      <c r="A3849" s="1" t="s">
        <v>3874</v>
      </c>
      <c r="B3849" s="1" t="s">
        <v>3891</v>
      </c>
      <c r="C3849" s="1" t="s">
        <v>1764</v>
      </c>
      <c r="D3849" s="1" t="s">
        <v>44</v>
      </c>
      <c r="E3849" s="1" t="s">
        <v>3879</v>
      </c>
      <c r="F3849">
        <v>1933.9898011727892</v>
      </c>
      <c r="G3849">
        <v>3502.0829290005199</v>
      </c>
      <c r="H3849">
        <v>39.241694920850065</v>
      </c>
      <c r="I3849">
        <v>2.6043273352410736</v>
      </c>
      <c r="J3849">
        <v>2.5317018071643416</v>
      </c>
      <c r="K3849">
        <v>9811.6052019462786</v>
      </c>
      <c r="L3849">
        <v>5.7870416728690532</v>
      </c>
      <c r="M3849">
        <v>89.338613073026394</v>
      </c>
      <c r="N3849">
        <v>4279.7028382148765</v>
      </c>
      <c r="O3849">
        <v>38.544303523607283</v>
      </c>
      <c r="P3849">
        <v>911.64231473940276</v>
      </c>
    </row>
    <row r="3850" spans="1:16">
      <c r="A3850" s="1" t="s">
        <v>3874</v>
      </c>
      <c r="B3850" s="1" t="s">
        <v>3892</v>
      </c>
      <c r="C3850" s="1" t="s">
        <v>1764</v>
      </c>
      <c r="D3850" s="1" t="s">
        <v>44</v>
      </c>
      <c r="E3850" s="1" t="s">
        <v>3879</v>
      </c>
      <c r="F3850">
        <v>2503.512084765739</v>
      </c>
      <c r="G3850">
        <v>4086.4918014260697</v>
      </c>
      <c r="H3850">
        <v>60.212997420312078</v>
      </c>
      <c r="I3850">
        <v>7.1649809603450763</v>
      </c>
      <c r="J3850">
        <v>1.3917602273430167</v>
      </c>
      <c r="K3850">
        <v>10575.197594746696</v>
      </c>
      <c r="L3850">
        <v>4.7036163708680769</v>
      </c>
      <c r="M3850">
        <v>37.146104366717971</v>
      </c>
      <c r="N3850">
        <v>4858.9558846482787</v>
      </c>
      <c r="O3850">
        <v>31.519082518234644</v>
      </c>
      <c r="P3850">
        <v>1880.5618469962656</v>
      </c>
    </row>
    <row r="3851" spans="1:16">
      <c r="A3851" s="1" t="s">
        <v>3874</v>
      </c>
      <c r="B3851" s="1" t="s">
        <v>3893</v>
      </c>
      <c r="C3851" s="1" t="s">
        <v>1764</v>
      </c>
      <c r="D3851" s="1" t="s">
        <v>44</v>
      </c>
      <c r="E3851" s="1" t="s">
        <v>3879</v>
      </c>
      <c r="F3851">
        <v>2556.7738207802877</v>
      </c>
      <c r="G3851">
        <v>4071.7845434582327</v>
      </c>
      <c r="H3851">
        <v>53.429583973236305</v>
      </c>
      <c r="I3851">
        <v>6.0230004026109958</v>
      </c>
      <c r="J3851">
        <v>1.584670433481133</v>
      </c>
      <c r="K3851">
        <v>10878.472787407638</v>
      </c>
      <c r="L3851">
        <v>4.286631871520715</v>
      </c>
      <c r="M3851">
        <v>36.186410556767157</v>
      </c>
      <c r="N3851">
        <v>5307.0400134622732</v>
      </c>
      <c r="O3851">
        <v>36.447784707790134</v>
      </c>
      <c r="P3851">
        <v>2253.1201513132351</v>
      </c>
    </row>
    <row r="3852" spans="1:16">
      <c r="A3852" s="1" t="s">
        <v>3874</v>
      </c>
      <c r="B3852" s="1" t="s">
        <v>3894</v>
      </c>
      <c r="C3852" s="1" t="s">
        <v>1764</v>
      </c>
      <c r="D3852" s="1" t="s">
        <v>44</v>
      </c>
      <c r="E3852" s="1" t="s">
        <v>3879</v>
      </c>
      <c r="F3852">
        <v>2536.8432230352087</v>
      </c>
      <c r="G3852">
        <v>4297.1835715333027</v>
      </c>
      <c r="H3852">
        <v>80.232324418719543</v>
      </c>
      <c r="I3852">
        <v>8.1710826996709258</v>
      </c>
      <c r="J3852">
        <v>0.74264365562651724</v>
      </c>
      <c r="K3852">
        <v>11055.388969758555</v>
      </c>
      <c r="L3852">
        <v>4.4891598196974316</v>
      </c>
      <c r="M3852">
        <v>37.26788307805468</v>
      </c>
      <c r="N3852">
        <v>5269.5070377333768</v>
      </c>
      <c r="O3852">
        <v>32.46649340791032</v>
      </c>
      <c r="P3852">
        <v>1730.676526166762</v>
      </c>
    </row>
    <row r="3853" spans="1:16">
      <c r="A3853" s="1" t="s">
        <v>3874</v>
      </c>
      <c r="B3853" s="1" t="s">
        <v>3895</v>
      </c>
      <c r="C3853" s="1" t="s">
        <v>1764</v>
      </c>
      <c r="D3853" s="1" t="s">
        <v>44</v>
      </c>
      <c r="E3853" s="1" t="s">
        <v>3879</v>
      </c>
      <c r="F3853">
        <v>2471.1709566752643</v>
      </c>
      <c r="G3853">
        <v>4192.5079633605928</v>
      </c>
      <c r="H3853">
        <v>63.092733563516674</v>
      </c>
      <c r="I3853">
        <v>6.2704224473431651</v>
      </c>
      <c r="J3853">
        <v>2.8184746911302097</v>
      </c>
      <c r="K3853">
        <v>11491.79851993157</v>
      </c>
      <c r="L3853">
        <v>4.8130327566163968</v>
      </c>
      <c r="M3853">
        <v>39.901206279380439</v>
      </c>
      <c r="N3853">
        <v>5269.2066048621964</v>
      </c>
      <c r="O3853">
        <v>30.753184668583014</v>
      </c>
      <c r="P3853">
        <v>1897.5498038046815</v>
      </c>
    </row>
    <row r="3854" spans="1:16">
      <c r="A3854" s="1" t="s">
        <v>3874</v>
      </c>
      <c r="B3854" s="1" t="s">
        <v>3896</v>
      </c>
      <c r="C3854" s="1" t="s">
        <v>1764</v>
      </c>
      <c r="D3854" s="1" t="s">
        <v>44</v>
      </c>
      <c r="E3854" s="1" t="s">
        <v>3879</v>
      </c>
      <c r="F3854">
        <v>3261.9688787620812</v>
      </c>
      <c r="G3854">
        <v>5504.2086981540615</v>
      </c>
      <c r="H3854">
        <v>220.65903059199547</v>
      </c>
      <c r="I3854">
        <v>15.939376520237733</v>
      </c>
      <c r="J3854">
        <v>2.8699708048656118</v>
      </c>
      <c r="K3854">
        <v>11735.915341994742</v>
      </c>
      <c r="L3854">
        <v>4.7068456520822659</v>
      </c>
      <c r="M3854">
        <v>38.407216618101117</v>
      </c>
      <c r="N3854">
        <v>6377.7831824413124</v>
      </c>
      <c r="O3854">
        <v>34.404429473498496</v>
      </c>
      <c r="P3854">
        <v>2197.5733824563231</v>
      </c>
    </row>
    <row r="3855" spans="1:16">
      <c r="A3855" s="1" t="s">
        <v>3874</v>
      </c>
      <c r="B3855" s="1" t="s">
        <v>3897</v>
      </c>
      <c r="C3855" s="1" t="s">
        <v>1764</v>
      </c>
      <c r="D3855" s="1" t="s">
        <v>44</v>
      </c>
      <c r="E3855" s="1" t="s">
        <v>3879</v>
      </c>
      <c r="F3855">
        <v>3255.4307024585078</v>
      </c>
      <c r="G3855">
        <v>4816.8824599806894</v>
      </c>
      <c r="H3855">
        <v>228.4541207210022</v>
      </c>
      <c r="I3855">
        <v>14.229628482307756</v>
      </c>
      <c r="J3855">
        <v>10.043542269735049</v>
      </c>
      <c r="K3855">
        <v>11665.762141821155</v>
      </c>
      <c r="L3855">
        <v>4.7151301148003482</v>
      </c>
      <c r="M3855">
        <v>33.01428963313306</v>
      </c>
      <c r="N3855">
        <v>5848.913409876568</v>
      </c>
      <c r="O3855">
        <v>27.02139185177467</v>
      </c>
      <c r="P3855">
        <v>1920.266716829417</v>
      </c>
    </row>
    <row r="3856" spans="1:16">
      <c r="A3856" s="1" t="s">
        <v>3874</v>
      </c>
      <c r="B3856" s="1" t="s">
        <v>3898</v>
      </c>
      <c r="C3856" s="1" t="s">
        <v>1764</v>
      </c>
      <c r="D3856" s="1" t="s">
        <v>44</v>
      </c>
      <c r="E3856" s="1" t="s">
        <v>3879</v>
      </c>
      <c r="F3856">
        <v>2538.355778302247</v>
      </c>
      <c r="G3856">
        <v>6538.0162657287801</v>
      </c>
      <c r="H3856">
        <v>660.47768915544032</v>
      </c>
      <c r="I3856">
        <v>34.205575968365302</v>
      </c>
      <c r="J3856">
        <v>19.944097925265694</v>
      </c>
      <c r="K3856">
        <v>10256.948857283845</v>
      </c>
      <c r="L3856">
        <v>4.6133199775363662</v>
      </c>
      <c r="M3856">
        <v>31.156110829986375</v>
      </c>
      <c r="N3856">
        <v>6073.9680049364024</v>
      </c>
      <c r="O3856">
        <v>30.384645467864381</v>
      </c>
      <c r="P3856">
        <v>2006.2647332741997</v>
      </c>
    </row>
    <row r="3857" spans="1:16">
      <c r="A3857" s="1" t="s">
        <v>3874</v>
      </c>
      <c r="B3857" s="1" t="s">
        <v>3899</v>
      </c>
      <c r="C3857" s="1" t="s">
        <v>1764</v>
      </c>
      <c r="D3857" s="1" t="s">
        <v>44</v>
      </c>
      <c r="E3857" s="1" t="s">
        <v>3879</v>
      </c>
      <c r="F3857">
        <v>1199.3374283649007</v>
      </c>
      <c r="G3857">
        <v>1046.716282084978</v>
      </c>
      <c r="H3857">
        <v>67.351859118208679</v>
      </c>
      <c r="I3857">
        <v>15.916875518696878</v>
      </c>
      <c r="J3857">
        <v>12.087371376390479</v>
      </c>
      <c r="K3857">
        <v>11338.796189794615</v>
      </c>
      <c r="L3857">
        <v>2.8900812130547711</v>
      </c>
      <c r="M3857">
        <v>81.263649326156752</v>
      </c>
      <c r="N3857">
        <v>2269.5306551923009</v>
      </c>
      <c r="O3857">
        <v>43.097821385127922</v>
      </c>
      <c r="P3857">
        <v>907.42097594880136</v>
      </c>
    </row>
    <row r="3858" spans="1:16">
      <c r="A3858" s="1" t="s">
        <v>3874</v>
      </c>
      <c r="B3858" s="1" t="s">
        <v>3900</v>
      </c>
      <c r="C3858" s="1" t="s">
        <v>1764</v>
      </c>
      <c r="D3858" s="1" t="s">
        <v>44</v>
      </c>
      <c r="E3858" s="1" t="s">
        <v>3879</v>
      </c>
      <c r="F3858">
        <v>1108.5209840434704</v>
      </c>
      <c r="G3858">
        <v>820.4216503256597</v>
      </c>
      <c r="H3858">
        <v>57.814934311633579</v>
      </c>
      <c r="I3858">
        <v>13.939899351513889</v>
      </c>
      <c r="J3858">
        <v>9.8735935631505658</v>
      </c>
      <c r="K3858">
        <v>11157.771134933961</v>
      </c>
      <c r="L3858">
        <v>3.2642299257468466</v>
      </c>
      <c r="M3858">
        <v>65.566949748582317</v>
      </c>
      <c r="N3858">
        <v>2119.619215947645</v>
      </c>
      <c r="O3858">
        <v>45.840114823492499</v>
      </c>
      <c r="P3858">
        <v>972.94642358528654</v>
      </c>
    </row>
    <row r="3859" spans="1:16">
      <c r="A3859" s="1" t="s">
        <v>3874</v>
      </c>
      <c r="B3859" s="1" t="s">
        <v>3901</v>
      </c>
      <c r="C3859" s="1" t="s">
        <v>1764</v>
      </c>
      <c r="D3859" s="1" t="s">
        <v>44</v>
      </c>
      <c r="E3859" s="1" t="s">
        <v>3879</v>
      </c>
      <c r="F3859">
        <v>1626.2699832295393</v>
      </c>
      <c r="G3859">
        <v>916.4569294719264</v>
      </c>
      <c r="H3859">
        <v>90.970679202454477</v>
      </c>
      <c r="I3859">
        <v>14.453976572940569</v>
      </c>
      <c r="J3859">
        <v>597.25389341649782</v>
      </c>
      <c r="K3859">
        <v>10807.306035088397</v>
      </c>
      <c r="L3859">
        <v>3.1166785476077044</v>
      </c>
      <c r="M3859">
        <v>46.678895348562186</v>
      </c>
      <c r="N3859">
        <v>1939.5199855098799</v>
      </c>
      <c r="O3859">
        <v>45.704184033915183</v>
      </c>
      <c r="P3859">
        <v>1583.688493386461</v>
      </c>
    </row>
    <row r="3860" spans="1:16">
      <c r="A3860" s="1" t="s">
        <v>3874</v>
      </c>
      <c r="B3860" s="1" t="s">
        <v>3902</v>
      </c>
      <c r="C3860" s="1" t="s">
        <v>1764</v>
      </c>
      <c r="D3860" s="1" t="s">
        <v>44</v>
      </c>
      <c r="E3860" s="1" t="s">
        <v>3879</v>
      </c>
      <c r="F3860">
        <v>1372.6506596951631</v>
      </c>
      <c r="G3860">
        <v>1297.1720566569534</v>
      </c>
      <c r="H3860">
        <v>96.806026315090193</v>
      </c>
      <c r="I3860">
        <v>14.957399518896588</v>
      </c>
      <c r="J3860">
        <v>106.74357934352736</v>
      </c>
      <c r="K3860">
        <v>7106.1441586298924</v>
      </c>
      <c r="L3860">
        <v>2.2219489532924666</v>
      </c>
      <c r="M3860">
        <v>64.097735994532655</v>
      </c>
      <c r="N3860">
        <v>1358.3742360765459</v>
      </c>
      <c r="O3860">
        <v>45.266241035558686</v>
      </c>
      <c r="P3860">
        <v>920.43276104901986</v>
      </c>
    </row>
    <row r="3861" spans="1:16">
      <c r="A3861" s="1" t="s">
        <v>3874</v>
      </c>
      <c r="B3861" s="1" t="s">
        <v>3903</v>
      </c>
      <c r="C3861" s="1" t="s">
        <v>1764</v>
      </c>
      <c r="D3861" s="1" t="s">
        <v>44</v>
      </c>
      <c r="E3861" s="1" t="s">
        <v>3879</v>
      </c>
      <c r="F3861">
        <v>1264.0650902641987</v>
      </c>
      <c r="G3861">
        <v>969.81473248872771</v>
      </c>
      <c r="H3861">
        <v>79.932826932459605</v>
      </c>
      <c r="I3861">
        <v>14.52442846656171</v>
      </c>
      <c r="J3861">
        <v>328.76285715930601</v>
      </c>
      <c r="K3861">
        <v>10012.220389119742</v>
      </c>
      <c r="L3861">
        <v>2.7316442210635041</v>
      </c>
      <c r="M3861">
        <v>39.539405193693206</v>
      </c>
      <c r="N3861">
        <v>1794.6597657967275</v>
      </c>
      <c r="O3861">
        <v>44.037154317578853</v>
      </c>
      <c r="P3861">
        <v>902.84446145863478</v>
      </c>
    </row>
    <row r="3862" spans="1:16">
      <c r="A3862" s="1" t="s">
        <v>3874</v>
      </c>
      <c r="B3862" s="1" t="s">
        <v>3904</v>
      </c>
      <c r="C3862" s="1" t="s">
        <v>1764</v>
      </c>
      <c r="D3862" s="1" t="s">
        <v>44</v>
      </c>
      <c r="E3862" s="1" t="s">
        <v>3879</v>
      </c>
      <c r="F3862">
        <v>966.01101958661525</v>
      </c>
      <c r="G3862">
        <v>819.96637334602292</v>
      </c>
      <c r="H3862">
        <v>78.505672413582161</v>
      </c>
      <c r="I3862">
        <v>15.112600129302635</v>
      </c>
      <c r="J3862">
        <v>66.63269063282182</v>
      </c>
      <c r="K3862">
        <v>9855.0184478196607</v>
      </c>
      <c r="L3862">
        <v>3.1263530521550349</v>
      </c>
      <c r="M3862">
        <v>36.454596949793341</v>
      </c>
      <c r="N3862">
        <v>1807.9868041939403</v>
      </c>
      <c r="O3862">
        <v>41.937433542861861</v>
      </c>
      <c r="P3862">
        <v>970.06846970030517</v>
      </c>
    </row>
    <row r="3863" spans="1:16">
      <c r="A3863" s="1" t="s">
        <v>3874</v>
      </c>
      <c r="B3863" s="1" t="s">
        <v>3905</v>
      </c>
      <c r="C3863" s="1" t="s">
        <v>1764</v>
      </c>
      <c r="D3863" s="1" t="s">
        <v>44</v>
      </c>
      <c r="E3863" s="1" t="s">
        <v>3879</v>
      </c>
      <c r="F3863">
        <v>1048.5927441876545</v>
      </c>
      <c r="G3863">
        <v>894.71044227940718</v>
      </c>
      <c r="H3863">
        <v>101.69639179162647</v>
      </c>
      <c r="I3863">
        <v>15.122486918079113</v>
      </c>
      <c r="J3863">
        <v>71.255900469723599</v>
      </c>
      <c r="K3863">
        <v>10037.132333567473</v>
      </c>
      <c r="L3863">
        <v>2.4750050059596052</v>
      </c>
      <c r="M3863">
        <v>43.86133318873329</v>
      </c>
      <c r="N3863">
        <v>1984.7992035492236</v>
      </c>
      <c r="O3863">
        <v>38.1423564555487</v>
      </c>
      <c r="P3863">
        <v>947.50398348168642</v>
      </c>
    </row>
    <row r="3864" spans="1:16">
      <c r="A3864" s="1" t="s">
        <v>3874</v>
      </c>
      <c r="B3864" s="1" t="s">
        <v>3906</v>
      </c>
      <c r="C3864" s="1" t="s">
        <v>1764</v>
      </c>
      <c r="D3864" s="1" t="s">
        <v>44</v>
      </c>
      <c r="E3864" s="1" t="s">
        <v>3879</v>
      </c>
      <c r="F3864">
        <v>1900.1256921557765</v>
      </c>
      <c r="G3864">
        <v>2770.649107134037</v>
      </c>
      <c r="H3864">
        <v>78.430523608445156</v>
      </c>
      <c r="I3864">
        <v>13.272932140564514</v>
      </c>
      <c r="J3864">
        <v>68.359043565687358</v>
      </c>
      <c r="K3864">
        <v>9313.7403506244082</v>
      </c>
      <c r="L3864">
        <v>3.1661145291141675</v>
      </c>
      <c r="M3864">
        <v>37.777459638732878</v>
      </c>
      <c r="N3864">
        <v>1647.0435167596775</v>
      </c>
      <c r="O3864">
        <v>41.384657837494686</v>
      </c>
      <c r="P3864">
        <v>1249.4175526018835</v>
      </c>
    </row>
    <row r="3865" spans="1:16">
      <c r="A3865" s="1" t="s">
        <v>3874</v>
      </c>
      <c r="B3865" s="1" t="s">
        <v>3907</v>
      </c>
      <c r="C3865" s="1" t="s">
        <v>1764</v>
      </c>
      <c r="D3865" s="1" t="s">
        <v>44</v>
      </c>
      <c r="E3865" s="1" t="s">
        <v>3879</v>
      </c>
      <c r="F3865">
        <v>934.6171889732891</v>
      </c>
      <c r="G3865">
        <v>829.48113029642593</v>
      </c>
      <c r="H3865">
        <v>98.136307330000363</v>
      </c>
      <c r="I3865">
        <v>13.866854981181318</v>
      </c>
      <c r="J3865">
        <v>56.576879792624268</v>
      </c>
      <c r="K3865">
        <v>8433.793489914875</v>
      </c>
      <c r="L3865">
        <v>2.3655040990362552</v>
      </c>
      <c r="M3865">
        <v>51.363662808343847</v>
      </c>
      <c r="N3865">
        <v>1520.0037701434917</v>
      </c>
      <c r="O3865">
        <v>40.515428452864711</v>
      </c>
      <c r="P3865">
        <v>1006.3466199939903</v>
      </c>
    </row>
    <row r="3866" spans="1:16">
      <c r="A3866" s="1" t="s">
        <v>3874</v>
      </c>
      <c r="B3866" s="1" t="s">
        <v>3908</v>
      </c>
      <c r="C3866" s="1" t="s">
        <v>1764</v>
      </c>
      <c r="D3866" s="1" t="s">
        <v>44</v>
      </c>
      <c r="E3866" s="1" t="s">
        <v>3879</v>
      </c>
      <c r="F3866">
        <v>1475.7389788222506</v>
      </c>
      <c r="G3866">
        <v>978.96116860822985</v>
      </c>
      <c r="H3866">
        <v>89.131033467851637</v>
      </c>
      <c r="I3866">
        <v>14.587816941800542</v>
      </c>
      <c r="J3866">
        <v>70.216019228208935</v>
      </c>
      <c r="K3866">
        <v>7508.2797711017975</v>
      </c>
      <c r="L3866">
        <v>2.033422759850597</v>
      </c>
      <c r="M3866">
        <v>56.560072847768275</v>
      </c>
      <c r="N3866">
        <v>1373.9970480787049</v>
      </c>
      <c r="O3866">
        <v>37.751543542611472</v>
      </c>
      <c r="P3866">
        <v>834.1010713408516</v>
      </c>
    </row>
    <row r="3867" spans="1:16">
      <c r="A3867" s="1" t="s">
        <v>3874</v>
      </c>
      <c r="B3867" s="1" t="s">
        <v>3909</v>
      </c>
      <c r="C3867" s="1" t="s">
        <v>1764</v>
      </c>
      <c r="D3867" s="1" t="s">
        <v>44</v>
      </c>
      <c r="E3867" s="1" t="s">
        <v>3879</v>
      </c>
      <c r="F3867">
        <v>1347.4655318209984</v>
      </c>
      <c r="G3867">
        <v>1036.3841054771044</v>
      </c>
      <c r="H3867">
        <v>79.790306710285108</v>
      </c>
      <c r="I3867">
        <v>14.071024194557207</v>
      </c>
      <c r="J3867">
        <v>126.07642266274205</v>
      </c>
      <c r="K3867">
        <v>9486.0160107544834</v>
      </c>
      <c r="L3867">
        <v>3.1542574545760065</v>
      </c>
      <c r="M3867">
        <v>31.891672959654837</v>
      </c>
      <c r="N3867">
        <v>1600.1337211067414</v>
      </c>
      <c r="O3867">
        <v>39.682258154141124</v>
      </c>
      <c r="P3867">
        <v>1264.9552554201025</v>
      </c>
    </row>
    <row r="3868" spans="1:16">
      <c r="A3868" s="1" t="s">
        <v>3874</v>
      </c>
      <c r="B3868" s="1" t="s">
        <v>3910</v>
      </c>
      <c r="C3868" s="1" t="s">
        <v>1764</v>
      </c>
      <c r="D3868" s="1" t="s">
        <v>44</v>
      </c>
      <c r="E3868" s="1" t="s">
        <v>3879</v>
      </c>
      <c r="F3868">
        <v>1779.0345918191811</v>
      </c>
      <c r="G3868">
        <v>1451.7122313425384</v>
      </c>
      <c r="H3868">
        <v>85.933965912234129</v>
      </c>
      <c r="I3868">
        <v>14.562136879722853</v>
      </c>
      <c r="J3868">
        <v>166.82598890734354</v>
      </c>
      <c r="K3868">
        <v>9023.6255746545885</v>
      </c>
      <c r="L3868">
        <v>2.5990040732603812</v>
      </c>
      <c r="M3868">
        <v>55.058187869238438</v>
      </c>
      <c r="N3868">
        <v>1686.2435349091206</v>
      </c>
      <c r="O3868">
        <v>38.053080018567798</v>
      </c>
      <c r="P3868">
        <v>1023.048453277603</v>
      </c>
    </row>
    <row r="3869" spans="1:16">
      <c r="A3869" s="1" t="s">
        <v>3874</v>
      </c>
      <c r="B3869" s="1" t="s">
        <v>3911</v>
      </c>
      <c r="C3869" s="1" t="s">
        <v>1764</v>
      </c>
      <c r="D3869" s="1" t="s">
        <v>44</v>
      </c>
      <c r="E3869" s="1" t="s">
        <v>3879</v>
      </c>
      <c r="F3869">
        <v>3487.327397659496</v>
      </c>
      <c r="G3869">
        <v>1809.053177225833</v>
      </c>
      <c r="H3869">
        <v>89.237608857409384</v>
      </c>
      <c r="I3869">
        <v>17.0799633220836</v>
      </c>
      <c r="J3869">
        <v>204.59665552299987</v>
      </c>
      <c r="K3869">
        <v>8689.5480630583479</v>
      </c>
      <c r="L3869">
        <v>2.6171354788207628</v>
      </c>
      <c r="M3869">
        <v>56.712360372039534</v>
      </c>
      <c r="N3869">
        <v>1570.7474788132572</v>
      </c>
      <c r="O3869">
        <v>39.097434672069625</v>
      </c>
      <c r="P3869">
        <v>1087.5502794092711</v>
      </c>
    </row>
    <row r="3870" spans="1:16">
      <c r="A3870" s="1" t="s">
        <v>3874</v>
      </c>
      <c r="B3870" s="1" t="s">
        <v>3912</v>
      </c>
      <c r="C3870" s="1" t="s">
        <v>1764</v>
      </c>
      <c r="D3870" s="1" t="s">
        <v>44</v>
      </c>
      <c r="E3870" s="1" t="s">
        <v>3879</v>
      </c>
      <c r="F3870">
        <v>2261.7455288243686</v>
      </c>
      <c r="G3870">
        <v>1388.9096333585735</v>
      </c>
      <c r="H3870">
        <v>80.174791205653193</v>
      </c>
      <c r="I3870">
        <v>15.131391019412009</v>
      </c>
      <c r="J3870">
        <v>87.731747860936295</v>
      </c>
      <c r="K3870">
        <v>6213.0041428953455</v>
      </c>
      <c r="L3870">
        <v>1.84109165860882</v>
      </c>
      <c r="M3870">
        <v>59.148780104350116</v>
      </c>
      <c r="N3870">
        <v>1122.4962784742957</v>
      </c>
      <c r="O3870">
        <v>38.837121349339562</v>
      </c>
      <c r="P3870">
        <v>925.66063774902511</v>
      </c>
    </row>
    <row r="3871" spans="1:16">
      <c r="A3871" s="1" t="s">
        <v>3874</v>
      </c>
      <c r="B3871" s="1" t="s">
        <v>3913</v>
      </c>
      <c r="C3871" s="1" t="s">
        <v>1764</v>
      </c>
      <c r="D3871" s="1" t="s">
        <v>44</v>
      </c>
      <c r="E3871" s="1" t="s">
        <v>3879</v>
      </c>
      <c r="F3871">
        <v>998.52860059969714</v>
      </c>
      <c r="G3871">
        <v>768.08694017210723</v>
      </c>
      <c r="H3871">
        <v>83.022619653659305</v>
      </c>
      <c r="I3871">
        <v>14.788698545263129</v>
      </c>
      <c r="J3871">
        <v>421.07388147381977</v>
      </c>
      <c r="K3871">
        <v>8407.7615732229679</v>
      </c>
      <c r="L3871">
        <v>2.2453069681267004</v>
      </c>
      <c r="M3871">
        <v>51.916848461644797</v>
      </c>
      <c r="N3871">
        <v>1713.3335309873248</v>
      </c>
      <c r="O3871">
        <v>42.376794446683441</v>
      </c>
      <c r="P3871">
        <v>949.28198358749273</v>
      </c>
    </row>
    <row r="3872" spans="1:16">
      <c r="A3872" s="1" t="s">
        <v>3874</v>
      </c>
      <c r="B3872" s="1" t="s">
        <v>3914</v>
      </c>
      <c r="C3872" s="1" t="s">
        <v>1764</v>
      </c>
      <c r="D3872" s="1" t="s">
        <v>44</v>
      </c>
      <c r="E3872" s="1" t="s">
        <v>3879</v>
      </c>
      <c r="F3872">
        <v>1064.628394060278</v>
      </c>
      <c r="G3872">
        <v>810.01549073371245</v>
      </c>
      <c r="H3872">
        <v>59.336256225129937</v>
      </c>
      <c r="I3872">
        <v>12.476120687062769</v>
      </c>
      <c r="J3872">
        <v>205.36478515573941</v>
      </c>
      <c r="K3872">
        <v>7591.5954362324119</v>
      </c>
      <c r="L3872">
        <v>2.52557500459623</v>
      </c>
      <c r="M3872">
        <v>28.136579235698175</v>
      </c>
      <c r="N3872">
        <v>1669.5805642340961</v>
      </c>
      <c r="O3872">
        <v>38.212946320847678</v>
      </c>
      <c r="P3872">
        <v>1227.4921170795124</v>
      </c>
    </row>
    <row r="3873" spans="1:16">
      <c r="A3873" s="1" t="s">
        <v>3874</v>
      </c>
      <c r="B3873" s="1" t="s">
        <v>3915</v>
      </c>
      <c r="C3873" s="1" t="s">
        <v>1764</v>
      </c>
      <c r="D3873" s="1" t="s">
        <v>44</v>
      </c>
      <c r="E3873" s="1" t="s">
        <v>3879</v>
      </c>
      <c r="F3873">
        <v>744.15471850142683</v>
      </c>
      <c r="G3873">
        <v>4329.137239329476</v>
      </c>
      <c r="H3873">
        <v>124.58918189981986</v>
      </c>
      <c r="I3873">
        <v>10.324683727621821</v>
      </c>
      <c r="J3873">
        <v>24.766756350373551</v>
      </c>
      <c r="K3873">
        <v>1741.5372794870534</v>
      </c>
      <c r="L3873">
        <v>0.46296196756081115</v>
      </c>
      <c r="M3873">
        <v>2.8042785915760562</v>
      </c>
      <c r="N3873">
        <v>292.86372279646571</v>
      </c>
      <c r="O3873">
        <v>101.45416611791265</v>
      </c>
      <c r="P3873">
        <v>673.61444488040661</v>
      </c>
    </row>
    <row r="3874" spans="1:16">
      <c r="A3874" s="1" t="s">
        <v>3874</v>
      </c>
      <c r="B3874" s="1" t="s">
        <v>3916</v>
      </c>
      <c r="C3874" s="1" t="s">
        <v>1764</v>
      </c>
      <c r="D3874" s="1" t="s">
        <v>44</v>
      </c>
      <c r="E3874" s="1" t="s">
        <v>3879</v>
      </c>
      <c r="F3874">
        <v>166.83304938244635</v>
      </c>
      <c r="G3874">
        <v>1732.752656319127</v>
      </c>
      <c r="H3874">
        <v>151.3666183842864</v>
      </c>
      <c r="I3874">
        <v>10.693575403402381</v>
      </c>
      <c r="J3874">
        <v>29.589629956761421</v>
      </c>
      <c r="K3874">
        <v>1266.1574065905147</v>
      </c>
      <c r="L3874">
        <v>0.55434404964330219</v>
      </c>
      <c r="M3874">
        <v>3.1225029809679525</v>
      </c>
      <c r="N3874">
        <v>167.18231521095902</v>
      </c>
      <c r="O3874">
        <v>91.172967590754254</v>
      </c>
      <c r="P3874">
        <v>385.27455855662777</v>
      </c>
    </row>
    <row r="3875" spans="1:16">
      <c r="A3875" s="1" t="s">
        <v>3874</v>
      </c>
      <c r="B3875" s="1" t="s">
        <v>3917</v>
      </c>
      <c r="C3875" s="1" t="s">
        <v>1764</v>
      </c>
      <c r="D3875" s="1" t="s">
        <v>44</v>
      </c>
      <c r="E3875" s="1" t="s">
        <v>3879</v>
      </c>
      <c r="F3875">
        <v>70.233761284787519</v>
      </c>
      <c r="G3875">
        <v>1073.222701581481</v>
      </c>
      <c r="H3875">
        <v>147.25767039042069</v>
      </c>
      <c r="I3875">
        <v>11.064974965982241</v>
      </c>
      <c r="J3875">
        <v>16.147860213207704</v>
      </c>
      <c r="K3875">
        <v>1176.9007445853458</v>
      </c>
      <c r="L3875">
        <v>0.47246959496692548</v>
      </c>
      <c r="M3875">
        <v>2.6775369081613394</v>
      </c>
      <c r="N3875">
        <v>201.24539947269872</v>
      </c>
      <c r="O3875">
        <v>85.420701586433481</v>
      </c>
      <c r="P3875">
        <v>620.72796644141329</v>
      </c>
    </row>
    <row r="3876" spans="1:16">
      <c r="A3876" s="1" t="s">
        <v>3874</v>
      </c>
      <c r="B3876" s="1" t="s">
        <v>3918</v>
      </c>
      <c r="C3876" s="1" t="s">
        <v>1764</v>
      </c>
      <c r="D3876" s="1" t="s">
        <v>44</v>
      </c>
      <c r="E3876" s="1" t="s">
        <v>3879</v>
      </c>
      <c r="F3876">
        <v>119.07859378297042</v>
      </c>
      <c r="G3876">
        <v>2137.6525183986923</v>
      </c>
      <c r="H3876">
        <v>151.49605207047989</v>
      </c>
      <c r="I3876">
        <v>11.490753668550541</v>
      </c>
      <c r="J3876">
        <v>15.835794054872261</v>
      </c>
      <c r="K3876">
        <v>2158.2066418382606</v>
      </c>
      <c r="L3876">
        <v>1.0462041846904018</v>
      </c>
      <c r="M3876">
        <v>4.539845340452807</v>
      </c>
      <c r="N3876">
        <v>968.69166383153072</v>
      </c>
      <c r="O3876">
        <v>94.244388082013316</v>
      </c>
      <c r="P3876">
        <v>1157.2558214771263</v>
      </c>
    </row>
    <row r="3877" spans="1:16">
      <c r="A3877" s="1" t="s">
        <v>3874</v>
      </c>
      <c r="B3877" s="1" t="s">
        <v>3919</v>
      </c>
      <c r="C3877" s="1" t="s">
        <v>1764</v>
      </c>
      <c r="D3877" s="1" t="s">
        <v>44</v>
      </c>
      <c r="E3877" s="1" t="s">
        <v>3879</v>
      </c>
      <c r="F3877">
        <v>37.667356022130271</v>
      </c>
      <c r="G3877">
        <v>1753.3456412413225</v>
      </c>
      <c r="H3877">
        <v>124.04491556550633</v>
      </c>
      <c r="I3877">
        <v>10.349834129423954</v>
      </c>
      <c r="J3877">
        <v>23.106338190251687</v>
      </c>
      <c r="K3877">
        <v>1330.9279474170453</v>
      </c>
      <c r="L3877">
        <v>0.88403968522819609</v>
      </c>
      <c r="M3877">
        <v>0.37453309484565794</v>
      </c>
      <c r="N3877">
        <v>414.45760478430321</v>
      </c>
      <c r="O3877">
        <v>87.686560501260885</v>
      </c>
      <c r="P3877">
        <v>983.6565917763894</v>
      </c>
    </row>
    <row r="3878" spans="1:16">
      <c r="A3878" s="1" t="s">
        <v>3874</v>
      </c>
      <c r="B3878" s="1" t="s">
        <v>3920</v>
      </c>
      <c r="C3878" s="1" t="s">
        <v>1764</v>
      </c>
      <c r="D3878" s="1" t="s">
        <v>44</v>
      </c>
      <c r="E3878" s="1" t="s">
        <v>3879</v>
      </c>
      <c r="F3878">
        <v>112.68560111640703</v>
      </c>
      <c r="G3878">
        <v>2495.1632849913221</v>
      </c>
      <c r="H3878">
        <v>136.77541068696831</v>
      </c>
      <c r="I3878">
        <v>8.8922908797911404</v>
      </c>
      <c r="J3878">
        <v>10.483200095171304</v>
      </c>
      <c r="K3878">
        <v>1512.0497905270786</v>
      </c>
      <c r="L3878">
        <v>0.80494181276456955</v>
      </c>
      <c r="M3878">
        <v>2.1036265548388267</v>
      </c>
      <c r="N3878">
        <v>439.80361543361744</v>
      </c>
      <c r="O3878">
        <v>89.918664585934437</v>
      </c>
      <c r="P3878">
        <v>1016.3024438289522</v>
      </c>
    </row>
    <row r="3879" spans="1:16">
      <c r="A3879" s="1" t="s">
        <v>3874</v>
      </c>
      <c r="B3879" s="1" t="s">
        <v>3921</v>
      </c>
      <c r="C3879" s="1" t="s">
        <v>1764</v>
      </c>
      <c r="D3879" s="1" t="s">
        <v>44</v>
      </c>
      <c r="E3879" s="1" t="s">
        <v>3879</v>
      </c>
      <c r="F3879">
        <v>81.664068282974313</v>
      </c>
      <c r="G3879">
        <v>1654.8515332104446</v>
      </c>
      <c r="H3879">
        <v>264.14076819963299</v>
      </c>
      <c r="I3879">
        <v>13.317330445991933</v>
      </c>
      <c r="J3879">
        <v>18.732957241862572</v>
      </c>
      <c r="K3879">
        <v>1982.7120879879938</v>
      </c>
      <c r="L3879">
        <v>0.91874063635949244</v>
      </c>
      <c r="M3879">
        <v>3.3457598069435499</v>
      </c>
      <c r="N3879">
        <v>1029.1578394596295</v>
      </c>
      <c r="O3879">
        <v>89.51831166982987</v>
      </c>
      <c r="P3879">
        <v>1647.0475486317634</v>
      </c>
    </row>
    <row r="3880" spans="1:16">
      <c r="A3880" s="1" t="s">
        <v>3874</v>
      </c>
      <c r="B3880" s="1" t="s">
        <v>3922</v>
      </c>
      <c r="C3880" s="1" t="s">
        <v>1764</v>
      </c>
      <c r="D3880" s="1" t="s">
        <v>44</v>
      </c>
      <c r="E3880" s="1" t="s">
        <v>3879</v>
      </c>
      <c r="F3880">
        <v>96.514448317247442</v>
      </c>
      <c r="G3880">
        <v>1851.3298012793764</v>
      </c>
      <c r="H3880">
        <v>191.99659887175164</v>
      </c>
      <c r="I3880">
        <v>11.480619334203924</v>
      </c>
      <c r="J3880">
        <v>25.251009661681323</v>
      </c>
      <c r="K3880">
        <v>2137.7094771362422</v>
      </c>
      <c r="L3880">
        <v>0.94516254003116096</v>
      </c>
      <c r="M3880">
        <v>1.9388635984275122</v>
      </c>
      <c r="N3880">
        <v>1157.1689955551899</v>
      </c>
      <c r="O3880">
        <v>88.983757331391374</v>
      </c>
      <c r="P3880">
        <v>1772.9090520255666</v>
      </c>
    </row>
    <row r="3881" spans="1:16">
      <c r="A3881" s="1" t="s">
        <v>3874</v>
      </c>
      <c r="B3881" s="1" t="s">
        <v>3923</v>
      </c>
      <c r="C3881" s="1" t="s">
        <v>1764</v>
      </c>
      <c r="D3881" s="1" t="s">
        <v>44</v>
      </c>
      <c r="E3881" s="1" t="s">
        <v>3879</v>
      </c>
      <c r="F3881">
        <v>158.29027840339845</v>
      </c>
      <c r="G3881">
        <v>2475.0354689006031</v>
      </c>
      <c r="H3881">
        <v>89.968168667334325</v>
      </c>
      <c r="I3881">
        <v>7.6833616350057401</v>
      </c>
      <c r="J3881">
        <v>5.1251452653362906</v>
      </c>
      <c r="K3881">
        <v>2475.3419531539989</v>
      </c>
      <c r="L3881">
        <v>0.6779449833953749</v>
      </c>
      <c r="M3881">
        <v>3.9868667993676778</v>
      </c>
      <c r="N3881">
        <v>1087.8685500421966</v>
      </c>
      <c r="O3881">
        <v>96.260403940486711</v>
      </c>
      <c r="P3881">
        <v>1349.1395057208349</v>
      </c>
    </row>
    <row r="3882" spans="1:16">
      <c r="A3882" s="1" t="s">
        <v>3874</v>
      </c>
      <c r="B3882" s="1" t="s">
        <v>3924</v>
      </c>
      <c r="C3882" s="1" t="s">
        <v>1764</v>
      </c>
      <c r="D3882" s="1" t="s">
        <v>44</v>
      </c>
      <c r="E3882" s="1" t="s">
        <v>3879</v>
      </c>
      <c r="F3882">
        <v>4.5641941387813425</v>
      </c>
      <c r="G3882">
        <v>1715.551091467587</v>
      </c>
      <c r="H3882">
        <v>200.26132297289345</v>
      </c>
      <c r="I3882">
        <v>11.711120592290497</v>
      </c>
      <c r="J3882">
        <v>16.147921650325344</v>
      </c>
      <c r="K3882">
        <v>2131.4522903088141</v>
      </c>
      <c r="L3882">
        <v>1.0036320748541947</v>
      </c>
      <c r="M3882">
        <v>5.2874117581569644</v>
      </c>
      <c r="N3882">
        <v>1283.0844781944108</v>
      </c>
      <c r="O3882">
        <v>129.68234368172295</v>
      </c>
      <c r="P3882">
        <v>2121.5185607145577</v>
      </c>
    </row>
    <row r="3883" spans="1:16">
      <c r="A3883" s="1" t="s">
        <v>3874</v>
      </c>
      <c r="B3883" s="1" t="s">
        <v>3925</v>
      </c>
      <c r="C3883" s="1" t="s">
        <v>1764</v>
      </c>
      <c r="D3883" s="1" t="s">
        <v>44</v>
      </c>
      <c r="E3883" s="1" t="s">
        <v>3879</v>
      </c>
      <c r="F3883">
        <v>100.46195011981091</v>
      </c>
      <c r="G3883">
        <v>2473.7821863226568</v>
      </c>
      <c r="H3883">
        <v>214.96390231474436</v>
      </c>
      <c r="I3883">
        <v>16.800955434157697</v>
      </c>
      <c r="J3883">
        <v>8.3581026698449623</v>
      </c>
      <c r="K3883">
        <v>2650.5154718278</v>
      </c>
      <c r="L3883">
        <v>1.2183315347198447</v>
      </c>
      <c r="M3883">
        <v>2.2003475143864226</v>
      </c>
      <c r="N3883">
        <v>1716.5130802852127</v>
      </c>
      <c r="O3883">
        <v>127.21852962987647</v>
      </c>
      <c r="P3883">
        <v>1929.4064382017236</v>
      </c>
    </row>
    <row r="3884" spans="1:16">
      <c r="A3884" s="1" t="s">
        <v>3874</v>
      </c>
      <c r="B3884" s="1" t="s">
        <v>3926</v>
      </c>
      <c r="C3884" s="1" t="s">
        <v>1764</v>
      </c>
      <c r="D3884" s="1" t="s">
        <v>44</v>
      </c>
      <c r="E3884" s="1" t="s">
        <v>3879</v>
      </c>
      <c r="F3884">
        <v>668.15222804388736</v>
      </c>
      <c r="G3884">
        <v>4730.2977173833415</v>
      </c>
      <c r="H3884">
        <v>410.81745561214348</v>
      </c>
      <c r="I3884">
        <v>27.004643460828792</v>
      </c>
      <c r="J3884">
        <v>3.5843089188603958</v>
      </c>
      <c r="K3884">
        <v>3152.579034410544</v>
      </c>
      <c r="L3884">
        <v>1.347299018176257</v>
      </c>
      <c r="M3884">
        <v>13.538765975605733</v>
      </c>
      <c r="N3884">
        <v>2288.5267969345919</v>
      </c>
      <c r="O3884">
        <v>114.2188209575789</v>
      </c>
      <c r="P3884">
        <v>5541.3183989317704</v>
      </c>
    </row>
    <row r="3885" spans="1:16">
      <c r="A3885" s="1" t="s">
        <v>3874</v>
      </c>
      <c r="B3885" s="1" t="s">
        <v>3927</v>
      </c>
      <c r="C3885" s="1" t="s">
        <v>1764</v>
      </c>
      <c r="D3885" s="1" t="s">
        <v>44</v>
      </c>
      <c r="E3885" s="1" t="s">
        <v>3879</v>
      </c>
      <c r="F3885">
        <v>105.22228665457207</v>
      </c>
      <c r="G3885">
        <v>3706.0449134107398</v>
      </c>
      <c r="H3885">
        <v>189.29415466107505</v>
      </c>
      <c r="I3885">
        <v>11.829745512522853</v>
      </c>
      <c r="J3885">
        <v>8.2547207549147945</v>
      </c>
      <c r="K3885">
        <v>2093.9645399565375</v>
      </c>
      <c r="L3885">
        <v>1.16988624639962</v>
      </c>
      <c r="M3885">
        <v>2.883734085730326</v>
      </c>
      <c r="N3885">
        <v>983.26474509008983</v>
      </c>
      <c r="O3885">
        <v>130.05382832473131</v>
      </c>
      <c r="P3885">
        <v>1662.8277772655149</v>
      </c>
    </row>
    <row r="3886" spans="1:16">
      <c r="A3886" s="1" t="s">
        <v>3874</v>
      </c>
      <c r="B3886" s="1" t="s">
        <v>3928</v>
      </c>
      <c r="C3886" s="1" t="s">
        <v>1764</v>
      </c>
      <c r="D3886" s="1" t="s">
        <v>44</v>
      </c>
      <c r="E3886" s="1" t="s">
        <v>3879</v>
      </c>
      <c r="F3886">
        <v>279.4794343404983</v>
      </c>
      <c r="G3886">
        <v>3783.5031905543583</v>
      </c>
      <c r="H3886">
        <v>221.34466747692039</v>
      </c>
      <c r="I3886">
        <v>12.548422002813561</v>
      </c>
      <c r="J3886">
        <v>12.519824887049722</v>
      </c>
      <c r="K3886">
        <v>2143.854253264446</v>
      </c>
      <c r="L3886">
        <v>1.1294207240622554</v>
      </c>
      <c r="M3886">
        <v>3.418060166018356</v>
      </c>
      <c r="N3886">
        <v>824.41131025898744</v>
      </c>
      <c r="O3886">
        <v>122.34432774447582</v>
      </c>
      <c r="P3886">
        <v>1306.1507608553034</v>
      </c>
    </row>
    <row r="3887" spans="1:16">
      <c r="A3887" s="1" t="s">
        <v>3874</v>
      </c>
      <c r="B3887" s="1" t="s">
        <v>3929</v>
      </c>
      <c r="C3887" s="1" t="s">
        <v>1764</v>
      </c>
      <c r="D3887" s="1" t="s">
        <v>44</v>
      </c>
      <c r="E3887" s="1" t="s">
        <v>3879</v>
      </c>
      <c r="F3887">
        <v>1362.4097109306397</v>
      </c>
      <c r="G3887">
        <v>2173.1903855252413</v>
      </c>
      <c r="H3887">
        <v>1.1761597672023603</v>
      </c>
      <c r="I3887">
        <v>1.5799601941413364</v>
      </c>
      <c r="J3887">
        <v>1.5270196262719224</v>
      </c>
      <c r="K3887">
        <v>5429.7043262731231</v>
      </c>
      <c r="L3887">
        <v>3.4723899119978266E-2</v>
      </c>
      <c r="M3887">
        <v>2.315050446807343</v>
      </c>
      <c r="N3887">
        <v>628.37036274940976</v>
      </c>
      <c r="O3887">
        <v>2.8075413795836495</v>
      </c>
      <c r="P3887">
        <v>1595.4407699063559</v>
      </c>
    </row>
    <row r="3888" spans="1:16">
      <c r="A3888" s="1" t="s">
        <v>3874</v>
      </c>
      <c r="B3888" s="1" t="s">
        <v>3930</v>
      </c>
      <c r="C3888" s="1" t="s">
        <v>1764</v>
      </c>
      <c r="D3888" s="1" t="s">
        <v>44</v>
      </c>
      <c r="E3888" s="1" t="s">
        <v>3879</v>
      </c>
      <c r="F3888">
        <v>625.7805969504177</v>
      </c>
      <c r="G3888">
        <v>1747.6751341367353</v>
      </c>
      <c r="H3888">
        <v>48.136668278774657</v>
      </c>
      <c r="I3888">
        <v>5.4836952979179472</v>
      </c>
      <c r="J3888">
        <v>9.4791032617261113</v>
      </c>
      <c r="K3888">
        <v>4145.2415547260471</v>
      </c>
      <c r="L3888">
        <v>0.23779619247817488</v>
      </c>
      <c r="M3888">
        <v>0.85650440746105005</v>
      </c>
      <c r="N3888">
        <v>565.97860542864839</v>
      </c>
      <c r="O3888">
        <v>17.792319769110595</v>
      </c>
      <c r="P3888">
        <v>2192.8740394601869</v>
      </c>
    </row>
    <row r="3889" spans="1:16">
      <c r="A3889" s="1" t="s">
        <v>3874</v>
      </c>
      <c r="B3889" s="1" t="s">
        <v>3931</v>
      </c>
      <c r="C3889" s="1" t="s">
        <v>1764</v>
      </c>
      <c r="D3889" s="1" t="s">
        <v>44</v>
      </c>
      <c r="E3889" s="1" t="s">
        <v>3879</v>
      </c>
      <c r="F3889">
        <v>468.35442406368514</v>
      </c>
      <c r="G3889">
        <v>1335.8525064986864</v>
      </c>
      <c r="H3889">
        <v>40.816289536714613</v>
      </c>
      <c r="I3889">
        <v>5.2218962412997065</v>
      </c>
      <c r="J3889">
        <v>13.734152674671348</v>
      </c>
      <c r="K3889">
        <v>3740.1158697120336</v>
      </c>
      <c r="L3889">
        <v>0.24118900798917792</v>
      </c>
      <c r="M3889">
        <v>1.0973561929157762</v>
      </c>
      <c r="N3889">
        <v>432.59329390918543</v>
      </c>
      <c r="O3889">
        <v>18.864249740147407</v>
      </c>
      <c r="P3889">
        <v>1963.6808224438403</v>
      </c>
    </row>
    <row r="3890" spans="1:16">
      <c r="A3890" s="1" t="s">
        <v>3874</v>
      </c>
      <c r="B3890" s="1" t="s">
        <v>3932</v>
      </c>
      <c r="C3890" s="1" t="s">
        <v>1764</v>
      </c>
      <c r="D3890" s="1" t="s">
        <v>44</v>
      </c>
      <c r="E3890" s="1" t="s">
        <v>3879</v>
      </c>
      <c r="F3890">
        <v>1400.7459926874212</v>
      </c>
      <c r="G3890">
        <v>2075.1630745065445</v>
      </c>
      <c r="H3890">
        <v>20.291024337560543</v>
      </c>
      <c r="I3890">
        <v>12.185446986656849</v>
      </c>
      <c r="J3890">
        <v>15.69825468972086</v>
      </c>
      <c r="K3890">
        <v>4502.7730975286113</v>
      </c>
      <c r="L3890">
        <v>0.1987363358289358</v>
      </c>
      <c r="M3890">
        <v>0.28398521037564067</v>
      </c>
      <c r="N3890">
        <v>477.14957117297246</v>
      </c>
      <c r="O3890">
        <v>14.634082580056447</v>
      </c>
      <c r="P3890">
        <v>1916.1645858370277</v>
      </c>
    </row>
    <row r="3891" spans="1:16">
      <c r="A3891" s="1" t="s">
        <v>3874</v>
      </c>
      <c r="B3891" s="1" t="s">
        <v>3933</v>
      </c>
      <c r="C3891" s="1" t="s">
        <v>1764</v>
      </c>
      <c r="D3891" s="1" t="s">
        <v>44</v>
      </c>
      <c r="E3891" s="1" t="s">
        <v>3879</v>
      </c>
      <c r="F3891">
        <v>1624.488211144296</v>
      </c>
      <c r="G3891">
        <v>2009.4644293492806</v>
      </c>
      <c r="H3891">
        <v>13.32448711008845</v>
      </c>
      <c r="I3891">
        <v>4.3312179988164177</v>
      </c>
      <c r="J3891">
        <v>15.858043048708096</v>
      </c>
      <c r="K3891">
        <v>4801.5474915771665</v>
      </c>
      <c r="L3891">
        <v>0.11113560916748497</v>
      </c>
      <c r="M3891">
        <v>0.89768831327765441</v>
      </c>
      <c r="N3891">
        <v>508.49937636510049</v>
      </c>
      <c r="O3891">
        <v>17.770250669047595</v>
      </c>
      <c r="P3891">
        <v>2598.2017096094442</v>
      </c>
    </row>
    <row r="3892" spans="1:16">
      <c r="A3892" s="1" t="s">
        <v>3874</v>
      </c>
      <c r="B3892" s="1" t="s">
        <v>3934</v>
      </c>
      <c r="C3892" s="1" t="s">
        <v>1764</v>
      </c>
      <c r="D3892" s="1" t="s">
        <v>44</v>
      </c>
      <c r="E3892" s="1" t="s">
        <v>3879</v>
      </c>
      <c r="F3892">
        <v>1132.9902189169736</v>
      </c>
      <c r="G3892">
        <v>2016.9849430718384</v>
      </c>
      <c r="H3892">
        <v>45.097481479724216</v>
      </c>
      <c r="I3892">
        <v>13.755943052753205</v>
      </c>
      <c r="J3892">
        <v>12.730475262837844</v>
      </c>
      <c r="K3892">
        <v>2829.9520156573408</v>
      </c>
      <c r="L3892">
        <v>0.37890096909248472</v>
      </c>
      <c r="M3892">
        <v>0.83255020378941003</v>
      </c>
      <c r="N3892">
        <v>459.81166509357473</v>
      </c>
      <c r="O3892">
        <v>16.170960605749833</v>
      </c>
      <c r="P3892">
        <v>2194.3818836939349</v>
      </c>
    </row>
    <row r="3893" spans="1:16">
      <c r="A3893" s="1" t="s">
        <v>3874</v>
      </c>
      <c r="B3893" s="1" t="s">
        <v>3935</v>
      </c>
      <c r="C3893" s="1" t="s">
        <v>1764</v>
      </c>
      <c r="D3893" s="1" t="s">
        <v>44</v>
      </c>
      <c r="E3893" s="1" t="s">
        <v>3879</v>
      </c>
      <c r="F3893">
        <v>1719.8632869837545</v>
      </c>
      <c r="G3893">
        <v>2090.482132399924</v>
      </c>
      <c r="H3893">
        <v>286.76825739541448</v>
      </c>
      <c r="I3893">
        <v>20.532732123783873</v>
      </c>
      <c r="J3893">
        <v>11.617063832039284</v>
      </c>
      <c r="K3893">
        <v>3035.2824707338441</v>
      </c>
      <c r="L3893">
        <v>5.560281868940959</v>
      </c>
      <c r="M3893">
        <v>78.604627736011722</v>
      </c>
      <c r="N3893">
        <v>2536.6850224621276</v>
      </c>
      <c r="O3893">
        <v>16.249492204841673</v>
      </c>
      <c r="P3893">
        <v>146.12995171337028</v>
      </c>
    </row>
    <row r="3894" spans="1:16">
      <c r="A3894" s="1" t="s">
        <v>3874</v>
      </c>
      <c r="B3894" s="1" t="s">
        <v>3936</v>
      </c>
      <c r="C3894" s="1" t="s">
        <v>1764</v>
      </c>
      <c r="D3894" s="1" t="s">
        <v>44</v>
      </c>
      <c r="E3894" s="1" t="s">
        <v>3879</v>
      </c>
      <c r="F3894">
        <v>2037.7352313734198</v>
      </c>
      <c r="G3894">
        <v>3740.1019625401395</v>
      </c>
      <c r="H3894">
        <v>222.55062002128744</v>
      </c>
      <c r="I3894">
        <v>19.108058337719555</v>
      </c>
      <c r="J3894">
        <v>21.284362935541722</v>
      </c>
      <c r="K3894">
        <v>3200.8063420715821</v>
      </c>
      <c r="L3894">
        <v>7.3738937093058867</v>
      </c>
      <c r="M3894">
        <v>73.127516399656884</v>
      </c>
      <c r="N3894">
        <v>5400.5054639530954</v>
      </c>
      <c r="O3894">
        <v>22.55436242237819</v>
      </c>
      <c r="P3894">
        <v>245.22172250366785</v>
      </c>
    </row>
    <row r="3895" spans="1:16">
      <c r="A3895" s="1" t="s">
        <v>3874</v>
      </c>
      <c r="B3895" s="1" t="s">
        <v>3937</v>
      </c>
      <c r="C3895" s="1" t="s">
        <v>1764</v>
      </c>
      <c r="D3895" s="1" t="s">
        <v>44</v>
      </c>
      <c r="E3895" s="1" t="s">
        <v>3879</v>
      </c>
      <c r="F3895">
        <v>1825.0984642731137</v>
      </c>
      <c r="G3895">
        <v>3811.9924921211959</v>
      </c>
      <c r="H3895">
        <v>250.86078786684999</v>
      </c>
      <c r="I3895">
        <v>18.682552526603246</v>
      </c>
      <c r="J3895">
        <v>29.601418869309192</v>
      </c>
      <c r="K3895">
        <v>3131.284060930469</v>
      </c>
      <c r="L3895">
        <v>5.5955848612037506</v>
      </c>
      <c r="M3895">
        <v>67.896170528617077</v>
      </c>
      <c r="N3895">
        <v>5045.5287725315839</v>
      </c>
      <c r="O3895">
        <v>18.29491241362852</v>
      </c>
      <c r="P3895">
        <v>196.56783504988425</v>
      </c>
    </row>
    <row r="3896" spans="1:16">
      <c r="A3896" s="1" t="s">
        <v>3874</v>
      </c>
      <c r="B3896" s="1" t="s">
        <v>3938</v>
      </c>
      <c r="C3896" s="1" t="s">
        <v>1764</v>
      </c>
      <c r="D3896" s="1" t="s">
        <v>44</v>
      </c>
      <c r="E3896" s="1" t="s">
        <v>3879</v>
      </c>
      <c r="F3896">
        <v>1155.9830769226053</v>
      </c>
      <c r="G3896">
        <v>3961.5192061862977</v>
      </c>
      <c r="H3896">
        <v>282.73675280615657</v>
      </c>
      <c r="I3896">
        <v>25.029447388095708</v>
      </c>
      <c r="J3896">
        <v>14.131142126636899</v>
      </c>
      <c r="K3896">
        <v>2199.322970563413</v>
      </c>
      <c r="L3896">
        <v>5.7399869232706209</v>
      </c>
      <c r="M3896">
        <v>78.181256724682299</v>
      </c>
      <c r="N3896">
        <v>3624.1318922198134</v>
      </c>
      <c r="O3896">
        <v>26.659173785435858</v>
      </c>
      <c r="P3896">
        <v>227.25436793955132</v>
      </c>
    </row>
    <row r="3897" spans="1:16">
      <c r="A3897" s="1" t="s">
        <v>3874</v>
      </c>
      <c r="B3897" s="1" t="s">
        <v>3939</v>
      </c>
      <c r="C3897" s="1" t="s">
        <v>1764</v>
      </c>
      <c r="D3897" s="1" t="s">
        <v>44</v>
      </c>
      <c r="E3897" s="1" t="s">
        <v>3879</v>
      </c>
      <c r="F3897">
        <v>968.7055452666749</v>
      </c>
      <c r="G3897">
        <v>3545.0202231030858</v>
      </c>
      <c r="H3897">
        <v>227.15043670646099</v>
      </c>
      <c r="I3897">
        <v>19.158495003364184</v>
      </c>
      <c r="J3897">
        <v>8.6592380629521024</v>
      </c>
      <c r="K3897">
        <v>2102.5509456262025</v>
      </c>
      <c r="L3897">
        <v>5.679641932092526</v>
      </c>
      <c r="M3897">
        <v>70.825743514889268</v>
      </c>
      <c r="N3897">
        <v>3002.0256174799661</v>
      </c>
      <c r="O3897">
        <v>26.125902131473815</v>
      </c>
      <c r="P3897">
        <v>225.20362550106879</v>
      </c>
    </row>
    <row r="3898" spans="1:16">
      <c r="A3898" s="1" t="s">
        <v>3874</v>
      </c>
      <c r="B3898" s="1" t="s">
        <v>3940</v>
      </c>
      <c r="C3898" s="1" t="s">
        <v>1764</v>
      </c>
      <c r="D3898" s="1" t="s">
        <v>44</v>
      </c>
      <c r="E3898" s="1" t="s">
        <v>3879</v>
      </c>
      <c r="F3898">
        <v>1832.8424280344625</v>
      </c>
      <c r="G3898">
        <v>2161.2701470640341</v>
      </c>
      <c r="H3898">
        <v>251.76549243686375</v>
      </c>
      <c r="I3898">
        <v>21.466224118156546</v>
      </c>
      <c r="J3898">
        <v>15.098356879200946</v>
      </c>
      <c r="K3898">
        <v>3040.8388573550683</v>
      </c>
      <c r="L3898">
        <v>6.2945057902053172</v>
      </c>
      <c r="M3898">
        <v>81.863852381029062</v>
      </c>
      <c r="N3898">
        <v>3295.0164231487429</v>
      </c>
      <c r="O3898">
        <v>16.631545683428644</v>
      </c>
      <c r="P3898">
        <v>186.97152546314078</v>
      </c>
    </row>
    <row r="3899" spans="1:16">
      <c r="A3899" s="1" t="s">
        <v>3874</v>
      </c>
      <c r="B3899" s="1" t="s">
        <v>3941</v>
      </c>
      <c r="C3899" s="1" t="s">
        <v>1764</v>
      </c>
      <c r="D3899" s="1" t="s">
        <v>44</v>
      </c>
      <c r="E3899" s="1" t="s">
        <v>3879</v>
      </c>
      <c r="F3899">
        <v>1964.3144628021444</v>
      </c>
      <c r="G3899">
        <v>1441.9457677133069</v>
      </c>
      <c r="H3899">
        <v>276.39037514411348</v>
      </c>
      <c r="I3899">
        <v>26.228741472975955</v>
      </c>
      <c r="J3899">
        <v>0.79879391021214818</v>
      </c>
      <c r="K3899">
        <v>3222.5133113428046</v>
      </c>
      <c r="L3899">
        <v>6.683984592557592</v>
      </c>
      <c r="M3899">
        <v>82.70053848628767</v>
      </c>
      <c r="N3899">
        <v>2490.480012426528</v>
      </c>
      <c r="O3899">
        <v>14.917326584564226</v>
      </c>
      <c r="P3899">
        <v>151.63183034901016</v>
      </c>
    </row>
    <row r="3900" spans="1:16">
      <c r="A3900" s="1" t="s">
        <v>3874</v>
      </c>
      <c r="B3900" s="1" t="s">
        <v>3942</v>
      </c>
      <c r="C3900" s="1" t="s">
        <v>1764</v>
      </c>
      <c r="D3900" s="1" t="s">
        <v>44</v>
      </c>
      <c r="E3900" s="1" t="s">
        <v>3879</v>
      </c>
      <c r="F3900">
        <v>2003.5760454268338</v>
      </c>
      <c r="G3900">
        <v>1762.9223258387556</v>
      </c>
      <c r="H3900">
        <v>271.04538020413611</v>
      </c>
      <c r="I3900">
        <v>28.331140232634063</v>
      </c>
      <c r="J3900">
        <v>0.16957324150389902</v>
      </c>
      <c r="K3900">
        <v>3257.1727447309981</v>
      </c>
      <c r="L3900">
        <v>6.897169493318561</v>
      </c>
      <c r="M3900">
        <v>81.46711641063375</v>
      </c>
      <c r="N3900">
        <v>2680.9372097434116</v>
      </c>
      <c r="O3900">
        <v>15.835921174078821</v>
      </c>
      <c r="P3900">
        <v>156.07287741694992</v>
      </c>
    </row>
    <row r="3901" spans="1:16">
      <c r="A3901" s="1" t="s">
        <v>3874</v>
      </c>
      <c r="B3901" s="1" t="s">
        <v>3943</v>
      </c>
      <c r="C3901" s="1" t="s">
        <v>1764</v>
      </c>
      <c r="D3901" s="1" t="s">
        <v>44</v>
      </c>
      <c r="E3901" s="1" t="s">
        <v>3879</v>
      </c>
      <c r="F3901">
        <v>1754.6101645062881</v>
      </c>
      <c r="G3901">
        <v>1472.4118087197878</v>
      </c>
      <c r="H3901">
        <v>261.51386989350965</v>
      </c>
      <c r="I3901">
        <v>20.505426192924521</v>
      </c>
      <c r="J3901">
        <v>7.4450607535176792</v>
      </c>
      <c r="K3901">
        <v>3002.4222059422109</v>
      </c>
      <c r="L3901">
        <v>5.3188453985663315</v>
      </c>
      <c r="M3901">
        <v>74.211461705837834</v>
      </c>
      <c r="N3901">
        <v>2208.8501418309011</v>
      </c>
      <c r="O3901">
        <v>13.900240950673574</v>
      </c>
      <c r="P3901">
        <v>162.12635853448924</v>
      </c>
    </row>
    <row r="3902" spans="1:16">
      <c r="A3902" s="1" t="s">
        <v>3874</v>
      </c>
      <c r="B3902" s="1" t="s">
        <v>3944</v>
      </c>
      <c r="C3902" s="1" t="s">
        <v>1764</v>
      </c>
      <c r="D3902" s="1" t="s">
        <v>44</v>
      </c>
      <c r="E3902" s="1" t="s">
        <v>3879</v>
      </c>
      <c r="F3902">
        <v>2033.7038860094533</v>
      </c>
      <c r="G3902">
        <v>1963.1912730824436</v>
      </c>
      <c r="H3902">
        <v>267.77917193255007</v>
      </c>
      <c r="I3902">
        <v>20.542912412081648</v>
      </c>
      <c r="J3902">
        <v>1.8981547279303996</v>
      </c>
      <c r="K3902">
        <v>3255.2412105348894</v>
      </c>
      <c r="L3902">
        <v>6.9627323589228016</v>
      </c>
      <c r="M3902">
        <v>77.421154604003291</v>
      </c>
      <c r="N3902">
        <v>3230.3824147012833</v>
      </c>
      <c r="O3902">
        <v>15.003877886689784</v>
      </c>
      <c r="P3902">
        <v>177.09519315639474</v>
      </c>
    </row>
    <row r="3903" spans="1:16">
      <c r="A3903" s="1" t="s">
        <v>3945</v>
      </c>
      <c r="B3903" s="1" t="s">
        <v>3946</v>
      </c>
      <c r="C3903" s="1" t="s">
        <v>1764</v>
      </c>
      <c r="D3903" s="1" t="s">
        <v>44</v>
      </c>
      <c r="E3903" s="1" t="s">
        <v>3947</v>
      </c>
      <c r="F3903">
        <v>2727.32</v>
      </c>
      <c r="G3903">
        <v>1791.18</v>
      </c>
      <c r="H3903">
        <v>179.1</v>
      </c>
      <c r="I3903">
        <v>2853.01</v>
      </c>
      <c r="J3903">
        <v>66.540000000000006</v>
      </c>
      <c r="K3903">
        <v>19315.900000000001</v>
      </c>
      <c r="L3903">
        <v>73.55</v>
      </c>
      <c r="M3903">
        <v>12.19</v>
      </c>
      <c r="N3903">
        <v>306.06</v>
      </c>
      <c r="O3903">
        <v>6.72</v>
      </c>
      <c r="P3903">
        <v>97.83</v>
      </c>
    </row>
    <row r="3904" spans="1:16">
      <c r="A3904" s="1" t="s">
        <v>3945</v>
      </c>
      <c r="B3904" s="1" t="s">
        <v>3948</v>
      </c>
      <c r="C3904" s="1" t="s">
        <v>1764</v>
      </c>
      <c r="D3904" s="1" t="s">
        <v>44</v>
      </c>
      <c r="E3904" s="1" t="s">
        <v>3947</v>
      </c>
      <c r="F3904">
        <v>5354.34</v>
      </c>
      <c r="G3904">
        <v>5747.6</v>
      </c>
      <c r="H3904">
        <v>9257.44</v>
      </c>
      <c r="I3904">
        <v>3372.55</v>
      </c>
      <c r="J3904">
        <v>256.48</v>
      </c>
      <c r="K3904">
        <v>544.16</v>
      </c>
      <c r="L3904">
        <v>43.85</v>
      </c>
      <c r="M3904">
        <v>56.18</v>
      </c>
      <c r="N3904">
        <v>57.09</v>
      </c>
      <c r="O3904">
        <v>40.32</v>
      </c>
      <c r="P3904">
        <v>5.16</v>
      </c>
    </row>
    <row r="3905" spans="1:16">
      <c r="A3905" s="1" t="s">
        <v>3945</v>
      </c>
      <c r="B3905" s="1" t="s">
        <v>3949</v>
      </c>
      <c r="C3905" s="1" t="s">
        <v>1764</v>
      </c>
      <c r="D3905" s="1" t="s">
        <v>44</v>
      </c>
      <c r="E3905" s="1" t="s">
        <v>3950</v>
      </c>
      <c r="F3905">
        <v>563.65</v>
      </c>
      <c r="G3905">
        <v>576.12</v>
      </c>
      <c r="H3905">
        <v>59.85</v>
      </c>
      <c r="I3905">
        <v>2683.96</v>
      </c>
      <c r="J3905">
        <v>165.31</v>
      </c>
      <c r="K3905">
        <v>128.25</v>
      </c>
      <c r="L3905">
        <v>29.99</v>
      </c>
      <c r="M3905">
        <v>29.67</v>
      </c>
      <c r="N3905">
        <v>21.38</v>
      </c>
      <c r="O3905">
        <v>25.03</v>
      </c>
      <c r="P3905">
        <v>17.02</v>
      </c>
    </row>
    <row r="3906" spans="1:16">
      <c r="A3906" s="1" t="s">
        <v>3945</v>
      </c>
      <c r="B3906" s="1" t="s">
        <v>3951</v>
      </c>
      <c r="C3906" s="1" t="s">
        <v>1764</v>
      </c>
      <c r="D3906" s="1" t="s">
        <v>44</v>
      </c>
      <c r="E3906" s="1" t="s">
        <v>3950</v>
      </c>
      <c r="F3906">
        <v>451.07</v>
      </c>
      <c r="G3906">
        <v>682.16</v>
      </c>
      <c r="H3906">
        <v>316.83999999999997</v>
      </c>
      <c r="I3906">
        <v>3216.4</v>
      </c>
      <c r="J3906">
        <v>185.83</v>
      </c>
      <c r="K3906">
        <v>151.25</v>
      </c>
      <c r="L3906">
        <v>48.95</v>
      </c>
      <c r="M3906">
        <v>33.880000000000003</v>
      </c>
      <c r="N3906">
        <v>22.16</v>
      </c>
      <c r="O3906">
        <v>31.67</v>
      </c>
      <c r="P3906">
        <v>104.73</v>
      </c>
    </row>
    <row r="3907" spans="1:16">
      <c r="A3907" s="1" t="s">
        <v>3945</v>
      </c>
      <c r="B3907" s="1" t="s">
        <v>3952</v>
      </c>
      <c r="C3907" s="1" t="s">
        <v>1764</v>
      </c>
      <c r="D3907" s="1" t="s">
        <v>44</v>
      </c>
      <c r="E3907" s="1" t="s">
        <v>3950</v>
      </c>
      <c r="F3907">
        <v>1972.69</v>
      </c>
      <c r="G3907">
        <v>1883.74</v>
      </c>
      <c r="H3907">
        <v>186.64</v>
      </c>
      <c r="I3907">
        <v>2993.64</v>
      </c>
      <c r="J3907">
        <v>187.31</v>
      </c>
      <c r="K3907">
        <v>181.58</v>
      </c>
      <c r="L3907">
        <v>33.07</v>
      </c>
      <c r="M3907">
        <v>47.6</v>
      </c>
      <c r="N3907">
        <v>14.08</v>
      </c>
      <c r="O3907">
        <v>27.56</v>
      </c>
      <c r="P3907">
        <v>3.22</v>
      </c>
    </row>
    <row r="3908" spans="1:16">
      <c r="A3908" s="1" t="s">
        <v>3945</v>
      </c>
      <c r="B3908" s="1" t="s">
        <v>3953</v>
      </c>
      <c r="C3908" s="1" t="s">
        <v>1764</v>
      </c>
      <c r="D3908" s="1" t="s">
        <v>44</v>
      </c>
      <c r="E3908" s="1" t="s">
        <v>3950</v>
      </c>
      <c r="F3908">
        <v>3881.9</v>
      </c>
      <c r="G3908">
        <v>8518.7000000000007</v>
      </c>
      <c r="H3908">
        <v>513.22</v>
      </c>
      <c r="I3908">
        <v>3084.59</v>
      </c>
      <c r="J3908">
        <v>168.99</v>
      </c>
      <c r="K3908">
        <v>269.54000000000002</v>
      </c>
      <c r="L3908">
        <v>35.270000000000003</v>
      </c>
      <c r="M3908">
        <v>60.75</v>
      </c>
      <c r="N3908">
        <v>19.079999999999998</v>
      </c>
      <c r="O3908">
        <v>41.67</v>
      </c>
      <c r="P3908">
        <v>13.61</v>
      </c>
    </row>
    <row r="3909" spans="1:16">
      <c r="A3909" s="1" t="s">
        <v>3945</v>
      </c>
      <c r="B3909" s="1" t="s">
        <v>3954</v>
      </c>
      <c r="C3909" s="1" t="s">
        <v>1764</v>
      </c>
      <c r="D3909" s="1" t="s">
        <v>44</v>
      </c>
      <c r="E3909" s="1" t="s">
        <v>3950</v>
      </c>
      <c r="F3909">
        <v>107.43</v>
      </c>
      <c r="G3909">
        <v>793.02</v>
      </c>
      <c r="H3909">
        <v>3269.36</v>
      </c>
      <c r="I3909">
        <v>435.88</v>
      </c>
      <c r="J3909">
        <v>28.04</v>
      </c>
      <c r="K3909">
        <v>258.01</v>
      </c>
      <c r="L3909">
        <v>6.05</v>
      </c>
      <c r="M3909">
        <v>11.92</v>
      </c>
      <c r="N3909">
        <v>15.38</v>
      </c>
      <c r="O3909">
        <v>32.24</v>
      </c>
      <c r="P3909">
        <v>1.69</v>
      </c>
    </row>
    <row r="3910" spans="1:16">
      <c r="A3910" s="1" t="s">
        <v>3945</v>
      </c>
      <c r="B3910" s="1" t="s">
        <v>3955</v>
      </c>
      <c r="C3910" s="1" t="s">
        <v>1764</v>
      </c>
      <c r="D3910" s="1" t="s">
        <v>44</v>
      </c>
      <c r="E3910" s="1" t="s">
        <v>3950</v>
      </c>
      <c r="F3910">
        <v>117.33</v>
      </c>
      <c r="G3910">
        <v>1015.85</v>
      </c>
      <c r="H3910">
        <v>2112.77</v>
      </c>
      <c r="I3910">
        <v>440.12</v>
      </c>
      <c r="J3910">
        <v>71.489999999999995</v>
      </c>
      <c r="K3910">
        <v>196.24</v>
      </c>
      <c r="L3910">
        <v>8.01</v>
      </c>
      <c r="M3910">
        <v>10.46</v>
      </c>
      <c r="N3910">
        <v>11.64</v>
      </c>
      <c r="O3910">
        <v>53.81</v>
      </c>
      <c r="P3910">
        <v>1.94</v>
      </c>
    </row>
    <row r="3911" spans="1:16">
      <c r="A3911" s="1" t="s">
        <v>3945</v>
      </c>
      <c r="B3911" s="1" t="s">
        <v>3956</v>
      </c>
      <c r="C3911" s="1" t="s">
        <v>1764</v>
      </c>
      <c r="D3911" s="1" t="s">
        <v>44</v>
      </c>
      <c r="E3911" s="1" t="s">
        <v>3950</v>
      </c>
      <c r="F3911">
        <v>554.86</v>
      </c>
      <c r="G3911">
        <v>4484.7700000000004</v>
      </c>
      <c r="H3911">
        <v>5105.91</v>
      </c>
      <c r="I3911">
        <v>302.79000000000002</v>
      </c>
      <c r="J3911">
        <v>15.33</v>
      </c>
      <c r="K3911">
        <v>445.91</v>
      </c>
      <c r="L3911">
        <v>11.13</v>
      </c>
      <c r="M3911">
        <v>9.7799999999999994</v>
      </c>
      <c r="N3911">
        <v>22.12</v>
      </c>
      <c r="O3911">
        <v>79.069999999999993</v>
      </c>
      <c r="P3911">
        <v>7.67</v>
      </c>
    </row>
    <row r="3912" spans="1:16">
      <c r="A3912" s="1" t="s">
        <v>3945</v>
      </c>
      <c r="B3912" s="1" t="s">
        <v>3957</v>
      </c>
      <c r="C3912" s="1" t="s">
        <v>1764</v>
      </c>
      <c r="D3912" s="1" t="s">
        <v>44</v>
      </c>
      <c r="E3912" s="1" t="s">
        <v>3950</v>
      </c>
      <c r="F3912">
        <v>2011.44</v>
      </c>
      <c r="G3912">
        <v>5768.01</v>
      </c>
      <c r="H3912">
        <v>2569.4699999999998</v>
      </c>
      <c r="I3912">
        <v>110</v>
      </c>
      <c r="J3912">
        <v>18.53</v>
      </c>
      <c r="K3912">
        <v>428.68</v>
      </c>
      <c r="L3912">
        <v>10.7</v>
      </c>
      <c r="M3912">
        <v>12.79</v>
      </c>
      <c r="N3912">
        <v>28.99</v>
      </c>
      <c r="O3912">
        <v>2011.44</v>
      </c>
      <c r="P3912">
        <v>2.1800000000000002</v>
      </c>
    </row>
    <row r="3913" spans="1:16">
      <c r="A3913" s="1" t="s">
        <v>3945</v>
      </c>
      <c r="B3913" s="1" t="s">
        <v>3958</v>
      </c>
      <c r="C3913" s="1" t="s">
        <v>1764</v>
      </c>
      <c r="D3913" s="1" t="s">
        <v>44</v>
      </c>
      <c r="E3913" s="1" t="s">
        <v>3950</v>
      </c>
      <c r="F3913">
        <v>618.05999999999995</v>
      </c>
      <c r="G3913">
        <v>3217.05</v>
      </c>
      <c r="H3913">
        <v>2684.14</v>
      </c>
      <c r="I3913">
        <v>118.7</v>
      </c>
      <c r="J3913">
        <v>17.82</v>
      </c>
      <c r="K3913">
        <v>398.89</v>
      </c>
      <c r="L3913">
        <v>9.69</v>
      </c>
      <c r="M3913">
        <v>8.3699999999999992</v>
      </c>
      <c r="N3913">
        <v>25.91</v>
      </c>
      <c r="O3913">
        <v>67.5</v>
      </c>
      <c r="P3913">
        <v>11.98</v>
      </c>
    </row>
    <row r="3914" spans="1:16">
      <c r="A3914" s="1" t="s">
        <v>3945</v>
      </c>
      <c r="B3914" s="1" t="s">
        <v>3959</v>
      </c>
      <c r="C3914" s="1" t="s">
        <v>1764</v>
      </c>
      <c r="D3914" s="1" t="s">
        <v>44</v>
      </c>
      <c r="E3914" s="1" t="s">
        <v>3950</v>
      </c>
      <c r="F3914">
        <v>400.16</v>
      </c>
      <c r="G3914">
        <v>1696.89</v>
      </c>
      <c r="H3914">
        <v>872.76</v>
      </c>
      <c r="I3914">
        <v>213.52</v>
      </c>
      <c r="J3914">
        <v>30.87</v>
      </c>
      <c r="K3914">
        <v>467.3</v>
      </c>
      <c r="L3914">
        <v>95.98</v>
      </c>
      <c r="M3914">
        <v>6.66</v>
      </c>
      <c r="N3914">
        <v>16.059999999999999</v>
      </c>
      <c r="O3914">
        <v>11.96</v>
      </c>
      <c r="P3914">
        <v>1.72</v>
      </c>
    </row>
    <row r="3915" spans="1:16">
      <c r="A3915" s="1" t="s">
        <v>3945</v>
      </c>
      <c r="B3915" s="1" t="s">
        <v>3960</v>
      </c>
      <c r="C3915" s="1" t="s">
        <v>1764</v>
      </c>
      <c r="D3915" s="1" t="s">
        <v>44</v>
      </c>
      <c r="E3915" s="1" t="s">
        <v>3950</v>
      </c>
      <c r="F3915">
        <v>61.42</v>
      </c>
      <c r="G3915">
        <v>1417.73</v>
      </c>
      <c r="H3915">
        <v>942.19</v>
      </c>
      <c r="I3915">
        <v>213.8</v>
      </c>
      <c r="J3915">
        <v>23.97</v>
      </c>
      <c r="K3915">
        <v>493.6</v>
      </c>
      <c r="L3915">
        <v>98.6</v>
      </c>
      <c r="M3915">
        <v>6.12</v>
      </c>
      <c r="N3915">
        <v>7.26</v>
      </c>
      <c r="O3915">
        <v>10.86</v>
      </c>
      <c r="P3915">
        <v>1.74</v>
      </c>
    </row>
    <row r="3916" spans="1:16">
      <c r="A3916" s="1" t="s">
        <v>3945</v>
      </c>
      <c r="B3916" s="1" t="s">
        <v>3961</v>
      </c>
      <c r="C3916" s="1" t="s">
        <v>1764</v>
      </c>
      <c r="D3916" s="1" t="s">
        <v>44</v>
      </c>
      <c r="E3916" s="1" t="s">
        <v>3950</v>
      </c>
      <c r="F3916">
        <v>37.299999999999997</v>
      </c>
      <c r="G3916">
        <v>698.48</v>
      </c>
      <c r="H3916">
        <v>647.72</v>
      </c>
      <c r="I3916">
        <v>204.45</v>
      </c>
      <c r="J3916">
        <v>25.07</v>
      </c>
      <c r="K3916">
        <v>371.33</v>
      </c>
      <c r="L3916">
        <v>98.25</v>
      </c>
      <c r="M3916">
        <v>3.88</v>
      </c>
      <c r="N3916">
        <v>12.38</v>
      </c>
      <c r="O3916">
        <v>8.7100000000000009</v>
      </c>
      <c r="P3916">
        <v>1.42</v>
      </c>
    </row>
    <row r="3917" spans="1:16">
      <c r="A3917" s="1" t="s">
        <v>3945</v>
      </c>
      <c r="B3917" s="1" t="s">
        <v>3962</v>
      </c>
      <c r="C3917" s="1" t="s">
        <v>1764</v>
      </c>
      <c r="D3917" s="1" t="s">
        <v>44</v>
      </c>
      <c r="E3917" s="1" t="s">
        <v>3950</v>
      </c>
      <c r="F3917">
        <v>99.67</v>
      </c>
      <c r="G3917">
        <v>1708.53</v>
      </c>
      <c r="H3917">
        <v>1341.68</v>
      </c>
      <c r="I3917">
        <v>202.68</v>
      </c>
      <c r="J3917">
        <v>29.5</v>
      </c>
      <c r="K3917">
        <v>545.72</v>
      </c>
      <c r="L3917">
        <v>80.19</v>
      </c>
      <c r="M3917">
        <v>8.58</v>
      </c>
      <c r="N3917">
        <v>22.59</v>
      </c>
      <c r="O3917">
        <v>14.42</v>
      </c>
      <c r="P3917">
        <v>2.1800000000000002</v>
      </c>
    </row>
    <row r="3918" spans="1:16">
      <c r="A3918" s="1" t="s">
        <v>3945</v>
      </c>
      <c r="B3918" s="1" t="s">
        <v>3963</v>
      </c>
      <c r="C3918" s="1" t="s">
        <v>1764</v>
      </c>
      <c r="D3918" s="1" t="s">
        <v>44</v>
      </c>
      <c r="E3918" s="1" t="s">
        <v>3950</v>
      </c>
      <c r="F3918">
        <v>53.04</v>
      </c>
      <c r="G3918">
        <v>429.1</v>
      </c>
      <c r="H3918">
        <v>517.04999999999995</v>
      </c>
      <c r="I3918">
        <v>194.74</v>
      </c>
      <c r="J3918">
        <v>42.53</v>
      </c>
      <c r="K3918">
        <v>289.85000000000002</v>
      </c>
      <c r="L3918">
        <v>74.790000000000006</v>
      </c>
      <c r="M3918">
        <v>4</v>
      </c>
      <c r="N3918">
        <v>11.28</v>
      </c>
      <c r="O3918">
        <v>6.89</v>
      </c>
      <c r="P3918">
        <v>2.31</v>
      </c>
    </row>
    <row r="3919" spans="1:16">
      <c r="A3919" s="1" t="s">
        <v>3945</v>
      </c>
      <c r="B3919" s="1" t="s">
        <v>3964</v>
      </c>
      <c r="C3919" s="1" t="s">
        <v>1764</v>
      </c>
      <c r="D3919" s="1" t="s">
        <v>44</v>
      </c>
      <c r="E3919" s="1" t="s">
        <v>3950</v>
      </c>
      <c r="F3919">
        <v>77.31</v>
      </c>
      <c r="G3919">
        <v>529.78</v>
      </c>
      <c r="H3919">
        <v>283.27999999999997</v>
      </c>
      <c r="I3919">
        <v>185.01</v>
      </c>
      <c r="J3919">
        <v>46.14</v>
      </c>
      <c r="K3919">
        <v>299.07</v>
      </c>
      <c r="L3919">
        <v>72.87</v>
      </c>
      <c r="M3919">
        <v>4.41</v>
      </c>
      <c r="N3919">
        <v>6.96</v>
      </c>
      <c r="O3919">
        <v>5.32</v>
      </c>
      <c r="P3919">
        <v>0.69</v>
      </c>
    </row>
    <row r="3920" spans="1:16">
      <c r="A3920" s="1" t="s">
        <v>3945</v>
      </c>
      <c r="B3920" s="1" t="s">
        <v>3965</v>
      </c>
      <c r="C3920" s="1" t="s">
        <v>1764</v>
      </c>
      <c r="D3920" s="1" t="s">
        <v>44</v>
      </c>
      <c r="E3920" s="1" t="s">
        <v>3950</v>
      </c>
      <c r="F3920">
        <v>80.73</v>
      </c>
      <c r="G3920">
        <v>391</v>
      </c>
      <c r="H3920">
        <v>249.83</v>
      </c>
      <c r="I3920">
        <v>176.29</v>
      </c>
      <c r="J3920">
        <v>51.93</v>
      </c>
      <c r="K3920">
        <v>261.43</v>
      </c>
      <c r="L3920">
        <v>71.44</v>
      </c>
      <c r="M3920">
        <v>4.13</v>
      </c>
      <c r="N3920">
        <v>9.7799999999999994</v>
      </c>
      <c r="O3920">
        <v>4.3099999999999996</v>
      </c>
      <c r="P3920">
        <v>1.29</v>
      </c>
    </row>
    <row r="3921" spans="1:16">
      <c r="A3921" s="1" t="s">
        <v>3945</v>
      </c>
      <c r="B3921" s="1" t="s">
        <v>3966</v>
      </c>
      <c r="C3921" s="1" t="s">
        <v>1764</v>
      </c>
      <c r="D3921" s="1" t="s">
        <v>44</v>
      </c>
      <c r="E3921" s="1" t="s">
        <v>3950</v>
      </c>
      <c r="F3921">
        <v>79.62</v>
      </c>
      <c r="G3921">
        <v>761.1</v>
      </c>
      <c r="H3921">
        <v>453.87</v>
      </c>
      <c r="I3921">
        <v>191.18</v>
      </c>
      <c r="J3921">
        <v>32.340000000000003</v>
      </c>
      <c r="K3921">
        <v>296.36</v>
      </c>
      <c r="L3921">
        <v>66.260000000000005</v>
      </c>
      <c r="M3921">
        <v>6.01</v>
      </c>
      <c r="N3921">
        <v>8.0399999999999991</v>
      </c>
      <c r="O3921">
        <v>5.92</v>
      </c>
      <c r="P3921">
        <v>1.68</v>
      </c>
    </row>
    <row r="3922" spans="1:16">
      <c r="A3922" s="1" t="s">
        <v>3945</v>
      </c>
      <c r="B3922" s="1" t="s">
        <v>3967</v>
      </c>
      <c r="C3922" s="1" t="s">
        <v>1764</v>
      </c>
      <c r="D3922" s="1" t="s">
        <v>44</v>
      </c>
      <c r="E3922" s="1" t="s">
        <v>3950</v>
      </c>
      <c r="F3922">
        <v>66.290000000000006</v>
      </c>
      <c r="G3922">
        <v>1116.8699999999999</v>
      </c>
      <c r="H3922">
        <v>261.04000000000002</v>
      </c>
      <c r="I3922">
        <v>52.07</v>
      </c>
      <c r="J3922">
        <v>12.54</v>
      </c>
      <c r="K3922">
        <v>291.44</v>
      </c>
      <c r="L3922">
        <v>4.08</v>
      </c>
      <c r="M3922">
        <v>3.27</v>
      </c>
      <c r="N3922">
        <v>42.74</v>
      </c>
      <c r="O3922">
        <v>2.61</v>
      </c>
      <c r="P3922">
        <v>0.52</v>
      </c>
    </row>
    <row r="3923" spans="1:16">
      <c r="A3923" s="1" t="s">
        <v>3945</v>
      </c>
      <c r="B3923" s="1" t="s">
        <v>3968</v>
      </c>
      <c r="C3923" s="1" t="s">
        <v>1764</v>
      </c>
      <c r="D3923" s="1" t="s">
        <v>44</v>
      </c>
      <c r="E3923" s="1" t="s">
        <v>3950</v>
      </c>
      <c r="F3923">
        <v>113.56</v>
      </c>
      <c r="G3923">
        <v>828.78</v>
      </c>
      <c r="H3923">
        <v>147.53</v>
      </c>
      <c r="I3923">
        <v>48.56</v>
      </c>
      <c r="J3923">
        <v>12.92</v>
      </c>
      <c r="K3923">
        <v>300.63</v>
      </c>
      <c r="L3923">
        <v>3.19</v>
      </c>
      <c r="M3923">
        <v>7.05</v>
      </c>
      <c r="N3923">
        <v>27.6</v>
      </c>
      <c r="O3923">
        <v>2.54</v>
      </c>
      <c r="P3923">
        <v>0.63</v>
      </c>
    </row>
    <row r="3924" spans="1:16">
      <c r="A3924" s="1" t="s">
        <v>3945</v>
      </c>
      <c r="B3924" s="1" t="s">
        <v>3969</v>
      </c>
      <c r="C3924" s="1" t="s">
        <v>1764</v>
      </c>
      <c r="D3924" s="1" t="s">
        <v>44</v>
      </c>
      <c r="E3924" s="1" t="s">
        <v>3950</v>
      </c>
      <c r="F3924">
        <v>79.209999999999994</v>
      </c>
      <c r="G3924">
        <v>926.65</v>
      </c>
      <c r="H3924">
        <v>166.2</v>
      </c>
      <c r="I3924">
        <v>51.83</v>
      </c>
      <c r="J3924">
        <v>14.88</v>
      </c>
      <c r="K3924">
        <v>309.72000000000003</v>
      </c>
      <c r="L3924">
        <v>3.85</v>
      </c>
      <c r="M3924">
        <v>7.55</v>
      </c>
      <c r="N3924">
        <v>45.83</v>
      </c>
      <c r="O3924">
        <v>2.87</v>
      </c>
      <c r="P3924">
        <v>0.56000000000000005</v>
      </c>
    </row>
    <row r="3925" spans="1:16">
      <c r="A3925" s="1" t="s">
        <v>3945</v>
      </c>
      <c r="B3925" s="1" t="s">
        <v>3970</v>
      </c>
      <c r="C3925" s="1" t="s">
        <v>1764</v>
      </c>
      <c r="D3925" s="1" t="s">
        <v>44</v>
      </c>
      <c r="E3925" s="1" t="s">
        <v>3950</v>
      </c>
      <c r="F3925">
        <v>178</v>
      </c>
      <c r="G3925">
        <v>923.35</v>
      </c>
      <c r="H3925">
        <v>167.73</v>
      </c>
      <c r="I3925">
        <v>49.92</v>
      </c>
      <c r="J3925">
        <v>11.49</v>
      </c>
      <c r="K3925">
        <v>306</v>
      </c>
      <c r="L3925">
        <v>3.38</v>
      </c>
      <c r="M3925">
        <v>5.46</v>
      </c>
      <c r="N3925">
        <v>36.270000000000003</v>
      </c>
      <c r="O3925">
        <v>1.83</v>
      </c>
      <c r="P3925">
        <v>2.3199999999999998</v>
      </c>
    </row>
    <row r="3926" spans="1:16">
      <c r="A3926" s="1" t="s">
        <v>3945</v>
      </c>
      <c r="B3926" s="1" t="s">
        <v>3971</v>
      </c>
      <c r="C3926" s="1" t="s">
        <v>1764</v>
      </c>
      <c r="D3926" s="1" t="s">
        <v>44</v>
      </c>
      <c r="E3926" s="1" t="s">
        <v>3950</v>
      </c>
      <c r="F3926">
        <v>45.11</v>
      </c>
      <c r="G3926">
        <v>650.78</v>
      </c>
      <c r="H3926">
        <v>176.39</v>
      </c>
      <c r="I3926">
        <v>52</v>
      </c>
      <c r="J3926">
        <v>15.27</v>
      </c>
      <c r="K3926">
        <v>321.20999999999998</v>
      </c>
      <c r="L3926">
        <v>4.53</v>
      </c>
      <c r="M3926">
        <v>13.55</v>
      </c>
      <c r="N3926">
        <v>32.44</v>
      </c>
      <c r="O3926">
        <v>3.79</v>
      </c>
      <c r="P3926">
        <v>0.96</v>
      </c>
    </row>
    <row r="3927" spans="1:16">
      <c r="A3927" s="1" t="s">
        <v>3945</v>
      </c>
      <c r="B3927" s="1" t="s">
        <v>3972</v>
      </c>
      <c r="C3927" s="1" t="s">
        <v>1764</v>
      </c>
      <c r="D3927" s="1" t="s">
        <v>44</v>
      </c>
      <c r="E3927" s="1" t="s">
        <v>3950</v>
      </c>
      <c r="F3927">
        <v>43.12</v>
      </c>
      <c r="G3927">
        <v>1010.6</v>
      </c>
      <c r="H3927">
        <v>151.04</v>
      </c>
      <c r="I3927">
        <v>52.88</v>
      </c>
      <c r="J3927">
        <v>18.57</v>
      </c>
      <c r="K3927">
        <v>314.38</v>
      </c>
      <c r="L3927">
        <v>2.97</v>
      </c>
      <c r="M3927">
        <v>3.39</v>
      </c>
      <c r="N3927">
        <v>62.53</v>
      </c>
      <c r="O3927">
        <v>3.53</v>
      </c>
      <c r="P3927">
        <v>0.63</v>
      </c>
    </row>
    <row r="3928" spans="1:16">
      <c r="A3928" s="1" t="s">
        <v>3945</v>
      </c>
      <c r="B3928" s="1" t="s">
        <v>3973</v>
      </c>
      <c r="C3928" s="1" t="s">
        <v>1764</v>
      </c>
      <c r="D3928" s="1" t="s">
        <v>44</v>
      </c>
      <c r="E3928" s="1" t="s">
        <v>3950</v>
      </c>
      <c r="F3928">
        <v>30.8</v>
      </c>
      <c r="G3928">
        <v>365.95</v>
      </c>
      <c r="H3928">
        <v>43.42</v>
      </c>
      <c r="I3928">
        <v>9.64</v>
      </c>
      <c r="J3928">
        <v>3.23</v>
      </c>
      <c r="K3928">
        <v>364</v>
      </c>
      <c r="L3928">
        <v>25.05</v>
      </c>
      <c r="M3928">
        <v>4.12</v>
      </c>
      <c r="N3928">
        <v>16.54</v>
      </c>
      <c r="O3928">
        <v>7.87</v>
      </c>
      <c r="P3928">
        <v>3.02</v>
      </c>
    </row>
    <row r="3929" spans="1:16">
      <c r="A3929" s="1" t="s">
        <v>3945</v>
      </c>
      <c r="B3929" s="1" t="s">
        <v>3974</v>
      </c>
      <c r="C3929" s="1" t="s">
        <v>1764</v>
      </c>
      <c r="D3929" s="1" t="s">
        <v>44</v>
      </c>
      <c r="E3929" s="1" t="s">
        <v>3950</v>
      </c>
      <c r="F3929">
        <v>6945.9</v>
      </c>
      <c r="G3929">
        <v>1182.8399999999999</v>
      </c>
      <c r="H3929">
        <v>34.17</v>
      </c>
      <c r="I3929">
        <v>10.52</v>
      </c>
      <c r="J3929">
        <v>8.17</v>
      </c>
      <c r="K3929">
        <v>477</v>
      </c>
      <c r="L3929">
        <v>26.19</v>
      </c>
      <c r="M3929">
        <v>2.91</v>
      </c>
      <c r="N3929">
        <v>15.28</v>
      </c>
      <c r="O3929">
        <v>8.74</v>
      </c>
      <c r="P3929">
        <v>1.44</v>
      </c>
    </row>
    <row r="3930" spans="1:16">
      <c r="A3930" s="1" t="s">
        <v>3945</v>
      </c>
      <c r="B3930" s="1" t="s">
        <v>3975</v>
      </c>
      <c r="C3930" s="1" t="s">
        <v>1764</v>
      </c>
      <c r="D3930" s="1" t="s">
        <v>44</v>
      </c>
      <c r="E3930" s="1" t="s">
        <v>3950</v>
      </c>
      <c r="F3930">
        <v>34.58</v>
      </c>
      <c r="G3930">
        <v>315.98</v>
      </c>
      <c r="H3930">
        <v>39.25</v>
      </c>
      <c r="I3930">
        <v>9.0399999999999991</v>
      </c>
      <c r="J3930">
        <v>4.01</v>
      </c>
      <c r="K3930">
        <v>372.94</v>
      </c>
      <c r="L3930">
        <v>26.56</v>
      </c>
      <c r="M3930">
        <v>4.1100000000000003</v>
      </c>
      <c r="N3930">
        <v>24.2</v>
      </c>
      <c r="O3930">
        <v>8.2100000000000009</v>
      </c>
      <c r="P3930">
        <v>0.16</v>
      </c>
    </row>
    <row r="3931" spans="1:16">
      <c r="A3931" s="1" t="s">
        <v>3945</v>
      </c>
      <c r="B3931" s="1" t="s">
        <v>3976</v>
      </c>
      <c r="C3931" s="1" t="s">
        <v>1764</v>
      </c>
      <c r="D3931" s="1" t="s">
        <v>44</v>
      </c>
      <c r="E3931" s="1" t="s">
        <v>3950</v>
      </c>
      <c r="F3931">
        <v>330.01</v>
      </c>
      <c r="G3931">
        <v>783.51</v>
      </c>
      <c r="H3931">
        <v>62.05</v>
      </c>
      <c r="I3931">
        <v>8.2200000000000006</v>
      </c>
      <c r="J3931">
        <v>4.2300000000000004</v>
      </c>
      <c r="K3931">
        <v>392.41</v>
      </c>
      <c r="L3931">
        <v>21.86</v>
      </c>
      <c r="M3931">
        <v>4.4000000000000004</v>
      </c>
      <c r="N3931">
        <v>39.479999999999997</v>
      </c>
      <c r="O3931">
        <v>9.6300000000000008</v>
      </c>
      <c r="P3931">
        <v>0.38</v>
      </c>
    </row>
    <row r="3932" spans="1:16">
      <c r="A3932" s="1" t="s">
        <v>3945</v>
      </c>
      <c r="B3932" s="1" t="s">
        <v>3977</v>
      </c>
      <c r="C3932" s="1" t="s">
        <v>1764</v>
      </c>
      <c r="D3932" s="1" t="s">
        <v>44</v>
      </c>
      <c r="E3932" s="1" t="s">
        <v>3950</v>
      </c>
      <c r="F3932">
        <v>143.88999999999999</v>
      </c>
      <c r="G3932">
        <v>509.85</v>
      </c>
      <c r="H3932">
        <v>39.29</v>
      </c>
      <c r="I3932">
        <v>8.27</v>
      </c>
      <c r="J3932">
        <v>5.2</v>
      </c>
      <c r="K3932">
        <v>380.95</v>
      </c>
      <c r="L3932">
        <v>23.03</v>
      </c>
      <c r="M3932">
        <v>1.6</v>
      </c>
      <c r="N3932">
        <v>28.49</v>
      </c>
      <c r="O3932">
        <v>10.29</v>
      </c>
      <c r="P3932">
        <v>1.71</v>
      </c>
    </row>
    <row r="3933" spans="1:16">
      <c r="A3933" s="1" t="s">
        <v>3945</v>
      </c>
      <c r="B3933" s="1" t="s">
        <v>3978</v>
      </c>
      <c r="C3933" s="1" t="s">
        <v>1764</v>
      </c>
      <c r="D3933" s="1" t="s">
        <v>44</v>
      </c>
      <c r="E3933" s="1" t="s">
        <v>3950</v>
      </c>
      <c r="F3933">
        <v>2924.78</v>
      </c>
      <c r="G3933">
        <v>607.83000000000004</v>
      </c>
      <c r="H3933">
        <v>24.92</v>
      </c>
      <c r="I3933">
        <v>9.3800000000000008</v>
      </c>
      <c r="J3933">
        <v>2.89</v>
      </c>
      <c r="K3933">
        <v>382.24</v>
      </c>
      <c r="L3933">
        <v>25.03</v>
      </c>
      <c r="M3933">
        <v>1.68</v>
      </c>
      <c r="N3933">
        <v>18.170000000000002</v>
      </c>
      <c r="O3933">
        <v>9.23</v>
      </c>
      <c r="P3933">
        <v>0.67</v>
      </c>
    </row>
    <row r="3934" spans="1:16">
      <c r="A3934" s="1" t="s">
        <v>3945</v>
      </c>
      <c r="B3934" s="1" t="s">
        <v>3979</v>
      </c>
      <c r="C3934" s="1" t="s">
        <v>1764</v>
      </c>
      <c r="D3934" s="1" t="s">
        <v>44</v>
      </c>
      <c r="E3934" s="1" t="s">
        <v>3950</v>
      </c>
      <c r="F3934">
        <v>128.47999999999999</v>
      </c>
      <c r="G3934">
        <v>329.96</v>
      </c>
      <c r="H3934">
        <v>537.75</v>
      </c>
      <c r="I3934">
        <v>11</v>
      </c>
      <c r="J3934">
        <v>18.61</v>
      </c>
      <c r="K3934">
        <v>337.19</v>
      </c>
      <c r="L3934">
        <v>22.95</v>
      </c>
      <c r="M3934">
        <v>3.15</v>
      </c>
      <c r="N3934">
        <v>22.64</v>
      </c>
      <c r="O3934">
        <v>8.1300000000000008</v>
      </c>
      <c r="P3934">
        <v>2.04</v>
      </c>
    </row>
    <row r="3935" spans="1:16">
      <c r="A3935" s="1" t="s">
        <v>3945</v>
      </c>
      <c r="B3935" s="1" t="s">
        <v>3980</v>
      </c>
      <c r="C3935" s="1" t="s">
        <v>1764</v>
      </c>
      <c r="D3935" s="1" t="s">
        <v>44</v>
      </c>
      <c r="E3935" s="1" t="s">
        <v>3950</v>
      </c>
      <c r="F3935">
        <v>69.89</v>
      </c>
      <c r="G3935">
        <v>240.38</v>
      </c>
      <c r="H3935">
        <v>40.49</v>
      </c>
      <c r="I3935">
        <v>9.0399999999999991</v>
      </c>
      <c r="J3935">
        <v>5.46</v>
      </c>
      <c r="K3935">
        <v>338.72</v>
      </c>
      <c r="L3935">
        <v>26.72</v>
      </c>
      <c r="M3935">
        <v>6.04</v>
      </c>
      <c r="N3935">
        <v>26.04</v>
      </c>
      <c r="O3935">
        <v>7.91</v>
      </c>
      <c r="P3935">
        <v>0.94</v>
      </c>
    </row>
    <row r="3936" spans="1:16">
      <c r="A3936" s="1" t="s">
        <v>3945</v>
      </c>
      <c r="B3936" s="1" t="s">
        <v>3981</v>
      </c>
      <c r="C3936" s="1" t="s">
        <v>1764</v>
      </c>
      <c r="D3936" s="1" t="s">
        <v>44</v>
      </c>
      <c r="E3936" s="1" t="s">
        <v>3950</v>
      </c>
      <c r="F3936">
        <v>66.28</v>
      </c>
      <c r="G3936">
        <v>351.52</v>
      </c>
      <c r="H3936">
        <v>83.86</v>
      </c>
      <c r="I3936">
        <v>44.15</v>
      </c>
      <c r="J3936">
        <v>12.73</v>
      </c>
      <c r="K3936">
        <v>745.31</v>
      </c>
      <c r="L3936">
        <v>41.4</v>
      </c>
      <c r="M3936">
        <v>5.0599999999999996</v>
      </c>
      <c r="N3936">
        <v>43.99</v>
      </c>
      <c r="O3936">
        <v>8.99</v>
      </c>
      <c r="P3936">
        <v>0.21</v>
      </c>
    </row>
    <row r="3937" spans="1:16">
      <c r="A3937" s="1" t="s">
        <v>3945</v>
      </c>
      <c r="B3937" s="1" t="s">
        <v>3982</v>
      </c>
      <c r="C3937" s="1" t="s">
        <v>1764</v>
      </c>
      <c r="D3937" s="1" t="s">
        <v>44</v>
      </c>
      <c r="E3937" s="1" t="s">
        <v>3950</v>
      </c>
      <c r="F3937">
        <v>449.63</v>
      </c>
      <c r="G3937">
        <v>317.8</v>
      </c>
      <c r="H3937">
        <v>329.33</v>
      </c>
      <c r="I3937">
        <v>43.83</v>
      </c>
      <c r="J3937">
        <v>61.83</v>
      </c>
      <c r="K3937">
        <v>793.04</v>
      </c>
      <c r="L3937">
        <v>35.090000000000003</v>
      </c>
      <c r="M3937">
        <v>11.82</v>
      </c>
      <c r="N3937">
        <v>59.31</v>
      </c>
      <c r="O3937">
        <v>8</v>
      </c>
      <c r="P3937">
        <v>4.9800000000000004</v>
      </c>
    </row>
    <row r="3938" spans="1:16">
      <c r="A3938" s="1" t="s">
        <v>3945</v>
      </c>
      <c r="B3938" s="1" t="s">
        <v>3983</v>
      </c>
      <c r="C3938" s="1" t="s">
        <v>1764</v>
      </c>
      <c r="D3938" s="1" t="s">
        <v>44</v>
      </c>
      <c r="E3938" s="1" t="s">
        <v>3950</v>
      </c>
      <c r="F3938">
        <v>301.33999999999997</v>
      </c>
      <c r="G3938">
        <v>1088.94</v>
      </c>
      <c r="H3938">
        <v>139.27000000000001</v>
      </c>
      <c r="I3938">
        <v>42.54</v>
      </c>
      <c r="J3938">
        <v>12.16</v>
      </c>
      <c r="K3938">
        <v>695.63</v>
      </c>
      <c r="L3938">
        <v>35.78</v>
      </c>
      <c r="M3938">
        <v>4.3899999999999997</v>
      </c>
      <c r="N3938">
        <v>74.430000000000007</v>
      </c>
      <c r="O3938">
        <v>10.72</v>
      </c>
      <c r="P3938">
        <v>2.29</v>
      </c>
    </row>
    <row r="3939" spans="1:16">
      <c r="A3939" s="1" t="s">
        <v>3945</v>
      </c>
      <c r="B3939" s="1" t="s">
        <v>3984</v>
      </c>
      <c r="C3939" s="1" t="s">
        <v>1764</v>
      </c>
      <c r="D3939" s="1" t="s">
        <v>44</v>
      </c>
      <c r="E3939" s="1" t="s">
        <v>3950</v>
      </c>
      <c r="F3939">
        <v>2068.7600000000002</v>
      </c>
      <c r="G3939">
        <v>1455.89</v>
      </c>
      <c r="H3939">
        <v>175.04</v>
      </c>
      <c r="I3939">
        <v>39.409999999999997</v>
      </c>
      <c r="J3939">
        <v>12.86</v>
      </c>
      <c r="K3939">
        <v>719.23</v>
      </c>
      <c r="L3939">
        <v>34.83</v>
      </c>
      <c r="M3939">
        <v>11.01</v>
      </c>
      <c r="N3939">
        <v>56.98</v>
      </c>
      <c r="O3939">
        <v>8.5399999999999991</v>
      </c>
      <c r="P3939">
        <v>2.2599999999999998</v>
      </c>
    </row>
    <row r="3940" spans="1:16">
      <c r="A3940" s="1" t="s">
        <v>3945</v>
      </c>
      <c r="B3940" s="1" t="s">
        <v>3985</v>
      </c>
      <c r="C3940" s="1" t="s">
        <v>1764</v>
      </c>
      <c r="D3940" s="1" t="s">
        <v>44</v>
      </c>
      <c r="E3940" s="1" t="s">
        <v>3950</v>
      </c>
      <c r="F3940">
        <v>219.99</v>
      </c>
      <c r="G3940">
        <v>879.32</v>
      </c>
      <c r="H3940">
        <v>83.75</v>
      </c>
      <c r="I3940">
        <v>36.46</v>
      </c>
      <c r="J3940">
        <v>13.26</v>
      </c>
      <c r="K3940">
        <v>650.16999999999996</v>
      </c>
      <c r="L3940">
        <v>32.54</v>
      </c>
      <c r="M3940">
        <v>4.68</v>
      </c>
      <c r="N3940">
        <v>236.63</v>
      </c>
      <c r="O3940">
        <v>8.17</v>
      </c>
      <c r="P3940">
        <v>3.48</v>
      </c>
    </row>
    <row r="3941" spans="1:16">
      <c r="A3941" s="1" t="s">
        <v>3945</v>
      </c>
      <c r="B3941" s="1" t="s">
        <v>3986</v>
      </c>
      <c r="C3941" s="1" t="s">
        <v>1764</v>
      </c>
      <c r="D3941" s="1" t="s">
        <v>44</v>
      </c>
      <c r="E3941" s="1" t="s">
        <v>3950</v>
      </c>
      <c r="F3941">
        <v>177.35</v>
      </c>
      <c r="G3941">
        <v>632.29999999999995</v>
      </c>
      <c r="H3941">
        <v>151.31</v>
      </c>
      <c r="I3941">
        <v>33.53</v>
      </c>
      <c r="J3941">
        <v>16.059999999999999</v>
      </c>
      <c r="K3941">
        <v>567.42999999999995</v>
      </c>
      <c r="L3941">
        <v>29.67</v>
      </c>
      <c r="M3941">
        <v>3.96</v>
      </c>
      <c r="N3941">
        <v>37.03</v>
      </c>
      <c r="O3941">
        <v>7.67</v>
      </c>
      <c r="P3941">
        <v>0.86</v>
      </c>
    </row>
    <row r="3942" spans="1:16">
      <c r="A3942" s="1" t="s">
        <v>3945</v>
      </c>
      <c r="B3942" s="1" t="s">
        <v>3987</v>
      </c>
      <c r="C3942" s="1" t="s">
        <v>1764</v>
      </c>
      <c r="D3942" s="1" t="s">
        <v>44</v>
      </c>
      <c r="E3942" s="1" t="s">
        <v>3950</v>
      </c>
      <c r="F3942">
        <v>171.59</v>
      </c>
      <c r="G3942">
        <v>472.46</v>
      </c>
      <c r="H3942">
        <v>100.07</v>
      </c>
      <c r="I3942">
        <v>33.32</v>
      </c>
      <c r="J3942">
        <v>13</v>
      </c>
      <c r="K3942">
        <v>556.77</v>
      </c>
      <c r="L3942">
        <v>29.62</v>
      </c>
      <c r="M3942">
        <v>4.58</v>
      </c>
      <c r="N3942">
        <v>29.86</v>
      </c>
      <c r="O3942">
        <v>6.14</v>
      </c>
      <c r="P3942">
        <v>2.98</v>
      </c>
    </row>
    <row r="3943" spans="1:16">
      <c r="A3943" s="1" t="s">
        <v>3945</v>
      </c>
      <c r="B3943" s="1" t="s">
        <v>3988</v>
      </c>
      <c r="C3943" s="1" t="s">
        <v>1764</v>
      </c>
      <c r="D3943" s="1" t="s">
        <v>44</v>
      </c>
      <c r="E3943" s="1" t="s">
        <v>3950</v>
      </c>
      <c r="F3943">
        <v>985.82</v>
      </c>
      <c r="G3943">
        <v>7375.34</v>
      </c>
      <c r="H3943">
        <v>166.68</v>
      </c>
      <c r="I3943">
        <v>28.64</v>
      </c>
      <c r="J3943">
        <v>10.97</v>
      </c>
      <c r="K3943">
        <v>571.16999999999996</v>
      </c>
      <c r="L3943">
        <v>26.1</v>
      </c>
      <c r="M3943">
        <v>3.52</v>
      </c>
      <c r="N3943">
        <v>64.28</v>
      </c>
      <c r="O3943">
        <v>6.84</v>
      </c>
      <c r="P3943">
        <v>1.43</v>
      </c>
    </row>
    <row r="3944" spans="1:16">
      <c r="A3944" s="1" t="s">
        <v>3945</v>
      </c>
      <c r="B3944" s="1" t="s">
        <v>3989</v>
      </c>
      <c r="C3944" s="1" t="s">
        <v>1764</v>
      </c>
      <c r="D3944" s="1" t="s">
        <v>44</v>
      </c>
      <c r="E3944" s="1" t="s">
        <v>3950</v>
      </c>
      <c r="F3944">
        <v>359.63</v>
      </c>
      <c r="G3944">
        <v>601.49</v>
      </c>
      <c r="H3944">
        <v>113.5</v>
      </c>
      <c r="I3944">
        <v>29.94</v>
      </c>
      <c r="J3944">
        <v>17.18</v>
      </c>
      <c r="K3944">
        <v>508.1</v>
      </c>
      <c r="L3944">
        <v>26.91</v>
      </c>
      <c r="M3944">
        <v>2.66</v>
      </c>
      <c r="N3944">
        <v>40.909999999999997</v>
      </c>
      <c r="O3944">
        <v>6.72</v>
      </c>
      <c r="P3944">
        <v>2.88</v>
      </c>
    </row>
    <row r="3945" spans="1:16">
      <c r="A3945" s="1" t="s">
        <v>3945</v>
      </c>
      <c r="B3945" s="1" t="s">
        <v>3990</v>
      </c>
      <c r="C3945" s="1" t="s">
        <v>1764</v>
      </c>
      <c r="D3945" s="1" t="s">
        <v>44</v>
      </c>
      <c r="E3945" s="1" t="s">
        <v>3950</v>
      </c>
      <c r="F3945">
        <v>38.58</v>
      </c>
      <c r="G3945">
        <v>142.63999999999999</v>
      </c>
      <c r="H3945">
        <v>99.93</v>
      </c>
      <c r="I3945">
        <v>27.95</v>
      </c>
      <c r="J3945">
        <v>17.29</v>
      </c>
      <c r="K3945">
        <v>663.89</v>
      </c>
      <c r="L3945">
        <v>26.26</v>
      </c>
      <c r="M3945">
        <v>8.6199999999999992</v>
      </c>
      <c r="N3945">
        <v>32.270000000000003</v>
      </c>
      <c r="O3945">
        <v>5.41</v>
      </c>
      <c r="P3945">
        <v>2.63</v>
      </c>
    </row>
    <row r="3946" spans="1:16">
      <c r="A3946" s="1" t="s">
        <v>3945</v>
      </c>
      <c r="B3946" s="1" t="s">
        <v>3991</v>
      </c>
      <c r="C3946" s="1" t="s">
        <v>1764</v>
      </c>
      <c r="D3946" s="1" t="s">
        <v>44</v>
      </c>
      <c r="E3946" s="1" t="s">
        <v>3950</v>
      </c>
      <c r="F3946">
        <v>557.73</v>
      </c>
      <c r="G3946">
        <v>821.29</v>
      </c>
      <c r="H3946">
        <v>101.96</v>
      </c>
      <c r="I3946">
        <v>31.36</v>
      </c>
      <c r="J3946">
        <v>7.46</v>
      </c>
      <c r="K3946">
        <v>665.44</v>
      </c>
      <c r="L3946">
        <v>26.36</v>
      </c>
      <c r="M3946">
        <v>4.26</v>
      </c>
      <c r="N3946">
        <v>50.73</v>
      </c>
      <c r="O3946">
        <v>4.01</v>
      </c>
      <c r="P3946">
        <v>1.97</v>
      </c>
    </row>
    <row r="3947" spans="1:16">
      <c r="A3947" s="1" t="s">
        <v>3945</v>
      </c>
      <c r="B3947" s="1" t="s">
        <v>3992</v>
      </c>
      <c r="C3947" s="1" t="s">
        <v>1764</v>
      </c>
      <c r="D3947" s="1" t="s">
        <v>44</v>
      </c>
      <c r="E3947" s="1" t="s">
        <v>3950</v>
      </c>
      <c r="F3947">
        <v>1842.24</v>
      </c>
      <c r="G3947">
        <v>297.66000000000003</v>
      </c>
      <c r="H3947">
        <v>88.4</v>
      </c>
      <c r="I3947">
        <v>25.77</v>
      </c>
      <c r="J3947">
        <v>5.59</v>
      </c>
      <c r="K3947">
        <v>514.91999999999996</v>
      </c>
      <c r="L3947">
        <v>24.56</v>
      </c>
      <c r="M3947">
        <v>15.03</v>
      </c>
      <c r="N3947">
        <v>28.87</v>
      </c>
      <c r="O3947">
        <v>5.23</v>
      </c>
      <c r="P3947">
        <v>4.28</v>
      </c>
    </row>
    <row r="3948" spans="1:16">
      <c r="A3948" s="1" t="s">
        <v>3945</v>
      </c>
      <c r="B3948" s="1" t="s">
        <v>3993</v>
      </c>
      <c r="C3948" s="1" t="s">
        <v>1764</v>
      </c>
      <c r="D3948" s="1" t="s">
        <v>44</v>
      </c>
      <c r="E3948" s="1" t="s">
        <v>3950</v>
      </c>
      <c r="F3948">
        <v>214.79</v>
      </c>
      <c r="G3948">
        <v>862.73</v>
      </c>
      <c r="H3948">
        <v>211.42</v>
      </c>
      <c r="I3948">
        <v>26.1</v>
      </c>
      <c r="J3948">
        <v>14.84</v>
      </c>
      <c r="K3948">
        <v>548.82000000000005</v>
      </c>
      <c r="L3948">
        <v>25.72</v>
      </c>
      <c r="M3948">
        <v>2.88</v>
      </c>
      <c r="N3948">
        <v>45.43</v>
      </c>
      <c r="O3948">
        <v>3.61</v>
      </c>
      <c r="P3948">
        <v>1.02</v>
      </c>
    </row>
    <row r="3949" spans="1:16">
      <c r="A3949" s="1" t="s">
        <v>3945</v>
      </c>
      <c r="B3949" s="1" t="s">
        <v>3994</v>
      </c>
      <c r="C3949" s="1" t="s">
        <v>1764</v>
      </c>
      <c r="D3949" s="1" t="s">
        <v>44</v>
      </c>
      <c r="E3949" s="1" t="s">
        <v>3950</v>
      </c>
      <c r="F3949">
        <v>525.99</v>
      </c>
      <c r="G3949">
        <v>295.48</v>
      </c>
      <c r="H3949">
        <v>127.12</v>
      </c>
      <c r="I3949">
        <v>28.76</v>
      </c>
      <c r="J3949">
        <v>29.78</v>
      </c>
      <c r="K3949">
        <v>483.69</v>
      </c>
      <c r="L3949">
        <v>21.76</v>
      </c>
      <c r="M3949">
        <v>2.25</v>
      </c>
      <c r="N3949">
        <v>52.6</v>
      </c>
      <c r="O3949">
        <v>4.3600000000000003</v>
      </c>
      <c r="P3949">
        <v>1.1399999999999999</v>
      </c>
    </row>
    <row r="3950" spans="1:16">
      <c r="A3950" s="1" t="s">
        <v>3945</v>
      </c>
      <c r="B3950" s="1" t="s">
        <v>3995</v>
      </c>
      <c r="C3950" s="1" t="s">
        <v>1764</v>
      </c>
      <c r="D3950" s="1" t="s">
        <v>44</v>
      </c>
      <c r="E3950" s="1" t="s">
        <v>3950</v>
      </c>
      <c r="F3950">
        <v>11.05</v>
      </c>
      <c r="G3950">
        <v>58.38</v>
      </c>
      <c r="H3950">
        <v>272.8</v>
      </c>
      <c r="I3950">
        <v>2.99</v>
      </c>
      <c r="J3950">
        <v>14.84</v>
      </c>
      <c r="K3950">
        <v>270.95</v>
      </c>
      <c r="L3950">
        <v>9.9499999999999993</v>
      </c>
      <c r="M3950">
        <v>12.84</v>
      </c>
      <c r="N3950">
        <v>16.940000000000001</v>
      </c>
      <c r="O3950">
        <v>2.08</v>
      </c>
      <c r="P3950">
        <v>0.36</v>
      </c>
    </row>
    <row r="3951" spans="1:16">
      <c r="A3951" s="1" t="s">
        <v>3945</v>
      </c>
      <c r="B3951" s="1" t="s">
        <v>3996</v>
      </c>
      <c r="C3951" s="1" t="s">
        <v>1764</v>
      </c>
      <c r="D3951" s="1" t="s">
        <v>44</v>
      </c>
      <c r="E3951" s="1" t="s">
        <v>3950</v>
      </c>
      <c r="F3951">
        <v>353.45</v>
      </c>
      <c r="G3951">
        <v>794.51</v>
      </c>
      <c r="H3951">
        <v>39.130000000000003</v>
      </c>
      <c r="I3951">
        <v>0.52</v>
      </c>
      <c r="J3951">
        <v>7.15</v>
      </c>
      <c r="K3951">
        <v>432.36</v>
      </c>
      <c r="L3951">
        <v>10.039999999999999</v>
      </c>
      <c r="M3951">
        <v>9.6999999999999993</v>
      </c>
      <c r="N3951">
        <v>23.37</v>
      </c>
      <c r="O3951">
        <v>4.24</v>
      </c>
      <c r="P3951">
        <v>0.42</v>
      </c>
    </row>
    <row r="3952" spans="1:16">
      <c r="A3952" s="1" t="s">
        <v>3945</v>
      </c>
      <c r="B3952" s="1" t="s">
        <v>3997</v>
      </c>
      <c r="C3952" s="1" t="s">
        <v>1764</v>
      </c>
      <c r="D3952" s="1" t="s">
        <v>44</v>
      </c>
      <c r="E3952" s="1" t="s">
        <v>3950</v>
      </c>
      <c r="F3952">
        <v>365.01</v>
      </c>
      <c r="G3952">
        <v>723.24</v>
      </c>
      <c r="H3952">
        <v>170.59</v>
      </c>
      <c r="I3952">
        <v>1.1299999999999999</v>
      </c>
      <c r="J3952">
        <v>51.12</v>
      </c>
      <c r="K3952">
        <v>417.57</v>
      </c>
      <c r="L3952">
        <v>11.62</v>
      </c>
      <c r="M3952">
        <v>14.36</v>
      </c>
      <c r="N3952">
        <v>26.68</v>
      </c>
      <c r="O3952">
        <v>3.09</v>
      </c>
      <c r="P3952">
        <v>7.3</v>
      </c>
    </row>
    <row r="3953" spans="1:16">
      <c r="A3953" s="1" t="s">
        <v>3945</v>
      </c>
      <c r="B3953" s="1" t="s">
        <v>3998</v>
      </c>
      <c r="C3953" s="1" t="s">
        <v>1764</v>
      </c>
      <c r="D3953" s="1" t="s">
        <v>44</v>
      </c>
      <c r="E3953" s="1" t="s">
        <v>3950</v>
      </c>
      <c r="F3953">
        <v>368.17</v>
      </c>
      <c r="G3953">
        <v>994.27</v>
      </c>
      <c r="H3953">
        <v>26.32</v>
      </c>
      <c r="I3953">
        <v>3.85</v>
      </c>
      <c r="J3953">
        <v>13.68</v>
      </c>
      <c r="K3953">
        <v>393.51</v>
      </c>
      <c r="L3953">
        <v>9.65</v>
      </c>
      <c r="M3953">
        <v>7.98</v>
      </c>
      <c r="N3953">
        <v>18.14</v>
      </c>
      <c r="O3953">
        <v>4.6399999999999997</v>
      </c>
      <c r="P3953">
        <v>0.62</v>
      </c>
    </row>
    <row r="3954" spans="1:16">
      <c r="A3954" s="1" t="s">
        <v>3945</v>
      </c>
      <c r="B3954" s="1" t="s">
        <v>3999</v>
      </c>
      <c r="C3954" s="1" t="s">
        <v>1764</v>
      </c>
      <c r="D3954" s="1" t="s">
        <v>44</v>
      </c>
      <c r="E3954" s="1" t="s">
        <v>3950</v>
      </c>
      <c r="F3954">
        <v>761.38</v>
      </c>
      <c r="G3954">
        <v>1579.75</v>
      </c>
      <c r="H3954">
        <v>47.34</v>
      </c>
      <c r="I3954">
        <v>1.96</v>
      </c>
      <c r="J3954">
        <v>3.12</v>
      </c>
      <c r="K3954">
        <v>491.36</v>
      </c>
      <c r="L3954">
        <v>14.11</v>
      </c>
      <c r="M3954">
        <v>10.42</v>
      </c>
      <c r="N3954">
        <v>24.45</v>
      </c>
      <c r="O3954">
        <v>4.42</v>
      </c>
      <c r="P3954">
        <v>0.73</v>
      </c>
    </row>
    <row r="3955" spans="1:16">
      <c r="A3955" s="1" t="s">
        <v>3945</v>
      </c>
      <c r="B3955" s="1" t="s">
        <v>4000</v>
      </c>
      <c r="C3955" s="1" t="s">
        <v>1764</v>
      </c>
      <c r="D3955" s="1" t="s">
        <v>44</v>
      </c>
      <c r="E3955" s="1" t="s">
        <v>3950</v>
      </c>
      <c r="F3955">
        <v>285.64</v>
      </c>
      <c r="G3955">
        <v>698.18</v>
      </c>
      <c r="H3955">
        <v>8.2100000000000009</v>
      </c>
      <c r="I3955">
        <v>0.61</v>
      </c>
      <c r="J3955">
        <v>66.37</v>
      </c>
      <c r="K3955">
        <v>397.73</v>
      </c>
      <c r="L3955">
        <v>11.33</v>
      </c>
      <c r="M3955">
        <v>9.43</v>
      </c>
      <c r="N3955">
        <v>21.91</v>
      </c>
      <c r="O3955">
        <v>3.72</v>
      </c>
      <c r="P3955">
        <v>7.23</v>
      </c>
    </row>
    <row r="3956" spans="1:16">
      <c r="A3956" s="1" t="s">
        <v>3945</v>
      </c>
      <c r="B3956" s="1" t="s">
        <v>4001</v>
      </c>
      <c r="C3956" s="1" t="s">
        <v>1764</v>
      </c>
      <c r="D3956" s="1" t="s">
        <v>44</v>
      </c>
      <c r="E3956" s="1" t="s">
        <v>3950</v>
      </c>
      <c r="F3956">
        <v>460.42</v>
      </c>
      <c r="G3956">
        <v>946.78</v>
      </c>
      <c r="H3956">
        <v>35.51</v>
      </c>
      <c r="I3956">
        <v>1.76</v>
      </c>
      <c r="J3956">
        <v>4.4000000000000004</v>
      </c>
      <c r="K3956">
        <v>419.48</v>
      </c>
      <c r="L3956">
        <v>10.58</v>
      </c>
      <c r="M3956">
        <v>13.46</v>
      </c>
      <c r="N3956">
        <v>17.649999999999999</v>
      </c>
      <c r="O3956">
        <v>5.0999999999999996</v>
      </c>
      <c r="P3956">
        <v>0.56000000000000005</v>
      </c>
    </row>
    <row r="3957" spans="1:16">
      <c r="A3957" s="1" t="s">
        <v>4002</v>
      </c>
      <c r="B3957" s="1" t="s">
        <v>4003</v>
      </c>
      <c r="C3957" s="1" t="s">
        <v>5591</v>
      </c>
      <c r="D3957" s="1" t="s">
        <v>1683</v>
      </c>
      <c r="E3957" s="1" t="s">
        <v>4004</v>
      </c>
      <c r="F3957">
        <v>624</v>
      </c>
      <c r="G3957">
        <v>6920</v>
      </c>
      <c r="H3957">
        <v>1128</v>
      </c>
      <c r="I3957">
        <v>6363</v>
      </c>
      <c r="J3957">
        <v>49560</v>
      </c>
      <c r="K3957">
        <v>1111</v>
      </c>
      <c r="L3957">
        <v>29.32</v>
      </c>
      <c r="M3957">
        <v>262</v>
      </c>
      <c r="N3957">
        <v>2009</v>
      </c>
      <c r="O3957">
        <v>60.9</v>
      </c>
      <c r="P3957">
        <v>0.31</v>
      </c>
    </row>
    <row r="3958" spans="1:16">
      <c r="A3958" s="1" t="s">
        <v>4002</v>
      </c>
      <c r="B3958" s="1" t="s">
        <v>4005</v>
      </c>
      <c r="C3958" s="1" t="s">
        <v>5591</v>
      </c>
      <c r="D3958" s="1" t="s">
        <v>1683</v>
      </c>
      <c r="E3958" s="1" t="s">
        <v>4004</v>
      </c>
      <c r="F3958">
        <v>26.1</v>
      </c>
      <c r="G3958">
        <v>611</v>
      </c>
      <c r="H3958">
        <v>414</v>
      </c>
      <c r="I3958">
        <v>549</v>
      </c>
      <c r="J3958">
        <v>13.1</v>
      </c>
      <c r="K3958">
        <v>294</v>
      </c>
      <c r="L3958">
        <v>12.25</v>
      </c>
      <c r="M3958">
        <v>370</v>
      </c>
      <c r="N3958">
        <v>34</v>
      </c>
      <c r="O3958">
        <v>27.93</v>
      </c>
      <c r="P3958">
        <v>0.31</v>
      </c>
    </row>
    <row r="3959" spans="1:16">
      <c r="A3959" s="1" t="s">
        <v>4002</v>
      </c>
      <c r="B3959" s="1" t="s">
        <v>4006</v>
      </c>
      <c r="C3959" s="1" t="s">
        <v>5591</v>
      </c>
      <c r="D3959" s="1" t="s">
        <v>1683</v>
      </c>
      <c r="E3959" s="1" t="s">
        <v>4007</v>
      </c>
      <c r="F3959">
        <v>123</v>
      </c>
      <c r="G3959">
        <v>1073</v>
      </c>
      <c r="H3959">
        <v>1059</v>
      </c>
      <c r="I3959">
        <v>2074</v>
      </c>
      <c r="J3959">
        <v>6028</v>
      </c>
      <c r="K3959">
        <v>667</v>
      </c>
      <c r="L3959">
        <v>14.73</v>
      </c>
      <c r="M3959">
        <v>572</v>
      </c>
      <c r="N3959">
        <v>24.4</v>
      </c>
      <c r="O3959">
        <v>15.19</v>
      </c>
      <c r="P3959">
        <v>0.68</v>
      </c>
    </row>
    <row r="3960" spans="1:16">
      <c r="A3960" s="1" t="s">
        <v>4002</v>
      </c>
      <c r="B3960" s="1" t="s">
        <v>4008</v>
      </c>
      <c r="C3960" s="1" t="s">
        <v>5591</v>
      </c>
      <c r="D3960" s="1" t="s">
        <v>1683</v>
      </c>
      <c r="E3960" s="1" t="s">
        <v>4007</v>
      </c>
      <c r="F3960">
        <v>126</v>
      </c>
      <c r="G3960">
        <v>1000</v>
      </c>
      <c r="H3960">
        <v>927</v>
      </c>
      <c r="I3960">
        <v>2114</v>
      </c>
      <c r="J3960">
        <v>5915</v>
      </c>
      <c r="K3960">
        <v>637</v>
      </c>
      <c r="L3960">
        <v>14.78</v>
      </c>
      <c r="M3960">
        <v>569</v>
      </c>
      <c r="N3960">
        <v>24</v>
      </c>
      <c r="O3960">
        <v>15.28</v>
      </c>
      <c r="P3960">
        <v>0.66</v>
      </c>
    </row>
    <row r="3961" spans="1:16">
      <c r="A3961" s="1" t="s">
        <v>4002</v>
      </c>
      <c r="B3961" s="1" t="s">
        <v>4009</v>
      </c>
      <c r="C3961" s="1" t="s">
        <v>5591</v>
      </c>
      <c r="D3961" s="1" t="s">
        <v>1683</v>
      </c>
      <c r="E3961" s="1" t="s">
        <v>4007</v>
      </c>
      <c r="F3961">
        <v>121</v>
      </c>
      <c r="G3961">
        <v>1146</v>
      </c>
      <c r="H3961">
        <v>1192</v>
      </c>
      <c r="I3961">
        <v>2034</v>
      </c>
      <c r="J3961">
        <v>6141</v>
      </c>
      <c r="K3961">
        <v>696</v>
      </c>
      <c r="L3961">
        <v>14.67</v>
      </c>
      <c r="M3961">
        <v>576</v>
      </c>
      <c r="N3961">
        <v>24.9</v>
      </c>
      <c r="O3961">
        <v>15.11</v>
      </c>
      <c r="P3961">
        <v>0.7</v>
      </c>
    </row>
    <row r="3962" spans="1:16">
      <c r="A3962" s="1" t="s">
        <v>4002</v>
      </c>
      <c r="B3962" s="1" t="s">
        <v>4010</v>
      </c>
      <c r="C3962" s="1" t="s">
        <v>5591</v>
      </c>
      <c r="D3962" s="1" t="s">
        <v>1683</v>
      </c>
      <c r="E3962" s="1" t="s">
        <v>4007</v>
      </c>
      <c r="F3962">
        <v>39.4</v>
      </c>
      <c r="G3962">
        <v>2140</v>
      </c>
      <c r="H3962">
        <v>810</v>
      </c>
      <c r="I3962">
        <v>2096</v>
      </c>
      <c r="J3962">
        <v>17852</v>
      </c>
      <c r="K3962">
        <v>974</v>
      </c>
      <c r="L3962">
        <v>16.89</v>
      </c>
      <c r="M3962">
        <v>636</v>
      </c>
      <c r="N3962">
        <v>85.7</v>
      </c>
      <c r="O3962">
        <v>26.43</v>
      </c>
      <c r="P3962">
        <v>1.04</v>
      </c>
    </row>
    <row r="3963" spans="1:16">
      <c r="A3963" s="1" t="s">
        <v>4002</v>
      </c>
      <c r="B3963" s="1" t="s">
        <v>4011</v>
      </c>
      <c r="C3963" s="1" t="s">
        <v>5591</v>
      </c>
      <c r="D3963" s="1" t="s">
        <v>1683</v>
      </c>
      <c r="E3963" s="1" t="s">
        <v>4007</v>
      </c>
      <c r="F3963">
        <v>33.9</v>
      </c>
      <c r="G3963">
        <v>230</v>
      </c>
      <c r="H3963">
        <v>343</v>
      </c>
      <c r="I3963">
        <v>2589</v>
      </c>
      <c r="J3963">
        <v>7850</v>
      </c>
      <c r="K3963">
        <v>370</v>
      </c>
      <c r="L3963">
        <v>12.71</v>
      </c>
      <c r="M3963">
        <v>476</v>
      </c>
      <c r="N3963">
        <v>42.9</v>
      </c>
      <c r="O3963">
        <v>22.47</v>
      </c>
      <c r="P3963">
        <v>0.19</v>
      </c>
    </row>
    <row r="3964" spans="1:16">
      <c r="A3964" s="1" t="s">
        <v>4002</v>
      </c>
      <c r="B3964" s="1" t="s">
        <v>4012</v>
      </c>
      <c r="C3964" s="1" t="s">
        <v>5591</v>
      </c>
      <c r="D3964" s="1" t="s">
        <v>1683</v>
      </c>
      <c r="E3964" s="1" t="s">
        <v>4007</v>
      </c>
      <c r="F3964">
        <v>167</v>
      </c>
      <c r="G3964">
        <v>2505</v>
      </c>
      <c r="H3964">
        <v>798</v>
      </c>
      <c r="I3964">
        <v>2431</v>
      </c>
      <c r="J3964">
        <v>9500</v>
      </c>
      <c r="K3964">
        <v>575</v>
      </c>
      <c r="L3964">
        <v>15.54</v>
      </c>
      <c r="M3964">
        <v>545</v>
      </c>
      <c r="N3964">
        <v>225</v>
      </c>
      <c r="O3964">
        <v>27.97</v>
      </c>
      <c r="P3964">
        <v>0.31</v>
      </c>
    </row>
    <row r="3965" spans="1:16">
      <c r="A3965" s="1" t="s">
        <v>4002</v>
      </c>
      <c r="B3965" s="1" t="s">
        <v>4013</v>
      </c>
      <c r="C3965" s="1" t="s">
        <v>5591</v>
      </c>
      <c r="D3965" s="1" t="s">
        <v>1683</v>
      </c>
      <c r="E3965" s="1" t="s">
        <v>4007</v>
      </c>
      <c r="F3965">
        <v>14.1</v>
      </c>
      <c r="G3965">
        <v>1819</v>
      </c>
      <c r="H3965">
        <v>1175</v>
      </c>
      <c r="I3965">
        <v>2148</v>
      </c>
      <c r="J3965">
        <v>10712</v>
      </c>
      <c r="K3965">
        <v>888</v>
      </c>
      <c r="L3965">
        <v>13.15</v>
      </c>
      <c r="M3965">
        <v>722</v>
      </c>
      <c r="N3965">
        <v>48.8</v>
      </c>
      <c r="O3965">
        <v>17.73</v>
      </c>
      <c r="P3965">
        <v>1.87</v>
      </c>
    </row>
    <row r="3966" spans="1:16">
      <c r="A3966" s="1" t="s">
        <v>4002</v>
      </c>
      <c r="B3966" s="1" t="s">
        <v>4014</v>
      </c>
      <c r="C3966" s="1" t="s">
        <v>5591</v>
      </c>
      <c r="D3966" s="1" t="s">
        <v>1683</v>
      </c>
      <c r="E3966" s="1" t="s">
        <v>4007</v>
      </c>
      <c r="F3966">
        <v>99.2</v>
      </c>
      <c r="G3966">
        <v>3091</v>
      </c>
      <c r="H3966">
        <v>11242</v>
      </c>
      <c r="I3966">
        <v>1190</v>
      </c>
      <c r="J3966">
        <v>1246</v>
      </c>
      <c r="K3966">
        <v>2509</v>
      </c>
      <c r="L3966">
        <v>12.73</v>
      </c>
      <c r="M3966">
        <v>672</v>
      </c>
      <c r="N3966">
        <v>144</v>
      </c>
      <c r="O3966">
        <v>18.100000000000001</v>
      </c>
      <c r="P3966">
        <v>0.28999999999999998</v>
      </c>
    </row>
    <row r="3967" spans="1:16">
      <c r="A3967" s="1" t="s">
        <v>4002</v>
      </c>
      <c r="B3967" s="1" t="s">
        <v>4015</v>
      </c>
      <c r="C3967" s="1" t="s">
        <v>5591</v>
      </c>
      <c r="D3967" s="1" t="s">
        <v>1683</v>
      </c>
      <c r="E3967" s="1" t="s">
        <v>4007</v>
      </c>
      <c r="F3967">
        <v>33.6</v>
      </c>
      <c r="G3967">
        <v>1348</v>
      </c>
      <c r="H3967">
        <v>1337</v>
      </c>
      <c r="I3967">
        <v>2859</v>
      </c>
      <c r="J3967">
        <v>9768</v>
      </c>
      <c r="K3967">
        <v>869</v>
      </c>
      <c r="L3967">
        <v>11.44</v>
      </c>
      <c r="M3967">
        <v>707</v>
      </c>
      <c r="N3967">
        <v>29.7</v>
      </c>
      <c r="O3967">
        <v>15.96</v>
      </c>
      <c r="P3967">
        <v>2.57</v>
      </c>
    </row>
    <row r="3968" spans="1:16">
      <c r="A3968" s="1" t="s">
        <v>4002</v>
      </c>
      <c r="B3968" s="1" t="s">
        <v>4016</v>
      </c>
      <c r="C3968" s="1" t="s">
        <v>5591</v>
      </c>
      <c r="D3968" s="1" t="s">
        <v>1683</v>
      </c>
      <c r="E3968" s="1" t="s">
        <v>4007</v>
      </c>
      <c r="F3968">
        <v>317</v>
      </c>
      <c r="G3968">
        <v>3884</v>
      </c>
      <c r="H3968">
        <v>1057</v>
      </c>
      <c r="I3968">
        <v>178</v>
      </c>
      <c r="J3968">
        <v>17</v>
      </c>
      <c r="K3968">
        <v>4090</v>
      </c>
      <c r="L3968">
        <v>13.43</v>
      </c>
      <c r="M3968">
        <v>944</v>
      </c>
      <c r="N3968">
        <v>956</v>
      </c>
      <c r="O3968">
        <v>5.51</v>
      </c>
      <c r="P3968">
        <v>17.88</v>
      </c>
    </row>
    <row r="3969" spans="1:16">
      <c r="A3969" s="1" t="s">
        <v>4002</v>
      </c>
      <c r="B3969" s="1" t="s">
        <v>4017</v>
      </c>
      <c r="C3969" s="1" t="s">
        <v>5591</v>
      </c>
      <c r="D3969" s="1" t="s">
        <v>1683</v>
      </c>
      <c r="E3969" s="1" t="s">
        <v>4007</v>
      </c>
      <c r="F3969">
        <v>164</v>
      </c>
      <c r="G3969">
        <v>4025</v>
      </c>
      <c r="H3969">
        <v>1208</v>
      </c>
      <c r="I3969">
        <v>179</v>
      </c>
      <c r="J3969">
        <v>17.2</v>
      </c>
      <c r="K3969">
        <v>4277</v>
      </c>
      <c r="L3969">
        <v>13.31</v>
      </c>
      <c r="M3969">
        <v>890</v>
      </c>
      <c r="N3969">
        <v>1289</v>
      </c>
      <c r="O3969">
        <v>5.72</v>
      </c>
      <c r="P3969">
        <v>17.87</v>
      </c>
    </row>
    <row r="3970" spans="1:16">
      <c r="A3970" s="1" t="s">
        <v>4002</v>
      </c>
      <c r="B3970" s="1" t="s">
        <v>4018</v>
      </c>
      <c r="C3970" s="1" t="s">
        <v>5591</v>
      </c>
      <c r="D3970" s="1" t="s">
        <v>1683</v>
      </c>
      <c r="E3970" s="1" t="s">
        <v>4007</v>
      </c>
      <c r="F3970">
        <v>1291</v>
      </c>
      <c r="G3970">
        <v>25.5</v>
      </c>
      <c r="H3970">
        <v>27.3</v>
      </c>
      <c r="I3970">
        <v>18.5</v>
      </c>
      <c r="J3970">
        <v>24.8</v>
      </c>
      <c r="K3970">
        <v>421</v>
      </c>
      <c r="L3970">
        <v>9.42</v>
      </c>
      <c r="M3970">
        <v>1085</v>
      </c>
      <c r="N3970">
        <v>34.4</v>
      </c>
      <c r="O3970">
        <v>7.05</v>
      </c>
      <c r="P3970">
        <v>47.43</v>
      </c>
    </row>
    <row r="3971" spans="1:16">
      <c r="A3971" s="1" t="s">
        <v>4002</v>
      </c>
      <c r="B3971" s="1" t="s">
        <v>4019</v>
      </c>
      <c r="C3971" s="1" t="s">
        <v>5591</v>
      </c>
      <c r="D3971" s="1" t="s">
        <v>1683</v>
      </c>
      <c r="E3971" s="1" t="s">
        <v>4007</v>
      </c>
      <c r="F3971">
        <v>1582</v>
      </c>
      <c r="G3971">
        <v>11.8</v>
      </c>
      <c r="H3971">
        <v>27.7</v>
      </c>
      <c r="I3971">
        <v>15.5</v>
      </c>
      <c r="J3971">
        <v>25.8</v>
      </c>
      <c r="K3971">
        <v>363</v>
      </c>
      <c r="L3971">
        <v>8.34</v>
      </c>
      <c r="M3971">
        <v>783</v>
      </c>
      <c r="N3971">
        <v>23.3</v>
      </c>
      <c r="O3971">
        <v>7.1</v>
      </c>
      <c r="P3971">
        <v>26.33</v>
      </c>
    </row>
    <row r="3972" spans="1:16">
      <c r="A3972" s="1" t="s">
        <v>4002</v>
      </c>
      <c r="B3972" s="1" t="s">
        <v>4020</v>
      </c>
      <c r="C3972" s="1" t="s">
        <v>5591</v>
      </c>
      <c r="D3972" s="1" t="s">
        <v>1683</v>
      </c>
      <c r="E3972" s="1" t="s">
        <v>4007</v>
      </c>
      <c r="F3972">
        <v>56</v>
      </c>
      <c r="G3972">
        <v>121</v>
      </c>
      <c r="H3972">
        <v>44.9</v>
      </c>
      <c r="I3972">
        <v>11.2</v>
      </c>
      <c r="J3972">
        <v>7.78</v>
      </c>
      <c r="K3972">
        <v>284</v>
      </c>
      <c r="L3972">
        <v>80.41</v>
      </c>
      <c r="M3972">
        <v>3118</v>
      </c>
      <c r="N3972">
        <v>121</v>
      </c>
      <c r="O3972">
        <v>7.52</v>
      </c>
      <c r="P3972">
        <v>176.35</v>
      </c>
    </row>
    <row r="3973" spans="1:16">
      <c r="A3973" s="1" t="s">
        <v>4002</v>
      </c>
      <c r="B3973" s="1" t="s">
        <v>4021</v>
      </c>
      <c r="C3973" s="1" t="s">
        <v>5591</v>
      </c>
      <c r="D3973" s="1" t="s">
        <v>1683</v>
      </c>
      <c r="E3973" s="1" t="s">
        <v>4007</v>
      </c>
      <c r="F3973">
        <v>441</v>
      </c>
      <c r="G3973">
        <v>5.6</v>
      </c>
      <c r="H3973">
        <v>29.7</v>
      </c>
      <c r="I3973">
        <v>5.04</v>
      </c>
      <c r="J3973">
        <v>1.78</v>
      </c>
      <c r="K3973">
        <v>1481</v>
      </c>
      <c r="L3973">
        <v>16.53</v>
      </c>
      <c r="M3973">
        <v>2969</v>
      </c>
      <c r="N3973">
        <v>60.4</v>
      </c>
      <c r="O3973">
        <v>7.18</v>
      </c>
      <c r="P3973">
        <v>287.24</v>
      </c>
    </row>
    <row r="3974" spans="1:16">
      <c r="A3974" s="1" t="s">
        <v>4002</v>
      </c>
      <c r="B3974" s="1" t="s">
        <v>4022</v>
      </c>
      <c r="C3974" s="1" t="s">
        <v>5591</v>
      </c>
      <c r="D3974" s="1" t="s">
        <v>1683</v>
      </c>
      <c r="E3974" s="1" t="s">
        <v>4007</v>
      </c>
      <c r="F3974">
        <v>150</v>
      </c>
      <c r="G3974">
        <v>9936</v>
      </c>
      <c r="H3974">
        <v>3135</v>
      </c>
      <c r="I3974">
        <v>83</v>
      </c>
      <c r="J3974">
        <v>27</v>
      </c>
      <c r="K3974">
        <v>3654</v>
      </c>
      <c r="L3974">
        <v>26.36</v>
      </c>
      <c r="M3974">
        <v>3658</v>
      </c>
      <c r="N3974">
        <v>587</v>
      </c>
      <c r="O3974">
        <v>18.78</v>
      </c>
      <c r="P3974">
        <v>292.55</v>
      </c>
    </row>
    <row r="3975" spans="1:16">
      <c r="A3975" s="1" t="s">
        <v>4002</v>
      </c>
      <c r="B3975" s="1" t="s">
        <v>4023</v>
      </c>
      <c r="C3975" s="1" t="s">
        <v>5591</v>
      </c>
      <c r="D3975" s="1" t="s">
        <v>1683</v>
      </c>
      <c r="E3975" s="1" t="s">
        <v>4007</v>
      </c>
      <c r="F3975">
        <v>925</v>
      </c>
      <c r="G3975">
        <v>2.29</v>
      </c>
      <c r="H3975">
        <v>4.34</v>
      </c>
      <c r="I3975">
        <v>0.3</v>
      </c>
      <c r="J3975">
        <v>0.53</v>
      </c>
      <c r="K3975">
        <v>1255</v>
      </c>
      <c r="L3975">
        <v>20.97</v>
      </c>
      <c r="M3975">
        <v>2754</v>
      </c>
      <c r="N3975">
        <v>151</v>
      </c>
      <c r="O3975">
        <v>3.63</v>
      </c>
      <c r="P3975">
        <v>107.62</v>
      </c>
    </row>
    <row r="3976" spans="1:16">
      <c r="A3976" s="1" t="s">
        <v>4002</v>
      </c>
      <c r="B3976" s="1" t="s">
        <v>4024</v>
      </c>
      <c r="C3976" s="1" t="s">
        <v>5591</v>
      </c>
      <c r="D3976" s="1" t="s">
        <v>1683</v>
      </c>
      <c r="E3976" s="1" t="s">
        <v>4007</v>
      </c>
      <c r="F3976">
        <v>893</v>
      </c>
      <c r="G3976">
        <v>2.29</v>
      </c>
      <c r="H3976">
        <v>5.07</v>
      </c>
      <c r="I3976">
        <v>0.3</v>
      </c>
      <c r="J3976">
        <v>0.46</v>
      </c>
      <c r="K3976">
        <v>1451</v>
      </c>
      <c r="L3976">
        <v>21.15</v>
      </c>
      <c r="M3976">
        <v>2841</v>
      </c>
      <c r="N3976">
        <v>195</v>
      </c>
      <c r="O3976">
        <v>3.7</v>
      </c>
      <c r="P3976">
        <v>114.2</v>
      </c>
    </row>
    <row r="3977" spans="1:16">
      <c r="A3977" s="1" t="s">
        <v>4002</v>
      </c>
      <c r="B3977" s="1" t="s">
        <v>4025</v>
      </c>
      <c r="C3977" s="1" t="s">
        <v>5591</v>
      </c>
      <c r="D3977" s="1" t="s">
        <v>1683</v>
      </c>
      <c r="E3977" s="1" t="s">
        <v>4007</v>
      </c>
      <c r="F3977">
        <v>973</v>
      </c>
      <c r="G3977">
        <v>2.29</v>
      </c>
      <c r="H3977">
        <v>3.24</v>
      </c>
      <c r="I3977">
        <v>0.3</v>
      </c>
      <c r="J3977">
        <v>0.62</v>
      </c>
      <c r="K3977">
        <v>962</v>
      </c>
      <c r="L3977">
        <v>20.7</v>
      </c>
      <c r="M3977">
        <v>2624</v>
      </c>
      <c r="N3977">
        <v>85.7</v>
      </c>
      <c r="O3977">
        <v>3.53</v>
      </c>
      <c r="P3977">
        <v>97.74</v>
      </c>
    </row>
    <row r="3978" spans="1:16">
      <c r="A3978" s="1" t="s">
        <v>4002</v>
      </c>
      <c r="B3978" s="1" t="s">
        <v>4026</v>
      </c>
      <c r="C3978" s="1" t="s">
        <v>5591</v>
      </c>
      <c r="D3978" s="1" t="s">
        <v>1683</v>
      </c>
      <c r="E3978" s="1" t="s">
        <v>4007</v>
      </c>
      <c r="F3978">
        <v>102</v>
      </c>
      <c r="G3978">
        <v>2.29</v>
      </c>
      <c r="H3978">
        <v>1.28</v>
      </c>
      <c r="I3978">
        <v>1.07</v>
      </c>
      <c r="J3978">
        <v>0.66</v>
      </c>
      <c r="K3978">
        <v>225</v>
      </c>
      <c r="L3978">
        <v>19.920000000000002</v>
      </c>
      <c r="M3978">
        <v>2033</v>
      </c>
      <c r="N3978">
        <v>50.1</v>
      </c>
      <c r="O3978">
        <v>7.44</v>
      </c>
      <c r="P3978">
        <v>80.63</v>
      </c>
    </row>
    <row r="3979" spans="1:16">
      <c r="A3979" s="1" t="s">
        <v>4002</v>
      </c>
      <c r="B3979" s="1" t="s">
        <v>4027</v>
      </c>
      <c r="C3979" s="1" t="s">
        <v>5591</v>
      </c>
      <c r="D3979" s="1" t="s">
        <v>1683</v>
      </c>
      <c r="E3979" s="1" t="s">
        <v>4007</v>
      </c>
      <c r="F3979">
        <v>258</v>
      </c>
      <c r="G3979">
        <v>2.29</v>
      </c>
      <c r="H3979">
        <v>20</v>
      </c>
      <c r="I3979">
        <v>3.95</v>
      </c>
      <c r="J3979">
        <v>0.96</v>
      </c>
      <c r="K3979">
        <v>443</v>
      </c>
      <c r="L3979">
        <v>51.72</v>
      </c>
      <c r="M3979">
        <v>2035</v>
      </c>
      <c r="N3979">
        <v>125</v>
      </c>
      <c r="O3979">
        <v>5.18</v>
      </c>
      <c r="P3979">
        <v>97.32</v>
      </c>
    </row>
    <row r="3980" spans="1:16">
      <c r="A3980" s="1" t="s">
        <v>3799</v>
      </c>
      <c r="B3980" s="1" t="s">
        <v>4028</v>
      </c>
      <c r="C3980" s="1" t="s">
        <v>1764</v>
      </c>
      <c r="D3980" s="1" t="s">
        <v>2646</v>
      </c>
      <c r="E3980" s="1" t="s">
        <v>4029</v>
      </c>
      <c r="F3980">
        <v>72.369139171421466</v>
      </c>
      <c r="G3980">
        <v>36.583344656732521</v>
      </c>
      <c r="H3980">
        <v>161.437165892081</v>
      </c>
      <c r="I3980">
        <v>188.5611163942188</v>
      </c>
      <c r="J3980">
        <v>6.4116272470611122</v>
      </c>
      <c r="K3980">
        <v>460.78234245713634</v>
      </c>
      <c r="L3980">
        <v>21.699680634894271</v>
      </c>
      <c r="M3980">
        <v>86.692211691501754</v>
      </c>
      <c r="N3980">
        <v>164.75714932304084</v>
      </c>
      <c r="O3980">
        <v>2.082198917226354</v>
      </c>
      <c r="P3980">
        <v>3.4709998923049534</v>
      </c>
    </row>
    <row r="3981" spans="1:16">
      <c r="A3981" s="1" t="s">
        <v>3799</v>
      </c>
      <c r="B3981" s="1" t="s">
        <v>4030</v>
      </c>
      <c r="C3981" s="1" t="s">
        <v>1764</v>
      </c>
      <c r="D3981" s="1" t="s">
        <v>2646</v>
      </c>
      <c r="E3981" s="1" t="s">
        <v>4029</v>
      </c>
      <c r="F3981">
        <v>126.64599354998758</v>
      </c>
      <c r="G3981">
        <v>168.06931210913589</v>
      </c>
      <c r="H3981">
        <v>161.53184557348175</v>
      </c>
      <c r="I3981">
        <v>187.74735577637543</v>
      </c>
      <c r="J3981">
        <v>6.4201722053929604</v>
      </c>
      <c r="K3981">
        <v>1763.7141710334311</v>
      </c>
      <c r="L3981">
        <v>23.583205404154388</v>
      </c>
      <c r="M3981">
        <v>88.024949534216432</v>
      </c>
      <c r="N3981">
        <v>187.56509704203538</v>
      </c>
      <c r="O3981">
        <v>1.8539625637976955</v>
      </c>
      <c r="P3981">
        <v>1.8641867305895894</v>
      </c>
    </row>
    <row r="3982" spans="1:16">
      <c r="A3982" s="1" t="s">
        <v>3799</v>
      </c>
      <c r="B3982" s="1" t="s">
        <v>4031</v>
      </c>
      <c r="C3982" s="1" t="s">
        <v>1764</v>
      </c>
      <c r="D3982" s="1" t="s">
        <v>2646</v>
      </c>
      <c r="E3982" s="1" t="s">
        <v>4032</v>
      </c>
      <c r="F3982">
        <v>102.62943978633091</v>
      </c>
      <c r="G3982">
        <v>23.138889629932468</v>
      </c>
      <c r="H3982">
        <v>284.02658963360574</v>
      </c>
      <c r="I3982">
        <v>177.3660729503998</v>
      </c>
      <c r="J3982">
        <v>4.2886853461407615</v>
      </c>
      <c r="K3982">
        <v>359.61977413897461</v>
      </c>
      <c r="L3982">
        <v>22.485425793895828</v>
      </c>
      <c r="M3982">
        <v>72.94387574632583</v>
      </c>
      <c r="N3982">
        <v>134.80787941136396</v>
      </c>
      <c r="O3982">
        <v>1.8396449074867578</v>
      </c>
      <c r="P3982">
        <v>4.6402440228142572</v>
      </c>
    </row>
    <row r="3983" spans="1:16">
      <c r="A3983" s="1" t="s">
        <v>3799</v>
      </c>
      <c r="B3983" s="1" t="s">
        <v>4033</v>
      </c>
      <c r="C3983" s="1" t="s">
        <v>1764</v>
      </c>
      <c r="D3983" s="1" t="s">
        <v>2646</v>
      </c>
      <c r="E3983" s="1" t="s">
        <v>4032</v>
      </c>
      <c r="F3983">
        <v>108.5537087571322</v>
      </c>
      <c r="G3983">
        <v>29.54671852644951</v>
      </c>
      <c r="H3983">
        <v>313.69814320940168</v>
      </c>
      <c r="I3983">
        <v>199.26970113094353</v>
      </c>
      <c r="J3983">
        <v>3.8677243580366101</v>
      </c>
      <c r="K3983">
        <v>634.72188948673397</v>
      </c>
      <c r="L3983">
        <v>23.738301718125669</v>
      </c>
      <c r="M3983">
        <v>97.131067500241215</v>
      </c>
      <c r="N3983">
        <v>156.48941546139267</v>
      </c>
      <c r="O3983">
        <v>2.0098028937007872</v>
      </c>
      <c r="P3983">
        <v>3.6466373385824391</v>
      </c>
    </row>
    <row r="3984" spans="1:16">
      <c r="A3984" s="1" t="s">
        <v>3799</v>
      </c>
      <c r="B3984" s="1" t="s">
        <v>4034</v>
      </c>
      <c r="C3984" s="1" t="s">
        <v>1764</v>
      </c>
      <c r="D3984" s="1" t="s">
        <v>2646</v>
      </c>
      <c r="E3984" s="1" t="s">
        <v>4032</v>
      </c>
      <c r="F3984">
        <v>120.61523195236913</v>
      </c>
      <c r="G3984">
        <v>43.183957629336334</v>
      </c>
      <c r="H3984">
        <v>255.3805655212538</v>
      </c>
      <c r="I3984">
        <v>198.63568059591555</v>
      </c>
      <c r="J3984">
        <v>16.803973057356558</v>
      </c>
      <c r="K3984">
        <v>639.98707209486849</v>
      </c>
      <c r="L3984">
        <v>21.627800653875511</v>
      </c>
      <c r="M3984">
        <v>74.5982615060516</v>
      </c>
      <c r="N3984">
        <v>141.65428789990492</v>
      </c>
      <c r="O3984">
        <v>1.718841432220662</v>
      </c>
      <c r="P3984">
        <v>3.5842944210301502</v>
      </c>
    </row>
    <row r="3985" spans="1:16">
      <c r="A3985" s="1" t="s">
        <v>3799</v>
      </c>
      <c r="B3985" s="1" t="s">
        <v>4035</v>
      </c>
      <c r="C3985" s="1" t="s">
        <v>1764</v>
      </c>
      <c r="D3985" s="1" t="s">
        <v>2646</v>
      </c>
      <c r="E3985" s="1" t="s">
        <v>4032</v>
      </c>
      <c r="F3985">
        <v>84.430662366658382</v>
      </c>
      <c r="G3985">
        <v>49.81945112715848</v>
      </c>
      <c r="H3985">
        <v>212.21522316788815</v>
      </c>
      <c r="I3985">
        <v>213.94020150076457</v>
      </c>
      <c r="J3985">
        <v>31.094697980593814</v>
      </c>
      <c r="K3985">
        <v>378.79131689266666</v>
      </c>
      <c r="L3985">
        <v>22.603029726707859</v>
      </c>
      <c r="M3985">
        <v>85.8845032114004</v>
      </c>
      <c r="N3985">
        <v>155.27701046424772</v>
      </c>
      <c r="O3985">
        <v>1.318342187072546</v>
      </c>
      <c r="P3985">
        <v>3.2732289463343647</v>
      </c>
    </row>
    <row r="3986" spans="1:16">
      <c r="A3986" s="1" t="s">
        <v>3799</v>
      </c>
      <c r="B3986" s="1" t="s">
        <v>4036</v>
      </c>
      <c r="C3986" s="1" t="s">
        <v>1764</v>
      </c>
      <c r="D3986" s="1" t="s">
        <v>2646</v>
      </c>
      <c r="E3986" s="1" t="s">
        <v>4032</v>
      </c>
      <c r="F3986">
        <v>96.492185561895297</v>
      </c>
      <c r="G3986">
        <v>40.325834352416599</v>
      </c>
      <c r="H3986">
        <v>213.3370694938688</v>
      </c>
      <c r="I3986">
        <v>195.46375566533266</v>
      </c>
      <c r="J3986">
        <v>7.3073535268086154</v>
      </c>
      <c r="K3986">
        <v>425.31240349472137</v>
      </c>
      <c r="L3986">
        <v>22.207349552218364</v>
      </c>
      <c r="M3986">
        <v>80.116805258349174</v>
      </c>
      <c r="N3986">
        <v>110.88381976650723</v>
      </c>
      <c r="O3986">
        <v>1.5480838210918979</v>
      </c>
      <c r="P3986">
        <v>4.8614995115854125</v>
      </c>
    </row>
    <row r="3987" spans="1:16">
      <c r="A3987" s="1" t="s">
        <v>3799</v>
      </c>
      <c r="B3987" s="1" t="s">
        <v>4037</v>
      </c>
      <c r="C3987" s="1" t="s">
        <v>1764</v>
      </c>
      <c r="D3987" s="1" t="s">
        <v>2646</v>
      </c>
      <c r="E3987" s="1" t="s">
        <v>4032</v>
      </c>
      <c r="F3987">
        <v>66.338377573803015</v>
      </c>
      <c r="G3987">
        <v>33.410317368646197</v>
      </c>
      <c r="H3987">
        <v>199.04301626973881</v>
      </c>
      <c r="I3987">
        <v>190.79657169115504</v>
      </c>
      <c r="J3987">
        <v>11.542185882012639</v>
      </c>
      <c r="K3987">
        <v>450.81736386685941</v>
      </c>
      <c r="L3987">
        <v>21.359277414426696</v>
      </c>
      <c r="M3987">
        <v>65.563099756436216</v>
      </c>
      <c r="N3987">
        <v>109.38626103526519</v>
      </c>
      <c r="O3987">
        <v>1.544779326632105</v>
      </c>
      <c r="P3987">
        <v>3.7831844583310712</v>
      </c>
    </row>
    <row r="3988" spans="1:16">
      <c r="A3988" s="1" t="s">
        <v>3799</v>
      </c>
      <c r="B3988" s="1" t="s">
        <v>4038</v>
      </c>
      <c r="C3988" s="1" t="s">
        <v>1764</v>
      </c>
      <c r="D3988" s="1" t="s">
        <v>2646</v>
      </c>
      <c r="E3988" s="1" t="s">
        <v>4032</v>
      </c>
      <c r="F3988">
        <v>84.434190391388228</v>
      </c>
      <c r="G3988">
        <v>20.783849432132413</v>
      </c>
      <c r="H3988">
        <v>223.72730738573418</v>
      </c>
      <c r="I3988">
        <v>192.79992289223043</v>
      </c>
      <c r="J3988">
        <v>5.5415030288001228</v>
      </c>
      <c r="K3988">
        <v>456.72922328435425</v>
      </c>
      <c r="L3988">
        <v>21.923400984781097</v>
      </c>
      <c r="M3988">
        <v>84.679730056550625</v>
      </c>
      <c r="N3988">
        <v>108.1668312301297</v>
      </c>
      <c r="O3988">
        <v>1.7988087555056027</v>
      </c>
      <c r="P3988">
        <v>3.6829992459708176</v>
      </c>
    </row>
    <row r="3989" spans="1:16">
      <c r="A3989" s="1" t="s">
        <v>3799</v>
      </c>
      <c r="B3989" s="1" t="s">
        <v>4039</v>
      </c>
      <c r="C3989" s="1" t="s">
        <v>1764</v>
      </c>
      <c r="D3989" s="1" t="s">
        <v>2646</v>
      </c>
      <c r="E3989" s="1" t="s">
        <v>4032</v>
      </c>
      <c r="F3989">
        <v>114.58447035475065</v>
      </c>
      <c r="G3989">
        <v>36.98860148181388</v>
      </c>
      <c r="H3989">
        <v>185.36760222591369</v>
      </c>
      <c r="I3989">
        <v>199.24691036511066</v>
      </c>
      <c r="J3989">
        <v>15.80640470944833</v>
      </c>
      <c r="K3989">
        <v>294.77607836297761</v>
      </c>
      <c r="L3989">
        <v>21.715736274497711</v>
      </c>
      <c r="M3989">
        <v>84.028399875529445</v>
      </c>
      <c r="N3989">
        <v>167.0073849330258</v>
      </c>
      <c r="O3989">
        <v>1.6687245032697959</v>
      </c>
      <c r="P3989">
        <v>2.93740484104808</v>
      </c>
    </row>
    <row r="3990" spans="1:16">
      <c r="A3990" s="1" t="s">
        <v>3799</v>
      </c>
      <c r="B3990" s="1" t="s">
        <v>4040</v>
      </c>
      <c r="C3990" s="1" t="s">
        <v>1764</v>
      </c>
      <c r="D3990" s="1" t="s">
        <v>2646</v>
      </c>
      <c r="E3990" s="1" t="s">
        <v>4032</v>
      </c>
      <c r="F3990">
        <v>68.301929766129206</v>
      </c>
      <c r="G3990">
        <v>80.633006368534041</v>
      </c>
      <c r="H3990">
        <v>558.89742488957268</v>
      </c>
      <c r="I3990">
        <v>177.80732195694995</v>
      </c>
      <c r="J3990">
        <v>1.0165185512232318</v>
      </c>
      <c r="K3990">
        <v>696.27814339632926</v>
      </c>
      <c r="L3990">
        <v>20.108186744104572</v>
      </c>
      <c r="M3990">
        <v>76.773900012457588</v>
      </c>
      <c r="N3990">
        <v>83.076447215292021</v>
      </c>
      <c r="O3990">
        <v>3.0738714333923185</v>
      </c>
      <c r="P3990">
        <v>9.9899031747960052</v>
      </c>
    </row>
    <row r="3991" spans="1:16">
      <c r="A3991" s="1" t="s">
        <v>3799</v>
      </c>
      <c r="B3991" s="1" t="s">
        <v>4041</v>
      </c>
      <c r="C3991" s="1" t="s">
        <v>1764</v>
      </c>
      <c r="D3991" s="1" t="s">
        <v>2646</v>
      </c>
      <c r="E3991" s="1" t="s">
        <v>4032</v>
      </c>
      <c r="F3991">
        <v>62.014811232694527</v>
      </c>
      <c r="G3991">
        <v>76.217216420802245</v>
      </c>
      <c r="H3991">
        <v>357.64269420292618</v>
      </c>
      <c r="I3991">
        <v>175.74978669513757</v>
      </c>
      <c r="J3991">
        <v>0.80202152765762047</v>
      </c>
      <c r="K3991">
        <v>545.02411021523028</v>
      </c>
      <c r="L3991">
        <v>20.235889307779626</v>
      </c>
      <c r="M3991">
        <v>71.173043563830845</v>
      </c>
      <c r="N3991">
        <v>80.884070099181415</v>
      </c>
      <c r="O3991">
        <v>2.5099514362507693</v>
      </c>
      <c r="P3991">
        <v>7.0521081943134831</v>
      </c>
    </row>
    <row r="3992" spans="1:16">
      <c r="A3992" s="1" t="s">
        <v>3799</v>
      </c>
      <c r="B3992" s="1" t="s">
        <v>4042</v>
      </c>
      <c r="C3992" s="1" t="s">
        <v>1764</v>
      </c>
      <c r="D3992" s="1" t="s">
        <v>2646</v>
      </c>
      <c r="E3992" s="1" t="s">
        <v>4032</v>
      </c>
      <c r="F3992">
        <v>53.543448084567125</v>
      </c>
      <c r="G3992">
        <v>82.940728225939367</v>
      </c>
      <c r="H3992">
        <v>264.93231168924365</v>
      </c>
      <c r="I3992">
        <v>186.22994288522702</v>
      </c>
      <c r="J3992">
        <v>1.213302785590068</v>
      </c>
      <c r="K3992">
        <v>539.70606771297321</v>
      </c>
      <c r="L3992">
        <v>18.995293989897149</v>
      </c>
      <c r="M3992">
        <v>57.36208457948279</v>
      </c>
      <c r="N3992">
        <v>76.968955229086063</v>
      </c>
      <c r="O3992">
        <v>3.0434004727249628</v>
      </c>
      <c r="P3992">
        <v>4.06530834831843</v>
      </c>
    </row>
    <row r="3993" spans="1:16">
      <c r="A3993" s="1" t="s">
        <v>3799</v>
      </c>
      <c r="B3993" s="1" t="s">
        <v>4043</v>
      </c>
      <c r="C3993" s="1" t="s">
        <v>1764</v>
      </c>
      <c r="D3993" s="1" t="s">
        <v>2646</v>
      </c>
      <c r="E3993" s="1" t="s">
        <v>4032</v>
      </c>
      <c r="F3993">
        <v>127.48879359427434</v>
      </c>
      <c r="G3993">
        <v>80.784417187877082</v>
      </c>
      <c r="H3993">
        <v>368.14140754182847</v>
      </c>
      <c r="I3993">
        <v>178.96054549279722</v>
      </c>
      <c r="J3993">
        <v>1.3900391231772284</v>
      </c>
      <c r="K3993">
        <v>630.57180707052419</v>
      </c>
      <c r="L3993">
        <v>20.800815570815036</v>
      </c>
      <c r="M3993">
        <v>56.579262851189462</v>
      </c>
      <c r="N3993">
        <v>84.499465482467286</v>
      </c>
      <c r="O3993">
        <v>2.6069754367792699</v>
      </c>
      <c r="P3993">
        <v>6.1670882922789776</v>
      </c>
    </row>
    <row r="3994" spans="1:16">
      <c r="A3994" s="1" t="s">
        <v>3799</v>
      </c>
      <c r="B3994" s="1" t="s">
        <v>4044</v>
      </c>
      <c r="C3994" s="1" t="s">
        <v>1764</v>
      </c>
      <c r="D3994" s="1" t="s">
        <v>2646</v>
      </c>
      <c r="E3994" s="1" t="s">
        <v>4032</v>
      </c>
      <c r="F3994">
        <v>64.833335257545059</v>
      </c>
      <c r="G3994">
        <v>67.711494745328935</v>
      </c>
      <c r="H3994">
        <v>797.06941442834602</v>
      </c>
      <c r="I3994">
        <v>178.98315523826628</v>
      </c>
      <c r="J3994">
        <v>0.73853425261256578</v>
      </c>
      <c r="K3994">
        <v>836.32762522060477</v>
      </c>
      <c r="L3994">
        <v>21.744606804935803</v>
      </c>
      <c r="M3994">
        <v>56.925513712918097</v>
      </c>
      <c r="N3994">
        <v>134.27095423981822</v>
      </c>
      <c r="O3994">
        <v>2.8151052952012341</v>
      </c>
      <c r="P3994">
        <v>12.479296715223512</v>
      </c>
    </row>
    <row r="3995" spans="1:16">
      <c r="A3995" s="1" t="s">
        <v>3799</v>
      </c>
      <c r="B3995" s="1" t="s">
        <v>4045</v>
      </c>
      <c r="C3995" s="1" t="s">
        <v>1764</v>
      </c>
      <c r="D3995" s="1" t="s">
        <v>2646</v>
      </c>
      <c r="E3995" s="1" t="s">
        <v>4032</v>
      </c>
      <c r="F3995">
        <v>72.074555263533497</v>
      </c>
      <c r="G3995">
        <v>83.683692392028462</v>
      </c>
      <c r="H3995">
        <v>336.85188223870813</v>
      </c>
      <c r="I3995">
        <v>176.94248410288324</v>
      </c>
      <c r="J3995">
        <v>1.4643980758332515</v>
      </c>
      <c r="K3995">
        <v>625.25933348425644</v>
      </c>
      <c r="L3995">
        <v>20.258661840400453</v>
      </c>
      <c r="M3995">
        <v>56.782664423559119</v>
      </c>
      <c r="N3995">
        <v>112.14732892244771</v>
      </c>
      <c r="O3995">
        <v>2.6089171385069014</v>
      </c>
      <c r="P3995">
        <v>5.1342250302192189</v>
      </c>
    </row>
    <row r="3996" spans="1:16">
      <c r="A3996" s="1" t="s">
        <v>3799</v>
      </c>
      <c r="B3996" s="1" t="s">
        <v>4046</v>
      </c>
      <c r="C3996" s="1" t="s">
        <v>1764</v>
      </c>
      <c r="D3996" s="1" t="s">
        <v>2646</v>
      </c>
      <c r="E3996" s="1" t="s">
        <v>4032</v>
      </c>
      <c r="F3996">
        <v>92.006540113469583</v>
      </c>
      <c r="G3996">
        <v>81.014587517768035</v>
      </c>
      <c r="H3996">
        <v>387.88325775942019</v>
      </c>
      <c r="I3996">
        <v>206.74984092994069</v>
      </c>
      <c r="J3996">
        <v>0.65901196341428159</v>
      </c>
      <c r="K3996">
        <v>737.32743876501399</v>
      </c>
      <c r="L3996">
        <v>21.20238288018485</v>
      </c>
      <c r="M3996">
        <v>70.501100145242461</v>
      </c>
      <c r="N3996">
        <v>143.29220357135375</v>
      </c>
      <c r="O3996">
        <v>2.624009518025618</v>
      </c>
      <c r="P3996">
        <v>9.337808415101259</v>
      </c>
    </row>
    <row r="3997" spans="1:16">
      <c r="A3997" s="1" t="s">
        <v>3799</v>
      </c>
      <c r="B3997" s="1" t="s">
        <v>4047</v>
      </c>
      <c r="C3997" s="1" t="s">
        <v>1764</v>
      </c>
      <c r="D3997" s="1" t="s">
        <v>2646</v>
      </c>
      <c r="E3997" s="1" t="s">
        <v>4032</v>
      </c>
      <c r="F3997">
        <v>103.37617006129948</v>
      </c>
      <c r="G3997">
        <v>95.658598895273727</v>
      </c>
      <c r="H3997">
        <v>439.25272532683698</v>
      </c>
      <c r="I3997">
        <v>172.87968655769313</v>
      </c>
      <c r="J3997">
        <v>1.7405319195555871</v>
      </c>
      <c r="K3997">
        <v>637.20740203202183</v>
      </c>
      <c r="L3997">
        <v>19.404078478885854</v>
      </c>
      <c r="M3997">
        <v>53.259503399231107</v>
      </c>
      <c r="N3997">
        <v>86.268512525280201</v>
      </c>
      <c r="O3997">
        <v>2.2017062181353961</v>
      </c>
      <c r="P3997">
        <v>7.6299737008767918</v>
      </c>
    </row>
    <row r="3998" spans="1:16">
      <c r="A3998" s="1" t="s">
        <v>3799</v>
      </c>
      <c r="B3998" s="1" t="s">
        <v>4048</v>
      </c>
      <c r="C3998" s="1" t="s">
        <v>1764</v>
      </c>
      <c r="D3998" s="1" t="s">
        <v>2646</v>
      </c>
      <c r="E3998" s="1" t="s">
        <v>4032</v>
      </c>
      <c r="F3998">
        <v>133.58925229000121</v>
      </c>
      <c r="G3998">
        <v>100.02825624019431</v>
      </c>
      <c r="H3998">
        <v>362.66816679176731</v>
      </c>
      <c r="I3998">
        <v>175.51309545186103</v>
      </c>
      <c r="J3998">
        <v>0.75617398165397676</v>
      </c>
      <c r="K3998">
        <v>669.90619833242204</v>
      </c>
      <c r="L3998">
        <v>20.654656838140699</v>
      </c>
      <c r="M3998">
        <v>54.099091141409581</v>
      </c>
      <c r="N3998">
        <v>82.013102481753833</v>
      </c>
      <c r="O3998">
        <v>2.4185342686955846</v>
      </c>
      <c r="P3998">
        <v>5.0465632844460755</v>
      </c>
    </row>
    <row r="3999" spans="1:16">
      <c r="A3999" s="1" t="s">
        <v>3799</v>
      </c>
      <c r="B3999" s="1" t="s">
        <v>4049</v>
      </c>
      <c r="C3999" s="1" t="s">
        <v>1764</v>
      </c>
      <c r="D3999" s="1" t="s">
        <v>2646</v>
      </c>
      <c r="E3999" s="1" t="s">
        <v>4032</v>
      </c>
      <c r="F3999">
        <v>41.323936656714601</v>
      </c>
      <c r="G3999">
        <v>52.574702235472607</v>
      </c>
      <c r="H3999">
        <v>113.58715904109803</v>
      </c>
      <c r="I3999">
        <v>45.901867955511221</v>
      </c>
      <c r="J3999">
        <v>0.4577043444899111</v>
      </c>
      <c r="K3999">
        <v>1237.7657365461507</v>
      </c>
      <c r="L3999">
        <v>8.3056977035551469</v>
      </c>
      <c r="M3999">
        <v>15.621667049117866</v>
      </c>
      <c r="N3999">
        <v>83.305189471335908</v>
      </c>
      <c r="O3999">
        <v>1.4627931954262809</v>
      </c>
      <c r="P3999">
        <v>7.0363241361036071</v>
      </c>
    </row>
    <row r="4000" spans="1:16">
      <c r="A4000" s="1" t="s">
        <v>3799</v>
      </c>
      <c r="B4000" s="1" t="s">
        <v>4050</v>
      </c>
      <c r="C4000" s="1" t="s">
        <v>1764</v>
      </c>
      <c r="D4000" s="1" t="s">
        <v>2646</v>
      </c>
      <c r="E4000" s="1" t="s">
        <v>4032</v>
      </c>
      <c r="F4000">
        <v>59.385666496604784</v>
      </c>
      <c r="G4000">
        <v>56.416067361742826</v>
      </c>
      <c r="H4000">
        <v>109.52066284288682</v>
      </c>
      <c r="I4000">
        <v>46.430039251732822</v>
      </c>
      <c r="J4000">
        <v>2.1568340287306365</v>
      </c>
      <c r="K4000">
        <v>1253.2764331657686</v>
      </c>
      <c r="L4000">
        <v>8.4000900139882457</v>
      </c>
      <c r="M4000">
        <v>16.235439960284538</v>
      </c>
      <c r="N4000">
        <v>80.577804221429631</v>
      </c>
      <c r="O4000">
        <v>1.543648341542865</v>
      </c>
      <c r="P4000">
        <v>9.1161998365246077</v>
      </c>
    </row>
    <row r="4001" spans="1:16">
      <c r="A4001" s="1" t="s">
        <v>3799</v>
      </c>
      <c r="B4001" s="1" t="s">
        <v>4051</v>
      </c>
      <c r="C4001" s="1" t="s">
        <v>1764</v>
      </c>
      <c r="D4001" s="1" t="s">
        <v>2646</v>
      </c>
      <c r="E4001" s="1" t="s">
        <v>4032</v>
      </c>
      <c r="F4001">
        <v>78.046711774392747</v>
      </c>
      <c r="G4001">
        <v>48.209093677173747</v>
      </c>
      <c r="H4001">
        <v>122.60418778801447</v>
      </c>
      <c r="I4001">
        <v>48.677467638795825</v>
      </c>
      <c r="J4001">
        <v>0.19712129495879874</v>
      </c>
      <c r="K4001">
        <v>1301.7299575186701</v>
      </c>
      <c r="L4001">
        <v>8.3008465366365307</v>
      </c>
      <c r="M4001">
        <v>16.335475032084961</v>
      </c>
      <c r="N4001">
        <v>80.505260192781435</v>
      </c>
      <c r="O4001">
        <v>1.3612450394897204</v>
      </c>
      <c r="P4001">
        <v>9.1733805418915448</v>
      </c>
    </row>
    <row r="4002" spans="1:16">
      <c r="A4002" s="1" t="s">
        <v>3799</v>
      </c>
      <c r="B4002" s="1" t="s">
        <v>4052</v>
      </c>
      <c r="C4002" s="1" t="s">
        <v>1764</v>
      </c>
      <c r="D4002" s="1" t="s">
        <v>2646</v>
      </c>
      <c r="E4002" s="1" t="s">
        <v>4032</v>
      </c>
      <c r="F4002">
        <v>22.168345560525065</v>
      </c>
      <c r="G4002">
        <v>43.555747558949633</v>
      </c>
      <c r="H4002">
        <v>119.87942799307118</v>
      </c>
      <c r="I4002">
        <v>41.436389706669146</v>
      </c>
      <c r="J4002">
        <v>0.37757140746018986</v>
      </c>
      <c r="K4002">
        <v>1638.362720120673</v>
      </c>
      <c r="L4002">
        <v>8.2398873666801151</v>
      </c>
      <c r="M4002">
        <v>21.987748978184772</v>
      </c>
      <c r="N4002">
        <v>85.711341452772572</v>
      </c>
      <c r="O4002">
        <v>1.0789750626239512</v>
      </c>
      <c r="P4002">
        <v>5.1588472335205182</v>
      </c>
    </row>
    <row r="4003" spans="1:16">
      <c r="A4003" s="1" t="s">
        <v>3799</v>
      </c>
      <c r="B4003" s="1" t="s">
        <v>4053</v>
      </c>
      <c r="C4003" s="1" t="s">
        <v>1764</v>
      </c>
      <c r="D4003" s="1" t="s">
        <v>2646</v>
      </c>
      <c r="E4003" s="1" t="s">
        <v>4032</v>
      </c>
      <c r="F4003">
        <v>22.400561884108729</v>
      </c>
      <c r="G4003">
        <v>45.046098688755407</v>
      </c>
      <c r="H4003">
        <v>128.60467391033052</v>
      </c>
      <c r="I4003">
        <v>42.927765764377355</v>
      </c>
      <c r="J4003">
        <v>1.0980223693910627</v>
      </c>
      <c r="K4003">
        <v>1893.1626730251589</v>
      </c>
      <c r="L4003">
        <v>7.8486181122490386</v>
      </c>
      <c r="M4003">
        <v>21.833072267809925</v>
      </c>
      <c r="N4003">
        <v>80.011648900116242</v>
      </c>
      <c r="O4003">
        <v>1.1798535908743644</v>
      </c>
      <c r="P4003">
        <v>5.7977275184161492</v>
      </c>
    </row>
    <row r="4004" spans="1:16">
      <c r="A4004" s="1" t="s">
        <v>3799</v>
      </c>
      <c r="B4004" s="1" t="s">
        <v>4054</v>
      </c>
      <c r="C4004" s="1" t="s">
        <v>1764</v>
      </c>
      <c r="D4004" s="1" t="s">
        <v>2646</v>
      </c>
      <c r="E4004" s="1" t="s">
        <v>4032</v>
      </c>
      <c r="F4004">
        <v>27.35844764541973</v>
      </c>
      <c r="G4004">
        <v>47.794003311601728</v>
      </c>
      <c r="H4004">
        <v>108.96312087240231</v>
      </c>
      <c r="I4004">
        <v>42.64548645275849</v>
      </c>
      <c r="J4004">
        <v>0.80781087970220999</v>
      </c>
      <c r="K4004">
        <v>1869.1458294586009</v>
      </c>
      <c r="L4004">
        <v>7.2424850536246232</v>
      </c>
      <c r="M4004">
        <v>16.988675708748076</v>
      </c>
      <c r="N4004">
        <v>74.705347081922611</v>
      </c>
      <c r="O4004">
        <v>0.99217381164198759</v>
      </c>
      <c r="P4004">
        <v>5.2073878044539192</v>
      </c>
    </row>
    <row r="4005" spans="1:16">
      <c r="A4005" s="1" t="s">
        <v>3799</v>
      </c>
      <c r="B4005" s="1" t="s">
        <v>4055</v>
      </c>
      <c r="C4005" s="1" t="s">
        <v>1764</v>
      </c>
      <c r="D4005" s="1" t="s">
        <v>2646</v>
      </c>
      <c r="E4005" s="1" t="s">
        <v>4032</v>
      </c>
      <c r="F4005">
        <v>34.232417433763153</v>
      </c>
      <c r="G4005">
        <v>37.352192932163121</v>
      </c>
      <c r="H4005">
        <v>108.7595306915731</v>
      </c>
      <c r="I4005">
        <v>38.759594183190167</v>
      </c>
      <c r="J4005">
        <v>1.026947690402904</v>
      </c>
      <c r="K4005">
        <v>1723.3526663957857</v>
      </c>
      <c r="L4005">
        <v>7.5856445813790554</v>
      </c>
      <c r="M4005">
        <v>15.319332263732742</v>
      </c>
      <c r="N4005">
        <v>72.08085811263777</v>
      </c>
      <c r="O4005">
        <v>1.1418727513972282</v>
      </c>
      <c r="P4005">
        <v>4.5535576466633652</v>
      </c>
    </row>
    <row r="4006" spans="1:16">
      <c r="A4006" s="1" t="s">
        <v>3799</v>
      </c>
      <c r="B4006" s="1" t="s">
        <v>4056</v>
      </c>
      <c r="C4006" s="1" t="s">
        <v>1764</v>
      </c>
      <c r="D4006" s="1" t="s">
        <v>2646</v>
      </c>
      <c r="E4006" s="1" t="s">
        <v>4032</v>
      </c>
      <c r="F4006">
        <v>29.846188643083842</v>
      </c>
      <c r="G4006">
        <v>51.045430368373253</v>
      </c>
      <c r="H4006">
        <v>114.71386854342779</v>
      </c>
      <c r="I4006">
        <v>39.255023317688945</v>
      </c>
      <c r="J4006">
        <v>0.29421947333141324</v>
      </c>
      <c r="K4006">
        <v>1718.975503483221</v>
      </c>
      <c r="L4006">
        <v>7.8791617540402976</v>
      </c>
      <c r="M4006">
        <v>19.349809231615431</v>
      </c>
      <c r="N4006">
        <v>88.808493452685596</v>
      </c>
      <c r="O4006">
        <v>1.1291617228798689</v>
      </c>
      <c r="P4006">
        <v>5.2801312331026562</v>
      </c>
    </row>
    <row r="4007" spans="1:16">
      <c r="A4007" s="1" t="s">
        <v>3799</v>
      </c>
      <c r="B4007" s="1" t="s">
        <v>4057</v>
      </c>
      <c r="C4007" s="1" t="s">
        <v>1764</v>
      </c>
      <c r="D4007" s="1" t="s">
        <v>2646</v>
      </c>
      <c r="E4007" s="1" t="s">
        <v>4032</v>
      </c>
      <c r="F4007">
        <v>51.133586472399621</v>
      </c>
      <c r="G4007">
        <v>30.537993672258569</v>
      </c>
      <c r="H4007">
        <v>102.29481484301377</v>
      </c>
      <c r="I4007">
        <v>38.139693109345664</v>
      </c>
      <c r="J4007">
        <v>2.1683310813392596</v>
      </c>
      <c r="K4007">
        <v>1632.856596408061</v>
      </c>
      <c r="L4007">
        <v>8.6421124115984576</v>
      </c>
      <c r="M4007">
        <v>24.854260910140518</v>
      </c>
      <c r="N4007">
        <v>70.854335066478001</v>
      </c>
      <c r="O4007">
        <v>0.98394753130305235</v>
      </c>
      <c r="P4007">
        <v>3.4631196934556971</v>
      </c>
    </row>
    <row r="4008" spans="1:16">
      <c r="A4008" s="1" t="s">
        <v>3799</v>
      </c>
      <c r="B4008" s="1" t="s">
        <v>4058</v>
      </c>
      <c r="C4008" s="1" t="s">
        <v>1764</v>
      </c>
      <c r="D4008" s="1" t="s">
        <v>2646</v>
      </c>
      <c r="E4008" s="1" t="s">
        <v>4032</v>
      </c>
      <c r="F4008">
        <v>53.893983184404661</v>
      </c>
      <c r="G4008">
        <v>52.131247170263364</v>
      </c>
      <c r="H4008">
        <v>115.5481117089693</v>
      </c>
      <c r="I4008">
        <v>40.563499173366203</v>
      </c>
      <c r="J4008">
        <v>0.22382376689358652</v>
      </c>
      <c r="K4008">
        <v>1700.0870399523565</v>
      </c>
      <c r="L4008">
        <v>9.7192887984959881</v>
      </c>
      <c r="M4008">
        <v>17.847558136569337</v>
      </c>
      <c r="N4008">
        <v>77.659465009704107</v>
      </c>
      <c r="O4008">
        <v>1.1516163548592326</v>
      </c>
      <c r="P4008">
        <v>3.8534770580930213</v>
      </c>
    </row>
    <row r="4009" spans="1:16">
      <c r="A4009" s="1" t="s">
        <v>3799</v>
      </c>
      <c r="B4009" s="1" t="s">
        <v>4059</v>
      </c>
      <c r="C4009" s="1" t="s">
        <v>1764</v>
      </c>
      <c r="D4009" s="1" t="s">
        <v>2646</v>
      </c>
      <c r="E4009" s="1" t="s">
        <v>4032</v>
      </c>
      <c r="F4009">
        <v>195.35895471215969</v>
      </c>
      <c r="G4009">
        <v>20.334876901556278</v>
      </c>
      <c r="H4009">
        <v>360.52804650117122</v>
      </c>
      <c r="I4009">
        <v>61.09060863743057</v>
      </c>
      <c r="J4009">
        <v>1.1422506665397281</v>
      </c>
      <c r="K4009">
        <v>1465.5144216603396</v>
      </c>
      <c r="L4009">
        <v>16.514531476825326</v>
      </c>
      <c r="M4009">
        <v>40.369817757733784</v>
      </c>
      <c r="N4009">
        <v>347.42352862260714</v>
      </c>
      <c r="O4009">
        <v>1.7380034447518165</v>
      </c>
      <c r="P4009">
        <v>11.358162499098201</v>
      </c>
    </row>
    <row r="4010" spans="1:16">
      <c r="A4010" s="1" t="s">
        <v>3799</v>
      </c>
      <c r="B4010" s="1" t="s">
        <v>4060</v>
      </c>
      <c r="C4010" s="1" t="s">
        <v>1764</v>
      </c>
      <c r="D4010" s="1" t="s">
        <v>2646</v>
      </c>
      <c r="E4010" s="1" t="s">
        <v>4032</v>
      </c>
      <c r="F4010">
        <v>103.31692355811572</v>
      </c>
      <c r="G4010">
        <v>18.986353008688276</v>
      </c>
      <c r="H4010">
        <v>373.51902710736391</v>
      </c>
      <c r="I4010">
        <v>70.516400570187145</v>
      </c>
      <c r="J4010">
        <v>1.7336105441215557</v>
      </c>
      <c r="K4010">
        <v>778.75508670244744</v>
      </c>
      <c r="L4010">
        <v>10.373308101744497</v>
      </c>
      <c r="M4010">
        <v>46.401011464950038</v>
      </c>
      <c r="N4010">
        <v>136.62090712395596</v>
      </c>
      <c r="O4010">
        <v>2.4496662219869454</v>
      </c>
      <c r="P4010">
        <v>7.3933266769751231</v>
      </c>
    </row>
    <row r="4011" spans="1:16">
      <c r="A4011" s="1" t="s">
        <v>3799</v>
      </c>
      <c r="B4011" s="1" t="s">
        <v>4061</v>
      </c>
      <c r="C4011" s="1" t="s">
        <v>1764</v>
      </c>
      <c r="D4011" s="1" t="s">
        <v>2646</v>
      </c>
      <c r="E4011" s="1" t="s">
        <v>4032</v>
      </c>
      <c r="F4011">
        <v>73.659382491990115</v>
      </c>
      <c r="G4011">
        <v>9.7641405627682065</v>
      </c>
      <c r="H4011">
        <v>170.08598038332977</v>
      </c>
      <c r="I4011">
        <v>96.883106294197077</v>
      </c>
      <c r="J4011">
        <v>0.54206360306100909</v>
      </c>
      <c r="K4011">
        <v>728.92076056079122</v>
      </c>
      <c r="L4011">
        <v>11.631188802745925</v>
      </c>
      <c r="M4011">
        <v>47.269504977579381</v>
      </c>
      <c r="N4011">
        <v>127.69489857538194</v>
      </c>
      <c r="O4011">
        <v>2.304056976052629</v>
      </c>
      <c r="P4011">
        <v>4.6683052120530348</v>
      </c>
    </row>
    <row r="4012" spans="1:16">
      <c r="A4012" s="1" t="s">
        <v>3799</v>
      </c>
      <c r="B4012" s="1" t="s">
        <v>4062</v>
      </c>
      <c r="C4012" s="1" t="s">
        <v>1764</v>
      </c>
      <c r="D4012" s="1" t="s">
        <v>2646</v>
      </c>
      <c r="E4012" s="1" t="s">
        <v>4032</v>
      </c>
      <c r="F4012">
        <v>136.64619684925341</v>
      </c>
      <c r="G4012">
        <v>19.556918963391716</v>
      </c>
      <c r="H4012">
        <v>383.01448940231052</v>
      </c>
      <c r="I4012">
        <v>92.013519689567516</v>
      </c>
      <c r="J4012">
        <v>0.63174976048183062</v>
      </c>
      <c r="K4012">
        <v>1117.4852098613951</v>
      </c>
      <c r="L4012">
        <v>10.709865801992834</v>
      </c>
      <c r="M4012">
        <v>50.192944597378009</v>
      </c>
      <c r="N4012">
        <v>172.30034094604545</v>
      </c>
      <c r="O4012">
        <v>2.3371089291417895</v>
      </c>
      <c r="P4012">
        <v>5.7559608087323317</v>
      </c>
    </row>
    <row r="4013" spans="1:16">
      <c r="A4013" s="1" t="s">
        <v>3799</v>
      </c>
      <c r="B4013" s="1" t="s">
        <v>4063</v>
      </c>
      <c r="C4013" s="1" t="s">
        <v>1764</v>
      </c>
      <c r="D4013" s="1" t="s">
        <v>2646</v>
      </c>
      <c r="E4013" s="1" t="s">
        <v>4032</v>
      </c>
      <c r="F4013">
        <v>184.102245054707</v>
      </c>
      <c r="G4013">
        <v>18.248152892480189</v>
      </c>
      <c r="H4013">
        <v>370.69642679794913</v>
      </c>
      <c r="I4013">
        <v>94.324393902866078</v>
      </c>
      <c r="J4013">
        <v>1.309553905106871</v>
      </c>
      <c r="K4013">
        <v>1125.3918544262524</v>
      </c>
      <c r="L4013">
        <v>10.468753734625288</v>
      </c>
      <c r="M4013">
        <v>52.896825961063257</v>
      </c>
      <c r="N4013">
        <v>157.88911330952061</v>
      </c>
      <c r="O4013">
        <v>2.1130726805597466</v>
      </c>
      <c r="P4013">
        <v>6.1388028005408515</v>
      </c>
    </row>
    <row r="4014" spans="1:16">
      <c r="A4014" s="1" t="s">
        <v>3799</v>
      </c>
      <c r="B4014" s="1" t="s">
        <v>4064</v>
      </c>
      <c r="C4014" s="1" t="s">
        <v>1764</v>
      </c>
      <c r="D4014" s="1" t="s">
        <v>2646</v>
      </c>
      <c r="E4014" s="1" t="s">
        <v>4032</v>
      </c>
      <c r="F4014">
        <v>104.99589951717167</v>
      </c>
      <c r="G4014">
        <v>13.176123354525858</v>
      </c>
      <c r="H4014">
        <v>191.47815680301792</v>
      </c>
      <c r="I4014">
        <v>96.719032856870101</v>
      </c>
      <c r="J4014">
        <v>0.16645466117579366</v>
      </c>
      <c r="K4014">
        <v>848.32656853700371</v>
      </c>
      <c r="L4014">
        <v>12.830105629551984</v>
      </c>
      <c r="M4014">
        <v>42.068542435348718</v>
      </c>
      <c r="N4014">
        <v>198.62301502599203</v>
      </c>
      <c r="O4014">
        <v>2.3766911915693267</v>
      </c>
      <c r="P4014">
        <v>7.5958466968304261</v>
      </c>
    </row>
    <row r="4015" spans="1:16">
      <c r="A4015" s="1" t="s">
        <v>3799</v>
      </c>
      <c r="B4015" s="1" t="s">
        <v>4065</v>
      </c>
      <c r="C4015" s="1" t="s">
        <v>1764</v>
      </c>
      <c r="D4015" s="1" t="s">
        <v>2646</v>
      </c>
      <c r="E4015" s="1" t="s">
        <v>4032</v>
      </c>
      <c r="F4015">
        <v>115.11591599064181</v>
      </c>
      <c r="G4015">
        <v>7.0679485820400298</v>
      </c>
      <c r="H4015">
        <v>312.41958559226873</v>
      </c>
      <c r="I4015">
        <v>100.02835965425473</v>
      </c>
      <c r="J4015">
        <v>0.35111793306754202</v>
      </c>
      <c r="K4015">
        <v>1112.6418975098545</v>
      </c>
      <c r="L4015">
        <v>17.988677747717777</v>
      </c>
      <c r="M4015">
        <v>51.770907141781578</v>
      </c>
      <c r="N4015">
        <v>64.420186229668602</v>
      </c>
      <c r="O4015">
        <v>1.5211779145220206</v>
      </c>
      <c r="P4015">
        <v>4.2861677629251878</v>
      </c>
    </row>
    <row r="4016" spans="1:16">
      <c r="A4016" s="1" t="s">
        <v>3799</v>
      </c>
      <c r="B4016" s="1" t="s">
        <v>4066</v>
      </c>
      <c r="C4016" s="1" t="s">
        <v>1764</v>
      </c>
      <c r="D4016" s="1" t="s">
        <v>2646</v>
      </c>
      <c r="E4016" s="1" t="s">
        <v>4032</v>
      </c>
      <c r="F4016">
        <v>38.754015871423412</v>
      </c>
      <c r="G4016">
        <v>26.060916913506702</v>
      </c>
      <c r="H4016">
        <v>440.7413321268985</v>
      </c>
      <c r="I4016">
        <v>536.88825378786464</v>
      </c>
      <c r="J4016">
        <v>32.222283365723698</v>
      </c>
      <c r="K4016">
        <v>165.04783406174204</v>
      </c>
      <c r="L4016">
        <v>32.043805414035411</v>
      </c>
      <c r="M4016">
        <v>46.983518536547436</v>
      </c>
      <c r="N4016">
        <v>128.57536409762531</v>
      </c>
      <c r="O4016">
        <v>2.3639406332893955</v>
      </c>
      <c r="P4016">
        <v>1.1551238819455683</v>
      </c>
    </row>
    <row r="4017" spans="1:16">
      <c r="A4017" s="1" t="s">
        <v>3799</v>
      </c>
      <c r="B4017" s="1" t="s">
        <v>4067</v>
      </c>
      <c r="C4017" s="1" t="s">
        <v>1764</v>
      </c>
      <c r="D4017" s="1" t="s">
        <v>2646</v>
      </c>
      <c r="E4017" s="1" t="s">
        <v>4032</v>
      </c>
      <c r="F4017">
        <v>40.619873940392345</v>
      </c>
      <c r="G4017">
        <v>29.220274708169342</v>
      </c>
      <c r="H4017">
        <v>772.78312895394708</v>
      </c>
      <c r="I4017">
        <v>549.1681490300175</v>
      </c>
      <c r="J4017">
        <v>40.514180081847016</v>
      </c>
      <c r="K4017">
        <v>208.41285392910169</v>
      </c>
      <c r="L4017">
        <v>32.262942222096086</v>
      </c>
      <c r="M4017">
        <v>45.777454203976184</v>
      </c>
      <c r="N4017">
        <v>129.98303417779627</v>
      </c>
      <c r="O4017">
        <v>2.1856097106570811</v>
      </c>
      <c r="P4017">
        <v>1.3058309470667864</v>
      </c>
    </row>
    <row r="4018" spans="1:16">
      <c r="A4018" s="1" t="s">
        <v>3799</v>
      </c>
      <c r="B4018" s="1" t="s">
        <v>4068</v>
      </c>
      <c r="C4018" s="1" t="s">
        <v>1764</v>
      </c>
      <c r="D4018" s="1" t="s">
        <v>2646</v>
      </c>
      <c r="E4018" s="1" t="s">
        <v>4032</v>
      </c>
      <c r="F4018">
        <v>36.104490515099947</v>
      </c>
      <c r="G4018">
        <v>22.437547236089298</v>
      </c>
      <c r="H4018">
        <v>516.5487399110616</v>
      </c>
      <c r="I4018">
        <v>514.28409185737542</v>
      </c>
      <c r="J4018">
        <v>52.542115500807697</v>
      </c>
      <c r="K4018">
        <v>195.80396407634422</v>
      </c>
      <c r="L4018">
        <v>31.775241121328911</v>
      </c>
      <c r="M4018">
        <v>45.560903591455236</v>
      </c>
      <c r="N4018">
        <v>120.93927856873107</v>
      </c>
      <c r="O4018">
        <v>2.2391847936042377</v>
      </c>
      <c r="P4018">
        <v>0.99895095023148717</v>
      </c>
    </row>
    <row r="4019" spans="1:16">
      <c r="A4019" s="1" t="s">
        <v>3799</v>
      </c>
      <c r="B4019" s="1" t="s">
        <v>4069</v>
      </c>
      <c r="C4019" s="1" t="s">
        <v>1764</v>
      </c>
      <c r="D4019" s="1" t="s">
        <v>2646</v>
      </c>
      <c r="E4019" s="1" t="s">
        <v>4032</v>
      </c>
      <c r="F4019">
        <v>33.401003495201785</v>
      </c>
      <c r="G4019">
        <v>18.867701168178744</v>
      </c>
      <c r="H4019">
        <v>776.54991807969691</v>
      </c>
      <c r="I4019">
        <v>531.74035593796145</v>
      </c>
      <c r="J4019">
        <v>49.744641232562785</v>
      </c>
      <c r="K4019">
        <v>195.15324818591927</v>
      </c>
      <c r="L4019">
        <v>32.366587175061163</v>
      </c>
      <c r="M4019">
        <v>45.84391251941183</v>
      </c>
      <c r="N4019">
        <v>132.26943442238453</v>
      </c>
      <c r="O4019">
        <v>2.2943498564616611</v>
      </c>
      <c r="P4019">
        <v>1.0452551140719222</v>
      </c>
    </row>
    <row r="4020" spans="1:16">
      <c r="A4020" s="1" t="s">
        <v>3799</v>
      </c>
      <c r="B4020" s="1" t="s">
        <v>4070</v>
      </c>
      <c r="C4020" s="1" t="s">
        <v>1764</v>
      </c>
      <c r="D4020" s="1" t="s">
        <v>2646</v>
      </c>
      <c r="E4020" s="1" t="s">
        <v>4032</v>
      </c>
      <c r="F4020">
        <v>36.31144551059586</v>
      </c>
      <c r="G4020">
        <v>32.216431974078887</v>
      </c>
      <c r="H4020">
        <v>501.88110800769033</v>
      </c>
      <c r="I4020">
        <v>513.96621429430013</v>
      </c>
      <c r="J4020">
        <v>32.314611360006317</v>
      </c>
      <c r="K4020">
        <v>178.0201186496779</v>
      </c>
      <c r="L4020">
        <v>31.868867771064799</v>
      </c>
      <c r="M4020">
        <v>43.91937225472735</v>
      </c>
      <c r="N4020">
        <v>125.50840594165894</v>
      </c>
      <c r="O4020">
        <v>2.180350327610971</v>
      </c>
      <c r="P4020">
        <v>1.6848151895610346</v>
      </c>
    </row>
    <row r="4021" spans="1:16">
      <c r="A4021" s="1" t="s">
        <v>3799</v>
      </c>
      <c r="B4021" s="1" t="s">
        <v>4071</v>
      </c>
      <c r="C4021" s="1" t="s">
        <v>1764</v>
      </c>
      <c r="D4021" s="1" t="s">
        <v>2646</v>
      </c>
      <c r="E4021" s="1" t="s">
        <v>4032</v>
      </c>
      <c r="F4021">
        <v>40.486939797756214</v>
      </c>
      <c r="G4021">
        <v>26.78863650010501</v>
      </c>
      <c r="H4021">
        <v>270.24390955745093</v>
      </c>
      <c r="I4021">
        <v>563.73000645166292</v>
      </c>
      <c r="J4021">
        <v>25.605088037440147</v>
      </c>
      <c r="K4021">
        <v>221.32416565464746</v>
      </c>
      <c r="L4021">
        <v>32.525149676905365</v>
      </c>
      <c r="M4021">
        <v>46.819805775279413</v>
      </c>
      <c r="N4021">
        <v>184.33287311934137</v>
      </c>
      <c r="O4021">
        <v>2.6446412516692748</v>
      </c>
      <c r="P4021">
        <v>1.2852538712308639</v>
      </c>
    </row>
    <row r="4022" spans="1:16">
      <c r="A4022" s="1" t="s">
        <v>3799</v>
      </c>
      <c r="B4022" s="1" t="s">
        <v>4072</v>
      </c>
      <c r="C4022" s="1" t="s">
        <v>1764</v>
      </c>
      <c r="D4022" s="1" t="s">
        <v>2646</v>
      </c>
      <c r="E4022" s="1" t="s">
        <v>4032</v>
      </c>
      <c r="F4022">
        <v>32.577825978413259</v>
      </c>
      <c r="G4022">
        <v>28.697050350754196</v>
      </c>
      <c r="H4022">
        <v>394.73735140519125</v>
      </c>
      <c r="I4022">
        <v>473.46170051112034</v>
      </c>
      <c r="J4022">
        <v>5.3751135476764125</v>
      </c>
      <c r="K4022">
        <v>218.10844947443053</v>
      </c>
      <c r="L4022">
        <v>32.269503563814219</v>
      </c>
      <c r="M4022">
        <v>38.127371178407735</v>
      </c>
      <c r="N4022">
        <v>192.53133808959711</v>
      </c>
      <c r="O4022">
        <v>2.8137132190325924</v>
      </c>
      <c r="P4022">
        <v>2.9736374434130819</v>
      </c>
    </row>
    <row r="4023" spans="1:16">
      <c r="A4023" s="1" t="s">
        <v>3799</v>
      </c>
      <c r="B4023" s="1" t="s">
        <v>4073</v>
      </c>
      <c r="C4023" s="1" t="s">
        <v>1764</v>
      </c>
      <c r="D4023" s="1" t="s">
        <v>2646</v>
      </c>
      <c r="E4023" s="1" t="s">
        <v>4032</v>
      </c>
      <c r="F4023">
        <v>34.424220358237982</v>
      </c>
      <c r="G4023">
        <v>23.098590271200365</v>
      </c>
      <c r="H4023">
        <v>453.91532889870962</v>
      </c>
      <c r="I4023">
        <v>441.09079968579391</v>
      </c>
      <c r="J4023">
        <v>6.9623826950491914</v>
      </c>
      <c r="K4023">
        <v>230.64459535132934</v>
      </c>
      <c r="L4023">
        <v>31.954407100859903</v>
      </c>
      <c r="M4023">
        <v>37.725550528530555</v>
      </c>
      <c r="N4023">
        <v>196.44711259621562</v>
      </c>
      <c r="O4023">
        <v>2.4582868287294226</v>
      </c>
      <c r="P4023">
        <v>1.2811518361025149</v>
      </c>
    </row>
    <row r="4024" spans="1:16">
      <c r="A4024" s="1" t="s">
        <v>3799</v>
      </c>
      <c r="B4024" s="1" t="s">
        <v>4074</v>
      </c>
      <c r="C4024" s="1" t="s">
        <v>1764</v>
      </c>
      <c r="D4024" s="1" t="s">
        <v>2646</v>
      </c>
      <c r="E4024" s="1" t="s">
        <v>4032</v>
      </c>
      <c r="F4024">
        <v>32.232960978187521</v>
      </c>
      <c r="G4024">
        <v>16.005942874093122</v>
      </c>
      <c r="H4024">
        <v>272.58977970404146</v>
      </c>
      <c r="I4024">
        <v>128.59559547060809</v>
      </c>
      <c r="J4024">
        <v>0.29096493029006815</v>
      </c>
      <c r="K4024">
        <v>1288.8184956868743</v>
      </c>
      <c r="L4024">
        <v>18.088055936722522</v>
      </c>
      <c r="M4024">
        <v>39.026477413983223</v>
      </c>
      <c r="N4024">
        <v>111.54215843120492</v>
      </c>
      <c r="O4024">
        <v>0.65953209582678141</v>
      </c>
      <c r="P4024">
        <v>0.17849097186750451</v>
      </c>
    </row>
    <row r="4025" spans="1:16">
      <c r="A4025" s="1" t="s">
        <v>3799</v>
      </c>
      <c r="B4025" s="1" t="s">
        <v>4075</v>
      </c>
      <c r="C4025" s="1" t="s">
        <v>1764</v>
      </c>
      <c r="D4025" s="1" t="s">
        <v>2646</v>
      </c>
      <c r="E4025" s="1" t="s">
        <v>4032</v>
      </c>
      <c r="F4025">
        <v>75.871758264913367</v>
      </c>
      <c r="G4025">
        <v>37.715758361543315</v>
      </c>
      <c r="H4025">
        <v>323.58221874252365</v>
      </c>
      <c r="I4025">
        <v>138.24455729416565</v>
      </c>
      <c r="J4025">
        <v>3.5891795067488292</v>
      </c>
      <c r="K4025">
        <v>1488.3911430940068</v>
      </c>
      <c r="L4025">
        <v>16.413437653961573</v>
      </c>
      <c r="M4025">
        <v>43.804578330039881</v>
      </c>
      <c r="N4025">
        <v>82.128697749603717</v>
      </c>
      <c r="O4025">
        <v>0.74346150128688515</v>
      </c>
      <c r="P4025">
        <v>0.38607293056557274</v>
      </c>
    </row>
    <row r="4026" spans="1:16">
      <c r="A4026" s="1" t="s">
        <v>3799</v>
      </c>
      <c r="B4026" s="1" t="s">
        <v>4076</v>
      </c>
      <c r="C4026" s="1" t="s">
        <v>1764</v>
      </c>
      <c r="D4026" s="1" t="s">
        <v>2646</v>
      </c>
      <c r="E4026" s="1" t="s">
        <v>4032</v>
      </c>
      <c r="F4026">
        <v>37.658379029473942</v>
      </c>
      <c r="G4026">
        <v>23.647475262105999</v>
      </c>
      <c r="H4026">
        <v>269.71569606028208</v>
      </c>
      <c r="I4026">
        <v>135.81897301802911</v>
      </c>
      <c r="J4026">
        <v>1.7584664751085095</v>
      </c>
      <c r="K4026">
        <v>1226.0239286002404</v>
      </c>
      <c r="L4026">
        <v>16.870033957231612</v>
      </c>
      <c r="M4026">
        <v>46.658419916991363</v>
      </c>
      <c r="N4026">
        <v>58.077547916242807</v>
      </c>
      <c r="O4026">
        <v>0.89457695939178583</v>
      </c>
      <c r="P4026">
        <v>0.26238670546989212</v>
      </c>
    </row>
    <row r="4027" spans="1:16">
      <c r="A4027" s="1" t="s">
        <v>3799</v>
      </c>
      <c r="B4027" s="1" t="s">
        <v>4077</v>
      </c>
      <c r="C4027" s="1" t="s">
        <v>1764</v>
      </c>
      <c r="D4027" s="1" t="s">
        <v>2646</v>
      </c>
      <c r="E4027" s="1" t="s">
        <v>4032</v>
      </c>
      <c r="F4027">
        <v>46.971040948016935</v>
      </c>
      <c r="G4027">
        <v>19.272352911980093</v>
      </c>
      <c r="H4027">
        <v>282.61942543766594</v>
      </c>
      <c r="I4027">
        <v>134.92680052383474</v>
      </c>
      <c r="J4027">
        <v>2.4016019022556323</v>
      </c>
      <c r="K4027">
        <v>1531.8351155230466</v>
      </c>
      <c r="L4027">
        <v>15.243571696261258</v>
      </c>
      <c r="M4027">
        <v>42.09166091856774</v>
      </c>
      <c r="N4027">
        <v>99.632145307792811</v>
      </c>
      <c r="O4027">
        <v>0.52854181708494807</v>
      </c>
      <c r="P4027">
        <v>0.3485476201024626</v>
      </c>
    </row>
    <row r="4028" spans="1:16">
      <c r="A4028" s="1" t="s">
        <v>3799</v>
      </c>
      <c r="B4028" s="1" t="s">
        <v>4078</v>
      </c>
      <c r="C4028" s="1" t="s">
        <v>1764</v>
      </c>
      <c r="D4028" s="1" t="s">
        <v>2646</v>
      </c>
      <c r="E4028" s="1" t="s">
        <v>4032</v>
      </c>
      <c r="F4028">
        <v>56.400324384500578</v>
      </c>
      <c r="G4028">
        <v>23.556068516376758</v>
      </c>
      <c r="H4028">
        <v>349.568666527706</v>
      </c>
      <c r="I4028">
        <v>131.77100576717024</v>
      </c>
      <c r="J4028">
        <v>3.4496552382712879</v>
      </c>
      <c r="K4028">
        <v>1532.9826693262839</v>
      </c>
      <c r="L4028">
        <v>17.139192919154464</v>
      </c>
      <c r="M4028">
        <v>44.762531859799324</v>
      </c>
      <c r="N4028">
        <v>85.189918211423233</v>
      </c>
      <c r="O4028">
        <v>0.46477866470818952</v>
      </c>
      <c r="P4028">
        <v>0.24067503266403709</v>
      </c>
    </row>
    <row r="4029" spans="1:16">
      <c r="A4029" s="1" t="s">
        <v>3799</v>
      </c>
      <c r="B4029" s="1" t="s">
        <v>4079</v>
      </c>
      <c r="C4029" s="1" t="s">
        <v>1764</v>
      </c>
      <c r="D4029" s="1" t="s">
        <v>2646</v>
      </c>
      <c r="E4029" s="1" t="s">
        <v>4032</v>
      </c>
      <c r="F4029">
        <v>41.453947658914771</v>
      </c>
      <c r="G4029">
        <v>21.086072456435417</v>
      </c>
      <c r="H4029">
        <v>283.21475724823028</v>
      </c>
      <c r="I4029">
        <v>123.90670385850643</v>
      </c>
      <c r="J4029">
        <v>3.1057772524228184</v>
      </c>
      <c r="K4029">
        <v>947.3278189948262</v>
      </c>
      <c r="L4029">
        <v>15.105831945576773</v>
      </c>
      <c r="M4029">
        <v>43.821851566655006</v>
      </c>
      <c r="N4029">
        <v>24.932365264615449</v>
      </c>
      <c r="O4029">
        <v>0.78012139147645365</v>
      </c>
      <c r="P4029">
        <v>0.68595577924666218</v>
      </c>
    </row>
    <row r="4030" spans="1:16">
      <c r="A4030" s="1" t="s">
        <v>3799</v>
      </c>
      <c r="B4030" s="1" t="s">
        <v>4080</v>
      </c>
      <c r="C4030" s="1" t="s">
        <v>1764</v>
      </c>
      <c r="D4030" s="1" t="s">
        <v>2646</v>
      </c>
      <c r="E4030" s="1" t="s">
        <v>4032</v>
      </c>
      <c r="F4030">
        <v>33.955637698787022</v>
      </c>
      <c r="G4030">
        <v>20.549285552657189</v>
      </c>
      <c r="H4030">
        <v>252.46162445871005</v>
      </c>
      <c r="I4030">
        <v>119.44852681215222</v>
      </c>
      <c r="J4030">
        <v>8.6913500104906554</v>
      </c>
      <c r="K4030">
        <v>1008.2549655334022</v>
      </c>
      <c r="L4030">
        <v>13.047969855482641</v>
      </c>
      <c r="M4030">
        <v>45.216809669205816</v>
      </c>
      <c r="N4030">
        <v>29.004556855733259</v>
      </c>
      <c r="O4030">
        <v>0.79625907808546759</v>
      </c>
      <c r="P4030">
        <v>0.28525230691574721</v>
      </c>
    </row>
    <row r="4031" spans="1:16">
      <c r="A4031" s="1" t="s">
        <v>3799</v>
      </c>
      <c r="B4031" s="1" t="s">
        <v>4081</v>
      </c>
      <c r="C4031" s="1" t="s">
        <v>1764</v>
      </c>
      <c r="D4031" s="1" t="s">
        <v>2646</v>
      </c>
      <c r="E4031" s="1" t="s">
        <v>4032</v>
      </c>
      <c r="F4031">
        <v>24.207223505080272</v>
      </c>
      <c r="G4031">
        <v>12.193197185798372</v>
      </c>
      <c r="H4031">
        <v>247.3255810488514</v>
      </c>
      <c r="I4031">
        <v>125.28706681408214</v>
      </c>
      <c r="J4031">
        <v>2.1685722374672136</v>
      </c>
      <c r="K4031">
        <v>1197.4252649306472</v>
      </c>
      <c r="L4031">
        <v>14.665931607125215</v>
      </c>
      <c r="M4031">
        <v>45.964577394988709</v>
      </c>
      <c r="N4031">
        <v>49.640632474272422</v>
      </c>
      <c r="O4031">
        <v>0.67947145316541557</v>
      </c>
      <c r="P4031">
        <v>0.41102314607916535</v>
      </c>
    </row>
    <row r="4032" spans="1:16">
      <c r="A4032" s="1" t="s">
        <v>3799</v>
      </c>
      <c r="B4032" s="1" t="s">
        <v>4082</v>
      </c>
      <c r="C4032" s="1" t="s">
        <v>1764</v>
      </c>
      <c r="D4032" s="1" t="s">
        <v>2646</v>
      </c>
      <c r="E4032" s="1" t="s">
        <v>4032</v>
      </c>
      <c r="F4032">
        <v>36.617433140516709</v>
      </c>
      <c r="G4032">
        <v>17.950665189666669</v>
      </c>
      <c r="H4032">
        <v>257.21307986253572</v>
      </c>
      <c r="I4032">
        <v>125.67511329483878</v>
      </c>
      <c r="J4032">
        <v>0.9115858364506555</v>
      </c>
      <c r="K4032">
        <v>1453.8394234283953</v>
      </c>
      <c r="L4032">
        <v>15.983637306028738</v>
      </c>
      <c r="M4032">
        <v>60.969756464336179</v>
      </c>
      <c r="N4032">
        <v>109.59886791487034</v>
      </c>
      <c r="O4032">
        <v>0.45919313508647697</v>
      </c>
      <c r="P4032">
        <v>0.23802913274383175</v>
      </c>
    </row>
    <row r="4033" spans="1:16">
      <c r="A4033" s="1" t="s">
        <v>3799</v>
      </c>
      <c r="B4033" s="1" t="s">
        <v>4083</v>
      </c>
      <c r="C4033" s="1" t="s">
        <v>1764</v>
      </c>
      <c r="D4033" s="1" t="s">
        <v>2646</v>
      </c>
      <c r="E4033" s="1" t="s">
        <v>4032</v>
      </c>
      <c r="F4033">
        <v>40.441416242224498</v>
      </c>
      <c r="G4033">
        <v>35.322145619148593</v>
      </c>
      <c r="H4033">
        <v>945.5061812037211</v>
      </c>
      <c r="I4033">
        <v>1186.2642564966345</v>
      </c>
      <c r="J4033">
        <v>127.49754366043005</v>
      </c>
      <c r="K4033">
        <v>362.06320167228961</v>
      </c>
      <c r="L4033">
        <v>6.9840588474295577</v>
      </c>
      <c r="M4033">
        <v>31.728656090120481</v>
      </c>
      <c r="N4033">
        <v>54.573229829022551</v>
      </c>
      <c r="O4033">
        <v>2.5033767395202515</v>
      </c>
      <c r="P4033">
        <v>4.8961754020654382</v>
      </c>
    </row>
    <row r="4034" spans="1:16">
      <c r="A4034" s="1" t="s">
        <v>3799</v>
      </c>
      <c r="B4034" s="1" t="s">
        <v>4084</v>
      </c>
      <c r="C4034" s="1" t="s">
        <v>1764</v>
      </c>
      <c r="D4034" s="1" t="s">
        <v>2646</v>
      </c>
      <c r="E4034" s="1" t="s">
        <v>4032</v>
      </c>
      <c r="F4034">
        <v>49.224816148762329</v>
      </c>
      <c r="G4034">
        <v>641.70096282283532</v>
      </c>
      <c r="H4034">
        <v>939.2107913708378</v>
      </c>
      <c r="I4034">
        <v>1127.6850983922557</v>
      </c>
      <c r="J4034">
        <v>107.76797922458377</v>
      </c>
      <c r="K4034">
        <v>366.76359316228991</v>
      </c>
      <c r="L4034">
        <v>4.1210343724518328</v>
      </c>
      <c r="M4034">
        <v>31.823152282785617</v>
      </c>
      <c r="N4034">
        <v>61.207668228856363</v>
      </c>
      <c r="O4034">
        <v>3.6733015427652553</v>
      </c>
      <c r="P4034">
        <v>16.343275207991727</v>
      </c>
    </row>
    <row r="4035" spans="1:16">
      <c r="A4035" s="1" t="s">
        <v>3799</v>
      </c>
      <c r="B4035" s="1" t="s">
        <v>4085</v>
      </c>
      <c r="C4035" s="1" t="s">
        <v>1764</v>
      </c>
      <c r="D4035" s="1" t="s">
        <v>2646</v>
      </c>
      <c r="E4035" s="1" t="s">
        <v>4032</v>
      </c>
      <c r="F4035">
        <v>31.072131269851543</v>
      </c>
      <c r="G4035">
        <v>41.062514440232711</v>
      </c>
      <c r="H4035">
        <v>441.29049105429914</v>
      </c>
      <c r="I4035">
        <v>1139.1042346657189</v>
      </c>
      <c r="J4035">
        <v>220.6419965217116</v>
      </c>
      <c r="K4035">
        <v>279.66350114531178</v>
      </c>
      <c r="L4035">
        <v>7.1321933919926508</v>
      </c>
      <c r="M4035">
        <v>35.229465057069085</v>
      </c>
      <c r="N4035">
        <v>52.307165720369092</v>
      </c>
      <c r="O4035">
        <v>2.6739616378603124</v>
      </c>
      <c r="P4035">
        <v>4.4999094236878276</v>
      </c>
    </row>
    <row r="4036" spans="1:16">
      <c r="A4036" s="1" t="s">
        <v>3799</v>
      </c>
      <c r="B4036" s="1" t="s">
        <v>4086</v>
      </c>
      <c r="C4036" s="1" t="s">
        <v>1764</v>
      </c>
      <c r="D4036" s="1" t="s">
        <v>2646</v>
      </c>
      <c r="E4036" s="1" t="s">
        <v>4032</v>
      </c>
      <c r="F4036">
        <v>37.098412876688549</v>
      </c>
      <c r="G4036">
        <v>52.404651660009968</v>
      </c>
      <c r="H4036">
        <v>358.7836566358277</v>
      </c>
      <c r="I4036">
        <v>1160.2599804622425</v>
      </c>
      <c r="J4036">
        <v>167.4064110473233</v>
      </c>
      <c r="K4036">
        <v>317.59650839995783</v>
      </c>
      <c r="L4036">
        <v>7.1222304181505907</v>
      </c>
      <c r="M4036">
        <v>34.810308918403017</v>
      </c>
      <c r="N4036">
        <v>58.919980993027487</v>
      </c>
      <c r="O4036">
        <v>2.5046702956138969</v>
      </c>
      <c r="P4036">
        <v>4.3036025753776768</v>
      </c>
    </row>
    <row r="4037" spans="1:16">
      <c r="A4037" s="1" t="s">
        <v>3799</v>
      </c>
      <c r="B4037" s="1" t="s">
        <v>4087</v>
      </c>
      <c r="C4037" s="1" t="s">
        <v>1764</v>
      </c>
      <c r="D4037" s="1" t="s">
        <v>2646</v>
      </c>
      <c r="E4037" s="1" t="s">
        <v>4032</v>
      </c>
      <c r="F4037">
        <v>35.253233681146597</v>
      </c>
      <c r="G4037">
        <v>33.541626606695232</v>
      </c>
      <c r="H4037">
        <v>398.41734965409358</v>
      </c>
      <c r="I4037">
        <v>1164.5635853757747</v>
      </c>
      <c r="J4037">
        <v>214.34079600618784</v>
      </c>
      <c r="K4037">
        <v>329.28403222642265</v>
      </c>
      <c r="L4037">
        <v>6.2545681155465589</v>
      </c>
      <c r="M4037">
        <v>37.536833474509379</v>
      </c>
      <c r="N4037">
        <v>61.823593100309608</v>
      </c>
      <c r="O4037">
        <v>2.6977875497990769</v>
      </c>
      <c r="P4037">
        <v>4.5506894091025707</v>
      </c>
    </row>
    <row r="4038" spans="1:16">
      <c r="A4038" s="1" t="s">
        <v>3799</v>
      </c>
      <c r="B4038" s="1" t="s">
        <v>4088</v>
      </c>
      <c r="C4038" s="1" t="s">
        <v>1764</v>
      </c>
      <c r="D4038" s="1" t="s">
        <v>2646</v>
      </c>
      <c r="E4038" s="1" t="s">
        <v>4032</v>
      </c>
      <c r="F4038">
        <v>26.757404456584919</v>
      </c>
      <c r="G4038">
        <v>29.38232559771285</v>
      </c>
      <c r="H4038">
        <v>336.47841749964147</v>
      </c>
      <c r="I4038">
        <v>1178.1963852509646</v>
      </c>
      <c r="J4038">
        <v>227.00582044498447</v>
      </c>
      <c r="K4038">
        <v>287.16862071064884</v>
      </c>
      <c r="L4038">
        <v>6.5206925858131939</v>
      </c>
      <c r="M4038">
        <v>35.712295094066143</v>
      </c>
      <c r="N4038">
        <v>61.879040679065945</v>
      </c>
      <c r="O4038">
        <v>2.393769886441385</v>
      </c>
      <c r="P4038">
        <v>4.2458424407357302</v>
      </c>
    </row>
    <row r="4039" spans="1:16">
      <c r="A4039" s="1" t="s">
        <v>3799</v>
      </c>
      <c r="B4039" s="1" t="s">
        <v>4089</v>
      </c>
      <c r="C4039" s="1" t="s">
        <v>1764</v>
      </c>
      <c r="D4039" s="1" t="s">
        <v>2646</v>
      </c>
      <c r="E4039" s="1" t="s">
        <v>4032</v>
      </c>
      <c r="F4039">
        <v>30.438832200817711</v>
      </c>
      <c r="G4039">
        <v>32.130944217291209</v>
      </c>
      <c r="H4039">
        <v>319.23948909529327</v>
      </c>
      <c r="I4039">
        <v>1164.2756514985049</v>
      </c>
      <c r="J4039">
        <v>124.74932125730244</v>
      </c>
      <c r="K4039">
        <v>319.38406056935258</v>
      </c>
      <c r="L4039">
        <v>10.657183442325461</v>
      </c>
      <c r="M4039">
        <v>32.115085453047243</v>
      </c>
      <c r="N4039">
        <v>59.35745275280626</v>
      </c>
      <c r="O4039">
        <v>2.5669737140679003</v>
      </c>
      <c r="P4039">
        <v>3.6886325251395338</v>
      </c>
    </row>
    <row r="4040" spans="1:16">
      <c r="A4040" s="1" t="s">
        <v>3799</v>
      </c>
      <c r="B4040" s="1" t="s">
        <v>4090</v>
      </c>
      <c r="C4040" s="1" t="s">
        <v>1764</v>
      </c>
      <c r="D4040" s="1" t="s">
        <v>2646</v>
      </c>
      <c r="E4040" s="1" t="s">
        <v>4032</v>
      </c>
      <c r="F4040">
        <v>27.997307674434968</v>
      </c>
      <c r="G4040">
        <v>23.765633015123743</v>
      </c>
      <c r="H4040">
        <v>347.87444739228386</v>
      </c>
      <c r="I4040">
        <v>1202.6109093428715</v>
      </c>
      <c r="J4040">
        <v>62.537745635656186</v>
      </c>
      <c r="K4040">
        <v>317.01020825414088</v>
      </c>
      <c r="L4040">
        <v>6.4747001205499304</v>
      </c>
      <c r="M4040">
        <v>32.572502900339927</v>
      </c>
      <c r="N4040">
        <v>54.059245033651443</v>
      </c>
      <c r="O4040">
        <v>2.5310216422525165</v>
      </c>
      <c r="P4040">
        <v>4.0347786576048961</v>
      </c>
    </row>
    <row r="4041" spans="1:16">
      <c r="A4041" s="1" t="s">
        <v>5598</v>
      </c>
      <c r="B4041" s="1" t="s">
        <v>4091</v>
      </c>
      <c r="C4041" s="1" t="s">
        <v>1764</v>
      </c>
      <c r="D4041" s="1" t="s">
        <v>44</v>
      </c>
      <c r="E4041" s="1" t="s">
        <v>4032</v>
      </c>
      <c r="F4041">
        <v>574.94450055994173</v>
      </c>
      <c r="G4041">
        <v>486.98601217672086</v>
      </c>
      <c r="H4041">
        <v>52384.111408124416</v>
      </c>
      <c r="I4041">
        <v>248.47533953914393</v>
      </c>
      <c r="J4041">
        <v>24.279944574948615</v>
      </c>
      <c r="K4041">
        <v>31417.954768140004</v>
      </c>
      <c r="L4041">
        <v>15.629294953554396</v>
      </c>
      <c r="M4041">
        <v>3.3007760816860223</v>
      </c>
      <c r="N4041">
        <v>291.84475800719855</v>
      </c>
      <c r="O4041">
        <v>5.5028478665980698</v>
      </c>
      <c r="P4041">
        <v>3661.0372412664483</v>
      </c>
    </row>
    <row r="4042" spans="1:16">
      <c r="A4042" s="1" t="s">
        <v>5598</v>
      </c>
      <c r="B4042" s="1" t="s">
        <v>4092</v>
      </c>
      <c r="C4042" s="1" t="s">
        <v>1764</v>
      </c>
      <c r="D4042" s="1" t="s">
        <v>44</v>
      </c>
      <c r="E4042" s="1" t="s">
        <v>4032</v>
      </c>
      <c r="F4042">
        <v>731.60681463533933</v>
      </c>
      <c r="G4042">
        <v>418.24039446732212</v>
      </c>
      <c r="H4042">
        <v>51242.067816585441</v>
      </c>
      <c r="I4042">
        <v>240.6288292553364</v>
      </c>
      <c r="J4042">
        <v>28.048984492098377</v>
      </c>
      <c r="K4042">
        <v>31244.725694811503</v>
      </c>
      <c r="L4042">
        <v>12.769502990052986</v>
      </c>
      <c r="M4042">
        <v>2.5998906843624998</v>
      </c>
      <c r="N4042">
        <v>111.56045757740397</v>
      </c>
      <c r="O4042">
        <v>3.5209953288222282</v>
      </c>
      <c r="P4042">
        <v>3721.2017016656278</v>
      </c>
    </row>
    <row r="4043" spans="1:16">
      <c r="A4043" s="1" t="s">
        <v>5598</v>
      </c>
      <c r="B4043" s="1" t="s">
        <v>4093</v>
      </c>
      <c r="C4043" s="1" t="s">
        <v>1764</v>
      </c>
      <c r="D4043" s="1" t="s">
        <v>44</v>
      </c>
      <c r="E4043" s="1" t="s">
        <v>4032</v>
      </c>
      <c r="F4043">
        <v>531.36182366625019</v>
      </c>
      <c r="G4043">
        <v>477.64402287593441</v>
      </c>
      <c r="H4043">
        <v>43934.86204709638</v>
      </c>
      <c r="I4043">
        <v>232.0687388156334</v>
      </c>
      <c r="J4043">
        <v>10.866087517566196</v>
      </c>
      <c r="K4043">
        <v>27259.872446262263</v>
      </c>
      <c r="L4043">
        <v>16.162954943189316</v>
      </c>
      <c r="M4043">
        <v>2.9000049466854083</v>
      </c>
      <c r="N4043">
        <v>274.84157436736712</v>
      </c>
      <c r="O4043">
        <v>36.388817478113765</v>
      </c>
      <c r="P4043">
        <v>3127.0590061953149</v>
      </c>
    </row>
    <row r="4044" spans="1:16">
      <c r="A4044" s="1" t="s">
        <v>5598</v>
      </c>
      <c r="B4044" s="1" t="s">
        <v>4094</v>
      </c>
      <c r="C4044" s="1" t="s">
        <v>1764</v>
      </c>
      <c r="D4044" s="1" t="s">
        <v>44</v>
      </c>
      <c r="E4044" s="1" t="s">
        <v>4032</v>
      </c>
      <c r="F4044">
        <v>472.80528229332197</v>
      </c>
      <c r="G4044">
        <v>442.84661856405717</v>
      </c>
      <c r="H4044">
        <v>49383.943086780622</v>
      </c>
      <c r="I4044">
        <v>222.39328900847948</v>
      </c>
      <c r="J4044">
        <v>4.8397301709219818</v>
      </c>
      <c r="K4044">
        <v>32684.860391222766</v>
      </c>
      <c r="L4044">
        <v>25.640840304128709</v>
      </c>
      <c r="M4044">
        <v>2.9854673799495473</v>
      </c>
      <c r="N4044">
        <v>1019.4272907772561</v>
      </c>
      <c r="O4044">
        <v>3.2407072480648287</v>
      </c>
      <c r="P4044">
        <v>3303.8282607007991</v>
      </c>
    </row>
    <row r="4045" spans="1:16">
      <c r="A4045" s="1" t="s">
        <v>5598</v>
      </c>
      <c r="B4045" s="1" t="s">
        <v>4095</v>
      </c>
      <c r="C4045" s="1" t="s">
        <v>1764</v>
      </c>
      <c r="D4045" s="1" t="s">
        <v>44</v>
      </c>
      <c r="E4045" s="1" t="s">
        <v>4032</v>
      </c>
      <c r="F4045">
        <v>579.37401313604721</v>
      </c>
      <c r="G4045">
        <v>483.81296542761356</v>
      </c>
      <c r="H4045">
        <v>53627.080151397</v>
      </c>
      <c r="I4045">
        <v>202.78598922615606</v>
      </c>
      <c r="J4045">
        <v>5.3125282764416522</v>
      </c>
      <c r="K4045">
        <v>32336.101995917812</v>
      </c>
      <c r="L4045">
        <v>20.556906907523981</v>
      </c>
      <c r="M4045">
        <v>3.3095681086101787</v>
      </c>
      <c r="N4045">
        <v>177.06767607042175</v>
      </c>
      <c r="O4045">
        <v>2.943580353077456</v>
      </c>
      <c r="P4045">
        <v>3657.2506303027062</v>
      </c>
    </row>
    <row r="4046" spans="1:16">
      <c r="A4046" s="1" t="s">
        <v>5598</v>
      </c>
      <c r="B4046" s="1" t="s">
        <v>4096</v>
      </c>
      <c r="C4046" s="1" t="s">
        <v>1764</v>
      </c>
      <c r="D4046" s="1" t="s">
        <v>44</v>
      </c>
      <c r="E4046" s="1" t="s">
        <v>4032</v>
      </c>
      <c r="F4046">
        <v>653.94936974068105</v>
      </c>
      <c r="G4046">
        <v>424.95307206704501</v>
      </c>
      <c r="H4046">
        <v>55183.262672026758</v>
      </c>
      <c r="I4046">
        <v>194.86664927698567</v>
      </c>
      <c r="J4046">
        <v>11.252164731888859</v>
      </c>
      <c r="K4046">
        <v>34852.955777371979</v>
      </c>
      <c r="L4046">
        <v>22.903807199928519</v>
      </c>
      <c r="M4046">
        <v>3.5450660371817428</v>
      </c>
      <c r="N4046">
        <v>915.43062353435573</v>
      </c>
      <c r="O4046">
        <v>3.1179919041905513</v>
      </c>
      <c r="P4046">
        <v>3908.4722683388309</v>
      </c>
    </row>
    <row r="4047" spans="1:16">
      <c r="A4047" s="1" t="s">
        <v>5598</v>
      </c>
      <c r="B4047" s="1" t="s">
        <v>4097</v>
      </c>
      <c r="C4047" s="1" t="s">
        <v>1764</v>
      </c>
      <c r="D4047" s="1" t="s">
        <v>44</v>
      </c>
      <c r="E4047" s="1" t="s">
        <v>4032</v>
      </c>
      <c r="F4047">
        <v>916.32631906326287</v>
      </c>
      <c r="G4047">
        <v>451.65374921241863</v>
      </c>
      <c r="H4047">
        <v>52047.708999535229</v>
      </c>
      <c r="I4047">
        <v>198.25036274030512</v>
      </c>
      <c r="J4047">
        <v>6.2723482013944469</v>
      </c>
      <c r="K4047">
        <v>31518.322820250807</v>
      </c>
      <c r="L4047">
        <v>25.256224034828669</v>
      </c>
      <c r="M4047">
        <v>3.5447097193006072</v>
      </c>
      <c r="N4047">
        <v>466.11322218237979</v>
      </c>
      <c r="O4047">
        <v>4.6217748789621673</v>
      </c>
      <c r="P4047">
        <v>3920.2372093070785</v>
      </c>
    </row>
    <row r="4048" spans="1:16">
      <c r="A4048" s="1" t="s">
        <v>5598</v>
      </c>
      <c r="B4048" s="1" t="s">
        <v>4098</v>
      </c>
      <c r="C4048" s="1" t="s">
        <v>1764</v>
      </c>
      <c r="D4048" s="1" t="s">
        <v>44</v>
      </c>
      <c r="E4048" s="1" t="s">
        <v>4032</v>
      </c>
      <c r="F4048">
        <v>742.75803416997121</v>
      </c>
      <c r="G4048">
        <v>474.98840695614166</v>
      </c>
      <c r="H4048">
        <v>51179.660508798937</v>
      </c>
      <c r="I4048">
        <v>205.03487798902538</v>
      </c>
      <c r="J4048">
        <v>12.714091469276621</v>
      </c>
      <c r="K4048">
        <v>30904.01955416561</v>
      </c>
      <c r="L4048">
        <v>14.802769157963487</v>
      </c>
      <c r="M4048">
        <v>4.2436148994467411</v>
      </c>
      <c r="N4048">
        <v>136.08551560989855</v>
      </c>
      <c r="O4048">
        <v>10.773728216652719</v>
      </c>
      <c r="P4048">
        <v>3526.3890634812556</v>
      </c>
    </row>
    <row r="4049" spans="1:16">
      <c r="A4049" s="1" t="s">
        <v>5598</v>
      </c>
      <c r="B4049" s="1" t="s">
        <v>4099</v>
      </c>
      <c r="C4049" s="1" t="s">
        <v>1764</v>
      </c>
      <c r="D4049" s="1" t="s">
        <v>44</v>
      </c>
      <c r="E4049" s="1" t="s">
        <v>4032</v>
      </c>
      <c r="F4049">
        <v>955.03081084173164</v>
      </c>
      <c r="G4049">
        <v>451.86841648661601</v>
      </c>
      <c r="H4049">
        <v>49513.3603912451</v>
      </c>
      <c r="I4049">
        <v>215.92453950886855</v>
      </c>
      <c r="J4049">
        <v>11.173595721807883</v>
      </c>
      <c r="K4049">
        <v>32990.330909837932</v>
      </c>
      <c r="L4049">
        <v>27.873116841760545</v>
      </c>
      <c r="M4049">
        <v>3.9171738315427</v>
      </c>
      <c r="N4049">
        <v>2045.1732402393907</v>
      </c>
      <c r="O4049">
        <v>3.9285001417627128</v>
      </c>
      <c r="P4049">
        <v>3593.4482462300598</v>
      </c>
    </row>
    <row r="4050" spans="1:16">
      <c r="A4050" s="1" t="s">
        <v>5598</v>
      </c>
      <c r="B4050" s="1" t="s">
        <v>4100</v>
      </c>
      <c r="C4050" s="1" t="s">
        <v>1764</v>
      </c>
      <c r="D4050" s="1" t="s">
        <v>44</v>
      </c>
      <c r="E4050" s="1" t="s">
        <v>4032</v>
      </c>
      <c r="F4050">
        <v>780.33723592457295</v>
      </c>
      <c r="G4050">
        <v>526.65788584561164</v>
      </c>
      <c r="H4050">
        <v>53106.985232814877</v>
      </c>
      <c r="I4050">
        <v>221.04180005380758</v>
      </c>
      <c r="J4050">
        <v>9.681631019370224</v>
      </c>
      <c r="K4050">
        <v>32150.672983287979</v>
      </c>
      <c r="L4050">
        <v>29.503582284332435</v>
      </c>
      <c r="M4050">
        <v>3.119271955984896</v>
      </c>
      <c r="N4050">
        <v>2035.2126205328125</v>
      </c>
      <c r="O4050">
        <v>4.7678981456386582</v>
      </c>
      <c r="P4050">
        <v>3655.4794200835122</v>
      </c>
    </row>
    <row r="4051" spans="1:16">
      <c r="A4051" s="1" t="s">
        <v>5598</v>
      </c>
      <c r="B4051" s="1" t="s">
        <v>4101</v>
      </c>
      <c r="C4051" s="1" t="s">
        <v>1764</v>
      </c>
      <c r="D4051" s="1" t="s">
        <v>44</v>
      </c>
      <c r="E4051" s="1" t="s">
        <v>4032</v>
      </c>
      <c r="F4051">
        <v>918.67659786851414</v>
      </c>
      <c r="G4051">
        <v>480.72646261973847</v>
      </c>
      <c r="H4051">
        <v>59061.087193408108</v>
      </c>
      <c r="I4051">
        <v>217.85905073574148</v>
      </c>
      <c r="J4051">
        <v>4.2025204960976881</v>
      </c>
      <c r="K4051">
        <v>34853.307868469208</v>
      </c>
      <c r="L4051">
        <v>31.081772638914924</v>
      </c>
      <c r="M4051">
        <v>5.1110437536041937</v>
      </c>
      <c r="N4051">
        <v>1957.5236280470572</v>
      </c>
      <c r="O4051">
        <v>43.88070116642082</v>
      </c>
      <c r="P4051">
        <v>7834.6932263248127</v>
      </c>
    </row>
    <row r="4052" spans="1:16">
      <c r="A4052" s="1" t="s">
        <v>5598</v>
      </c>
      <c r="B4052" s="1" t="s">
        <v>4102</v>
      </c>
      <c r="C4052" s="1" t="s">
        <v>1764</v>
      </c>
      <c r="D4052" s="1" t="s">
        <v>44</v>
      </c>
      <c r="E4052" s="1" t="s">
        <v>4032</v>
      </c>
      <c r="F4052">
        <v>753.06964499449771</v>
      </c>
      <c r="G4052">
        <v>441.20923273355947</v>
      </c>
      <c r="H4052">
        <v>51542.877440965269</v>
      </c>
      <c r="I4052">
        <v>212.85879972662059</v>
      </c>
      <c r="J4052">
        <v>3.0832850827120724</v>
      </c>
      <c r="K4052">
        <v>31479.433687227844</v>
      </c>
      <c r="L4052">
        <v>29.236298545932751</v>
      </c>
      <c r="M4052">
        <v>3.6611588421080841</v>
      </c>
      <c r="N4052">
        <v>2424.0454284777497</v>
      </c>
      <c r="O4052">
        <v>10.166008969126798</v>
      </c>
      <c r="P4052">
        <v>3287.3239087165557</v>
      </c>
    </row>
    <row r="4053" spans="1:16">
      <c r="A4053" s="1" t="s">
        <v>5598</v>
      </c>
      <c r="B4053" s="1" t="s">
        <v>4103</v>
      </c>
      <c r="C4053" s="1" t="s">
        <v>1764</v>
      </c>
      <c r="D4053" s="1" t="s">
        <v>44</v>
      </c>
      <c r="E4053" s="1" t="s">
        <v>4032</v>
      </c>
      <c r="F4053">
        <v>651.08312938498057</v>
      </c>
      <c r="G4053">
        <v>475.28811560534683</v>
      </c>
      <c r="H4053">
        <v>48249.852569585171</v>
      </c>
      <c r="I4053">
        <v>204.53059873761822</v>
      </c>
      <c r="J4053">
        <v>3.4506555981587415</v>
      </c>
      <c r="K4053">
        <v>30290.745590640785</v>
      </c>
      <c r="L4053">
        <v>29.88708127761047</v>
      </c>
      <c r="M4053">
        <v>4.0918900738993536</v>
      </c>
      <c r="N4053">
        <v>2062.0153477092204</v>
      </c>
      <c r="O4053">
        <v>4.7040628199313925</v>
      </c>
      <c r="P4053">
        <v>3216.8177263303169</v>
      </c>
    </row>
    <row r="4054" spans="1:16">
      <c r="A4054" s="1" t="s">
        <v>5598</v>
      </c>
      <c r="B4054" s="1" t="s">
        <v>4104</v>
      </c>
      <c r="C4054" s="1" t="s">
        <v>1764</v>
      </c>
      <c r="D4054" s="1" t="s">
        <v>44</v>
      </c>
      <c r="E4054" s="1" t="s">
        <v>4032</v>
      </c>
      <c r="F4054">
        <v>655.85136604702984</v>
      </c>
      <c r="G4054">
        <v>460.01479712631544</v>
      </c>
      <c r="H4054">
        <v>47272.724620406545</v>
      </c>
      <c r="I4054">
        <v>589.35218669878373</v>
      </c>
      <c r="J4054">
        <v>7.4480434122790475</v>
      </c>
      <c r="K4054">
        <v>20484.291382877938</v>
      </c>
      <c r="L4054">
        <v>6.343678683091289</v>
      </c>
      <c r="M4054">
        <v>1.6618610284187514</v>
      </c>
      <c r="N4054">
        <v>61.655759375628612</v>
      </c>
      <c r="O4054">
        <v>4.5767868936622627</v>
      </c>
      <c r="P4054">
        <v>3403.113350451546</v>
      </c>
    </row>
    <row r="4055" spans="1:16">
      <c r="A4055" s="1" t="s">
        <v>5599</v>
      </c>
      <c r="B4055" s="1" t="s">
        <v>4105</v>
      </c>
      <c r="C4055" s="1" t="s">
        <v>105</v>
      </c>
      <c r="D4055" s="1" t="s">
        <v>106</v>
      </c>
      <c r="E4055" s="1" t="s">
        <v>4032</v>
      </c>
      <c r="F4055">
        <v>257.23386513186739</v>
      </c>
      <c r="G4055">
        <v>1226.6161669710625</v>
      </c>
      <c r="H4055">
        <v>289.52045666980655</v>
      </c>
      <c r="I4055">
        <v>37.281049425252078</v>
      </c>
      <c r="J4055">
        <v>41.453891898440482</v>
      </c>
      <c r="K4055">
        <v>359.5642220293285</v>
      </c>
      <c r="L4055">
        <v>7.6678947278890188</v>
      </c>
      <c r="M4055">
        <v>7.0754243965861532</v>
      </c>
      <c r="N4055">
        <v>72.586994839984456</v>
      </c>
      <c r="O4055">
        <v>6.0343815446217732</v>
      </c>
      <c r="P4055">
        <v>0.60919075188478067</v>
      </c>
    </row>
    <row r="4056" spans="1:16">
      <c r="A4056" s="1" t="s">
        <v>5599</v>
      </c>
      <c r="B4056" s="1" t="s">
        <v>4106</v>
      </c>
      <c r="C4056" s="1" t="s">
        <v>105</v>
      </c>
      <c r="D4056" s="1" t="s">
        <v>106</v>
      </c>
      <c r="E4056" s="1" t="s">
        <v>4032</v>
      </c>
      <c r="F4056">
        <v>314.19388700349265</v>
      </c>
      <c r="G4056">
        <v>2151.5477704395107</v>
      </c>
      <c r="H4056">
        <v>317.91888510790471</v>
      </c>
      <c r="I4056">
        <v>36.233414952782411</v>
      </c>
      <c r="J4056">
        <v>21.0500873941685</v>
      </c>
      <c r="K4056">
        <v>365.37548984986341</v>
      </c>
      <c r="L4056">
        <v>7.7324055948186361</v>
      </c>
      <c r="M4056">
        <v>7.043206525780616</v>
      </c>
      <c r="N4056">
        <v>146.14989244441466</v>
      </c>
      <c r="O4056">
        <v>6.2992745484851653</v>
      </c>
      <c r="P4056">
        <v>1.1453820944559325</v>
      </c>
    </row>
    <row r="4057" spans="1:16">
      <c r="A4057" s="1" t="s">
        <v>5599</v>
      </c>
      <c r="B4057" s="1" t="s">
        <v>4107</v>
      </c>
      <c r="C4057" s="1" t="s">
        <v>105</v>
      </c>
      <c r="D4057" s="1" t="s">
        <v>106</v>
      </c>
      <c r="E4057" s="1" t="s">
        <v>4032</v>
      </c>
      <c r="F4057">
        <v>58.290350803622225</v>
      </c>
      <c r="G4057">
        <v>874.1853835192835</v>
      </c>
      <c r="H4057">
        <v>244.09716072842463</v>
      </c>
      <c r="I4057">
        <v>36.265806495036436</v>
      </c>
      <c r="J4057">
        <v>30.296565512268238</v>
      </c>
      <c r="K4057">
        <v>352.24304584346714</v>
      </c>
      <c r="L4057">
        <v>7.2090096978877831</v>
      </c>
      <c r="M4057">
        <v>6.9862062918820653</v>
      </c>
      <c r="N4057">
        <v>79.378361748965702</v>
      </c>
      <c r="O4057">
        <v>5.5828894231527277</v>
      </c>
      <c r="P4057">
        <v>1.9098921820556976</v>
      </c>
    </row>
    <row r="4058" spans="1:16">
      <c r="A4058" s="1" t="s">
        <v>5599</v>
      </c>
      <c r="B4058" s="1" t="s">
        <v>4108</v>
      </c>
      <c r="C4058" s="1" t="s">
        <v>105</v>
      </c>
      <c r="D4058" s="1" t="s">
        <v>106</v>
      </c>
      <c r="E4058" s="1" t="s">
        <v>4032</v>
      </c>
      <c r="F4058">
        <v>74.949348406940047</v>
      </c>
      <c r="G4058">
        <v>1397.4402127199262</v>
      </c>
      <c r="H4058">
        <v>360.09936283369882</v>
      </c>
      <c r="I4058">
        <v>37.65134116416327</v>
      </c>
      <c r="J4058">
        <v>41.994485214935494</v>
      </c>
      <c r="K4058">
        <v>383.89334754619165</v>
      </c>
      <c r="L4058">
        <v>6.9788634752477696</v>
      </c>
      <c r="M4058">
        <v>7.3581783449364009</v>
      </c>
      <c r="N4058">
        <v>115.14036656364185</v>
      </c>
      <c r="O4058">
        <v>6.2541648722369132</v>
      </c>
      <c r="P4058">
        <v>2.4325464356283879</v>
      </c>
    </row>
    <row r="4059" spans="1:16">
      <c r="A4059" s="1" t="s">
        <v>5599</v>
      </c>
      <c r="B4059" s="1" t="s">
        <v>4109</v>
      </c>
      <c r="C4059" s="1" t="s">
        <v>105</v>
      </c>
      <c r="D4059" s="1" t="s">
        <v>106</v>
      </c>
      <c r="E4059" s="1" t="s">
        <v>4032</v>
      </c>
      <c r="F4059">
        <v>550.4549384973883</v>
      </c>
      <c r="G4059">
        <v>1701.9428517957642</v>
      </c>
      <c r="H4059">
        <v>296.46477084911294</v>
      </c>
      <c r="I4059">
        <v>41.107657934979557</v>
      </c>
      <c r="J4059">
        <v>79.835756136145946</v>
      </c>
      <c r="K4059">
        <v>339.63877851283934</v>
      </c>
      <c r="L4059">
        <v>6.733407067812637</v>
      </c>
      <c r="M4059">
        <v>8.1093332428573177</v>
      </c>
      <c r="N4059">
        <v>82.550493232304689</v>
      </c>
      <c r="O4059">
        <v>6.3989750527207887</v>
      </c>
      <c r="P4059">
        <v>1.3765621019677383</v>
      </c>
    </row>
    <row r="4060" spans="1:16">
      <c r="A4060" s="1" t="s">
        <v>5599</v>
      </c>
      <c r="B4060" s="1" t="s">
        <v>4110</v>
      </c>
      <c r="C4060" s="1" t="s">
        <v>105</v>
      </c>
      <c r="D4060" s="1" t="s">
        <v>106</v>
      </c>
      <c r="E4060" s="1" t="s">
        <v>4032</v>
      </c>
      <c r="F4060">
        <v>85.645170754832051</v>
      </c>
      <c r="G4060">
        <v>581.2058731167341</v>
      </c>
      <c r="H4060">
        <v>260.58707493231111</v>
      </c>
      <c r="I4060">
        <v>37.557763774361639</v>
      </c>
      <c r="J4060">
        <v>58.71846335859486</v>
      </c>
      <c r="K4060">
        <v>287.76700874708092</v>
      </c>
      <c r="L4060">
        <v>2.1372880565090622</v>
      </c>
      <c r="M4060">
        <v>5.4858437343832547</v>
      </c>
      <c r="N4060">
        <v>57.195950550346552</v>
      </c>
      <c r="O4060">
        <v>3.5830444137344144</v>
      </c>
      <c r="P4060">
        <v>2.0637938985136799</v>
      </c>
    </row>
    <row r="4061" spans="1:16">
      <c r="A4061" s="1" t="s">
        <v>5599</v>
      </c>
      <c r="B4061" s="1" t="s">
        <v>4111</v>
      </c>
      <c r="C4061" s="1" t="s">
        <v>105</v>
      </c>
      <c r="D4061" s="1" t="s">
        <v>106</v>
      </c>
      <c r="E4061" s="1" t="s">
        <v>4032</v>
      </c>
      <c r="F4061">
        <v>45.429423781148841</v>
      </c>
      <c r="G4061">
        <v>826.09638601414542</v>
      </c>
      <c r="H4061">
        <v>382.34819954954588</v>
      </c>
      <c r="I4061">
        <v>37.83935688723944</v>
      </c>
      <c r="J4061">
        <v>44.066372259506466</v>
      </c>
      <c r="K4061">
        <v>323.61832387457179</v>
      </c>
      <c r="L4061">
        <v>1.8371892635856073</v>
      </c>
      <c r="M4061">
        <v>6.9523376747406189</v>
      </c>
      <c r="N4061">
        <v>63.907222743810415</v>
      </c>
      <c r="O4061">
        <v>4.1991464173143376</v>
      </c>
      <c r="P4061">
        <v>2.4157728503114604</v>
      </c>
    </row>
    <row r="4062" spans="1:16">
      <c r="A4062" s="1" t="s">
        <v>5599</v>
      </c>
      <c r="B4062" s="1" t="s">
        <v>4112</v>
      </c>
      <c r="C4062" s="1" t="s">
        <v>105</v>
      </c>
      <c r="D4062" s="1" t="s">
        <v>106</v>
      </c>
      <c r="E4062" s="1" t="s">
        <v>4032</v>
      </c>
      <c r="F4062">
        <v>1090.8819309887638</v>
      </c>
      <c r="G4062">
        <v>2810.3319298504412</v>
      </c>
      <c r="H4062">
        <v>401.60475422795298</v>
      </c>
      <c r="I4062">
        <v>37.848016767688975</v>
      </c>
      <c r="J4062">
        <v>17.794396177901369</v>
      </c>
      <c r="K4062">
        <v>321.15376926324706</v>
      </c>
      <c r="L4062">
        <v>2.1957676135965545</v>
      </c>
      <c r="M4062">
        <v>5.3685402947385388</v>
      </c>
      <c r="N4062">
        <v>68.097052840290161</v>
      </c>
      <c r="O4062">
        <v>3.9920776828930591</v>
      </c>
      <c r="P4062">
        <v>3.7576995292284869</v>
      </c>
    </row>
    <row r="4063" spans="1:16">
      <c r="A4063" s="1" t="s">
        <v>5599</v>
      </c>
      <c r="B4063" s="1" t="s">
        <v>4113</v>
      </c>
      <c r="C4063" s="1" t="s">
        <v>105</v>
      </c>
      <c r="D4063" s="1" t="s">
        <v>106</v>
      </c>
      <c r="E4063" s="1" t="s">
        <v>4032</v>
      </c>
      <c r="F4063">
        <v>69.838681481255193</v>
      </c>
      <c r="G4063">
        <v>704.94813486235125</v>
      </c>
      <c r="H4063">
        <v>356.32166162595951</v>
      </c>
      <c r="I4063">
        <v>36.922380856939512</v>
      </c>
      <c r="J4063">
        <v>63.496248204833556</v>
      </c>
      <c r="K4063">
        <v>272.30210610821302</v>
      </c>
      <c r="L4063">
        <v>2.0252304751268233</v>
      </c>
      <c r="M4063">
        <v>5.2152565211714563</v>
      </c>
      <c r="N4063">
        <v>55.030412154271076</v>
      </c>
      <c r="O4063">
        <v>3.9230081767225835</v>
      </c>
      <c r="P4063">
        <v>1.9309753384044348</v>
      </c>
    </row>
    <row r="4064" spans="1:16">
      <c r="A4064" s="1" t="s">
        <v>5599</v>
      </c>
      <c r="B4064" s="1" t="s">
        <v>4114</v>
      </c>
      <c r="C4064" s="1" t="s">
        <v>105</v>
      </c>
      <c r="D4064" s="1" t="s">
        <v>106</v>
      </c>
      <c r="E4064" s="1" t="s">
        <v>4032</v>
      </c>
      <c r="F4064">
        <v>159.5015489508969</v>
      </c>
      <c r="G4064">
        <v>805.07592997072447</v>
      </c>
      <c r="H4064">
        <v>268.10423419323098</v>
      </c>
      <c r="I4064">
        <v>38.099968572916893</v>
      </c>
      <c r="J4064">
        <v>60.320543955221197</v>
      </c>
      <c r="K4064">
        <v>279.83494922294193</v>
      </c>
      <c r="L4064">
        <v>2.0253564815058911</v>
      </c>
      <c r="M4064">
        <v>5.7279946086851554</v>
      </c>
      <c r="N4064">
        <v>53.009550564939339</v>
      </c>
      <c r="O4064">
        <v>4.076137613814482</v>
      </c>
      <c r="P4064">
        <v>2.5803795892922956</v>
      </c>
    </row>
    <row r="4065" spans="1:16">
      <c r="A4065" s="1" t="s">
        <v>5599</v>
      </c>
      <c r="B4065" s="1" t="s">
        <v>4115</v>
      </c>
      <c r="C4065" s="1" t="s">
        <v>105</v>
      </c>
      <c r="D4065" s="1" t="s">
        <v>106</v>
      </c>
      <c r="E4065" s="1" t="s">
        <v>4032</v>
      </c>
      <c r="F4065">
        <v>153.03410568104161</v>
      </c>
      <c r="G4065">
        <v>9643.9697839758319</v>
      </c>
      <c r="H4065">
        <v>4831.5977534433905</v>
      </c>
      <c r="I4065">
        <v>202.88917286049698</v>
      </c>
      <c r="J4065">
        <v>259.27924932320059</v>
      </c>
      <c r="K4065">
        <v>145.38569314754011</v>
      </c>
      <c r="L4065">
        <v>17.280370885344613</v>
      </c>
      <c r="M4065">
        <v>29.698350718950742</v>
      </c>
      <c r="N4065">
        <v>240.33223099390008</v>
      </c>
      <c r="O4065">
        <v>42.772483225755103</v>
      </c>
      <c r="P4065">
        <v>7.2862029657916132</v>
      </c>
    </row>
    <row r="4066" spans="1:16">
      <c r="A4066" s="1" t="s">
        <v>5599</v>
      </c>
      <c r="B4066" s="1" t="s">
        <v>4116</v>
      </c>
      <c r="C4066" s="1" t="s">
        <v>105</v>
      </c>
      <c r="D4066" s="1" t="s">
        <v>106</v>
      </c>
      <c r="E4066" s="1" t="s">
        <v>4032</v>
      </c>
      <c r="F4066">
        <v>103.15559164468576</v>
      </c>
      <c r="G4066">
        <v>9931.3153545778932</v>
      </c>
      <c r="H4066">
        <v>4402.8057317103039</v>
      </c>
      <c r="I4066">
        <v>205.75963101381546</v>
      </c>
      <c r="J4066">
        <v>42.797831678199103</v>
      </c>
      <c r="K4066">
        <v>143.31032572656699</v>
      </c>
      <c r="L4066">
        <v>15.576317740900071</v>
      </c>
      <c r="M4066">
        <v>26.610499709268307</v>
      </c>
      <c r="N4066">
        <v>219.76720305612173</v>
      </c>
      <c r="O4066">
        <v>40.787716181976592</v>
      </c>
      <c r="P4066">
        <v>6.8776483371798678</v>
      </c>
    </row>
    <row r="4067" spans="1:16">
      <c r="A4067" s="1" t="s">
        <v>5599</v>
      </c>
      <c r="B4067" s="1" t="s">
        <v>4117</v>
      </c>
      <c r="C4067" s="1" t="s">
        <v>105</v>
      </c>
      <c r="D4067" s="1" t="s">
        <v>106</v>
      </c>
      <c r="E4067" s="1" t="s">
        <v>4032</v>
      </c>
      <c r="F4067">
        <v>158.93777860203687</v>
      </c>
      <c r="G4067">
        <v>11994.371581111773</v>
      </c>
      <c r="H4067">
        <v>4642.5130932079819</v>
      </c>
      <c r="I4067">
        <v>190.73641757141164</v>
      </c>
      <c r="J4067">
        <v>35.321546350671362</v>
      </c>
      <c r="K4067">
        <v>167.69379681476511</v>
      </c>
      <c r="L4067">
        <v>15.715195178266434</v>
      </c>
      <c r="M4067">
        <v>27.161083924668635</v>
      </c>
      <c r="N4067">
        <v>261.58181456983891</v>
      </c>
      <c r="O4067">
        <v>42.436482651694085</v>
      </c>
      <c r="P4067">
        <v>5.7709985096372209</v>
      </c>
    </row>
    <row r="4068" spans="1:16">
      <c r="A4068" s="1" t="s">
        <v>5599</v>
      </c>
      <c r="B4068" s="1" t="s">
        <v>4118</v>
      </c>
      <c r="C4068" s="1" t="s">
        <v>105</v>
      </c>
      <c r="D4068" s="1" t="s">
        <v>106</v>
      </c>
      <c r="E4068" s="1" t="s">
        <v>4032</v>
      </c>
      <c r="F4068">
        <v>170.63019325769278</v>
      </c>
      <c r="G4068">
        <v>11715.255080770863</v>
      </c>
      <c r="H4068">
        <v>4962.0625608941045</v>
      </c>
      <c r="I4068">
        <v>207.38442038484234</v>
      </c>
      <c r="J4068">
        <v>214.28673989404737</v>
      </c>
      <c r="K4068">
        <v>155.90424125693986</v>
      </c>
      <c r="L4068">
        <v>19.79076551116259</v>
      </c>
      <c r="M4068">
        <v>33.544246029888107</v>
      </c>
      <c r="N4068">
        <v>309.83764134515707</v>
      </c>
      <c r="O4068">
        <v>45.848839405900293</v>
      </c>
      <c r="P4068">
        <v>8.7086154271511109</v>
      </c>
    </row>
    <row r="4069" spans="1:16">
      <c r="A4069" s="1" t="s">
        <v>5599</v>
      </c>
      <c r="B4069" s="1" t="s">
        <v>4119</v>
      </c>
      <c r="C4069" s="1" t="s">
        <v>105</v>
      </c>
      <c r="D4069" s="1" t="s">
        <v>106</v>
      </c>
      <c r="E4069" s="1" t="s">
        <v>4032</v>
      </c>
      <c r="F4069">
        <v>170.58624494650894</v>
      </c>
      <c r="G4069">
        <v>10730.757527508955</v>
      </c>
      <c r="H4069">
        <v>4551.5722565489423</v>
      </c>
      <c r="I4069">
        <v>199.45118941848216</v>
      </c>
      <c r="J4069">
        <v>196.70591477940505</v>
      </c>
      <c r="K4069">
        <v>140.49998147408945</v>
      </c>
      <c r="L4069">
        <v>19.372289842415864</v>
      </c>
      <c r="M4069">
        <v>33.494690665674781</v>
      </c>
      <c r="N4069">
        <v>354.18191132732125</v>
      </c>
      <c r="O4069">
        <v>45.621646837461967</v>
      </c>
      <c r="P4069">
        <v>9.745369110781672</v>
      </c>
    </row>
    <row r="4070" spans="1:16">
      <c r="A4070" s="1" t="s">
        <v>5599</v>
      </c>
      <c r="B4070" s="1" t="s">
        <v>4120</v>
      </c>
      <c r="C4070" s="1" t="s">
        <v>105</v>
      </c>
      <c r="D4070" s="1" t="s">
        <v>106</v>
      </c>
      <c r="E4070" s="1" t="s">
        <v>4032</v>
      </c>
      <c r="F4070">
        <v>130.17158703381142</v>
      </c>
      <c r="G4070">
        <v>7615.7863902862491</v>
      </c>
      <c r="H4070">
        <v>4815.4393942384031</v>
      </c>
      <c r="I4070">
        <v>196.45154450971643</v>
      </c>
      <c r="J4070">
        <v>202.44553710167935</v>
      </c>
      <c r="K4070">
        <v>122.33482600256924</v>
      </c>
      <c r="L4070">
        <v>17.405847462372524</v>
      </c>
      <c r="M4070">
        <v>30.692837504542126</v>
      </c>
      <c r="N4070">
        <v>216.35254469121591</v>
      </c>
      <c r="O4070">
        <v>41.911680279585234</v>
      </c>
      <c r="P4070">
        <v>9.0015825838075365</v>
      </c>
    </row>
    <row r="4071" spans="1:16">
      <c r="A4071" s="1" t="s">
        <v>5599</v>
      </c>
      <c r="B4071" s="1" t="s">
        <v>4121</v>
      </c>
      <c r="C4071" s="1" t="s">
        <v>105</v>
      </c>
      <c r="D4071" s="1" t="s">
        <v>106</v>
      </c>
      <c r="E4071" s="1" t="s">
        <v>4032</v>
      </c>
      <c r="F4071">
        <v>128.42560418898879</v>
      </c>
      <c r="G4071">
        <v>9573.6026437485762</v>
      </c>
      <c r="H4071">
        <v>5325.2042976934708</v>
      </c>
      <c r="I4071">
        <v>199.66196036183004</v>
      </c>
      <c r="J4071">
        <v>141.95956987164169</v>
      </c>
      <c r="K4071">
        <v>215.83956624416069</v>
      </c>
      <c r="L4071">
        <v>19.682186922956753</v>
      </c>
      <c r="M4071">
        <v>29.836200872401108</v>
      </c>
      <c r="N4071">
        <v>214.19519530421491</v>
      </c>
      <c r="O4071">
        <v>34.666771799178662</v>
      </c>
      <c r="P4071">
        <v>5.9199656545448311</v>
      </c>
    </row>
    <row r="4072" spans="1:16">
      <c r="A4072" s="1" t="s">
        <v>5599</v>
      </c>
      <c r="B4072" s="1" t="s">
        <v>4122</v>
      </c>
      <c r="C4072" s="1" t="s">
        <v>105</v>
      </c>
      <c r="D4072" s="1" t="s">
        <v>106</v>
      </c>
      <c r="E4072" s="1" t="s">
        <v>4032</v>
      </c>
      <c r="F4072">
        <v>145.94041919991278</v>
      </c>
      <c r="G4072">
        <v>10198.544564188885</v>
      </c>
      <c r="H4072">
        <v>5446.3969259289834</v>
      </c>
      <c r="I4072">
        <v>210.51353294686203</v>
      </c>
      <c r="J4072">
        <v>161.34419722139486</v>
      </c>
      <c r="K4072">
        <v>234.40101548553173</v>
      </c>
      <c r="L4072">
        <v>20.963770952144881</v>
      </c>
      <c r="M4072">
        <v>31.098863497389853</v>
      </c>
      <c r="N4072">
        <v>250.48366955491281</v>
      </c>
      <c r="O4072">
        <v>35.151243364977567</v>
      </c>
      <c r="P4072">
        <v>6.0747240775053069</v>
      </c>
    </row>
    <row r="4073" spans="1:16">
      <c r="A4073" s="1" t="s">
        <v>5599</v>
      </c>
      <c r="B4073" s="1" t="s">
        <v>4123</v>
      </c>
      <c r="C4073" s="1" t="s">
        <v>105</v>
      </c>
      <c r="D4073" s="1" t="s">
        <v>106</v>
      </c>
      <c r="E4073" s="1" t="s">
        <v>4032</v>
      </c>
      <c r="F4073">
        <v>332.63226561276821</v>
      </c>
      <c r="G4073">
        <v>10159.151559033817</v>
      </c>
      <c r="H4073">
        <v>5352.1355898551637</v>
      </c>
      <c r="I4073">
        <v>199.31276425001391</v>
      </c>
      <c r="J4073">
        <v>107.12615671539891</v>
      </c>
      <c r="K4073">
        <v>227.190838618409</v>
      </c>
      <c r="L4073">
        <v>19.318112291435074</v>
      </c>
      <c r="M4073">
        <v>36.340387101447391</v>
      </c>
      <c r="N4073">
        <v>273.03383290029029</v>
      </c>
      <c r="O4073">
        <v>32.402443914381244</v>
      </c>
      <c r="P4073">
        <v>5.5908470287942089</v>
      </c>
    </row>
    <row r="4074" spans="1:16">
      <c r="A4074" s="1" t="s">
        <v>5599</v>
      </c>
      <c r="B4074" s="1" t="s">
        <v>4124</v>
      </c>
      <c r="C4074" s="1" t="s">
        <v>105</v>
      </c>
      <c r="D4074" s="1" t="s">
        <v>106</v>
      </c>
      <c r="E4074" s="1" t="s">
        <v>4032</v>
      </c>
      <c r="F4074">
        <v>152.43371335063398</v>
      </c>
      <c r="G4074">
        <v>9239.4251005360602</v>
      </c>
      <c r="H4074">
        <v>5385.227117407414</v>
      </c>
      <c r="I4074">
        <v>193.69275098447244</v>
      </c>
      <c r="J4074">
        <v>120.28511981578542</v>
      </c>
      <c r="K4074">
        <v>210.58517173312717</v>
      </c>
      <c r="L4074">
        <v>19.361086385181803</v>
      </c>
      <c r="M4074">
        <v>32.532597363075176</v>
      </c>
      <c r="N4074">
        <v>210.46895313320135</v>
      </c>
      <c r="O4074">
        <v>33.918127235640831</v>
      </c>
      <c r="P4074">
        <v>4.9653629296947184</v>
      </c>
    </row>
    <row r="4075" spans="1:16">
      <c r="A4075" s="1" t="s">
        <v>4125</v>
      </c>
      <c r="B4075" s="1" t="s">
        <v>4126</v>
      </c>
      <c r="C4075" s="1" t="s">
        <v>1764</v>
      </c>
      <c r="D4075" s="1" t="s">
        <v>44</v>
      </c>
      <c r="E4075" s="1" t="s">
        <v>4127</v>
      </c>
      <c r="F4075">
        <v>3652</v>
      </c>
      <c r="G4075">
        <v>8791</v>
      </c>
      <c r="H4075">
        <v>51.2</v>
      </c>
      <c r="I4075">
        <v>1.45</v>
      </c>
      <c r="J4075">
        <f>1.15/2</f>
        <v>0.57499999999999996</v>
      </c>
      <c r="K4075">
        <v>1287</v>
      </c>
      <c r="L4075">
        <v>7.98</v>
      </c>
      <c r="M4075">
        <v>0.26100000000000001</v>
      </c>
      <c r="N4075">
        <v>294</v>
      </c>
      <c r="O4075">
        <v>17.899999999999999</v>
      </c>
      <c r="P4075">
        <v>16.2</v>
      </c>
    </row>
    <row r="4076" spans="1:16">
      <c r="A4076" s="1" t="s">
        <v>4125</v>
      </c>
      <c r="B4076" s="1" t="s">
        <v>4128</v>
      </c>
      <c r="C4076" s="1" t="s">
        <v>1764</v>
      </c>
      <c r="D4076" s="1" t="s">
        <v>44</v>
      </c>
      <c r="E4076" s="1" t="s">
        <v>4127</v>
      </c>
      <c r="F4076">
        <v>2474</v>
      </c>
      <c r="G4076">
        <v>6745</v>
      </c>
      <c r="H4076">
        <v>116</v>
      </c>
      <c r="I4076">
        <v>7.19</v>
      </c>
      <c r="J4076">
        <v>3</v>
      </c>
      <c r="K4076">
        <v>1163</v>
      </c>
      <c r="L4076">
        <v>9.86</v>
      </c>
      <c r="M4076">
        <v>0.55100000000000005</v>
      </c>
      <c r="N4076">
        <v>223</v>
      </c>
      <c r="O4076">
        <v>15.8</v>
      </c>
      <c r="P4076">
        <v>11.6</v>
      </c>
    </row>
    <row r="4077" spans="1:16">
      <c r="A4077" s="1" t="s">
        <v>4125</v>
      </c>
      <c r="B4077" s="1" t="s">
        <v>4129</v>
      </c>
      <c r="C4077" s="1" t="s">
        <v>1764</v>
      </c>
      <c r="D4077" s="1" t="s">
        <v>44</v>
      </c>
      <c r="E4077" s="1" t="s">
        <v>4130</v>
      </c>
      <c r="F4077">
        <v>2671</v>
      </c>
      <c r="G4077">
        <v>6803</v>
      </c>
      <c r="H4077">
        <v>14.2</v>
      </c>
      <c r="I4077">
        <v>0.82</v>
      </c>
      <c r="J4077" s="11">
        <f t="shared" ref="J4077:J4078" si="162">1.15/2</f>
        <v>0.57499999999999996</v>
      </c>
      <c r="K4077">
        <v>1909</v>
      </c>
      <c r="L4077">
        <v>3.69</v>
      </c>
      <c r="M4077">
        <v>1.5</v>
      </c>
      <c r="N4077">
        <v>336</v>
      </c>
      <c r="O4077">
        <v>15.7</v>
      </c>
      <c r="P4077">
        <v>10.8</v>
      </c>
    </row>
    <row r="4078" spans="1:16">
      <c r="A4078" s="1" t="s">
        <v>4125</v>
      </c>
      <c r="B4078" s="1" t="s">
        <v>4131</v>
      </c>
      <c r="C4078" s="1" t="s">
        <v>1764</v>
      </c>
      <c r="D4078" s="1" t="s">
        <v>44</v>
      </c>
      <c r="E4078" s="1" t="s">
        <v>4130</v>
      </c>
      <c r="F4078">
        <v>1508</v>
      </c>
      <c r="G4078">
        <v>1992</v>
      </c>
      <c r="H4078">
        <v>576</v>
      </c>
      <c r="I4078">
        <v>19.100000000000001</v>
      </c>
      <c r="J4078" s="11">
        <f t="shared" si="162"/>
        <v>0.57499999999999996</v>
      </c>
      <c r="K4078">
        <v>1456</v>
      </c>
      <c r="L4078">
        <v>4.1900000000000004</v>
      </c>
      <c r="M4078">
        <v>4.6100000000000003</v>
      </c>
      <c r="N4078">
        <v>190</v>
      </c>
      <c r="O4078">
        <v>11.5</v>
      </c>
      <c r="P4078">
        <v>5.23</v>
      </c>
    </row>
    <row r="4079" spans="1:16">
      <c r="A4079" s="1" t="s">
        <v>4125</v>
      </c>
      <c r="B4079" s="1" t="s">
        <v>4132</v>
      </c>
      <c r="C4079" s="1" t="s">
        <v>1764</v>
      </c>
      <c r="D4079" s="1" t="s">
        <v>44</v>
      </c>
      <c r="E4079" s="1" t="s">
        <v>4130</v>
      </c>
      <c r="F4079">
        <v>1548</v>
      </c>
      <c r="G4079">
        <v>1427</v>
      </c>
      <c r="H4079">
        <v>292</v>
      </c>
      <c r="I4079">
        <v>6.2</v>
      </c>
      <c r="J4079">
        <v>6.53</v>
      </c>
      <c r="K4079">
        <v>578</v>
      </c>
      <c r="L4079">
        <v>4.41</v>
      </c>
      <c r="M4079">
        <v>9.58</v>
      </c>
      <c r="N4079">
        <v>87.1</v>
      </c>
      <c r="O4079">
        <v>9.86</v>
      </c>
      <c r="P4079">
        <v>4.55</v>
      </c>
    </row>
    <row r="4080" spans="1:16">
      <c r="A4080" s="1" t="s">
        <v>4125</v>
      </c>
      <c r="B4080" s="1" t="s">
        <v>4133</v>
      </c>
      <c r="C4080" s="1" t="s">
        <v>1764</v>
      </c>
      <c r="D4080" s="1" t="s">
        <v>44</v>
      </c>
      <c r="E4080" s="1" t="s">
        <v>4130</v>
      </c>
      <c r="F4080">
        <v>1660</v>
      </c>
      <c r="G4080">
        <v>2034</v>
      </c>
      <c r="H4080">
        <v>1475</v>
      </c>
      <c r="I4080">
        <v>49.2</v>
      </c>
      <c r="J4080">
        <v>4.92</v>
      </c>
      <c r="K4080">
        <v>1463</v>
      </c>
      <c r="L4080">
        <v>4.74</v>
      </c>
      <c r="M4080">
        <v>1.97</v>
      </c>
      <c r="N4080">
        <v>211</v>
      </c>
      <c r="O4080">
        <v>14.8</v>
      </c>
      <c r="P4080">
        <v>6.28</v>
      </c>
    </row>
    <row r="4081" spans="1:16">
      <c r="A4081" s="1" t="s">
        <v>4125</v>
      </c>
      <c r="B4081" s="1" t="s">
        <v>4134</v>
      </c>
      <c r="C4081" s="1" t="s">
        <v>1764</v>
      </c>
      <c r="D4081" s="1" t="s">
        <v>44</v>
      </c>
      <c r="E4081" s="1" t="s">
        <v>4130</v>
      </c>
      <c r="F4081">
        <v>1346</v>
      </c>
      <c r="G4081">
        <v>1540</v>
      </c>
      <c r="H4081">
        <v>552</v>
      </c>
      <c r="I4081">
        <v>20</v>
      </c>
      <c r="J4081" s="11">
        <f>1.15/2</f>
        <v>0.57499999999999996</v>
      </c>
      <c r="K4081">
        <v>1344</v>
      </c>
      <c r="L4081">
        <v>4</v>
      </c>
      <c r="M4081">
        <v>0.36799999999999999</v>
      </c>
      <c r="N4081">
        <v>151</v>
      </c>
      <c r="O4081">
        <v>10.4</v>
      </c>
      <c r="P4081">
        <v>4.7699999999999996</v>
      </c>
    </row>
    <row r="4082" spans="1:16">
      <c r="A4082" s="1" t="s">
        <v>4125</v>
      </c>
      <c r="B4082" s="1" t="s">
        <v>4135</v>
      </c>
      <c r="C4082" s="1" t="s">
        <v>1764</v>
      </c>
      <c r="D4082" s="1" t="s">
        <v>44</v>
      </c>
      <c r="E4082" s="1" t="s">
        <v>4130</v>
      </c>
      <c r="F4082">
        <v>3465</v>
      </c>
      <c r="G4082">
        <v>1042</v>
      </c>
      <c r="H4082">
        <v>736</v>
      </c>
      <c r="I4082">
        <v>28.6</v>
      </c>
      <c r="J4082">
        <v>5.0599999999999996</v>
      </c>
      <c r="K4082">
        <v>2183</v>
      </c>
      <c r="L4082">
        <v>1.96</v>
      </c>
      <c r="M4082">
        <v>4.6100000000000003</v>
      </c>
      <c r="N4082">
        <v>321</v>
      </c>
      <c r="O4082">
        <v>9.8699999999999992</v>
      </c>
      <c r="P4082">
        <v>11.8</v>
      </c>
    </row>
    <row r="4083" spans="1:16">
      <c r="A4083" s="1" t="s">
        <v>4125</v>
      </c>
      <c r="B4083" s="1" t="s">
        <v>4136</v>
      </c>
      <c r="C4083" s="1" t="s">
        <v>1764</v>
      </c>
      <c r="D4083" s="1" t="s">
        <v>44</v>
      </c>
      <c r="E4083" s="1" t="s">
        <v>4130</v>
      </c>
      <c r="F4083">
        <v>1961</v>
      </c>
      <c r="G4083">
        <v>642</v>
      </c>
      <c r="H4083">
        <v>110</v>
      </c>
      <c r="I4083">
        <v>3.98</v>
      </c>
      <c r="J4083" s="11">
        <f>1.15/2</f>
        <v>0.57499999999999996</v>
      </c>
      <c r="K4083">
        <v>1291</v>
      </c>
      <c r="L4083">
        <v>3.97</v>
      </c>
      <c r="M4083">
        <v>3.56</v>
      </c>
      <c r="N4083">
        <v>162</v>
      </c>
      <c r="O4083">
        <v>10.1</v>
      </c>
      <c r="P4083">
        <v>13.4</v>
      </c>
    </row>
    <row r="4084" spans="1:16">
      <c r="A4084" s="1" t="s">
        <v>4125</v>
      </c>
      <c r="B4084" s="1" t="s">
        <v>4137</v>
      </c>
      <c r="C4084" s="1" t="s">
        <v>1764</v>
      </c>
      <c r="D4084" s="1" t="s">
        <v>44</v>
      </c>
      <c r="E4084" s="1" t="s">
        <v>4130</v>
      </c>
      <c r="F4084">
        <v>3473</v>
      </c>
      <c r="G4084">
        <v>489</v>
      </c>
      <c r="H4084">
        <v>870</v>
      </c>
      <c r="I4084">
        <v>41.6</v>
      </c>
      <c r="J4084">
        <v>3.47</v>
      </c>
      <c r="K4084">
        <v>1465</v>
      </c>
      <c r="L4084">
        <v>9.35</v>
      </c>
      <c r="M4084">
        <v>29</v>
      </c>
      <c r="N4084">
        <v>264</v>
      </c>
      <c r="O4084">
        <v>13.3</v>
      </c>
      <c r="P4084">
        <v>8.2100000000000009</v>
      </c>
    </row>
    <row r="4085" spans="1:16">
      <c r="A4085" s="1" t="s">
        <v>4125</v>
      </c>
      <c r="B4085" s="1" t="s">
        <v>4138</v>
      </c>
      <c r="C4085" s="1" t="s">
        <v>1764</v>
      </c>
      <c r="D4085" s="1" t="s">
        <v>44</v>
      </c>
      <c r="E4085" s="1" t="s">
        <v>4130</v>
      </c>
      <c r="F4085">
        <v>3444</v>
      </c>
      <c r="G4085">
        <v>759</v>
      </c>
      <c r="H4085">
        <v>275</v>
      </c>
      <c r="I4085">
        <v>7.37</v>
      </c>
      <c r="J4085" s="11">
        <f t="shared" ref="J4085:J4088" si="163">1.15/2</f>
        <v>0.57499999999999996</v>
      </c>
      <c r="K4085">
        <v>1764</v>
      </c>
      <c r="L4085">
        <v>6.11</v>
      </c>
      <c r="M4085">
        <v>2.71</v>
      </c>
      <c r="N4085">
        <v>252</v>
      </c>
      <c r="O4085">
        <v>7.82</v>
      </c>
      <c r="P4085">
        <v>6.16</v>
      </c>
    </row>
    <row r="4086" spans="1:16">
      <c r="A4086" s="1" t="s">
        <v>4125</v>
      </c>
      <c r="B4086" s="1" t="s">
        <v>4139</v>
      </c>
      <c r="C4086" s="1" t="s">
        <v>1764</v>
      </c>
      <c r="D4086" s="1" t="s">
        <v>44</v>
      </c>
      <c r="E4086" s="1" t="s">
        <v>4130</v>
      </c>
      <c r="F4086">
        <v>3387</v>
      </c>
      <c r="G4086">
        <v>1003</v>
      </c>
      <c r="H4086">
        <v>600</v>
      </c>
      <c r="I4086">
        <v>10.1</v>
      </c>
      <c r="J4086" s="11">
        <f t="shared" si="163"/>
        <v>0.57499999999999996</v>
      </c>
      <c r="K4086">
        <v>1995</v>
      </c>
      <c r="L4086">
        <v>5.3</v>
      </c>
      <c r="M4086">
        <v>2.77</v>
      </c>
      <c r="N4086">
        <v>294</v>
      </c>
      <c r="O4086">
        <v>11.6</v>
      </c>
      <c r="P4086">
        <v>5.97</v>
      </c>
    </row>
    <row r="4087" spans="1:16">
      <c r="A4087" s="1" t="s">
        <v>4125</v>
      </c>
      <c r="B4087" s="1" t="s">
        <v>4140</v>
      </c>
      <c r="C4087" s="1" t="s">
        <v>1764</v>
      </c>
      <c r="D4087" s="1" t="s">
        <v>44</v>
      </c>
      <c r="E4087" s="1" t="s">
        <v>4130</v>
      </c>
      <c r="F4087">
        <v>357</v>
      </c>
      <c r="G4087">
        <v>2308</v>
      </c>
      <c r="H4087">
        <v>2.4500000000000002</v>
      </c>
      <c r="I4087">
        <v>0.14000000000000001</v>
      </c>
      <c r="J4087" s="11">
        <f t="shared" si="163"/>
        <v>0.57499999999999996</v>
      </c>
      <c r="K4087">
        <v>3613</v>
      </c>
      <c r="L4087">
        <v>3.48</v>
      </c>
      <c r="M4087">
        <v>1.37</v>
      </c>
      <c r="N4087">
        <v>231</v>
      </c>
      <c r="O4087">
        <v>7.99</v>
      </c>
      <c r="P4087">
        <v>25.9</v>
      </c>
    </row>
    <row r="4088" spans="1:16">
      <c r="A4088" s="1" t="s">
        <v>4125</v>
      </c>
      <c r="B4088" s="1" t="s">
        <v>4141</v>
      </c>
      <c r="C4088" s="1" t="s">
        <v>1764</v>
      </c>
      <c r="D4088" s="1" t="s">
        <v>44</v>
      </c>
      <c r="E4088" s="1" t="s">
        <v>4130</v>
      </c>
      <c r="F4088">
        <v>775</v>
      </c>
      <c r="G4088">
        <v>997</v>
      </c>
      <c r="H4088">
        <v>8.31</v>
      </c>
      <c r="I4088">
        <v>2.93</v>
      </c>
      <c r="J4088" s="11">
        <f t="shared" si="163"/>
        <v>0.57499999999999996</v>
      </c>
      <c r="K4088">
        <v>5854</v>
      </c>
      <c r="L4088">
        <v>4.87</v>
      </c>
      <c r="M4088">
        <v>1.07</v>
      </c>
      <c r="N4088">
        <v>231</v>
      </c>
      <c r="O4088">
        <v>6.69</v>
      </c>
      <c r="P4088">
        <v>23</v>
      </c>
    </row>
    <row r="4089" spans="1:16">
      <c r="A4089" s="1" t="s">
        <v>4125</v>
      </c>
      <c r="B4089" s="1" t="s">
        <v>4142</v>
      </c>
      <c r="C4089" s="1" t="s">
        <v>1764</v>
      </c>
      <c r="D4089" s="1" t="s">
        <v>44</v>
      </c>
      <c r="E4089" s="1" t="s">
        <v>4130</v>
      </c>
      <c r="F4089">
        <v>130</v>
      </c>
      <c r="G4089">
        <v>789</v>
      </c>
      <c r="H4089">
        <v>21.7</v>
      </c>
      <c r="I4089">
        <v>5.89</v>
      </c>
      <c r="J4089">
        <v>1.85</v>
      </c>
      <c r="K4089">
        <v>3630</v>
      </c>
      <c r="L4089">
        <v>2.46</v>
      </c>
      <c r="M4089">
        <v>15</v>
      </c>
      <c r="N4089">
        <v>200</v>
      </c>
      <c r="O4089">
        <v>7.56</v>
      </c>
      <c r="P4089">
        <v>4.8099999999999996</v>
      </c>
    </row>
    <row r="4090" spans="1:16">
      <c r="A4090" s="1" t="s">
        <v>4125</v>
      </c>
      <c r="B4090" s="1" t="s">
        <v>4143</v>
      </c>
      <c r="C4090" s="1" t="s">
        <v>1764</v>
      </c>
      <c r="D4090" s="1" t="s">
        <v>44</v>
      </c>
      <c r="E4090" s="1" t="s">
        <v>4130</v>
      </c>
      <c r="F4090">
        <v>45.3</v>
      </c>
      <c r="G4090">
        <v>763</v>
      </c>
      <c r="H4090">
        <v>105.8</v>
      </c>
      <c r="I4090">
        <v>8.4</v>
      </c>
      <c r="J4090" s="11">
        <f>1.15/2</f>
        <v>0.57499999999999996</v>
      </c>
      <c r="K4090">
        <v>2947</v>
      </c>
      <c r="L4090">
        <v>2.57</v>
      </c>
      <c r="M4090">
        <v>2.5099999999999998</v>
      </c>
      <c r="N4090">
        <v>152</v>
      </c>
      <c r="O4090">
        <v>10.8</v>
      </c>
      <c r="P4090">
        <v>9.68</v>
      </c>
    </row>
    <row r="4091" spans="1:16">
      <c r="A4091" s="1" t="s">
        <v>4125</v>
      </c>
      <c r="B4091" s="1" t="s">
        <v>4144</v>
      </c>
      <c r="C4091" s="1" t="s">
        <v>1764</v>
      </c>
      <c r="D4091" s="1" t="s">
        <v>44</v>
      </c>
      <c r="E4091" s="1" t="s">
        <v>4130</v>
      </c>
      <c r="F4091">
        <v>604</v>
      </c>
      <c r="G4091">
        <v>1283</v>
      </c>
      <c r="H4091">
        <v>25.1</v>
      </c>
      <c r="I4091">
        <v>29</v>
      </c>
      <c r="J4091">
        <v>3.19</v>
      </c>
      <c r="K4091">
        <v>4193</v>
      </c>
      <c r="L4091">
        <v>33.299999999999997</v>
      </c>
      <c r="M4091">
        <v>16.5</v>
      </c>
      <c r="N4091">
        <v>310</v>
      </c>
      <c r="O4091">
        <v>21.4</v>
      </c>
      <c r="P4091">
        <v>28.8</v>
      </c>
    </row>
    <row r="4092" spans="1:16">
      <c r="A4092" s="1" t="s">
        <v>4125</v>
      </c>
      <c r="B4092" s="1" t="s">
        <v>4145</v>
      </c>
      <c r="C4092" s="1" t="s">
        <v>1764</v>
      </c>
      <c r="D4092" s="1" t="s">
        <v>44</v>
      </c>
      <c r="E4092" s="1" t="s">
        <v>4130</v>
      </c>
      <c r="F4092">
        <v>370</v>
      </c>
      <c r="G4092">
        <v>1289</v>
      </c>
      <c r="H4092">
        <v>19.2</v>
      </c>
      <c r="I4092">
        <v>14.7</v>
      </c>
      <c r="J4092">
        <v>3.04</v>
      </c>
      <c r="K4092">
        <v>2389</v>
      </c>
      <c r="L4092">
        <v>33.1</v>
      </c>
      <c r="M4092">
        <v>13.4</v>
      </c>
      <c r="N4092">
        <v>335</v>
      </c>
      <c r="O4092">
        <v>16.5</v>
      </c>
      <c r="P4092">
        <v>12.9</v>
      </c>
    </row>
    <row r="4093" spans="1:16">
      <c r="A4093" s="1" t="s">
        <v>4125</v>
      </c>
      <c r="B4093" s="1" t="s">
        <v>4146</v>
      </c>
      <c r="C4093" s="1" t="s">
        <v>1764</v>
      </c>
      <c r="D4093" s="1" t="s">
        <v>44</v>
      </c>
      <c r="E4093" s="1" t="s">
        <v>4130</v>
      </c>
      <c r="F4093">
        <v>236</v>
      </c>
      <c r="G4093">
        <v>937</v>
      </c>
      <c r="H4093">
        <v>8.8699999999999992</v>
      </c>
      <c r="I4093">
        <v>13.7</v>
      </c>
      <c r="J4093">
        <v>4.08</v>
      </c>
      <c r="K4093">
        <v>1849</v>
      </c>
      <c r="L4093">
        <v>33.6</v>
      </c>
      <c r="M4093">
        <v>6.8</v>
      </c>
      <c r="N4093">
        <v>370</v>
      </c>
      <c r="O4093">
        <v>14.7</v>
      </c>
      <c r="P4093">
        <v>16.2</v>
      </c>
    </row>
    <row r="4094" spans="1:16">
      <c r="A4094" s="1" t="s">
        <v>4125</v>
      </c>
      <c r="B4094" s="1" t="s">
        <v>4147</v>
      </c>
      <c r="C4094" s="1" t="s">
        <v>1764</v>
      </c>
      <c r="D4094" s="1" t="s">
        <v>44</v>
      </c>
      <c r="E4094" s="1" t="s">
        <v>4130</v>
      </c>
      <c r="F4094">
        <v>362</v>
      </c>
      <c r="G4094">
        <v>2320</v>
      </c>
      <c r="H4094">
        <v>9.44</v>
      </c>
      <c r="I4094">
        <v>4.53</v>
      </c>
      <c r="J4094">
        <v>6.5</v>
      </c>
      <c r="K4094">
        <v>2865</v>
      </c>
      <c r="L4094">
        <v>30.5</v>
      </c>
      <c r="M4094">
        <v>5.91</v>
      </c>
      <c r="N4094">
        <v>502</v>
      </c>
      <c r="O4094">
        <v>11</v>
      </c>
      <c r="P4094">
        <v>8.06</v>
      </c>
    </row>
    <row r="4095" spans="1:16">
      <c r="A4095" s="1" t="s">
        <v>4125</v>
      </c>
      <c r="B4095" s="1" t="s">
        <v>4148</v>
      </c>
      <c r="C4095" s="1" t="s">
        <v>1764</v>
      </c>
      <c r="D4095" s="1" t="s">
        <v>44</v>
      </c>
      <c r="E4095" s="1" t="s">
        <v>4130</v>
      </c>
      <c r="F4095">
        <v>448</v>
      </c>
      <c r="G4095">
        <v>910</v>
      </c>
      <c r="H4095">
        <v>14.1</v>
      </c>
      <c r="I4095">
        <v>8.77</v>
      </c>
      <c r="J4095">
        <v>3.35</v>
      </c>
      <c r="K4095">
        <v>4899</v>
      </c>
      <c r="L4095">
        <v>36.9</v>
      </c>
      <c r="M4095">
        <v>9.18</v>
      </c>
      <c r="N4095">
        <v>580</v>
      </c>
      <c r="O4095">
        <v>9.5500000000000007</v>
      </c>
      <c r="P4095">
        <v>6.8</v>
      </c>
    </row>
    <row r="4096" spans="1:16">
      <c r="A4096" s="1" t="s">
        <v>4125</v>
      </c>
      <c r="B4096" s="1" t="s">
        <v>4149</v>
      </c>
      <c r="C4096" s="1" t="s">
        <v>1764</v>
      </c>
      <c r="D4096" s="1" t="s">
        <v>44</v>
      </c>
      <c r="E4096" s="1" t="s">
        <v>4130</v>
      </c>
      <c r="F4096">
        <v>185</v>
      </c>
      <c r="G4096">
        <v>917</v>
      </c>
      <c r="H4096">
        <v>21.1</v>
      </c>
      <c r="I4096">
        <v>14.7</v>
      </c>
      <c r="J4096" s="11">
        <f t="shared" ref="J4096:J4097" si="164">1.15/2</f>
        <v>0.57499999999999996</v>
      </c>
      <c r="K4096">
        <v>1633</v>
      </c>
      <c r="L4096">
        <v>29.1</v>
      </c>
      <c r="M4096">
        <v>2.69</v>
      </c>
      <c r="N4096">
        <v>332</v>
      </c>
      <c r="O4096">
        <v>11.2</v>
      </c>
      <c r="P4096">
        <v>16.8</v>
      </c>
    </row>
    <row r="4097" spans="1:16">
      <c r="A4097" s="1" t="s">
        <v>4125</v>
      </c>
      <c r="B4097" s="1" t="s">
        <v>4150</v>
      </c>
      <c r="C4097" s="1" t="s">
        <v>1764</v>
      </c>
      <c r="D4097" s="1" t="s">
        <v>44</v>
      </c>
      <c r="E4097" s="1" t="s">
        <v>4130</v>
      </c>
      <c r="F4097">
        <v>744</v>
      </c>
      <c r="G4097">
        <v>498</v>
      </c>
      <c r="H4097">
        <v>26.2</v>
      </c>
      <c r="I4097">
        <v>23.5</v>
      </c>
      <c r="J4097" s="11">
        <f t="shared" si="164"/>
        <v>0.57499999999999996</v>
      </c>
      <c r="K4097">
        <v>6769</v>
      </c>
      <c r="L4097">
        <v>32.9</v>
      </c>
      <c r="M4097">
        <v>8.4</v>
      </c>
      <c r="N4097">
        <v>328</v>
      </c>
      <c r="O4097">
        <v>10.199999999999999</v>
      </c>
      <c r="P4097">
        <v>14.9</v>
      </c>
    </row>
    <row r="4098" spans="1:16">
      <c r="A4098" s="1" t="s">
        <v>4125</v>
      </c>
      <c r="B4098" s="1" t="s">
        <v>4151</v>
      </c>
      <c r="C4098" s="1" t="s">
        <v>1764</v>
      </c>
      <c r="D4098" s="1" t="s">
        <v>44</v>
      </c>
      <c r="E4098" s="1" t="s">
        <v>4130</v>
      </c>
      <c r="F4098">
        <v>818</v>
      </c>
      <c r="G4098">
        <v>1482</v>
      </c>
      <c r="H4098">
        <v>37.1</v>
      </c>
      <c r="I4098">
        <v>29.9</v>
      </c>
      <c r="J4098">
        <v>21.22</v>
      </c>
      <c r="K4098">
        <v>3314</v>
      </c>
      <c r="L4098">
        <v>43.9</v>
      </c>
      <c r="M4098">
        <v>24.1</v>
      </c>
      <c r="N4098">
        <v>327</v>
      </c>
      <c r="O4098">
        <v>27.2</v>
      </c>
      <c r="P4098">
        <v>32.1</v>
      </c>
    </row>
    <row r="4099" spans="1:16">
      <c r="A4099" s="1" t="s">
        <v>4125</v>
      </c>
      <c r="B4099" s="1" t="s">
        <v>4152</v>
      </c>
      <c r="C4099" s="1" t="s">
        <v>1764</v>
      </c>
      <c r="D4099" s="1" t="s">
        <v>44</v>
      </c>
      <c r="E4099" s="1" t="s">
        <v>4130</v>
      </c>
      <c r="F4099">
        <v>285</v>
      </c>
      <c r="G4099">
        <v>587</v>
      </c>
      <c r="H4099">
        <v>29.5</v>
      </c>
      <c r="I4099">
        <v>30.7</v>
      </c>
      <c r="J4099" s="11">
        <f>1.15/2</f>
        <v>0.57499999999999996</v>
      </c>
      <c r="K4099">
        <v>1574</v>
      </c>
      <c r="L4099">
        <v>33.1</v>
      </c>
      <c r="M4099">
        <v>14.6</v>
      </c>
      <c r="N4099">
        <v>198</v>
      </c>
      <c r="O4099">
        <v>12.1</v>
      </c>
      <c r="P4099">
        <v>25.5</v>
      </c>
    </row>
    <row r="4100" spans="1:16">
      <c r="A4100" s="1" t="s">
        <v>4125</v>
      </c>
      <c r="B4100" s="1" t="s">
        <v>4153</v>
      </c>
      <c r="C4100" s="1" t="s">
        <v>1764</v>
      </c>
      <c r="D4100" s="1" t="s">
        <v>44</v>
      </c>
      <c r="E4100" s="1" t="s">
        <v>4130</v>
      </c>
      <c r="F4100">
        <v>192</v>
      </c>
      <c r="G4100">
        <v>521</v>
      </c>
      <c r="H4100">
        <v>17</v>
      </c>
      <c r="I4100">
        <v>15.3</v>
      </c>
      <c r="J4100">
        <v>1.93</v>
      </c>
      <c r="K4100">
        <v>1176</v>
      </c>
      <c r="L4100">
        <v>28.4</v>
      </c>
      <c r="M4100">
        <v>5.59</v>
      </c>
      <c r="N4100">
        <v>154</v>
      </c>
      <c r="O4100">
        <v>12.1</v>
      </c>
      <c r="P4100">
        <v>23.8</v>
      </c>
    </row>
    <row r="4101" spans="1:16">
      <c r="A4101" s="1" t="s">
        <v>4125</v>
      </c>
      <c r="B4101" s="1" t="s">
        <v>4154</v>
      </c>
      <c r="C4101" s="1" t="s">
        <v>1764</v>
      </c>
      <c r="D4101" s="1" t="s">
        <v>44</v>
      </c>
      <c r="E4101" s="1" t="s">
        <v>4130</v>
      </c>
      <c r="F4101">
        <v>503</v>
      </c>
      <c r="G4101">
        <v>2313</v>
      </c>
      <c r="H4101">
        <v>21.2</v>
      </c>
      <c r="I4101">
        <v>5.82</v>
      </c>
      <c r="J4101" s="11">
        <f t="shared" ref="J4101:J4102" si="165">1.15/2</f>
        <v>0.57499999999999996</v>
      </c>
      <c r="K4101">
        <v>4184</v>
      </c>
      <c r="L4101">
        <v>33.9</v>
      </c>
      <c r="M4101">
        <v>7.24</v>
      </c>
      <c r="N4101">
        <v>291</v>
      </c>
      <c r="O4101">
        <v>12.3</v>
      </c>
      <c r="P4101">
        <v>8.27</v>
      </c>
    </row>
    <row r="4102" spans="1:16">
      <c r="A4102" s="1" t="s">
        <v>4125</v>
      </c>
      <c r="B4102" s="1" t="s">
        <v>4155</v>
      </c>
      <c r="C4102" s="1" t="s">
        <v>1764</v>
      </c>
      <c r="D4102" s="1" t="s">
        <v>44</v>
      </c>
      <c r="E4102" s="1" t="s">
        <v>4130</v>
      </c>
      <c r="F4102">
        <v>105</v>
      </c>
      <c r="G4102">
        <v>418</v>
      </c>
      <c r="H4102">
        <v>10.1</v>
      </c>
      <c r="I4102">
        <v>16.399999999999999</v>
      </c>
      <c r="J4102" s="11">
        <f t="shared" si="165"/>
        <v>0.57499999999999996</v>
      </c>
      <c r="K4102">
        <v>1258</v>
      </c>
      <c r="L4102">
        <v>28.8</v>
      </c>
      <c r="M4102">
        <v>6.71</v>
      </c>
      <c r="N4102">
        <v>182</v>
      </c>
      <c r="O4102">
        <v>10</v>
      </c>
      <c r="P4102">
        <v>18.2</v>
      </c>
    </row>
    <row r="4103" spans="1:16">
      <c r="A4103" s="1" t="s">
        <v>4125</v>
      </c>
      <c r="B4103" s="1" t="s">
        <v>4156</v>
      </c>
      <c r="C4103" s="1" t="s">
        <v>1764</v>
      </c>
      <c r="D4103" s="1" t="s">
        <v>44</v>
      </c>
      <c r="E4103" s="1" t="s">
        <v>4130</v>
      </c>
      <c r="F4103">
        <v>365</v>
      </c>
      <c r="G4103">
        <v>1734</v>
      </c>
      <c r="H4103">
        <v>17.8</v>
      </c>
      <c r="I4103">
        <v>13.9</v>
      </c>
      <c r="J4103">
        <v>8.76</v>
      </c>
      <c r="K4103">
        <v>3894</v>
      </c>
      <c r="L4103">
        <v>40.700000000000003</v>
      </c>
      <c r="M4103">
        <v>13.2</v>
      </c>
      <c r="N4103">
        <v>314</v>
      </c>
      <c r="O4103">
        <v>21.2</v>
      </c>
      <c r="P4103">
        <v>16.8</v>
      </c>
    </row>
    <row r="4104" spans="1:16">
      <c r="A4104" s="1" t="s">
        <v>4125</v>
      </c>
      <c r="B4104" s="1" t="s">
        <v>4157</v>
      </c>
      <c r="C4104" s="1" t="s">
        <v>1764</v>
      </c>
      <c r="D4104" s="1" t="s">
        <v>44</v>
      </c>
      <c r="E4104" s="1" t="s">
        <v>4130</v>
      </c>
      <c r="F4104">
        <v>190</v>
      </c>
      <c r="G4104">
        <v>736</v>
      </c>
      <c r="H4104">
        <v>14.2</v>
      </c>
      <c r="I4104">
        <v>17</v>
      </c>
      <c r="J4104">
        <v>5.83</v>
      </c>
      <c r="K4104">
        <v>1751</v>
      </c>
      <c r="L4104">
        <v>28.8</v>
      </c>
      <c r="M4104">
        <v>13.1</v>
      </c>
      <c r="N4104">
        <v>160</v>
      </c>
      <c r="O4104">
        <v>9.65</v>
      </c>
      <c r="P4104">
        <v>20.100000000000001</v>
      </c>
    </row>
    <row r="4105" spans="1:16">
      <c r="A4105" s="1" t="s">
        <v>4125</v>
      </c>
      <c r="B4105" s="1" t="s">
        <v>4158</v>
      </c>
      <c r="C4105" s="1" t="s">
        <v>1764</v>
      </c>
      <c r="D4105" s="1" t="s">
        <v>44</v>
      </c>
      <c r="E4105" s="1" t="s">
        <v>4130</v>
      </c>
      <c r="F4105">
        <v>207</v>
      </c>
      <c r="G4105">
        <v>1062</v>
      </c>
      <c r="H4105">
        <v>16.2</v>
      </c>
      <c r="I4105">
        <v>6.24</v>
      </c>
      <c r="J4105">
        <v>1.86</v>
      </c>
      <c r="K4105">
        <v>2065</v>
      </c>
      <c r="L4105">
        <v>32.200000000000003</v>
      </c>
      <c r="M4105">
        <v>4.0999999999999996</v>
      </c>
      <c r="N4105">
        <v>210</v>
      </c>
      <c r="O4105">
        <v>10</v>
      </c>
      <c r="P4105">
        <v>4.17</v>
      </c>
    </row>
    <row r="4106" spans="1:16">
      <c r="A4106" s="1" t="s">
        <v>4125</v>
      </c>
      <c r="B4106" s="1" t="s">
        <v>4159</v>
      </c>
      <c r="C4106" s="1" t="s">
        <v>1764</v>
      </c>
      <c r="D4106" s="1" t="s">
        <v>44</v>
      </c>
      <c r="E4106" s="1" t="s">
        <v>4130</v>
      </c>
      <c r="F4106">
        <v>3049</v>
      </c>
      <c r="G4106">
        <v>53.5</v>
      </c>
      <c r="H4106">
        <v>3.08</v>
      </c>
      <c r="I4106">
        <v>1.81</v>
      </c>
      <c r="J4106" s="11">
        <f t="shared" ref="J4106:J4108" si="166">1.15/2</f>
        <v>0.57499999999999996</v>
      </c>
      <c r="K4106">
        <v>2755</v>
      </c>
      <c r="L4106">
        <v>1.0900000000000001</v>
      </c>
      <c r="M4106">
        <v>3.19</v>
      </c>
      <c r="N4106">
        <v>192</v>
      </c>
      <c r="O4106">
        <v>1.05</v>
      </c>
      <c r="P4106">
        <v>6.74</v>
      </c>
    </row>
    <row r="4107" spans="1:16">
      <c r="A4107" s="1" t="s">
        <v>4125</v>
      </c>
      <c r="B4107" s="1" t="s">
        <v>4160</v>
      </c>
      <c r="C4107" s="1" t="s">
        <v>1764</v>
      </c>
      <c r="D4107" s="1" t="s">
        <v>44</v>
      </c>
      <c r="E4107" s="1" t="s">
        <v>4130</v>
      </c>
      <c r="F4107">
        <v>593</v>
      </c>
      <c r="G4107">
        <v>46.8</v>
      </c>
      <c r="H4107">
        <v>4.29</v>
      </c>
      <c r="I4107">
        <v>0.56000000000000005</v>
      </c>
      <c r="J4107" s="11">
        <f t="shared" si="166"/>
        <v>0.57499999999999996</v>
      </c>
      <c r="K4107">
        <v>2878</v>
      </c>
      <c r="L4107">
        <v>7.76</v>
      </c>
      <c r="M4107">
        <v>3.97</v>
      </c>
      <c r="N4107">
        <v>141</v>
      </c>
      <c r="O4107">
        <v>2.83</v>
      </c>
      <c r="P4107">
        <v>8.4600000000000009</v>
      </c>
    </row>
    <row r="4108" spans="1:16">
      <c r="A4108" s="1" t="s">
        <v>4125</v>
      </c>
      <c r="B4108" s="1" t="s">
        <v>4161</v>
      </c>
      <c r="C4108" s="1" t="s">
        <v>1764</v>
      </c>
      <c r="D4108" s="1" t="s">
        <v>44</v>
      </c>
      <c r="E4108" s="1" t="s">
        <v>4130</v>
      </c>
      <c r="F4108">
        <v>1322</v>
      </c>
      <c r="G4108">
        <v>49.9</v>
      </c>
      <c r="H4108">
        <v>3.86</v>
      </c>
      <c r="I4108">
        <v>2.1</v>
      </c>
      <c r="J4108" s="11">
        <f t="shared" si="166"/>
        <v>0.57499999999999996</v>
      </c>
      <c r="K4108">
        <v>2778</v>
      </c>
      <c r="L4108">
        <v>7.49</v>
      </c>
      <c r="M4108">
        <v>3.03</v>
      </c>
      <c r="N4108">
        <v>165</v>
      </c>
      <c r="O4108">
        <v>1.47</v>
      </c>
      <c r="P4108">
        <v>9.48</v>
      </c>
    </row>
    <row r="4109" spans="1:16">
      <c r="A4109" s="1" t="s">
        <v>4125</v>
      </c>
      <c r="B4109" s="1" t="s">
        <v>4162</v>
      </c>
      <c r="C4109" s="1" t="s">
        <v>1764</v>
      </c>
      <c r="D4109" s="1" t="s">
        <v>44</v>
      </c>
      <c r="E4109" s="1" t="s">
        <v>4130</v>
      </c>
      <c r="F4109">
        <v>1156</v>
      </c>
      <c r="G4109">
        <v>57.3</v>
      </c>
      <c r="H4109">
        <v>16</v>
      </c>
      <c r="I4109">
        <v>5.23</v>
      </c>
      <c r="J4109">
        <v>3.05</v>
      </c>
      <c r="K4109">
        <v>3077</v>
      </c>
      <c r="L4109">
        <v>7.89</v>
      </c>
      <c r="M4109">
        <v>3.42</v>
      </c>
      <c r="N4109">
        <v>174</v>
      </c>
      <c r="O4109">
        <v>2.25</v>
      </c>
      <c r="P4109">
        <v>11.4</v>
      </c>
    </row>
    <row r="4110" spans="1:16">
      <c r="A4110" s="1" t="s">
        <v>4163</v>
      </c>
      <c r="B4110" s="1" t="s">
        <v>4164</v>
      </c>
      <c r="C4110" s="1" t="s">
        <v>105</v>
      </c>
      <c r="D4110" s="1" t="s">
        <v>106</v>
      </c>
      <c r="E4110" s="1" t="s">
        <v>4165</v>
      </c>
      <c r="F4110">
        <v>183.23</v>
      </c>
      <c r="G4110">
        <v>817.59999999999991</v>
      </c>
      <c r="H4110">
        <v>24.528000000000002</v>
      </c>
      <c r="I4110">
        <v>10.5923</v>
      </c>
      <c r="J4110">
        <v>2.2265000000000001</v>
      </c>
      <c r="K4110">
        <v>883.3</v>
      </c>
      <c r="L4110">
        <v>5.4896000000000003</v>
      </c>
      <c r="M4110">
        <v>1.4308000000000001</v>
      </c>
      <c r="N4110">
        <v>34.091000000000001</v>
      </c>
      <c r="O4110">
        <v>3.3725999999999998</v>
      </c>
      <c r="P4110">
        <v>0.19272</v>
      </c>
    </row>
    <row r="4111" spans="1:16">
      <c r="A4111" s="1" t="s">
        <v>4163</v>
      </c>
      <c r="B4111" s="1" t="s">
        <v>4166</v>
      </c>
      <c r="C4111" s="1" t="s">
        <v>105</v>
      </c>
      <c r="D4111" s="1" t="s">
        <v>106</v>
      </c>
      <c r="E4111" s="1" t="s">
        <v>4165</v>
      </c>
      <c r="F4111">
        <v>67.16</v>
      </c>
      <c r="G4111">
        <v>187.60999999999999</v>
      </c>
      <c r="H4111">
        <v>22.922000000000001</v>
      </c>
      <c r="I4111">
        <v>9.979099999999999</v>
      </c>
      <c r="J4111">
        <v>3.0806</v>
      </c>
      <c r="K4111">
        <v>605.90000000000009</v>
      </c>
      <c r="L4111">
        <v>4.2047999999999996</v>
      </c>
      <c r="M4111">
        <v>1.7593000000000001</v>
      </c>
      <c r="N4111">
        <v>46.72</v>
      </c>
      <c r="O4111">
        <v>2.5842000000000001</v>
      </c>
      <c r="P4111">
        <v>0.13869999999999999</v>
      </c>
    </row>
    <row r="4112" spans="1:16">
      <c r="A4112" s="1" t="s">
        <v>4163</v>
      </c>
      <c r="B4112" s="1" t="s">
        <v>4167</v>
      </c>
      <c r="C4112" s="1" t="s">
        <v>105</v>
      </c>
      <c r="D4112" s="1" t="s">
        <v>106</v>
      </c>
      <c r="E4112" s="1" t="s">
        <v>4168</v>
      </c>
      <c r="F4112">
        <v>326.31</v>
      </c>
      <c r="G4112">
        <v>1175</v>
      </c>
      <c r="H4112">
        <v>18.829999999999998</v>
      </c>
      <c r="I4112">
        <v>15.77</v>
      </c>
      <c r="J4112">
        <v>2.34</v>
      </c>
      <c r="K4112">
        <v>429.24</v>
      </c>
      <c r="L4112">
        <v>6.34</v>
      </c>
      <c r="M4112">
        <v>2.63</v>
      </c>
      <c r="N4112">
        <v>40.22</v>
      </c>
      <c r="O4112">
        <v>5.33</v>
      </c>
      <c r="P4112">
        <v>0.21</v>
      </c>
    </row>
    <row r="4113" spans="1:16">
      <c r="A4113" s="1" t="s">
        <v>4163</v>
      </c>
      <c r="B4113" s="1" t="s">
        <v>4169</v>
      </c>
      <c r="C4113" s="1" t="s">
        <v>105</v>
      </c>
      <c r="D4113" s="1" t="s">
        <v>106</v>
      </c>
      <c r="E4113" s="1" t="s">
        <v>4168</v>
      </c>
      <c r="F4113">
        <v>168.63</v>
      </c>
      <c r="G4113">
        <v>1029.3</v>
      </c>
      <c r="H4113">
        <v>21.096999999999998</v>
      </c>
      <c r="I4113">
        <v>14.162000000000001</v>
      </c>
      <c r="J4113">
        <v>3.6353999999999997</v>
      </c>
      <c r="K4113">
        <v>473.77000000000004</v>
      </c>
      <c r="L4113">
        <v>6.4020999999999999</v>
      </c>
      <c r="M4113">
        <v>2.4820000000000002</v>
      </c>
      <c r="N4113">
        <v>28.032</v>
      </c>
      <c r="O4113">
        <v>4.38</v>
      </c>
      <c r="P4113">
        <v>0.33579999999999999</v>
      </c>
    </row>
    <row r="4114" spans="1:16">
      <c r="A4114" s="1" t="s">
        <v>4163</v>
      </c>
      <c r="B4114" s="1" t="s">
        <v>4170</v>
      </c>
      <c r="C4114" s="1" t="s">
        <v>105</v>
      </c>
      <c r="D4114" s="1" t="s">
        <v>106</v>
      </c>
      <c r="E4114" s="1" t="s">
        <v>4168</v>
      </c>
      <c r="F4114">
        <v>65.7</v>
      </c>
      <c r="G4114">
        <v>292</v>
      </c>
      <c r="H4114">
        <v>29.419</v>
      </c>
      <c r="I4114">
        <v>13.424700000000001</v>
      </c>
      <c r="J4114">
        <v>1.4745999999999999</v>
      </c>
      <c r="K4114">
        <v>437.27000000000004</v>
      </c>
      <c r="L4114">
        <v>6.0517000000000003</v>
      </c>
      <c r="M4114">
        <v>1.7812000000000001</v>
      </c>
      <c r="N4114">
        <v>31.974</v>
      </c>
      <c r="O4114">
        <v>3.2193000000000001</v>
      </c>
      <c r="P4114">
        <v>0.17082</v>
      </c>
    </row>
    <row r="4115" spans="1:16">
      <c r="A4115" s="1" t="s">
        <v>4163</v>
      </c>
      <c r="B4115" s="1" t="s">
        <v>4171</v>
      </c>
      <c r="C4115" s="1" t="s">
        <v>105</v>
      </c>
      <c r="D4115" s="1" t="s">
        <v>106</v>
      </c>
      <c r="E4115" s="1" t="s">
        <v>4168</v>
      </c>
      <c r="F4115">
        <v>182.5</v>
      </c>
      <c r="G4115">
        <v>386.9</v>
      </c>
      <c r="H4115">
        <v>15.33</v>
      </c>
      <c r="I4115">
        <v>14.366400000000001</v>
      </c>
      <c r="J4115">
        <v>6.6429999999999998</v>
      </c>
      <c r="K4115">
        <v>432.89</v>
      </c>
      <c r="L4115">
        <v>6.4969999999999999</v>
      </c>
      <c r="M4115">
        <v>2.0878000000000001</v>
      </c>
      <c r="N4115">
        <v>29.200000000000003</v>
      </c>
      <c r="O4115">
        <v>3.4675000000000002</v>
      </c>
      <c r="P4115">
        <v>0.26134000000000002</v>
      </c>
    </row>
    <row r="4116" spans="1:16">
      <c r="A4116" s="1" t="s">
        <v>4163</v>
      </c>
      <c r="B4116" s="1" t="s">
        <v>4172</v>
      </c>
      <c r="C4116" s="1" t="s">
        <v>105</v>
      </c>
      <c r="D4116" s="1" t="s">
        <v>106</v>
      </c>
      <c r="E4116" s="1" t="s">
        <v>4168</v>
      </c>
      <c r="F4116">
        <v>128.47999999999999</v>
      </c>
      <c r="G4116">
        <v>394.20000000000005</v>
      </c>
      <c r="H4116">
        <v>43.143000000000001</v>
      </c>
      <c r="I4116">
        <v>10.358700000000001</v>
      </c>
      <c r="J4116">
        <v>2.92</v>
      </c>
      <c r="K4116">
        <v>578.16</v>
      </c>
      <c r="L4116">
        <v>5.4311999999999996</v>
      </c>
      <c r="M4116">
        <v>4.234</v>
      </c>
      <c r="N4116">
        <v>43.07</v>
      </c>
      <c r="O4116">
        <v>3.9711999999999996</v>
      </c>
      <c r="P4116">
        <v>0.1825</v>
      </c>
    </row>
    <row r="4117" spans="1:16">
      <c r="A4117" s="1" t="s">
        <v>4163</v>
      </c>
      <c r="B4117" s="1" t="s">
        <v>4173</v>
      </c>
      <c r="C4117" s="1" t="s">
        <v>105</v>
      </c>
      <c r="D4117" s="1" t="s">
        <v>106</v>
      </c>
      <c r="E4117" s="1" t="s">
        <v>4168</v>
      </c>
      <c r="F4117">
        <v>92.710000000000008</v>
      </c>
      <c r="G4117">
        <v>459.9</v>
      </c>
      <c r="H4117">
        <v>42.266999999999996</v>
      </c>
      <c r="I4117">
        <v>10.3368</v>
      </c>
      <c r="J4117">
        <v>2.774</v>
      </c>
      <c r="K4117">
        <v>708.09999999999991</v>
      </c>
      <c r="L4117">
        <v>5.7012999999999998</v>
      </c>
      <c r="M4117">
        <v>1.2993999999999999</v>
      </c>
      <c r="N4117">
        <v>51.099999999999994</v>
      </c>
      <c r="O4117">
        <v>3.1682000000000001</v>
      </c>
      <c r="P4117">
        <v>0.14527000000000001</v>
      </c>
    </row>
    <row r="4118" spans="1:16">
      <c r="A4118" s="1" t="s">
        <v>4163</v>
      </c>
      <c r="B4118" s="1" t="s">
        <v>4174</v>
      </c>
      <c r="C4118" s="1" t="s">
        <v>105</v>
      </c>
      <c r="D4118" s="1" t="s">
        <v>106</v>
      </c>
      <c r="E4118" s="1" t="s">
        <v>4168</v>
      </c>
      <c r="F4118">
        <v>255.5</v>
      </c>
      <c r="G4118">
        <v>693.5</v>
      </c>
      <c r="H4118">
        <v>36.5</v>
      </c>
      <c r="I4118">
        <v>10.2127</v>
      </c>
      <c r="J4118">
        <v>2.044</v>
      </c>
      <c r="K4118">
        <v>664.3</v>
      </c>
      <c r="L4118">
        <v>3.2119999999999997</v>
      </c>
      <c r="M4118">
        <v>1.6059999999999999</v>
      </c>
      <c r="N4118">
        <v>37.521999999999998</v>
      </c>
      <c r="O4118">
        <v>3.4455999999999998</v>
      </c>
      <c r="P4118">
        <v>0.73</v>
      </c>
    </row>
    <row r="4119" spans="1:16">
      <c r="A4119" s="1" t="s">
        <v>4163</v>
      </c>
      <c r="B4119" s="1" t="s">
        <v>4175</v>
      </c>
      <c r="C4119" s="1" t="s">
        <v>105</v>
      </c>
      <c r="D4119" s="1" t="s">
        <v>106</v>
      </c>
      <c r="E4119" s="1" t="s">
        <v>4168</v>
      </c>
      <c r="F4119">
        <v>288.35000000000002</v>
      </c>
      <c r="G4119">
        <v>363.25</v>
      </c>
      <c r="H4119">
        <v>25.55</v>
      </c>
      <c r="I4119">
        <v>12.18</v>
      </c>
      <c r="J4119">
        <v>18.91</v>
      </c>
      <c r="K4119">
        <v>653.35</v>
      </c>
      <c r="L4119">
        <v>3.91</v>
      </c>
      <c r="M4119">
        <v>5.62</v>
      </c>
      <c r="N4119">
        <v>38.76</v>
      </c>
      <c r="O4119">
        <v>2.94</v>
      </c>
      <c r="P4119">
        <v>0.34</v>
      </c>
    </row>
    <row r="4120" spans="1:16">
      <c r="A4120" s="1" t="s">
        <v>4163</v>
      </c>
      <c r="B4120" s="1" t="s">
        <v>4176</v>
      </c>
      <c r="C4120" s="1" t="s">
        <v>105</v>
      </c>
      <c r="D4120" s="1" t="s">
        <v>106</v>
      </c>
      <c r="E4120" s="1" t="s">
        <v>4168</v>
      </c>
      <c r="F4120">
        <v>70.81</v>
      </c>
      <c r="G4120">
        <v>210.23999999999998</v>
      </c>
      <c r="H4120">
        <v>21.242999999999999</v>
      </c>
      <c r="I4120">
        <v>10.731</v>
      </c>
      <c r="J4120">
        <v>1.46</v>
      </c>
      <c r="K4120">
        <v>608.09</v>
      </c>
      <c r="L4120">
        <v>2.92</v>
      </c>
      <c r="M4120">
        <v>1.4235</v>
      </c>
      <c r="N4120">
        <v>34.309999999999995</v>
      </c>
      <c r="O4120">
        <v>2.6498999999999997</v>
      </c>
      <c r="P4120">
        <v>0.92709999999999992</v>
      </c>
    </row>
    <row r="4121" spans="1:16">
      <c r="A4121" s="1" t="s">
        <v>4163</v>
      </c>
      <c r="B4121" s="1" t="s">
        <v>4177</v>
      </c>
      <c r="C4121" s="1" t="s">
        <v>105</v>
      </c>
      <c r="D4121" s="1" t="s">
        <v>106</v>
      </c>
      <c r="E4121" s="1" t="s">
        <v>4168</v>
      </c>
      <c r="F4121">
        <v>92.710000000000008</v>
      </c>
      <c r="G4121">
        <v>200.75</v>
      </c>
      <c r="H4121">
        <v>22.556999999999999</v>
      </c>
      <c r="I4121">
        <v>10.8332</v>
      </c>
      <c r="J4121">
        <f>1.05/2</f>
        <v>0.52500000000000002</v>
      </c>
      <c r="K4121">
        <v>688.39</v>
      </c>
      <c r="L4121">
        <v>2.8761999999999999</v>
      </c>
      <c r="M4121">
        <v>1.0146999999999999</v>
      </c>
      <c r="N4121">
        <v>35.551000000000002</v>
      </c>
      <c r="O4121">
        <v>2.9930000000000003</v>
      </c>
      <c r="P4121">
        <v>0.14016000000000001</v>
      </c>
    </row>
    <row r="4122" spans="1:16">
      <c r="A4122" s="1" t="s">
        <v>4163</v>
      </c>
      <c r="B4122" s="1" t="s">
        <v>4178</v>
      </c>
      <c r="C4122" s="1" t="s">
        <v>105</v>
      </c>
      <c r="D4122" s="1" t="s">
        <v>106</v>
      </c>
      <c r="E4122" s="1" t="s">
        <v>4168</v>
      </c>
      <c r="F4122">
        <v>328.5</v>
      </c>
      <c r="G4122">
        <v>569.4</v>
      </c>
      <c r="H4122">
        <v>19.2</v>
      </c>
      <c r="I4122">
        <v>17.079999999999998</v>
      </c>
      <c r="J4122">
        <v>3.29</v>
      </c>
      <c r="K4122">
        <v>510.27</v>
      </c>
      <c r="L4122">
        <v>11.32</v>
      </c>
      <c r="M4122">
        <v>3.04</v>
      </c>
      <c r="N4122">
        <v>41.61</v>
      </c>
      <c r="O4122">
        <v>2.0499999999999998</v>
      </c>
      <c r="P4122">
        <v>0.20293999999999998</v>
      </c>
    </row>
    <row r="4123" spans="1:16">
      <c r="A4123" s="1" t="s">
        <v>4163</v>
      </c>
      <c r="B4123" s="1" t="s">
        <v>4179</v>
      </c>
      <c r="C4123" s="1" t="s">
        <v>105</v>
      </c>
      <c r="D4123" s="1" t="s">
        <v>106</v>
      </c>
      <c r="E4123" s="1" t="s">
        <v>4168</v>
      </c>
      <c r="F4123">
        <v>67.16</v>
      </c>
      <c r="G4123">
        <v>224.84</v>
      </c>
      <c r="H4123">
        <v>43.726999999999997</v>
      </c>
      <c r="I4123">
        <v>16.2425</v>
      </c>
      <c r="J4123">
        <v>7.3000000000000007</v>
      </c>
      <c r="K4123">
        <v>715.40000000000009</v>
      </c>
      <c r="L4123">
        <v>10.599599999999999</v>
      </c>
      <c r="M4123">
        <v>2.7229000000000001</v>
      </c>
      <c r="N4123">
        <v>54.384999999999998</v>
      </c>
      <c r="O4123">
        <v>2.4527999999999999</v>
      </c>
      <c r="P4123">
        <v>0.1825</v>
      </c>
    </row>
    <row r="4124" spans="1:16">
      <c r="A4124" s="1" t="s">
        <v>4163</v>
      </c>
      <c r="B4124" s="1" t="s">
        <v>4180</v>
      </c>
      <c r="C4124" s="1" t="s">
        <v>105</v>
      </c>
      <c r="D4124" s="1" t="s">
        <v>106</v>
      </c>
      <c r="E4124" s="1" t="s">
        <v>4168</v>
      </c>
      <c r="F4124">
        <v>80.300000000000011</v>
      </c>
      <c r="G4124">
        <v>233.60000000000002</v>
      </c>
      <c r="H4124">
        <v>14.308</v>
      </c>
      <c r="I4124">
        <v>15.892100000000001</v>
      </c>
      <c r="J4124">
        <v>15.33</v>
      </c>
      <c r="K4124">
        <v>458.44</v>
      </c>
      <c r="L4124">
        <v>10.4244</v>
      </c>
      <c r="M4124">
        <v>2.9784000000000002</v>
      </c>
      <c r="N4124">
        <v>43.07</v>
      </c>
      <c r="O4124">
        <v>2.3140999999999998</v>
      </c>
      <c r="P4124">
        <v>0.17155000000000001</v>
      </c>
    </row>
    <row r="4125" spans="1:16">
      <c r="A4125" s="1" t="s">
        <v>4163</v>
      </c>
      <c r="B4125" s="1" t="s">
        <v>4181</v>
      </c>
      <c r="C4125" s="1" t="s">
        <v>105</v>
      </c>
      <c r="D4125" s="1" t="s">
        <v>106</v>
      </c>
      <c r="E4125" s="1" t="s">
        <v>4168</v>
      </c>
      <c r="F4125">
        <v>208.78</v>
      </c>
      <c r="G4125">
        <v>277.39999999999998</v>
      </c>
      <c r="H4125">
        <v>35.770000000000003</v>
      </c>
      <c r="I4125">
        <v>15.61</v>
      </c>
      <c r="J4125">
        <v>9.56</v>
      </c>
      <c r="K4125">
        <v>475.23</v>
      </c>
      <c r="L4125">
        <v>10.65</v>
      </c>
      <c r="M4125">
        <v>3.0149000000000004</v>
      </c>
      <c r="N4125">
        <v>45.99</v>
      </c>
      <c r="O4125">
        <v>1.8688</v>
      </c>
      <c r="P4125">
        <v>0.13139999999999999</v>
      </c>
    </row>
    <row r="4126" spans="1:16">
      <c r="A4126" s="1" t="s">
        <v>4163</v>
      </c>
      <c r="B4126" s="1" t="s">
        <v>4182</v>
      </c>
      <c r="C4126" s="1" t="s">
        <v>105</v>
      </c>
      <c r="D4126" s="1" t="s">
        <v>106</v>
      </c>
      <c r="E4126" s="1" t="s">
        <v>4168</v>
      </c>
      <c r="F4126">
        <v>51.25</v>
      </c>
      <c r="G4126">
        <v>308.06</v>
      </c>
      <c r="H4126">
        <v>39.130000000000003</v>
      </c>
      <c r="I4126">
        <v>10.59</v>
      </c>
      <c r="J4126">
        <v>4.8499999999999996</v>
      </c>
      <c r="K4126">
        <v>592.76</v>
      </c>
      <c r="L4126">
        <v>5.39</v>
      </c>
      <c r="M4126">
        <v>1.37</v>
      </c>
      <c r="N4126">
        <v>41.83</v>
      </c>
      <c r="O4126">
        <v>3.5697000000000001</v>
      </c>
      <c r="P4126">
        <v>0.10000999999999999</v>
      </c>
    </row>
    <row r="4127" spans="1:16">
      <c r="A4127" s="1" t="s">
        <v>4183</v>
      </c>
      <c r="B4127" s="1" t="s">
        <v>4184</v>
      </c>
      <c r="C4127" s="1" t="s">
        <v>5591</v>
      </c>
      <c r="D4127" s="1" t="s">
        <v>5503</v>
      </c>
      <c r="E4127" s="1" t="s">
        <v>4168</v>
      </c>
      <c r="F4127">
        <v>57.67</v>
      </c>
      <c r="G4127">
        <v>186.14999999999998</v>
      </c>
      <c r="H4127">
        <v>71.685999999999993</v>
      </c>
      <c r="I4127">
        <v>726.34999999999991</v>
      </c>
      <c r="J4127">
        <v>2181.2399999999998</v>
      </c>
      <c r="K4127">
        <v>1266.5500000000002</v>
      </c>
      <c r="L4127">
        <v>27.302</v>
      </c>
      <c r="M4127">
        <v>90.155000000000001</v>
      </c>
      <c r="N4127">
        <v>30.587</v>
      </c>
      <c r="O4127">
        <v>2.9710999999999999</v>
      </c>
      <c r="P4127">
        <v>0.19</v>
      </c>
    </row>
    <row r="4128" spans="1:16">
      <c r="A4128" s="1" t="s">
        <v>4183</v>
      </c>
      <c r="B4128" s="1" t="s">
        <v>4185</v>
      </c>
      <c r="C4128" s="1" t="s">
        <v>5591</v>
      </c>
      <c r="D4128" s="1" t="s">
        <v>5503</v>
      </c>
      <c r="E4128" s="1" t="s">
        <v>4168</v>
      </c>
      <c r="F4128">
        <v>15.695</v>
      </c>
      <c r="G4128">
        <v>200.75</v>
      </c>
      <c r="H4128">
        <v>84.679999999999993</v>
      </c>
      <c r="I4128">
        <v>1766.6</v>
      </c>
      <c r="J4128">
        <v>2416.3000000000002</v>
      </c>
      <c r="K4128">
        <v>1422.04</v>
      </c>
      <c r="L4128">
        <v>48.033999999999999</v>
      </c>
      <c r="M4128">
        <v>116.65400000000001</v>
      </c>
      <c r="N4128">
        <v>248.2</v>
      </c>
      <c r="O4128">
        <v>19.23</v>
      </c>
      <c r="P4128">
        <v>0.27739999999999998</v>
      </c>
    </row>
    <row r="4129" spans="1:16">
      <c r="A4129" s="1" t="s">
        <v>4183</v>
      </c>
      <c r="B4129" s="1" t="s">
        <v>4186</v>
      </c>
      <c r="C4129" s="1" t="s">
        <v>5591</v>
      </c>
      <c r="D4129" s="1" t="s">
        <v>5503</v>
      </c>
      <c r="E4129" s="1" t="s">
        <v>4168</v>
      </c>
      <c r="F4129">
        <v>20.440000000000001</v>
      </c>
      <c r="G4129">
        <v>114.61</v>
      </c>
      <c r="H4129">
        <v>96.36</v>
      </c>
      <c r="I4129">
        <v>1394.3000000000002</v>
      </c>
      <c r="J4129">
        <v>2960.88</v>
      </c>
      <c r="K4129">
        <v>1243.9199999999998</v>
      </c>
      <c r="L4129">
        <v>31.317</v>
      </c>
      <c r="M4129">
        <v>106.288</v>
      </c>
      <c r="N4129">
        <v>36.5</v>
      </c>
      <c r="O4129">
        <v>2.2848999999999999</v>
      </c>
      <c r="P4129">
        <v>0.1898</v>
      </c>
    </row>
    <row r="4130" spans="1:16">
      <c r="A4130" s="1" t="s">
        <v>4183</v>
      </c>
      <c r="B4130" s="1" t="s">
        <v>4187</v>
      </c>
      <c r="C4130" s="1" t="s">
        <v>5591</v>
      </c>
      <c r="D4130" s="1" t="s">
        <v>5503</v>
      </c>
      <c r="E4130" s="1" t="s">
        <v>4168</v>
      </c>
      <c r="F4130">
        <v>9.8987999999999996</v>
      </c>
      <c r="G4130">
        <v>49.859000000000002</v>
      </c>
      <c r="H4130">
        <v>27.448</v>
      </c>
      <c r="I4130">
        <v>593.49</v>
      </c>
      <c r="J4130">
        <v>1657.1</v>
      </c>
      <c r="K4130">
        <v>1350.5</v>
      </c>
      <c r="L4130">
        <v>26.352999999999998</v>
      </c>
      <c r="M4130">
        <v>78.84</v>
      </c>
      <c r="N4130">
        <v>21.9</v>
      </c>
      <c r="O4130">
        <v>1.6206</v>
      </c>
      <c r="P4130">
        <f>0.19/2</f>
        <v>9.5000000000000001E-2</v>
      </c>
    </row>
    <row r="4131" spans="1:16">
      <c r="A4131" s="1" t="s">
        <v>4183</v>
      </c>
      <c r="B4131" s="1" t="s">
        <v>4188</v>
      </c>
      <c r="C4131" s="1" t="s">
        <v>5591</v>
      </c>
      <c r="D4131" s="1" t="s">
        <v>5503</v>
      </c>
      <c r="E4131" s="1" t="s">
        <v>4168</v>
      </c>
      <c r="F4131">
        <v>17.373999999999999</v>
      </c>
      <c r="G4131">
        <v>165.637</v>
      </c>
      <c r="H4131">
        <v>61.466000000000001</v>
      </c>
      <c r="I4131">
        <v>970.90000000000009</v>
      </c>
      <c r="J4131">
        <v>1976.1100000000001</v>
      </c>
      <c r="K4131">
        <v>1314</v>
      </c>
      <c r="L4131">
        <v>29.6234</v>
      </c>
      <c r="M4131">
        <v>92.928999999999988</v>
      </c>
      <c r="N4131">
        <v>45.478999999999999</v>
      </c>
      <c r="O4131">
        <v>6.0735999999999999</v>
      </c>
      <c r="P4131" s="11">
        <f t="shared" ref="P4131:P4144" si="167">0.19/2</f>
        <v>9.5000000000000001E-2</v>
      </c>
    </row>
    <row r="4132" spans="1:16">
      <c r="A4132" s="1" t="s">
        <v>4183</v>
      </c>
      <c r="B4132" s="1" t="s">
        <v>4189</v>
      </c>
      <c r="C4132" s="1" t="s">
        <v>5591</v>
      </c>
      <c r="D4132" s="1" t="s">
        <v>5503</v>
      </c>
      <c r="E4132" s="1" t="s">
        <v>4168</v>
      </c>
      <c r="F4132">
        <v>11.0741</v>
      </c>
      <c r="G4132">
        <v>116.50800000000001</v>
      </c>
      <c r="H4132">
        <v>90.301000000000002</v>
      </c>
      <c r="I4132">
        <v>870.89</v>
      </c>
      <c r="J4132">
        <v>2109.6999999999998</v>
      </c>
      <c r="K4132">
        <v>1232.97</v>
      </c>
      <c r="L4132">
        <v>27.740000000000002</v>
      </c>
      <c r="M4132">
        <v>77.671999999999997</v>
      </c>
      <c r="N4132">
        <v>30.221999999999998</v>
      </c>
      <c r="O4132">
        <v>2.5038999999999998</v>
      </c>
      <c r="P4132" s="11">
        <f t="shared" si="167"/>
        <v>9.5000000000000001E-2</v>
      </c>
    </row>
    <row r="4133" spans="1:16">
      <c r="A4133" s="1" t="s">
        <v>4183</v>
      </c>
      <c r="B4133" s="1" t="s">
        <v>4190</v>
      </c>
      <c r="C4133" s="1" t="s">
        <v>5591</v>
      </c>
      <c r="D4133" s="1" t="s">
        <v>5503</v>
      </c>
      <c r="E4133" s="1" t="s">
        <v>4168</v>
      </c>
      <c r="F4133">
        <v>11.950100000000001</v>
      </c>
      <c r="G4133">
        <v>70.225999999999999</v>
      </c>
      <c r="H4133">
        <v>42.120999999999995</v>
      </c>
      <c r="I4133">
        <v>872.34999999999991</v>
      </c>
      <c r="J4133">
        <v>2076.85</v>
      </c>
      <c r="K4133">
        <v>1255.5999999999999</v>
      </c>
      <c r="L4133">
        <v>28.908000000000001</v>
      </c>
      <c r="M4133">
        <v>86.432000000000002</v>
      </c>
      <c r="N4133">
        <v>25.476999999999997</v>
      </c>
      <c r="O4133">
        <v>2.1389</v>
      </c>
      <c r="P4133" s="11">
        <f t="shared" si="167"/>
        <v>9.5000000000000001E-2</v>
      </c>
    </row>
    <row r="4134" spans="1:16">
      <c r="A4134" s="1" t="s">
        <v>4183</v>
      </c>
      <c r="B4134" s="1" t="s">
        <v>4191</v>
      </c>
      <c r="C4134" s="1" t="s">
        <v>5591</v>
      </c>
      <c r="D4134" s="1" t="s">
        <v>5503</v>
      </c>
      <c r="E4134" s="1" t="s">
        <v>4168</v>
      </c>
      <c r="F4134">
        <v>17.154999999999998</v>
      </c>
      <c r="G4134">
        <v>112.931</v>
      </c>
      <c r="H4134">
        <v>59.86</v>
      </c>
      <c r="I4134">
        <v>1094.27</v>
      </c>
      <c r="J4134">
        <v>2731.6600000000003</v>
      </c>
      <c r="K4134">
        <v>1338.82</v>
      </c>
      <c r="L4134">
        <v>40.807000000000002</v>
      </c>
      <c r="M4134">
        <v>99.352999999999994</v>
      </c>
      <c r="N4134">
        <v>68.328000000000003</v>
      </c>
      <c r="O4134">
        <v>9.979099999999999</v>
      </c>
      <c r="P4134" s="11">
        <f t="shared" si="167"/>
        <v>9.5000000000000001E-2</v>
      </c>
    </row>
    <row r="4135" spans="1:16">
      <c r="A4135" s="1" t="s">
        <v>4183</v>
      </c>
      <c r="B4135" s="1" t="s">
        <v>4192</v>
      </c>
      <c r="C4135" s="1" t="s">
        <v>5591</v>
      </c>
      <c r="D4135" s="1" t="s">
        <v>5503</v>
      </c>
      <c r="E4135" s="1" t="s">
        <v>4168</v>
      </c>
      <c r="F4135">
        <v>11.753</v>
      </c>
      <c r="G4135">
        <v>66.064999999999998</v>
      </c>
      <c r="H4135">
        <v>75.19</v>
      </c>
      <c r="I4135">
        <v>1284.07</v>
      </c>
      <c r="J4135">
        <v>2665.96</v>
      </c>
      <c r="K4135">
        <v>1438.8300000000002</v>
      </c>
      <c r="L4135">
        <v>45.625</v>
      </c>
      <c r="M4135">
        <v>107.164</v>
      </c>
      <c r="N4135">
        <v>91.468999999999994</v>
      </c>
      <c r="O4135">
        <v>14.1547</v>
      </c>
      <c r="P4135" s="11">
        <f t="shared" si="167"/>
        <v>9.5000000000000001E-2</v>
      </c>
    </row>
    <row r="4136" spans="1:16">
      <c r="A4136" s="1" t="s">
        <v>4183</v>
      </c>
      <c r="B4136" s="1" t="s">
        <v>4193</v>
      </c>
      <c r="C4136" s="1" t="s">
        <v>5591</v>
      </c>
      <c r="D4136" s="1" t="s">
        <v>5600</v>
      </c>
      <c r="E4136" s="1" t="s">
        <v>4168</v>
      </c>
      <c r="F4136">
        <v>14.819000000000001</v>
      </c>
      <c r="G4136">
        <v>124.1</v>
      </c>
      <c r="H4136">
        <v>40.150000000000006</v>
      </c>
      <c r="I4136">
        <v>1382.6200000000001</v>
      </c>
      <c r="J4136">
        <v>2548.4299999999998</v>
      </c>
      <c r="K4136">
        <v>1412.5500000000002</v>
      </c>
      <c r="L4136">
        <v>53.29</v>
      </c>
      <c r="M4136">
        <v>148.99299999999999</v>
      </c>
      <c r="N4136">
        <v>138.69999999999999</v>
      </c>
      <c r="O4136">
        <v>21.972999999999999</v>
      </c>
      <c r="P4136" s="11">
        <f t="shared" si="167"/>
        <v>9.5000000000000001E-2</v>
      </c>
    </row>
    <row r="4137" spans="1:16">
      <c r="A4137" s="1" t="s">
        <v>4183</v>
      </c>
      <c r="B4137" s="1" t="s">
        <v>4194</v>
      </c>
      <c r="C4137" s="1" t="s">
        <v>5591</v>
      </c>
      <c r="D4137" s="1" t="s">
        <v>5600</v>
      </c>
      <c r="E4137" s="1" t="s">
        <v>4168</v>
      </c>
      <c r="F4137">
        <v>7.3292000000000002</v>
      </c>
      <c r="G4137">
        <v>35.332000000000001</v>
      </c>
      <c r="H4137">
        <v>33.434000000000005</v>
      </c>
      <c r="I4137">
        <v>489.1</v>
      </c>
      <c r="J4137">
        <v>970.90000000000009</v>
      </c>
      <c r="K4137">
        <v>1130.77</v>
      </c>
      <c r="L4137">
        <v>21.7759</v>
      </c>
      <c r="M4137">
        <v>115.77800000000001</v>
      </c>
      <c r="N4137">
        <v>16.571000000000002</v>
      </c>
      <c r="O4137">
        <v>0.95411000000000001</v>
      </c>
      <c r="P4137" s="11">
        <f t="shared" si="167"/>
        <v>9.5000000000000001E-2</v>
      </c>
    </row>
    <row r="4138" spans="1:16">
      <c r="A4138" s="1" t="s">
        <v>4183</v>
      </c>
      <c r="B4138" s="1" t="s">
        <v>4195</v>
      </c>
      <c r="C4138" s="1" t="s">
        <v>5591</v>
      </c>
      <c r="D4138" s="1" t="s">
        <v>5600</v>
      </c>
      <c r="E4138" s="1" t="s">
        <v>4168</v>
      </c>
      <c r="F4138">
        <v>47.45</v>
      </c>
      <c r="G4138">
        <v>1153.4000000000001</v>
      </c>
      <c r="H4138">
        <v>131.4</v>
      </c>
      <c r="I4138">
        <v>962.87</v>
      </c>
      <c r="J4138">
        <v>2803.2</v>
      </c>
      <c r="K4138">
        <v>1197.93</v>
      </c>
      <c r="L4138">
        <v>30.587</v>
      </c>
      <c r="M4138">
        <v>142.35</v>
      </c>
      <c r="N4138">
        <v>30.221999999999998</v>
      </c>
      <c r="O4138">
        <v>6.7378999999999998</v>
      </c>
      <c r="P4138" s="11">
        <f t="shared" si="167"/>
        <v>9.5000000000000001E-2</v>
      </c>
    </row>
    <row r="4139" spans="1:16">
      <c r="A4139" s="1" t="s">
        <v>4196</v>
      </c>
      <c r="B4139" s="1" t="s">
        <v>4197</v>
      </c>
      <c r="C4139" s="1" t="s">
        <v>5591</v>
      </c>
      <c r="D4139" s="1" t="s">
        <v>5503</v>
      </c>
      <c r="E4139" s="1" t="s">
        <v>4168</v>
      </c>
      <c r="F4139">
        <v>9.8695999999999984</v>
      </c>
      <c r="G4139">
        <v>57.597000000000001</v>
      </c>
      <c r="H4139">
        <v>21.388999999999999</v>
      </c>
      <c r="I4139">
        <v>1316.9199999999998</v>
      </c>
      <c r="J4139">
        <v>538.01</v>
      </c>
      <c r="K4139">
        <v>1467.3000000000002</v>
      </c>
      <c r="L4139">
        <v>41.901999999999994</v>
      </c>
      <c r="M4139">
        <v>49.494000000000007</v>
      </c>
      <c r="N4139">
        <v>67.305999999999997</v>
      </c>
      <c r="O4139">
        <v>12.329699999999999</v>
      </c>
      <c r="P4139" s="11">
        <f t="shared" si="167"/>
        <v>9.5000000000000001E-2</v>
      </c>
    </row>
    <row r="4140" spans="1:16">
      <c r="A4140" s="1" t="s">
        <v>4196</v>
      </c>
      <c r="B4140" s="1" t="s">
        <v>4198</v>
      </c>
      <c r="C4140" s="1" t="s">
        <v>5591</v>
      </c>
      <c r="D4140" s="1" t="s">
        <v>5503</v>
      </c>
      <c r="E4140" s="1" t="s">
        <v>4168</v>
      </c>
      <c r="F4140">
        <v>9.2710000000000008</v>
      </c>
      <c r="G4140">
        <v>115.851</v>
      </c>
      <c r="H4140">
        <v>123.881</v>
      </c>
      <c r="I4140">
        <v>1167.27</v>
      </c>
      <c r="J4140">
        <v>527.79000000000008</v>
      </c>
      <c r="K4140">
        <v>1227.1299999999999</v>
      </c>
      <c r="L4140">
        <v>30.1417</v>
      </c>
      <c r="M4140">
        <v>99.134</v>
      </c>
      <c r="N4140">
        <v>46.792999999999999</v>
      </c>
      <c r="O4140">
        <v>11.767600000000002</v>
      </c>
      <c r="P4140" s="11">
        <f t="shared" si="167"/>
        <v>9.5000000000000001E-2</v>
      </c>
    </row>
    <row r="4141" spans="1:16">
      <c r="A4141" s="1" t="s">
        <v>4196</v>
      </c>
      <c r="B4141" s="1" t="s">
        <v>4199</v>
      </c>
      <c r="C4141" s="1" t="s">
        <v>5591</v>
      </c>
      <c r="D4141" s="1" t="s">
        <v>5503</v>
      </c>
      <c r="E4141" s="1" t="s">
        <v>4168</v>
      </c>
      <c r="F4141">
        <v>7.1175000000000006</v>
      </c>
      <c r="G4141">
        <v>51.537999999999997</v>
      </c>
      <c r="H4141">
        <v>42.704999999999998</v>
      </c>
      <c r="I4141">
        <v>389.82</v>
      </c>
      <c r="J4141">
        <v>375.95000000000005</v>
      </c>
      <c r="K4141">
        <v>1140.99</v>
      </c>
      <c r="L4141">
        <v>16.79</v>
      </c>
      <c r="M4141">
        <v>42.777999999999999</v>
      </c>
      <c r="N4141">
        <v>23.944000000000003</v>
      </c>
      <c r="O4141">
        <v>1.6862999999999999</v>
      </c>
      <c r="P4141" s="11">
        <f t="shared" si="167"/>
        <v>9.5000000000000001E-2</v>
      </c>
    </row>
    <row r="4142" spans="1:16">
      <c r="A4142" s="1" t="s">
        <v>4196</v>
      </c>
      <c r="B4142" s="1" t="s">
        <v>4200</v>
      </c>
      <c r="C4142" s="1" t="s">
        <v>5591</v>
      </c>
      <c r="D4142" s="1" t="s">
        <v>5600</v>
      </c>
      <c r="E4142" s="1" t="s">
        <v>4168</v>
      </c>
      <c r="F4142">
        <v>12.643599999999999</v>
      </c>
      <c r="G4142">
        <v>472.31</v>
      </c>
      <c r="H4142">
        <v>262.07</v>
      </c>
      <c r="I4142">
        <v>850.45</v>
      </c>
      <c r="J4142">
        <v>59.13</v>
      </c>
      <c r="K4142">
        <v>1544.68</v>
      </c>
      <c r="L4142">
        <v>19.2136</v>
      </c>
      <c r="M4142">
        <v>19.155200000000001</v>
      </c>
      <c r="N4142">
        <v>240.89999999999998</v>
      </c>
      <c r="O4142">
        <v>23.286999999999999</v>
      </c>
      <c r="P4142" s="11">
        <f t="shared" si="167"/>
        <v>9.5000000000000001E-2</v>
      </c>
    </row>
    <row r="4143" spans="1:16">
      <c r="A4143" s="1" t="s">
        <v>4196</v>
      </c>
      <c r="B4143" s="1" t="s">
        <v>4201</v>
      </c>
      <c r="C4143" s="1" t="s">
        <v>5591</v>
      </c>
      <c r="D4143" s="1" t="s">
        <v>5600</v>
      </c>
      <c r="E4143" s="1" t="s">
        <v>4168</v>
      </c>
      <c r="F4143">
        <v>11.913600000000001</v>
      </c>
      <c r="G4143">
        <v>383.97999999999996</v>
      </c>
      <c r="H4143">
        <v>293.31399999999996</v>
      </c>
      <c r="I4143">
        <v>812.85500000000002</v>
      </c>
      <c r="J4143">
        <v>39.055</v>
      </c>
      <c r="K4143">
        <v>1449.0500000000002</v>
      </c>
      <c r="L4143">
        <v>19.199000000000002</v>
      </c>
      <c r="M4143">
        <v>18.914300000000001</v>
      </c>
      <c r="N4143">
        <v>177.828</v>
      </c>
      <c r="O4143">
        <v>23.2651</v>
      </c>
      <c r="P4143" s="11">
        <f t="shared" si="167"/>
        <v>9.5000000000000001E-2</v>
      </c>
    </row>
    <row r="4144" spans="1:16">
      <c r="A4144" s="1" t="s">
        <v>4196</v>
      </c>
      <c r="B4144" s="1" t="s">
        <v>4202</v>
      </c>
      <c r="C4144" s="1" t="s">
        <v>5591</v>
      </c>
      <c r="D4144" s="1" t="s">
        <v>5600</v>
      </c>
      <c r="E4144" s="1" t="s">
        <v>4168</v>
      </c>
      <c r="F4144">
        <v>10.037500000000001</v>
      </c>
      <c r="G4144">
        <v>304.55599999999998</v>
      </c>
      <c r="H4144">
        <v>210.09399999999999</v>
      </c>
      <c r="I4144">
        <v>833.66</v>
      </c>
      <c r="J4144">
        <v>192.64699999999999</v>
      </c>
      <c r="K4144">
        <v>1438.8300000000002</v>
      </c>
      <c r="L4144">
        <v>18.279199999999999</v>
      </c>
      <c r="M4144">
        <v>21.031300000000002</v>
      </c>
      <c r="N4144">
        <v>130.08600000000001</v>
      </c>
      <c r="O4144">
        <v>14.0525</v>
      </c>
      <c r="P4144" s="11">
        <f t="shared" si="167"/>
        <v>9.5000000000000001E-2</v>
      </c>
    </row>
    <row r="4145" spans="1:16">
      <c r="A4145" s="1" t="s">
        <v>4196</v>
      </c>
      <c r="B4145" s="1" t="s">
        <v>4203</v>
      </c>
      <c r="C4145" s="1" t="s">
        <v>5591</v>
      </c>
      <c r="D4145" s="1" t="s">
        <v>5503</v>
      </c>
      <c r="E4145" s="1" t="s">
        <v>4168</v>
      </c>
      <c r="F4145">
        <v>16.352</v>
      </c>
      <c r="G4145">
        <v>147.02199999999999</v>
      </c>
      <c r="H4145">
        <v>87.6</v>
      </c>
      <c r="I4145">
        <v>1890.6999999999998</v>
      </c>
      <c r="J4145">
        <v>3956.6000000000004</v>
      </c>
      <c r="K4145">
        <v>992.8</v>
      </c>
      <c r="L4145">
        <v>17.154999999999998</v>
      </c>
      <c r="M4145">
        <v>96.067999999999998</v>
      </c>
      <c r="N4145">
        <v>62.78</v>
      </c>
      <c r="O4145">
        <v>9.1030999999999995</v>
      </c>
      <c r="P4145">
        <f>0.14/2</f>
        <v>7.0000000000000007E-2</v>
      </c>
    </row>
    <row r="4146" spans="1:16">
      <c r="A4146" s="1" t="s">
        <v>4196</v>
      </c>
      <c r="B4146" s="1" t="s">
        <v>4204</v>
      </c>
      <c r="C4146" s="1" t="s">
        <v>5591</v>
      </c>
      <c r="D4146" s="1" t="s">
        <v>5503</v>
      </c>
      <c r="E4146" s="1" t="s">
        <v>4168</v>
      </c>
      <c r="F4146">
        <v>14.1547</v>
      </c>
      <c r="G4146">
        <v>116.94600000000001</v>
      </c>
      <c r="H4146">
        <v>70.08</v>
      </c>
      <c r="I4146">
        <v>1788.5</v>
      </c>
      <c r="J4146">
        <v>4255.8999999999996</v>
      </c>
      <c r="K4146">
        <v>882.56999999999994</v>
      </c>
      <c r="L4146">
        <v>16.644000000000002</v>
      </c>
      <c r="M4146">
        <v>88.695000000000007</v>
      </c>
      <c r="N4146">
        <v>58.473000000000006</v>
      </c>
      <c r="O4146">
        <v>9.125</v>
      </c>
      <c r="P4146">
        <v>0.16789999999999999</v>
      </c>
    </row>
    <row r="4147" spans="1:16">
      <c r="A4147" s="1" t="s">
        <v>4196</v>
      </c>
      <c r="B4147" s="1" t="s">
        <v>4205</v>
      </c>
      <c r="C4147" s="1" t="s">
        <v>5591</v>
      </c>
      <c r="D4147" s="1" t="s">
        <v>5503</v>
      </c>
      <c r="E4147" s="1" t="s">
        <v>4168</v>
      </c>
      <c r="F4147">
        <v>9.4389000000000003</v>
      </c>
      <c r="G4147">
        <v>134.685</v>
      </c>
      <c r="H4147">
        <v>82.271000000000001</v>
      </c>
      <c r="I4147">
        <v>1992.1699999999998</v>
      </c>
      <c r="J4147">
        <v>3963.8999999999996</v>
      </c>
      <c r="K4147">
        <v>905.93000000000006</v>
      </c>
      <c r="L4147">
        <v>15.110999999999999</v>
      </c>
      <c r="M4147">
        <v>86.65100000000001</v>
      </c>
      <c r="N4147">
        <v>35.769999999999996</v>
      </c>
      <c r="O4147">
        <v>4.38</v>
      </c>
      <c r="P4147">
        <f>0.14/2</f>
        <v>7.0000000000000007E-2</v>
      </c>
    </row>
    <row r="4148" spans="1:16">
      <c r="A4148" s="1" t="s">
        <v>4196</v>
      </c>
      <c r="B4148" s="1" t="s">
        <v>4206</v>
      </c>
      <c r="C4148" s="1" t="s">
        <v>5591</v>
      </c>
      <c r="D4148" s="1" t="s">
        <v>5503</v>
      </c>
      <c r="E4148" s="1" t="s">
        <v>4168</v>
      </c>
      <c r="F4148">
        <v>20.221</v>
      </c>
      <c r="G4148">
        <v>148.92000000000002</v>
      </c>
      <c r="H4148">
        <v>95.63000000000001</v>
      </c>
      <c r="I4148">
        <v>1978.3000000000002</v>
      </c>
      <c r="J4148">
        <v>4182.8999999999996</v>
      </c>
      <c r="K4148">
        <v>890.59999999999991</v>
      </c>
      <c r="L4148">
        <v>16.425000000000001</v>
      </c>
      <c r="M4148">
        <v>90.373999999999995</v>
      </c>
      <c r="N4148">
        <v>38.106000000000002</v>
      </c>
      <c r="O4148">
        <v>3.9639000000000002</v>
      </c>
      <c r="P4148">
        <v>0.15329999999999999</v>
      </c>
    </row>
    <row r="4149" spans="1:16">
      <c r="A4149" s="1" t="s">
        <v>4196</v>
      </c>
      <c r="B4149" s="1" t="s">
        <v>4207</v>
      </c>
      <c r="C4149" s="1" t="s">
        <v>5591</v>
      </c>
      <c r="D4149" s="1" t="s">
        <v>5503</v>
      </c>
      <c r="E4149" s="1" t="s">
        <v>4168</v>
      </c>
      <c r="F4149">
        <v>17.446999999999999</v>
      </c>
      <c r="G4149">
        <v>131.69200000000001</v>
      </c>
      <c r="H4149">
        <v>72.635000000000005</v>
      </c>
      <c r="I4149">
        <v>1846.1699999999998</v>
      </c>
      <c r="J4149">
        <v>3029.5</v>
      </c>
      <c r="K4149">
        <v>890.59999999999991</v>
      </c>
      <c r="L4149">
        <v>16.571000000000002</v>
      </c>
      <c r="M4149">
        <v>90.52</v>
      </c>
      <c r="N4149">
        <v>57.67</v>
      </c>
      <c r="O4149">
        <v>6.4239999999999995</v>
      </c>
      <c r="P4149">
        <v>0.2409</v>
      </c>
    </row>
    <row r="4150" spans="1:16">
      <c r="A4150" s="1" t="s">
        <v>4208</v>
      </c>
      <c r="B4150" s="1" t="s">
        <v>4209</v>
      </c>
      <c r="C4150" s="1" t="s">
        <v>5591</v>
      </c>
      <c r="D4150" s="1" t="s">
        <v>5600</v>
      </c>
      <c r="E4150" s="1" t="s">
        <v>4168</v>
      </c>
      <c r="F4150">
        <v>24.601000000000003</v>
      </c>
      <c r="G4150">
        <v>141.18199999999999</v>
      </c>
      <c r="H4150">
        <v>101.47</v>
      </c>
      <c r="I4150">
        <v>1327.1399999999999</v>
      </c>
      <c r="J4150">
        <v>207.75800000000001</v>
      </c>
      <c r="K4150">
        <v>1162.1600000000001</v>
      </c>
      <c r="L4150">
        <v>24.250599999999999</v>
      </c>
      <c r="M4150">
        <v>19.783000000000001</v>
      </c>
      <c r="N4150">
        <v>42.631999999999998</v>
      </c>
      <c r="O4150">
        <v>11.066800000000001</v>
      </c>
      <c r="P4150">
        <f>0.19/2</f>
        <v>9.5000000000000001E-2</v>
      </c>
    </row>
    <row r="4151" spans="1:16">
      <c r="A4151" s="1" t="s">
        <v>4208</v>
      </c>
      <c r="B4151" s="1" t="s">
        <v>4210</v>
      </c>
      <c r="C4151" s="1" t="s">
        <v>5591</v>
      </c>
      <c r="D4151" s="1" t="s">
        <v>5600</v>
      </c>
      <c r="E4151" s="1" t="s">
        <v>4168</v>
      </c>
      <c r="F4151">
        <v>44.384</v>
      </c>
      <c r="G4151">
        <v>328.5</v>
      </c>
      <c r="H4151">
        <v>87.307999999999993</v>
      </c>
      <c r="I4151">
        <v>2088.5299999999997</v>
      </c>
      <c r="J4151">
        <v>4.5114000000000001</v>
      </c>
      <c r="K4151">
        <v>1241.73</v>
      </c>
      <c r="L4151">
        <v>49.114399999999996</v>
      </c>
      <c r="M4151">
        <v>33.813600000000001</v>
      </c>
      <c r="N4151">
        <v>296.38</v>
      </c>
      <c r="O4151">
        <v>48.691000000000003</v>
      </c>
      <c r="P4151" s="11">
        <f t="shared" ref="P4151:P4152" si="168">0.19/2</f>
        <v>9.5000000000000001E-2</v>
      </c>
    </row>
    <row r="4152" spans="1:16">
      <c r="A4152" s="1" t="s">
        <v>4208</v>
      </c>
      <c r="B4152" s="1" t="s">
        <v>4211</v>
      </c>
      <c r="C4152" s="1" t="s">
        <v>5591</v>
      </c>
      <c r="D4152" s="1" t="s">
        <v>5600</v>
      </c>
      <c r="E4152" s="1" t="s">
        <v>4168</v>
      </c>
      <c r="F4152">
        <v>14.1693</v>
      </c>
      <c r="G4152">
        <v>272.58199999999999</v>
      </c>
      <c r="H4152">
        <v>87.307999999999993</v>
      </c>
      <c r="I4152">
        <v>1916.25</v>
      </c>
      <c r="J4152">
        <f>1.41/2</f>
        <v>0.70499999999999996</v>
      </c>
      <c r="K4152">
        <v>1245.3799999999999</v>
      </c>
      <c r="L4152">
        <v>47.888000000000005</v>
      </c>
      <c r="M4152">
        <v>32.411999999999999</v>
      </c>
      <c r="N4152">
        <v>207.10100000000003</v>
      </c>
      <c r="O4152">
        <v>47.815000000000005</v>
      </c>
      <c r="P4152" s="11">
        <f t="shared" si="168"/>
        <v>9.5000000000000001E-2</v>
      </c>
    </row>
    <row r="4153" spans="1:16">
      <c r="A4153" s="1" t="s">
        <v>4208</v>
      </c>
      <c r="B4153" s="1" t="s">
        <v>4212</v>
      </c>
      <c r="C4153" s="1" t="s">
        <v>5591</v>
      </c>
      <c r="D4153" s="1" t="s">
        <v>5600</v>
      </c>
      <c r="E4153" s="1" t="s">
        <v>4168</v>
      </c>
      <c r="F4153">
        <v>11.8406</v>
      </c>
      <c r="G4153">
        <v>198.56</v>
      </c>
      <c r="H4153">
        <v>64.823999999999998</v>
      </c>
      <c r="I4153">
        <v>1141.72</v>
      </c>
      <c r="J4153">
        <v>17.826599999999999</v>
      </c>
      <c r="K4153">
        <v>995.72</v>
      </c>
      <c r="L4153">
        <v>35.769999999999996</v>
      </c>
      <c r="M4153">
        <v>22.286900000000003</v>
      </c>
      <c r="N4153">
        <v>216.22600000000003</v>
      </c>
      <c r="O4153">
        <v>40.369000000000007</v>
      </c>
      <c r="P4153">
        <f>0.14/2</f>
        <v>7.0000000000000007E-2</v>
      </c>
    </row>
    <row r="4154" spans="1:16">
      <c r="A4154" s="1" t="s">
        <v>4208</v>
      </c>
      <c r="B4154" s="1" t="s">
        <v>4213</v>
      </c>
      <c r="C4154" s="1" t="s">
        <v>5591</v>
      </c>
      <c r="D4154" s="1" t="s">
        <v>5600</v>
      </c>
      <c r="E4154" s="1" t="s">
        <v>4168</v>
      </c>
      <c r="F4154">
        <v>10.606900000000001</v>
      </c>
      <c r="G4154">
        <v>158.48299999999998</v>
      </c>
      <c r="H4154">
        <v>46.355000000000004</v>
      </c>
      <c r="I4154">
        <v>1140.99</v>
      </c>
      <c r="J4154">
        <v>15.110999999999999</v>
      </c>
      <c r="K4154">
        <v>965.06000000000006</v>
      </c>
      <c r="L4154">
        <v>35.769999999999996</v>
      </c>
      <c r="M4154">
        <v>24.893000000000001</v>
      </c>
      <c r="N4154">
        <v>167.17000000000002</v>
      </c>
      <c r="O4154">
        <v>38.325000000000003</v>
      </c>
      <c r="P4154" s="11">
        <f t="shared" ref="P4154:P4155" si="169">0.14/2</f>
        <v>7.0000000000000007E-2</v>
      </c>
    </row>
    <row r="4155" spans="1:16">
      <c r="A4155" s="1" t="s">
        <v>4208</v>
      </c>
      <c r="B4155" s="1" t="s">
        <v>4214</v>
      </c>
      <c r="C4155" s="1" t="s">
        <v>5591</v>
      </c>
      <c r="D4155" s="1" t="s">
        <v>5600</v>
      </c>
      <c r="E4155" s="1" t="s">
        <v>4168</v>
      </c>
      <c r="F4155">
        <v>9.1469000000000005</v>
      </c>
      <c r="G4155">
        <v>274.47999999999996</v>
      </c>
      <c r="H4155">
        <v>111.47099999999999</v>
      </c>
      <c r="I4155">
        <v>1191.3600000000001</v>
      </c>
      <c r="J4155">
        <v>19.987399999999997</v>
      </c>
      <c r="K4155">
        <v>940.97</v>
      </c>
      <c r="L4155">
        <v>23.0242</v>
      </c>
      <c r="M4155">
        <v>20.658999999999999</v>
      </c>
      <c r="N4155">
        <v>181.55100000000002</v>
      </c>
      <c r="O4155">
        <v>8.322000000000001</v>
      </c>
      <c r="P4155" s="11">
        <f t="shared" si="169"/>
        <v>7.0000000000000007E-2</v>
      </c>
    </row>
    <row r="4156" spans="1:16">
      <c r="A4156" s="1" t="s">
        <v>4208</v>
      </c>
      <c r="B4156" s="1" t="s">
        <v>4215</v>
      </c>
      <c r="C4156" s="1" t="s">
        <v>5591</v>
      </c>
      <c r="D4156" s="1" t="s">
        <v>5600</v>
      </c>
      <c r="E4156" s="1" t="s">
        <v>4168</v>
      </c>
      <c r="F4156">
        <v>5.1829999999999998</v>
      </c>
      <c r="G4156">
        <v>109.208</v>
      </c>
      <c r="H4156">
        <v>68.61999999999999</v>
      </c>
      <c r="I4156">
        <v>457.71</v>
      </c>
      <c r="J4156">
        <v>46.427999999999997</v>
      </c>
      <c r="K4156">
        <v>762.12</v>
      </c>
      <c r="L4156">
        <v>5.8983999999999996</v>
      </c>
      <c r="M4156">
        <v>7.9569999999999999</v>
      </c>
      <c r="N4156">
        <v>3.577</v>
      </c>
      <c r="O4156">
        <v>12.7166</v>
      </c>
      <c r="P4156">
        <v>0.34310000000000002</v>
      </c>
    </row>
    <row r="4157" spans="1:16">
      <c r="A4157" s="1" t="s">
        <v>4208</v>
      </c>
      <c r="B4157" s="1" t="s">
        <v>4216</v>
      </c>
      <c r="C4157" s="1" t="s">
        <v>5591</v>
      </c>
      <c r="D4157" s="1" t="s">
        <v>5600</v>
      </c>
      <c r="E4157" s="1" t="s">
        <v>4168</v>
      </c>
      <c r="F4157">
        <v>29.200000000000003</v>
      </c>
      <c r="G4157">
        <v>302.21999999999997</v>
      </c>
      <c r="H4157">
        <v>97.820000000000007</v>
      </c>
      <c r="I4157">
        <v>475.22999999999996</v>
      </c>
      <c r="J4157">
        <v>42.777999999999999</v>
      </c>
      <c r="K4157">
        <v>743.14</v>
      </c>
      <c r="L4157">
        <v>10.548499999999999</v>
      </c>
      <c r="M4157">
        <v>9.3877999999999986</v>
      </c>
      <c r="N4157">
        <v>6.6429999999999998</v>
      </c>
      <c r="O4157">
        <v>14.381</v>
      </c>
      <c r="P4157">
        <v>0.27739999999999998</v>
      </c>
    </row>
    <row r="4158" spans="1:16">
      <c r="A4158" s="1" t="s">
        <v>4208</v>
      </c>
      <c r="B4158" s="1" t="s">
        <v>4217</v>
      </c>
      <c r="C4158" s="1" t="s">
        <v>5591</v>
      </c>
      <c r="D4158" s="1" t="s">
        <v>5600</v>
      </c>
      <c r="E4158" s="1" t="s">
        <v>4168</v>
      </c>
      <c r="F4158">
        <v>71.905000000000001</v>
      </c>
      <c r="G4158">
        <v>368.65</v>
      </c>
      <c r="H4158">
        <v>154.10300000000001</v>
      </c>
      <c r="I4158">
        <v>523.41</v>
      </c>
      <c r="J4158">
        <v>21.826999999999998</v>
      </c>
      <c r="K4158">
        <v>946.81000000000006</v>
      </c>
      <c r="L4158">
        <v>17.446999999999999</v>
      </c>
      <c r="M4158">
        <v>9.3439999999999994</v>
      </c>
      <c r="N4158">
        <v>49.202000000000005</v>
      </c>
      <c r="O4158">
        <v>17.3156</v>
      </c>
      <c r="P4158">
        <f>0.14/2</f>
        <v>7.0000000000000007E-2</v>
      </c>
    </row>
    <row r="4159" spans="1:16">
      <c r="A4159" s="1" t="s">
        <v>4208</v>
      </c>
      <c r="B4159" s="1" t="s">
        <v>4218</v>
      </c>
      <c r="C4159" s="1" t="s">
        <v>5591</v>
      </c>
      <c r="D4159" s="1" t="s">
        <v>5503</v>
      </c>
      <c r="E4159" s="1" t="s">
        <v>4168</v>
      </c>
      <c r="F4159">
        <v>6.7305999999999999</v>
      </c>
      <c r="G4159">
        <v>52.997999999999998</v>
      </c>
      <c r="H4159">
        <v>23.141000000000002</v>
      </c>
      <c r="I4159">
        <v>855.56000000000006</v>
      </c>
      <c r="J4159">
        <v>4270.5</v>
      </c>
      <c r="K4159">
        <v>1219.0999999999999</v>
      </c>
      <c r="L4159">
        <v>27.448</v>
      </c>
      <c r="M4159">
        <v>73.364999999999995</v>
      </c>
      <c r="N4159">
        <v>27.667000000000002</v>
      </c>
      <c r="O4159">
        <v>3.2047000000000003</v>
      </c>
      <c r="P4159">
        <f>0.19/2</f>
        <v>9.5000000000000001E-2</v>
      </c>
    </row>
    <row r="4160" spans="1:16">
      <c r="A4160" s="1" t="s">
        <v>4219</v>
      </c>
      <c r="B4160" s="1" t="s">
        <v>4220</v>
      </c>
      <c r="C4160" s="1" t="s">
        <v>5591</v>
      </c>
      <c r="D4160" s="1" t="s">
        <v>5600</v>
      </c>
      <c r="E4160" s="1" t="s">
        <v>4168</v>
      </c>
      <c r="F4160">
        <v>10.731</v>
      </c>
      <c r="G4160">
        <v>223.38</v>
      </c>
      <c r="H4160">
        <v>30.002999999999997</v>
      </c>
      <c r="I4160">
        <v>1357.8000000000002</v>
      </c>
      <c r="J4160">
        <v>137.386</v>
      </c>
      <c r="K4160">
        <v>1584.1</v>
      </c>
      <c r="L4160">
        <v>41.244999999999997</v>
      </c>
      <c r="M4160">
        <v>37.667999999999999</v>
      </c>
      <c r="N4160">
        <v>185.42000000000002</v>
      </c>
      <c r="O4160">
        <v>49.056000000000004</v>
      </c>
      <c r="P4160">
        <f>0.14/2</f>
        <v>7.0000000000000007E-2</v>
      </c>
    </row>
    <row r="4161" spans="1:16">
      <c r="A4161" s="1" t="s">
        <v>4219</v>
      </c>
      <c r="B4161" s="1" t="s">
        <v>4221</v>
      </c>
      <c r="C4161" s="1" t="s">
        <v>5591</v>
      </c>
      <c r="D4161" s="1" t="s">
        <v>5600</v>
      </c>
      <c r="E4161" s="1" t="s">
        <v>4168</v>
      </c>
      <c r="F4161">
        <v>16.936</v>
      </c>
      <c r="G4161">
        <v>500.78000000000003</v>
      </c>
      <c r="H4161">
        <v>128.47999999999999</v>
      </c>
      <c r="I4161">
        <v>1334.44</v>
      </c>
      <c r="J4161">
        <v>137.60499999999999</v>
      </c>
      <c r="K4161">
        <v>1708.1999999999998</v>
      </c>
      <c r="L4161">
        <v>43.216000000000001</v>
      </c>
      <c r="M4161">
        <v>35.113</v>
      </c>
      <c r="N4161">
        <v>638.75</v>
      </c>
      <c r="O4161">
        <v>53.728000000000002</v>
      </c>
      <c r="P4161">
        <v>0.27739999999999998</v>
      </c>
    </row>
    <row r="4162" spans="1:16">
      <c r="A4162" s="1" t="s">
        <v>4219</v>
      </c>
      <c r="B4162" s="1" t="s">
        <v>4222</v>
      </c>
      <c r="C4162" s="1" t="s">
        <v>5591</v>
      </c>
      <c r="D4162" s="1" t="s">
        <v>5600</v>
      </c>
      <c r="E4162" s="1" t="s">
        <v>4168</v>
      </c>
      <c r="F4162">
        <v>16.936</v>
      </c>
      <c r="G4162">
        <v>216.81</v>
      </c>
      <c r="H4162">
        <v>59.13</v>
      </c>
      <c r="I4162">
        <v>1338.09</v>
      </c>
      <c r="J4162">
        <v>133.15200000000002</v>
      </c>
      <c r="K4162">
        <v>1600.16</v>
      </c>
      <c r="L4162">
        <v>42.120999999999995</v>
      </c>
      <c r="M4162">
        <v>40.150000000000006</v>
      </c>
      <c r="N4162">
        <v>166.44</v>
      </c>
      <c r="O4162">
        <v>52.632999999999996</v>
      </c>
      <c r="P4162">
        <v>0.24819999999999998</v>
      </c>
    </row>
    <row r="4163" spans="1:16">
      <c r="A4163" s="1" t="s">
        <v>4219</v>
      </c>
      <c r="B4163" s="1" t="s">
        <v>4223</v>
      </c>
      <c r="C4163" s="1" t="s">
        <v>5591</v>
      </c>
      <c r="D4163" s="1" t="s">
        <v>5600</v>
      </c>
      <c r="E4163" s="1" t="s">
        <v>4168</v>
      </c>
      <c r="F4163">
        <v>11.096</v>
      </c>
      <c r="G4163">
        <v>147.46</v>
      </c>
      <c r="H4163">
        <v>121.17999999999999</v>
      </c>
      <c r="I4163">
        <v>921.26</v>
      </c>
      <c r="J4163">
        <v>115.705</v>
      </c>
      <c r="K4163">
        <v>1579.72</v>
      </c>
      <c r="L4163">
        <v>30.075999999999997</v>
      </c>
      <c r="M4163">
        <v>16.059999999999999</v>
      </c>
      <c r="N4163">
        <v>812.49</v>
      </c>
      <c r="O4163">
        <v>63.144999999999996</v>
      </c>
      <c r="P4163">
        <v>0.4234</v>
      </c>
    </row>
    <row r="4164" spans="1:16">
      <c r="A4164" s="1" t="s">
        <v>4219</v>
      </c>
      <c r="B4164" s="1" t="s">
        <v>4224</v>
      </c>
      <c r="C4164" s="1" t="s">
        <v>5591</v>
      </c>
      <c r="D4164" s="1" t="s">
        <v>5600</v>
      </c>
      <c r="E4164" s="1" t="s">
        <v>4168</v>
      </c>
      <c r="F4164">
        <v>10.5923</v>
      </c>
      <c r="G4164">
        <v>180.96700000000001</v>
      </c>
      <c r="H4164">
        <v>143.88300000000001</v>
      </c>
      <c r="I4164">
        <v>920.53</v>
      </c>
      <c r="J4164">
        <v>133.59</v>
      </c>
      <c r="K4164">
        <v>1576.8000000000002</v>
      </c>
      <c r="L4164">
        <v>25.622999999999998</v>
      </c>
      <c r="M4164">
        <v>15.768000000000001</v>
      </c>
      <c r="N4164">
        <v>490.56</v>
      </c>
      <c r="O4164">
        <v>50.37</v>
      </c>
      <c r="P4164">
        <v>0.29199999999999998</v>
      </c>
    </row>
    <row r="4165" spans="1:16">
      <c r="A4165" s="1" t="s">
        <v>4219</v>
      </c>
      <c r="B4165" s="1" t="s">
        <v>4225</v>
      </c>
      <c r="C4165" s="1" t="s">
        <v>5591</v>
      </c>
      <c r="D4165" s="1" t="s">
        <v>5600</v>
      </c>
      <c r="E4165" s="1" t="s">
        <v>4168</v>
      </c>
      <c r="F4165">
        <v>6.2268999999999997</v>
      </c>
      <c r="G4165">
        <v>135.78</v>
      </c>
      <c r="H4165">
        <v>147.02199999999999</v>
      </c>
      <c r="I4165">
        <v>754.81999999999994</v>
      </c>
      <c r="J4165">
        <v>103.733</v>
      </c>
      <c r="K4165">
        <v>1584.1</v>
      </c>
      <c r="L4165">
        <v>25.447800000000001</v>
      </c>
      <c r="M4165">
        <v>13.6145</v>
      </c>
      <c r="N4165">
        <v>489.1</v>
      </c>
      <c r="O4165">
        <v>47.304000000000002</v>
      </c>
      <c r="P4165">
        <v>0.14746000000000001</v>
      </c>
    </row>
    <row r="4166" spans="1:16">
      <c r="A4166" s="1" t="s">
        <v>4219</v>
      </c>
      <c r="B4166" s="1" t="s">
        <v>4226</v>
      </c>
      <c r="C4166" s="1" t="s">
        <v>5591</v>
      </c>
      <c r="D4166" s="1" t="s">
        <v>5503</v>
      </c>
      <c r="E4166" s="1" t="s">
        <v>4168</v>
      </c>
      <c r="F4166">
        <v>12.8042</v>
      </c>
      <c r="G4166">
        <v>247.47</v>
      </c>
      <c r="H4166">
        <v>194.18</v>
      </c>
      <c r="I4166">
        <v>808.84</v>
      </c>
      <c r="J4166">
        <v>269.37</v>
      </c>
      <c r="K4166">
        <v>1546.1399999999999</v>
      </c>
      <c r="L4166">
        <v>25.3383</v>
      </c>
      <c r="M4166">
        <v>29.710999999999999</v>
      </c>
      <c r="N4166">
        <v>175.93</v>
      </c>
      <c r="O4166">
        <v>28.470000000000002</v>
      </c>
      <c r="P4166">
        <f>0.07</f>
        <v>7.0000000000000007E-2</v>
      </c>
    </row>
    <row r="4167" spans="1:16">
      <c r="A4167" s="1" t="s">
        <v>4219</v>
      </c>
      <c r="B4167" s="1" t="s">
        <v>4227</v>
      </c>
      <c r="C4167" s="1" t="s">
        <v>5591</v>
      </c>
      <c r="D4167" s="1" t="s">
        <v>5503</v>
      </c>
      <c r="E4167" s="1" t="s">
        <v>4168</v>
      </c>
      <c r="F4167">
        <v>18.103999999999999</v>
      </c>
      <c r="G4167">
        <v>200.02</v>
      </c>
      <c r="H4167">
        <v>181.04</v>
      </c>
      <c r="I4167">
        <v>801.54000000000008</v>
      </c>
      <c r="J4167">
        <v>270.61099999999999</v>
      </c>
      <c r="K4167">
        <v>1492.85</v>
      </c>
      <c r="L4167">
        <v>28.178000000000001</v>
      </c>
      <c r="M4167">
        <v>29.638000000000002</v>
      </c>
      <c r="N4167">
        <v>127.75</v>
      </c>
      <c r="O4167">
        <v>26.864000000000001</v>
      </c>
      <c r="P4167" s="11">
        <f t="shared" ref="P4167:P4170" si="170">0.07</f>
        <v>7.0000000000000007E-2</v>
      </c>
    </row>
    <row r="4168" spans="1:16">
      <c r="A4168" s="1" t="s">
        <v>4219</v>
      </c>
      <c r="B4168" s="1" t="s">
        <v>4228</v>
      </c>
      <c r="C4168" s="1" t="s">
        <v>5591</v>
      </c>
      <c r="D4168" s="1" t="s">
        <v>5503</v>
      </c>
      <c r="E4168" s="1" t="s">
        <v>4168</v>
      </c>
      <c r="F4168">
        <v>19.637</v>
      </c>
      <c r="G4168">
        <v>208.78</v>
      </c>
      <c r="H4168">
        <v>190.53</v>
      </c>
      <c r="I4168">
        <v>807.38</v>
      </c>
      <c r="J4168">
        <v>268.64</v>
      </c>
      <c r="K4168">
        <v>1537.3799999999999</v>
      </c>
      <c r="L4168">
        <v>27.375</v>
      </c>
      <c r="M4168">
        <v>29.93</v>
      </c>
      <c r="N4168">
        <v>146</v>
      </c>
      <c r="O4168">
        <v>27.155999999999999</v>
      </c>
      <c r="P4168" s="11">
        <f t="shared" si="170"/>
        <v>7.0000000000000007E-2</v>
      </c>
    </row>
    <row r="4169" spans="1:16">
      <c r="A4169" s="1" t="s">
        <v>4219</v>
      </c>
      <c r="B4169" s="1" t="s">
        <v>4229</v>
      </c>
      <c r="C4169" s="1" t="s">
        <v>5591</v>
      </c>
      <c r="D4169" s="1" t="s">
        <v>5600</v>
      </c>
      <c r="E4169" s="1" t="s">
        <v>4168</v>
      </c>
      <c r="F4169">
        <v>6.2779999999999996</v>
      </c>
      <c r="G4169">
        <v>122.129</v>
      </c>
      <c r="H4169">
        <v>173.01000000000002</v>
      </c>
      <c r="I4169">
        <v>612.47</v>
      </c>
      <c r="J4169">
        <v>238.71</v>
      </c>
      <c r="K4169">
        <v>897.17</v>
      </c>
      <c r="L4169">
        <v>15.987</v>
      </c>
      <c r="M4169">
        <v>26.937000000000001</v>
      </c>
      <c r="N4169">
        <v>48.910000000000004</v>
      </c>
      <c r="O4169">
        <v>7.2854000000000001</v>
      </c>
      <c r="P4169" s="11">
        <f t="shared" si="170"/>
        <v>7.0000000000000007E-2</v>
      </c>
    </row>
    <row r="4170" spans="1:16">
      <c r="A4170" s="1" t="s">
        <v>4230</v>
      </c>
      <c r="B4170" s="1" t="s">
        <v>4231</v>
      </c>
      <c r="C4170" s="1" t="s">
        <v>5591</v>
      </c>
      <c r="D4170" s="1" t="s">
        <v>5600</v>
      </c>
      <c r="E4170" s="1" t="s">
        <v>4168</v>
      </c>
      <c r="F4170">
        <v>1.5256999999999998</v>
      </c>
      <c r="G4170">
        <v>45.771000000000001</v>
      </c>
      <c r="H4170">
        <v>36.280999999999999</v>
      </c>
      <c r="I4170">
        <v>340.76400000000001</v>
      </c>
      <c r="J4170">
        <v>148.19</v>
      </c>
      <c r="K4170">
        <v>1703.09</v>
      </c>
      <c r="L4170">
        <v>21.023999999999997</v>
      </c>
      <c r="M4170">
        <v>16.279</v>
      </c>
      <c r="N4170">
        <v>156.94999999999999</v>
      </c>
      <c r="O4170">
        <v>42.850999999999999</v>
      </c>
      <c r="P4170" s="11">
        <f t="shared" si="170"/>
        <v>7.0000000000000007E-2</v>
      </c>
    </row>
    <row r="4171" spans="1:16">
      <c r="A4171" s="1" t="s">
        <v>4230</v>
      </c>
      <c r="B4171" s="1" t="s">
        <v>4232</v>
      </c>
      <c r="C4171" s="1" t="s">
        <v>5591</v>
      </c>
      <c r="D4171" s="1" t="s">
        <v>5600</v>
      </c>
      <c r="E4171" s="1" t="s">
        <v>4168</v>
      </c>
      <c r="F4171">
        <v>6.3217999999999996</v>
      </c>
      <c r="G4171">
        <v>199.29</v>
      </c>
      <c r="H4171">
        <v>143.07999999999998</v>
      </c>
      <c r="I4171">
        <v>924.91</v>
      </c>
      <c r="J4171">
        <v>428.51</v>
      </c>
      <c r="K4171">
        <v>846.06999999999994</v>
      </c>
      <c r="L4171">
        <v>27.740000000000002</v>
      </c>
      <c r="M4171">
        <v>18.177</v>
      </c>
      <c r="N4171">
        <v>128.47999999999999</v>
      </c>
      <c r="O4171">
        <v>62.78</v>
      </c>
      <c r="P4171">
        <v>0.45989999999999998</v>
      </c>
    </row>
    <row r="4172" spans="1:16">
      <c r="A4172" s="1" t="s">
        <v>4230</v>
      </c>
      <c r="B4172" s="1" t="s">
        <v>4233</v>
      </c>
      <c r="C4172" s="1" t="s">
        <v>5591</v>
      </c>
      <c r="D4172" s="1" t="s">
        <v>5600</v>
      </c>
      <c r="E4172" s="1" t="s">
        <v>4168</v>
      </c>
      <c r="F4172">
        <v>19.053000000000001</v>
      </c>
      <c r="G4172">
        <v>296.38</v>
      </c>
      <c r="H4172">
        <v>175.93</v>
      </c>
      <c r="I4172">
        <v>1059.23</v>
      </c>
      <c r="J4172">
        <v>671.59999999999991</v>
      </c>
      <c r="K4172">
        <v>834.39</v>
      </c>
      <c r="L4172">
        <v>13.870000000000001</v>
      </c>
      <c r="M4172">
        <v>26.425999999999998</v>
      </c>
      <c r="N4172">
        <v>73</v>
      </c>
      <c r="O4172">
        <v>40.296000000000006</v>
      </c>
      <c r="P4172">
        <v>0.68620000000000003</v>
      </c>
    </row>
    <row r="4173" spans="1:16">
      <c r="A4173" s="1" t="s">
        <v>4230</v>
      </c>
      <c r="B4173" s="1" t="s">
        <v>4234</v>
      </c>
      <c r="C4173" s="1" t="s">
        <v>5591</v>
      </c>
      <c r="D4173" s="1" t="s">
        <v>5600</v>
      </c>
      <c r="E4173" s="1" t="s">
        <v>4168</v>
      </c>
      <c r="F4173">
        <v>2.9930000000000003</v>
      </c>
      <c r="G4173">
        <v>241.922</v>
      </c>
      <c r="H4173">
        <v>318.28000000000003</v>
      </c>
      <c r="I4173">
        <v>1078.21</v>
      </c>
      <c r="J4173">
        <v>679.63</v>
      </c>
      <c r="K4173">
        <v>764.31000000000006</v>
      </c>
      <c r="L4173">
        <v>20.148000000000003</v>
      </c>
      <c r="M4173">
        <v>27.082999999999998</v>
      </c>
      <c r="N4173">
        <v>27.082999999999998</v>
      </c>
      <c r="O4173">
        <v>54.165999999999997</v>
      </c>
      <c r="P4173">
        <v>16.863</v>
      </c>
    </row>
    <row r="4174" spans="1:16">
      <c r="A4174" s="1" t="s">
        <v>4230</v>
      </c>
      <c r="B4174" s="1" t="s">
        <v>4235</v>
      </c>
      <c r="C4174" s="1" t="s">
        <v>5591</v>
      </c>
      <c r="D4174" s="1" t="s">
        <v>5600</v>
      </c>
      <c r="E4174" s="1" t="s">
        <v>4168</v>
      </c>
      <c r="F4174">
        <v>44.53</v>
      </c>
      <c r="G4174">
        <v>212.43</v>
      </c>
      <c r="H4174">
        <v>152.71600000000001</v>
      </c>
      <c r="I4174">
        <v>1293.56</v>
      </c>
      <c r="J4174">
        <v>740.95</v>
      </c>
      <c r="K4174">
        <v>978.93000000000006</v>
      </c>
      <c r="L4174">
        <v>23.323499999999999</v>
      </c>
      <c r="M4174">
        <v>30.075999999999997</v>
      </c>
      <c r="N4174">
        <v>254.04</v>
      </c>
      <c r="O4174">
        <v>52.851999999999997</v>
      </c>
      <c r="P4174">
        <v>1.1972</v>
      </c>
    </row>
    <row r="4175" spans="1:16">
      <c r="A4175" s="1" t="s">
        <v>4230</v>
      </c>
      <c r="B4175" s="1" t="s">
        <v>4236</v>
      </c>
      <c r="C4175" s="1" t="s">
        <v>5591</v>
      </c>
      <c r="D4175" s="1" t="s">
        <v>5600</v>
      </c>
      <c r="E4175" s="1" t="s">
        <v>4168</v>
      </c>
      <c r="F4175">
        <v>10.220000000000001</v>
      </c>
      <c r="G4175">
        <v>110.449</v>
      </c>
      <c r="H4175">
        <v>25.549999999999997</v>
      </c>
      <c r="I4175">
        <v>1270.1999999999998</v>
      </c>
      <c r="J4175">
        <v>2941.8999999999996</v>
      </c>
      <c r="K4175">
        <v>941.7</v>
      </c>
      <c r="L4175">
        <v>50.661999999999999</v>
      </c>
      <c r="M4175">
        <v>140.30599999999998</v>
      </c>
      <c r="N4175">
        <v>38.033000000000001</v>
      </c>
      <c r="O4175">
        <v>6.6284000000000001</v>
      </c>
      <c r="P4175">
        <v>0.1825</v>
      </c>
    </row>
    <row r="4176" spans="1:16">
      <c r="A4176" s="1" t="s">
        <v>4230</v>
      </c>
      <c r="B4176" s="1" t="s">
        <v>4237</v>
      </c>
      <c r="C4176" s="1" t="s">
        <v>5591</v>
      </c>
      <c r="D4176" s="1" t="s">
        <v>5600</v>
      </c>
      <c r="E4176" s="1" t="s">
        <v>4168</v>
      </c>
      <c r="F4176">
        <v>8.76</v>
      </c>
      <c r="G4176">
        <v>195.64000000000001</v>
      </c>
      <c r="H4176">
        <v>67.89</v>
      </c>
      <c r="I4176">
        <v>1386.27</v>
      </c>
      <c r="J4176">
        <v>3552.18</v>
      </c>
      <c r="K4176">
        <v>1100.8399999999999</v>
      </c>
      <c r="L4176">
        <v>63.290999999999997</v>
      </c>
      <c r="M4176">
        <v>156.94999999999999</v>
      </c>
      <c r="N4176">
        <v>209.51000000000002</v>
      </c>
      <c r="O4176">
        <v>23.725000000000001</v>
      </c>
      <c r="P4176">
        <f>0.14/2</f>
        <v>7.0000000000000007E-2</v>
      </c>
    </row>
    <row r="4177" spans="1:16">
      <c r="A4177" s="1" t="s">
        <v>4238</v>
      </c>
      <c r="B4177" s="1" t="s">
        <v>4239</v>
      </c>
      <c r="C4177" s="1" t="s">
        <v>5591</v>
      </c>
      <c r="D4177" s="1" t="s">
        <v>5503</v>
      </c>
      <c r="E4177" s="1" t="s">
        <v>4168</v>
      </c>
      <c r="F4177">
        <v>9.4316000000000013</v>
      </c>
      <c r="G4177">
        <v>148.04400000000001</v>
      </c>
      <c r="H4177">
        <v>43.216000000000001</v>
      </c>
      <c r="I4177">
        <v>1110.3300000000002</v>
      </c>
      <c r="J4177">
        <v>5212.2000000000007</v>
      </c>
      <c r="K4177">
        <v>894.98</v>
      </c>
      <c r="L4177">
        <v>26.4114</v>
      </c>
      <c r="M4177">
        <v>79.497</v>
      </c>
      <c r="N4177">
        <v>20.877999999999997</v>
      </c>
      <c r="O4177">
        <v>3.3799000000000001</v>
      </c>
      <c r="P4177" s="11">
        <f t="shared" ref="P4177:P4179" si="171">0.14/2</f>
        <v>7.0000000000000007E-2</v>
      </c>
    </row>
    <row r="4178" spans="1:16">
      <c r="A4178" s="1" t="s">
        <v>4238</v>
      </c>
      <c r="B4178" s="1" t="s">
        <v>4240</v>
      </c>
      <c r="C4178" s="1" t="s">
        <v>5591</v>
      </c>
      <c r="D4178" s="1" t="s">
        <v>5503</v>
      </c>
      <c r="E4178" s="1" t="s">
        <v>4168</v>
      </c>
      <c r="F4178">
        <v>9.2126000000000001</v>
      </c>
      <c r="G4178">
        <v>137.167</v>
      </c>
      <c r="H4178">
        <v>51.172999999999995</v>
      </c>
      <c r="I4178">
        <v>1076.02</v>
      </c>
      <c r="J4178">
        <v>5015.1000000000004</v>
      </c>
      <c r="K4178">
        <v>876.73</v>
      </c>
      <c r="L4178">
        <v>26.937000000000001</v>
      </c>
      <c r="M4178">
        <v>76.576999999999998</v>
      </c>
      <c r="N4178">
        <v>21.972999999999999</v>
      </c>
      <c r="O4178">
        <v>3.4163999999999999</v>
      </c>
      <c r="P4178" s="11">
        <f t="shared" si="171"/>
        <v>7.0000000000000007E-2</v>
      </c>
    </row>
    <row r="4179" spans="1:16">
      <c r="A4179" s="1" t="s">
        <v>4238</v>
      </c>
      <c r="B4179" s="1" t="s">
        <v>4241</v>
      </c>
      <c r="C4179" s="1" t="s">
        <v>5591</v>
      </c>
      <c r="D4179" s="1" t="s">
        <v>5503</v>
      </c>
      <c r="E4179" s="1" t="s">
        <v>4168</v>
      </c>
      <c r="F4179">
        <v>7.9204999999999997</v>
      </c>
      <c r="G4179">
        <v>71.613</v>
      </c>
      <c r="H4179">
        <v>34.236999999999995</v>
      </c>
      <c r="I4179">
        <v>1021.27</v>
      </c>
      <c r="J4179">
        <v>4985.8999999999996</v>
      </c>
      <c r="K4179">
        <v>867.97</v>
      </c>
      <c r="L4179">
        <v>25.914999999999999</v>
      </c>
      <c r="M4179">
        <v>78.11</v>
      </c>
      <c r="N4179">
        <v>17.957999999999998</v>
      </c>
      <c r="O4179">
        <v>3.2193000000000001</v>
      </c>
      <c r="P4179" s="11">
        <f t="shared" si="171"/>
        <v>7.0000000000000007E-2</v>
      </c>
    </row>
    <row r="4180" spans="1:16">
      <c r="A4180" s="1" t="s">
        <v>4238</v>
      </c>
      <c r="B4180" s="1" t="s">
        <v>4242</v>
      </c>
      <c r="C4180" s="1" t="s">
        <v>5591</v>
      </c>
      <c r="D4180" s="1" t="s">
        <v>5503</v>
      </c>
      <c r="E4180" s="1" t="s">
        <v>4168</v>
      </c>
      <c r="F4180">
        <v>145.27000000000001</v>
      </c>
      <c r="G4180">
        <v>513.91999999999996</v>
      </c>
      <c r="H4180">
        <v>83.22</v>
      </c>
      <c r="I4180">
        <v>1645.4199999999998</v>
      </c>
      <c r="J4180">
        <v>5825.4</v>
      </c>
      <c r="K4180">
        <v>1070.18</v>
      </c>
      <c r="L4180">
        <v>31.827999999999999</v>
      </c>
      <c r="M4180">
        <v>91.98</v>
      </c>
      <c r="N4180">
        <v>44.676000000000002</v>
      </c>
      <c r="O4180">
        <v>16.059999999999999</v>
      </c>
      <c r="P4180">
        <v>1.1023000000000001</v>
      </c>
    </row>
    <row r="4181" spans="1:16">
      <c r="A4181" s="1" t="s">
        <v>4238</v>
      </c>
      <c r="B4181" s="1" t="s">
        <v>4243</v>
      </c>
      <c r="C4181" s="1" t="s">
        <v>5591</v>
      </c>
      <c r="D4181" s="1" t="s">
        <v>5503</v>
      </c>
      <c r="E4181" s="1" t="s">
        <v>4168</v>
      </c>
      <c r="F4181">
        <v>503.70000000000005</v>
      </c>
      <c r="G4181">
        <v>497.86</v>
      </c>
      <c r="H4181">
        <v>62.05</v>
      </c>
      <c r="I4181">
        <v>897.90000000000009</v>
      </c>
      <c r="J4181">
        <v>4891</v>
      </c>
      <c r="K4181">
        <v>817.59999999999991</v>
      </c>
      <c r="L4181">
        <v>24.016999999999999</v>
      </c>
      <c r="M4181">
        <v>59.13</v>
      </c>
      <c r="N4181">
        <v>25.039000000000001</v>
      </c>
      <c r="O4181">
        <v>2.7302000000000004</v>
      </c>
      <c r="P4181">
        <v>0.2117</v>
      </c>
    </row>
    <row r="4182" spans="1:16">
      <c r="A4182" s="1" t="s">
        <v>4238</v>
      </c>
      <c r="B4182" s="1" t="s">
        <v>4244</v>
      </c>
      <c r="C4182" s="1" t="s">
        <v>5591</v>
      </c>
      <c r="D4182" s="1" t="s">
        <v>5503</v>
      </c>
      <c r="E4182" s="1" t="s">
        <v>4168</v>
      </c>
      <c r="F4182">
        <v>31.39</v>
      </c>
      <c r="G4182">
        <v>1752</v>
      </c>
      <c r="H4182">
        <v>0.73</v>
      </c>
      <c r="I4182">
        <v>1454.8899999999999</v>
      </c>
      <c r="J4182">
        <v>4197.5</v>
      </c>
      <c r="K4182">
        <v>970.90000000000009</v>
      </c>
      <c r="L4182">
        <v>40.682900000000004</v>
      </c>
      <c r="M4182">
        <v>121.17999999999999</v>
      </c>
      <c r="N4182">
        <v>53.29</v>
      </c>
      <c r="O4182">
        <v>4.7450000000000001</v>
      </c>
      <c r="P4182">
        <v>0.24819999999999998</v>
      </c>
    </row>
    <row r="4183" spans="1:16">
      <c r="A4183" s="1" t="s">
        <v>4238</v>
      </c>
      <c r="B4183" s="1" t="s">
        <v>4245</v>
      </c>
      <c r="C4183" s="1" t="s">
        <v>5591</v>
      </c>
      <c r="D4183" s="1" t="s">
        <v>5503</v>
      </c>
      <c r="E4183" s="1" t="s">
        <v>4168</v>
      </c>
      <c r="F4183">
        <v>9.636000000000001</v>
      </c>
      <c r="G4183">
        <v>33.652999999999999</v>
      </c>
      <c r="H4183">
        <v>17.154999999999998</v>
      </c>
      <c r="I4183">
        <v>886.95</v>
      </c>
      <c r="J4183">
        <v>14965</v>
      </c>
      <c r="K4183">
        <v>957.76</v>
      </c>
      <c r="L4183">
        <v>32.119999999999997</v>
      </c>
      <c r="M4183">
        <v>78.474999999999994</v>
      </c>
      <c r="N4183">
        <v>29.856999999999999</v>
      </c>
      <c r="O4183">
        <v>2.9857</v>
      </c>
      <c r="P4183">
        <f>0.14/2</f>
        <v>7.0000000000000007E-2</v>
      </c>
    </row>
    <row r="4184" spans="1:16">
      <c r="A4184" s="1" t="s">
        <v>4238</v>
      </c>
      <c r="B4184" s="1" t="s">
        <v>4246</v>
      </c>
      <c r="C4184" s="1" t="s">
        <v>5591</v>
      </c>
      <c r="D4184" s="1" t="s">
        <v>5503</v>
      </c>
      <c r="E4184" s="1" t="s">
        <v>4168</v>
      </c>
      <c r="F4184">
        <v>10.292999999999999</v>
      </c>
      <c r="G4184">
        <v>73</v>
      </c>
      <c r="H4184">
        <v>15.33</v>
      </c>
      <c r="I4184">
        <v>884.76</v>
      </c>
      <c r="J4184">
        <v>13067</v>
      </c>
      <c r="K4184">
        <v>934.40000000000009</v>
      </c>
      <c r="L4184">
        <v>30.733000000000001</v>
      </c>
      <c r="M4184">
        <v>86.86999999999999</v>
      </c>
      <c r="N4184">
        <v>25.257999999999999</v>
      </c>
      <c r="O4184">
        <v>3.0149000000000004</v>
      </c>
      <c r="P4184">
        <f>0.14/2</f>
        <v>7.0000000000000007E-2</v>
      </c>
    </row>
    <row r="4185" spans="1:16">
      <c r="A4185" s="1" t="s">
        <v>4247</v>
      </c>
      <c r="B4185" s="1" t="s">
        <v>4248</v>
      </c>
      <c r="C4185" s="1" t="s">
        <v>5591</v>
      </c>
      <c r="D4185" s="1" t="s">
        <v>5600</v>
      </c>
      <c r="E4185" s="1" t="s">
        <v>4168</v>
      </c>
      <c r="F4185">
        <v>8.5774999999999988</v>
      </c>
      <c r="G4185">
        <v>193.523</v>
      </c>
      <c r="H4185">
        <v>77.453000000000003</v>
      </c>
      <c r="I4185">
        <v>1007.4000000000001</v>
      </c>
      <c r="J4185">
        <v>972.36</v>
      </c>
      <c r="K4185">
        <v>1259.98</v>
      </c>
      <c r="L4185">
        <v>23.476800000000001</v>
      </c>
      <c r="M4185">
        <v>36.353999999999999</v>
      </c>
      <c r="N4185">
        <v>36.427</v>
      </c>
      <c r="O4185">
        <v>3.3360999999999996</v>
      </c>
      <c r="P4185">
        <f t="shared" ref="P4185:P4190" si="172">0.19/2</f>
        <v>9.5000000000000001E-2</v>
      </c>
    </row>
    <row r="4186" spans="1:16">
      <c r="A4186" s="1" t="s">
        <v>4247</v>
      </c>
      <c r="B4186" s="1" t="s">
        <v>4249</v>
      </c>
      <c r="C4186" s="1" t="s">
        <v>5591</v>
      </c>
      <c r="D4186" s="1" t="s">
        <v>5600</v>
      </c>
      <c r="E4186" s="1" t="s">
        <v>4168</v>
      </c>
      <c r="F4186">
        <v>8.5701999999999998</v>
      </c>
      <c r="G4186">
        <v>107.164</v>
      </c>
      <c r="H4186">
        <v>76.504000000000005</v>
      </c>
      <c r="I4186">
        <v>827.09</v>
      </c>
      <c r="J4186">
        <v>886.95</v>
      </c>
      <c r="K4186">
        <v>1265.0899999999999</v>
      </c>
      <c r="L4186">
        <v>21.929200000000002</v>
      </c>
      <c r="M4186">
        <v>37.448999999999998</v>
      </c>
      <c r="N4186">
        <v>22.849</v>
      </c>
      <c r="O4186">
        <v>1.9637</v>
      </c>
      <c r="P4186">
        <f t="shared" si="172"/>
        <v>9.5000000000000001E-2</v>
      </c>
    </row>
    <row r="4187" spans="1:16">
      <c r="A4187" s="1" t="s">
        <v>4247</v>
      </c>
      <c r="B4187" s="1" t="s">
        <v>4250</v>
      </c>
      <c r="C4187" s="1" t="s">
        <v>5591</v>
      </c>
      <c r="D4187" s="1" t="s">
        <v>5600</v>
      </c>
      <c r="E4187" s="1" t="s">
        <v>4168</v>
      </c>
      <c r="F4187">
        <v>7.8840000000000003</v>
      </c>
      <c r="G4187">
        <v>155.19799999999998</v>
      </c>
      <c r="H4187">
        <v>105.047</v>
      </c>
      <c r="I4187">
        <v>1010.3199999999999</v>
      </c>
      <c r="J4187">
        <v>1215.4499999999998</v>
      </c>
      <c r="K4187">
        <v>1194.28</v>
      </c>
      <c r="L4187">
        <v>24.637500000000003</v>
      </c>
      <c r="M4187">
        <v>43.8</v>
      </c>
      <c r="N4187">
        <v>26.425999999999998</v>
      </c>
      <c r="O4187">
        <v>3.3142</v>
      </c>
      <c r="P4187">
        <f t="shared" si="172"/>
        <v>9.5000000000000001E-2</v>
      </c>
    </row>
    <row r="4188" spans="1:16">
      <c r="A4188" s="1" t="s">
        <v>4247</v>
      </c>
      <c r="B4188" s="1" t="s">
        <v>4251</v>
      </c>
      <c r="C4188" s="1" t="s">
        <v>5591</v>
      </c>
      <c r="D4188" s="1" t="s">
        <v>5503</v>
      </c>
      <c r="E4188" s="1" t="s">
        <v>4168</v>
      </c>
      <c r="F4188">
        <v>5.2559999999999993</v>
      </c>
      <c r="G4188">
        <v>273.75</v>
      </c>
      <c r="H4188">
        <v>77.161000000000001</v>
      </c>
      <c r="I4188">
        <v>1941.07</v>
      </c>
      <c r="J4188">
        <v>597.87</v>
      </c>
      <c r="K4188">
        <v>1082.5899999999999</v>
      </c>
      <c r="L4188">
        <v>10.621499999999999</v>
      </c>
      <c r="M4188">
        <v>68.911999999999992</v>
      </c>
      <c r="N4188">
        <v>3.1389999999999998</v>
      </c>
      <c r="O4188">
        <v>15.9359</v>
      </c>
      <c r="P4188">
        <f t="shared" si="172"/>
        <v>9.5000000000000001E-2</v>
      </c>
    </row>
    <row r="4189" spans="1:16">
      <c r="A4189" s="1" t="s">
        <v>4247</v>
      </c>
      <c r="B4189" s="1" t="s">
        <v>4252</v>
      </c>
      <c r="C4189" s="1" t="s">
        <v>5591</v>
      </c>
      <c r="D4189" s="1" t="s">
        <v>5503</v>
      </c>
      <c r="E4189" s="1" t="s">
        <v>4168</v>
      </c>
      <c r="F4189">
        <v>22.995000000000001</v>
      </c>
      <c r="G4189">
        <v>163.52000000000001</v>
      </c>
      <c r="H4189">
        <v>47.012</v>
      </c>
      <c r="I4189">
        <v>1150.48</v>
      </c>
      <c r="J4189">
        <v>1423.5</v>
      </c>
      <c r="K4189">
        <v>1083.32</v>
      </c>
      <c r="L4189">
        <v>19.272000000000002</v>
      </c>
      <c r="M4189">
        <v>54.019999999999996</v>
      </c>
      <c r="N4189">
        <v>11.826000000000001</v>
      </c>
      <c r="O4189">
        <v>6.8473999999999995</v>
      </c>
      <c r="P4189">
        <f t="shared" si="172"/>
        <v>9.5000000000000001E-2</v>
      </c>
    </row>
    <row r="4190" spans="1:16">
      <c r="A4190" s="1" t="s">
        <v>4247</v>
      </c>
      <c r="B4190" s="1" t="s">
        <v>4253</v>
      </c>
      <c r="C4190" s="1" t="s">
        <v>5591</v>
      </c>
      <c r="D4190" s="1" t="s">
        <v>5503</v>
      </c>
      <c r="E4190" s="1" t="s">
        <v>4168</v>
      </c>
      <c r="F4190">
        <v>221.92000000000002</v>
      </c>
      <c r="G4190">
        <v>268.64</v>
      </c>
      <c r="H4190">
        <v>88.111000000000004</v>
      </c>
      <c r="I4190">
        <v>1368.75</v>
      </c>
      <c r="J4190">
        <v>1349.77</v>
      </c>
      <c r="K4190">
        <v>1299.4000000000001</v>
      </c>
      <c r="L4190">
        <v>30.002999999999997</v>
      </c>
      <c r="M4190">
        <v>63.655999999999999</v>
      </c>
      <c r="N4190">
        <v>44.676000000000002</v>
      </c>
      <c r="O4190">
        <v>7.4606000000000003</v>
      </c>
      <c r="P4190">
        <f t="shared" si="172"/>
        <v>9.5000000000000001E-2</v>
      </c>
    </row>
    <row r="4191" spans="1:16">
      <c r="A4191" s="1" t="s">
        <v>4247</v>
      </c>
      <c r="B4191" s="1" t="s">
        <v>4254</v>
      </c>
      <c r="C4191" s="1" t="s">
        <v>5591</v>
      </c>
      <c r="D4191" s="1" t="s">
        <v>5503</v>
      </c>
      <c r="E4191" s="1" t="s">
        <v>4168</v>
      </c>
      <c r="F4191">
        <v>29.93</v>
      </c>
      <c r="G4191">
        <v>155.48999999999998</v>
      </c>
      <c r="H4191">
        <v>58.327000000000005</v>
      </c>
      <c r="I4191">
        <v>1461.46</v>
      </c>
      <c r="J4191">
        <v>3489.3999999999996</v>
      </c>
      <c r="K4191">
        <v>942.43000000000006</v>
      </c>
      <c r="L4191">
        <v>3.5112999999999999</v>
      </c>
      <c r="M4191">
        <v>87.745999999999995</v>
      </c>
      <c r="N4191">
        <v>41.974999999999994</v>
      </c>
      <c r="O4191">
        <v>15.1183</v>
      </c>
      <c r="P4191">
        <v>0.17519999999999999</v>
      </c>
    </row>
    <row r="4192" spans="1:16">
      <c r="A4192" s="1" t="s">
        <v>4247</v>
      </c>
      <c r="B4192" s="1" t="s">
        <v>4255</v>
      </c>
      <c r="C4192" s="1" t="s">
        <v>5591</v>
      </c>
      <c r="D4192" s="1" t="s">
        <v>5503</v>
      </c>
      <c r="E4192" s="1" t="s">
        <v>4168</v>
      </c>
      <c r="F4192">
        <v>38.690000000000005</v>
      </c>
      <c r="G4192">
        <v>136.72900000000001</v>
      </c>
      <c r="H4192">
        <v>60.808999999999997</v>
      </c>
      <c r="I4192">
        <v>804.45999999999992</v>
      </c>
      <c r="J4192">
        <v>2051.3000000000002</v>
      </c>
      <c r="K4192">
        <v>1002.2900000000001</v>
      </c>
      <c r="L4192">
        <v>14.673</v>
      </c>
      <c r="M4192">
        <v>82.49</v>
      </c>
      <c r="N4192">
        <v>39.42</v>
      </c>
      <c r="O4192">
        <v>9.636000000000001</v>
      </c>
      <c r="P4192">
        <v>0.14599999999999999</v>
      </c>
    </row>
    <row r="4193" spans="1:16">
      <c r="A4193" s="1" t="s">
        <v>4247</v>
      </c>
      <c r="B4193" s="1" t="s">
        <v>4256</v>
      </c>
      <c r="C4193" s="1" t="s">
        <v>5591</v>
      </c>
      <c r="D4193" s="1" t="s">
        <v>5503</v>
      </c>
      <c r="E4193" s="1" t="s">
        <v>4168</v>
      </c>
      <c r="F4193">
        <v>16.819199999999999</v>
      </c>
      <c r="G4193">
        <v>114.68299999999999</v>
      </c>
      <c r="H4193">
        <v>54.092999999999996</v>
      </c>
      <c r="I4193">
        <v>1376.0500000000002</v>
      </c>
      <c r="J4193">
        <v>4095.3</v>
      </c>
      <c r="K4193">
        <v>1000.0999999999999</v>
      </c>
      <c r="L4193">
        <v>7.8401999999999994</v>
      </c>
      <c r="M4193">
        <v>91.031000000000006</v>
      </c>
      <c r="N4193">
        <v>63.582999999999998</v>
      </c>
      <c r="O4193">
        <v>12.402699999999999</v>
      </c>
      <c r="P4193">
        <f>0.14/2</f>
        <v>7.0000000000000007E-2</v>
      </c>
    </row>
    <row r="4194" spans="1:16">
      <c r="A4194" s="1" t="s">
        <v>4247</v>
      </c>
      <c r="B4194" s="1" t="s">
        <v>4257</v>
      </c>
      <c r="C4194" s="1" t="s">
        <v>5591</v>
      </c>
      <c r="D4194" s="1" t="s">
        <v>5503</v>
      </c>
      <c r="E4194" s="1" t="s">
        <v>4168</v>
      </c>
      <c r="F4194">
        <v>16.2425</v>
      </c>
      <c r="G4194">
        <v>665.03</v>
      </c>
      <c r="H4194">
        <v>235.06</v>
      </c>
      <c r="I4194">
        <v>2146.1999999999998</v>
      </c>
      <c r="J4194">
        <v>996.45</v>
      </c>
      <c r="K4194">
        <v>1308.8899999999999</v>
      </c>
      <c r="L4194">
        <v>30.951999999999998</v>
      </c>
      <c r="M4194">
        <v>64.823999999999998</v>
      </c>
      <c r="N4194">
        <v>47.888000000000005</v>
      </c>
      <c r="O4194">
        <v>23.381899999999998</v>
      </c>
      <c r="P4194">
        <f>0.19/2</f>
        <v>9.5000000000000001E-2</v>
      </c>
    </row>
    <row r="4195" spans="1:16">
      <c r="A4195" s="1" t="s">
        <v>4247</v>
      </c>
      <c r="B4195" s="1" t="s">
        <v>4258</v>
      </c>
      <c r="C4195" s="1" t="s">
        <v>5591</v>
      </c>
      <c r="D4195" s="1" t="s">
        <v>5503</v>
      </c>
      <c r="E4195" s="1" t="s">
        <v>4168</v>
      </c>
      <c r="F4195">
        <v>11.453700000000001</v>
      </c>
      <c r="G4195">
        <v>473.77000000000004</v>
      </c>
      <c r="H4195">
        <v>191.625</v>
      </c>
      <c r="I4195">
        <v>2105.3200000000002</v>
      </c>
      <c r="J4195">
        <v>911.04000000000008</v>
      </c>
      <c r="K4195">
        <v>1285.53</v>
      </c>
      <c r="L4195">
        <v>32.273299999999999</v>
      </c>
      <c r="M4195">
        <v>62.05</v>
      </c>
      <c r="N4195">
        <v>142.35</v>
      </c>
      <c r="O4195">
        <v>19.512899999999998</v>
      </c>
      <c r="P4195">
        <f>0.19/2</f>
        <v>9.5000000000000001E-2</v>
      </c>
    </row>
    <row r="4196" spans="1:16">
      <c r="A4196" s="1" t="s">
        <v>4247</v>
      </c>
      <c r="B4196" s="1" t="s">
        <v>4259</v>
      </c>
      <c r="C4196" s="1" t="s">
        <v>5591</v>
      </c>
      <c r="D4196" s="1" t="s">
        <v>5503</v>
      </c>
      <c r="E4196" s="1" t="s">
        <v>4168</v>
      </c>
      <c r="F4196">
        <v>13.2933</v>
      </c>
      <c r="G4196">
        <v>505.15999999999997</v>
      </c>
      <c r="H4196">
        <v>217.83199999999999</v>
      </c>
      <c r="I4196">
        <v>2126.4899999999998</v>
      </c>
      <c r="J4196">
        <v>807.38</v>
      </c>
      <c r="K4196">
        <v>1278.23</v>
      </c>
      <c r="L4196">
        <v>38.938200000000002</v>
      </c>
      <c r="M4196">
        <v>54.384999999999998</v>
      </c>
      <c r="N4196">
        <v>168.55700000000002</v>
      </c>
      <c r="O4196">
        <v>28.046599999999998</v>
      </c>
      <c r="P4196">
        <f>0.19/2</f>
        <v>9.5000000000000001E-2</v>
      </c>
    </row>
    <row r="4197" spans="1:16">
      <c r="A4197" s="1" t="s">
        <v>4247</v>
      </c>
      <c r="B4197" s="1" t="s">
        <v>4260</v>
      </c>
      <c r="C4197" s="1" t="s">
        <v>5591</v>
      </c>
      <c r="D4197" s="1" t="s">
        <v>5503</v>
      </c>
      <c r="E4197" s="1" t="s">
        <v>4168</v>
      </c>
      <c r="F4197">
        <v>9.6798000000000002</v>
      </c>
      <c r="G4197">
        <v>94.754000000000005</v>
      </c>
      <c r="H4197">
        <v>60.078999999999994</v>
      </c>
      <c r="I4197">
        <v>854.83</v>
      </c>
      <c r="J4197">
        <v>2549.89</v>
      </c>
      <c r="K4197">
        <v>1065.07</v>
      </c>
      <c r="L4197">
        <v>28.397000000000002</v>
      </c>
      <c r="M4197">
        <v>44.822000000000003</v>
      </c>
      <c r="N4197">
        <v>20.513000000000002</v>
      </c>
      <c r="O4197">
        <v>5.1975999999999996</v>
      </c>
      <c r="P4197">
        <v>7.0000000000000007E-2</v>
      </c>
    </row>
    <row r="4198" spans="1:16">
      <c r="A4198" s="1" t="s">
        <v>4247</v>
      </c>
      <c r="B4198" s="1" t="s">
        <v>4261</v>
      </c>
      <c r="C4198" s="1" t="s">
        <v>5591</v>
      </c>
      <c r="D4198" s="1" t="s">
        <v>5503</v>
      </c>
      <c r="E4198" s="1" t="s">
        <v>4168</v>
      </c>
      <c r="F4198">
        <v>7.2050999999999998</v>
      </c>
      <c r="G4198">
        <v>58.838000000000001</v>
      </c>
      <c r="H4198">
        <v>50.37</v>
      </c>
      <c r="I4198">
        <v>848.26</v>
      </c>
      <c r="J4198">
        <v>2350.6000000000004</v>
      </c>
      <c r="K4198">
        <v>977.47</v>
      </c>
      <c r="L4198">
        <v>28.1342</v>
      </c>
      <c r="M4198">
        <v>49.567</v>
      </c>
      <c r="N4198">
        <v>18.469000000000001</v>
      </c>
      <c r="O4198">
        <v>6.2926000000000002</v>
      </c>
      <c r="P4198">
        <v>0.19637000000000002</v>
      </c>
    </row>
    <row r="4199" spans="1:16">
      <c r="A4199" s="1" t="s">
        <v>4247</v>
      </c>
      <c r="B4199" s="1" t="s">
        <v>4262</v>
      </c>
      <c r="C4199" s="1" t="s">
        <v>5591</v>
      </c>
      <c r="D4199" s="1" t="s">
        <v>5503</v>
      </c>
      <c r="E4199" s="1" t="s">
        <v>4168</v>
      </c>
      <c r="F4199">
        <v>14.673</v>
      </c>
      <c r="G4199">
        <v>132.34899999999999</v>
      </c>
      <c r="H4199">
        <v>99.718000000000004</v>
      </c>
      <c r="I4199">
        <v>830.01</v>
      </c>
      <c r="J4199">
        <v>3803.3</v>
      </c>
      <c r="K4199">
        <v>995.72</v>
      </c>
      <c r="L4199">
        <v>31.827999999999999</v>
      </c>
      <c r="M4199">
        <v>59.713999999999999</v>
      </c>
      <c r="N4199">
        <v>18.103999999999999</v>
      </c>
      <c r="O4199">
        <v>7.1394000000000002</v>
      </c>
      <c r="P4199">
        <v>0.15329999999999999</v>
      </c>
    </row>
    <row r="4200" spans="1:16">
      <c r="A4200" s="1" t="s">
        <v>4263</v>
      </c>
      <c r="B4200" s="1" t="s">
        <v>4264</v>
      </c>
      <c r="C4200" s="1" t="s">
        <v>5591</v>
      </c>
      <c r="D4200" s="1" t="s">
        <v>5600</v>
      </c>
      <c r="E4200" s="1" t="s">
        <v>4168</v>
      </c>
      <c r="F4200">
        <v>9.1980000000000004</v>
      </c>
      <c r="G4200">
        <v>536.54999999999995</v>
      </c>
      <c r="H4200">
        <v>300.03000000000003</v>
      </c>
      <c r="I4200">
        <v>1657.1</v>
      </c>
      <c r="J4200">
        <v>54.969000000000001</v>
      </c>
      <c r="K4200">
        <v>899.36</v>
      </c>
      <c r="L4200">
        <v>40.150000000000006</v>
      </c>
      <c r="M4200">
        <v>38.398000000000003</v>
      </c>
      <c r="N4200">
        <v>280.32</v>
      </c>
      <c r="O4200">
        <v>53.29</v>
      </c>
      <c r="P4200">
        <f>0.14/2</f>
        <v>7.0000000000000007E-2</v>
      </c>
    </row>
    <row r="4201" spans="1:16">
      <c r="A4201" s="1" t="s">
        <v>4263</v>
      </c>
      <c r="B4201" s="1" t="s">
        <v>4265</v>
      </c>
      <c r="C4201" s="1" t="s">
        <v>5591</v>
      </c>
      <c r="D4201" s="1" t="s">
        <v>5600</v>
      </c>
      <c r="E4201" s="1" t="s">
        <v>4168</v>
      </c>
      <c r="F4201">
        <v>7.7379999999999995</v>
      </c>
      <c r="G4201">
        <v>397.85</v>
      </c>
      <c r="H4201">
        <v>374.49</v>
      </c>
      <c r="I4201">
        <v>1573.15</v>
      </c>
      <c r="J4201">
        <v>48.545000000000002</v>
      </c>
      <c r="K4201">
        <v>876</v>
      </c>
      <c r="L4201">
        <v>48.18</v>
      </c>
      <c r="M4201">
        <v>41.098999999999997</v>
      </c>
      <c r="N4201">
        <v>442.38</v>
      </c>
      <c r="O4201">
        <v>69.277000000000001</v>
      </c>
      <c r="P4201">
        <v>0.2336</v>
      </c>
    </row>
    <row r="4202" spans="1:16">
      <c r="A4202" s="1" t="s">
        <v>4263</v>
      </c>
      <c r="B4202" s="1" t="s">
        <v>4266</v>
      </c>
      <c r="C4202" s="1" t="s">
        <v>5591</v>
      </c>
      <c r="D4202" s="1" t="s">
        <v>5600</v>
      </c>
      <c r="E4202" s="1" t="s">
        <v>4168</v>
      </c>
      <c r="F4202">
        <v>6.2633999999999999</v>
      </c>
      <c r="G4202">
        <v>410.99</v>
      </c>
      <c r="H4202">
        <v>246.73999999999998</v>
      </c>
      <c r="I4202">
        <v>1316.9199999999998</v>
      </c>
      <c r="J4202">
        <v>41.901999999999994</v>
      </c>
      <c r="K4202">
        <v>830.74</v>
      </c>
      <c r="L4202">
        <v>48.106999999999999</v>
      </c>
      <c r="M4202">
        <v>40.953000000000003</v>
      </c>
      <c r="N4202">
        <v>377.40999999999997</v>
      </c>
      <c r="O4202">
        <v>67.744</v>
      </c>
      <c r="P4202">
        <f>0.14/2</f>
        <v>7.0000000000000007E-2</v>
      </c>
    </row>
    <row r="4203" spans="1:16">
      <c r="A4203" s="1" t="s">
        <v>4267</v>
      </c>
      <c r="B4203" s="1" t="s">
        <v>4268</v>
      </c>
      <c r="C4203" s="1" t="s">
        <v>5591</v>
      </c>
      <c r="D4203" s="1" t="s">
        <v>5503</v>
      </c>
      <c r="E4203" s="1" t="s">
        <v>4168</v>
      </c>
      <c r="F4203">
        <v>11.585100000000001</v>
      </c>
      <c r="G4203">
        <v>62.999000000000002</v>
      </c>
      <c r="H4203">
        <v>22.192</v>
      </c>
      <c r="I4203">
        <v>1699.44</v>
      </c>
      <c r="J4203">
        <v>467.93</v>
      </c>
      <c r="K4203">
        <v>1058.5</v>
      </c>
      <c r="L4203">
        <v>16.352</v>
      </c>
      <c r="M4203">
        <v>68.036000000000001</v>
      </c>
      <c r="N4203">
        <v>46.427999999999997</v>
      </c>
      <c r="O4203">
        <v>14.089</v>
      </c>
      <c r="P4203">
        <v>0.27010000000000001</v>
      </c>
    </row>
    <row r="4204" spans="1:16">
      <c r="A4204" s="1" t="s">
        <v>4267</v>
      </c>
      <c r="B4204" s="1" t="s">
        <v>4269</v>
      </c>
      <c r="C4204" s="1" t="s">
        <v>5591</v>
      </c>
      <c r="D4204" s="1" t="s">
        <v>5503</v>
      </c>
      <c r="E4204" s="1" t="s">
        <v>4168</v>
      </c>
      <c r="F4204">
        <v>15.548999999999999</v>
      </c>
      <c r="G4204">
        <v>62.926000000000002</v>
      </c>
      <c r="H4204">
        <v>24.309000000000001</v>
      </c>
      <c r="I4204">
        <v>1852.74</v>
      </c>
      <c r="J4204">
        <v>509.54</v>
      </c>
      <c r="K4204">
        <v>1171.6500000000001</v>
      </c>
      <c r="L4204">
        <v>51.245999999999995</v>
      </c>
      <c r="M4204">
        <v>55.552999999999997</v>
      </c>
      <c r="N4204">
        <v>66.430000000000007</v>
      </c>
      <c r="O4204">
        <v>17.133099999999999</v>
      </c>
      <c r="P4204">
        <v>0.16644</v>
      </c>
    </row>
    <row r="4205" spans="1:16">
      <c r="A4205" s="1" t="s">
        <v>4267</v>
      </c>
      <c r="B4205" s="1" t="s">
        <v>4270</v>
      </c>
      <c r="C4205" s="1" t="s">
        <v>5591</v>
      </c>
      <c r="D4205" s="1" t="s">
        <v>5503</v>
      </c>
      <c r="E4205" s="1" t="s">
        <v>4168</v>
      </c>
      <c r="F4205">
        <v>13.490399999999999</v>
      </c>
      <c r="G4205">
        <v>49.64</v>
      </c>
      <c r="H4205">
        <v>16.154900000000001</v>
      </c>
      <c r="I4205">
        <v>1870.99</v>
      </c>
      <c r="J4205">
        <v>649.70000000000005</v>
      </c>
      <c r="K4205">
        <v>1158.51</v>
      </c>
      <c r="L4205">
        <v>49.713000000000001</v>
      </c>
      <c r="M4205">
        <v>55.552999999999997</v>
      </c>
      <c r="N4205">
        <v>57.013000000000005</v>
      </c>
      <c r="O4205">
        <v>18.177</v>
      </c>
      <c r="P4205">
        <f>0.10731/2</f>
        <v>5.3655000000000001E-2</v>
      </c>
    </row>
    <row r="4206" spans="1:16">
      <c r="A4206" s="1" t="s">
        <v>4267</v>
      </c>
      <c r="B4206" s="1" t="s">
        <v>4271</v>
      </c>
      <c r="C4206" s="1" t="s">
        <v>5591</v>
      </c>
      <c r="D4206" s="1" t="s">
        <v>5503</v>
      </c>
      <c r="E4206" s="1" t="s">
        <v>4168</v>
      </c>
      <c r="F4206">
        <v>11.3004</v>
      </c>
      <c r="G4206">
        <v>40.296000000000006</v>
      </c>
      <c r="H4206">
        <v>16.863</v>
      </c>
      <c r="I4206">
        <v>1862.23</v>
      </c>
      <c r="J4206">
        <v>481.79999999999995</v>
      </c>
      <c r="K4206">
        <v>1150.48</v>
      </c>
      <c r="L4206">
        <v>48.910000000000004</v>
      </c>
      <c r="M4206">
        <v>54.311999999999998</v>
      </c>
      <c r="N4206">
        <v>51.610999999999997</v>
      </c>
      <c r="O4206">
        <v>17.016300000000001</v>
      </c>
      <c r="P4206">
        <f>0.14/2</f>
        <v>7.0000000000000007E-2</v>
      </c>
    </row>
    <row r="4207" spans="1:16">
      <c r="A4207" s="1" t="s">
        <v>4272</v>
      </c>
      <c r="B4207" s="1" t="s">
        <v>4273</v>
      </c>
      <c r="C4207" s="1" t="s">
        <v>5591</v>
      </c>
      <c r="D4207" s="1" t="s">
        <v>5600</v>
      </c>
      <c r="E4207" s="1" t="s">
        <v>4168</v>
      </c>
      <c r="F4207">
        <v>16.863</v>
      </c>
      <c r="G4207">
        <v>341.64</v>
      </c>
      <c r="H4207">
        <v>263.52999999999997</v>
      </c>
      <c r="I4207">
        <v>1257.06</v>
      </c>
      <c r="J4207">
        <v>183.96</v>
      </c>
      <c r="K4207">
        <v>1040.98</v>
      </c>
      <c r="L4207">
        <v>26.645</v>
      </c>
      <c r="M4207">
        <v>40.953000000000003</v>
      </c>
      <c r="N4207">
        <v>100.74</v>
      </c>
      <c r="O4207">
        <v>27.302</v>
      </c>
      <c r="P4207">
        <f>0.14/2</f>
        <v>7.0000000000000007E-2</v>
      </c>
    </row>
    <row r="4208" spans="1:16">
      <c r="A4208" s="1" t="s">
        <v>4272</v>
      </c>
      <c r="B4208" s="1" t="s">
        <v>4274</v>
      </c>
      <c r="C4208" s="1" t="s">
        <v>5591</v>
      </c>
      <c r="D4208" s="1" t="s">
        <v>5600</v>
      </c>
      <c r="E4208" s="1" t="s">
        <v>4168</v>
      </c>
      <c r="F4208">
        <v>137.97</v>
      </c>
      <c r="G4208">
        <v>730</v>
      </c>
      <c r="H4208">
        <v>205.13</v>
      </c>
      <c r="I4208">
        <v>2045.46</v>
      </c>
      <c r="J4208">
        <v>58.838000000000001</v>
      </c>
      <c r="K4208">
        <v>905.2</v>
      </c>
      <c r="L4208">
        <v>41.61</v>
      </c>
      <c r="M4208">
        <v>37.667999999999999</v>
      </c>
      <c r="N4208">
        <v>529.98</v>
      </c>
      <c r="O4208">
        <v>57.597000000000001</v>
      </c>
      <c r="P4208">
        <v>0.35769999999999996</v>
      </c>
    </row>
    <row r="4209" spans="1:16">
      <c r="A4209" s="1" t="s">
        <v>4272</v>
      </c>
      <c r="B4209" s="1" t="s">
        <v>4275</v>
      </c>
      <c r="C4209" s="1" t="s">
        <v>5591</v>
      </c>
      <c r="D4209" s="1" t="s">
        <v>5600</v>
      </c>
      <c r="E4209" s="1" t="s">
        <v>4168</v>
      </c>
      <c r="F4209">
        <v>2.5476999999999999</v>
      </c>
      <c r="G4209">
        <v>421.21</v>
      </c>
      <c r="H4209">
        <v>211.7</v>
      </c>
      <c r="I4209">
        <v>1766.6</v>
      </c>
      <c r="J4209">
        <v>48.253</v>
      </c>
      <c r="K4209">
        <v>849.72</v>
      </c>
      <c r="L4209">
        <v>42.850999999999999</v>
      </c>
      <c r="M4209">
        <v>36.792000000000002</v>
      </c>
      <c r="N4209">
        <v>479.61</v>
      </c>
      <c r="O4209">
        <v>56.648000000000003</v>
      </c>
      <c r="P4209">
        <v>0.64240000000000008</v>
      </c>
    </row>
    <row r="4210" spans="1:16">
      <c r="A4210" s="1" t="s">
        <v>4276</v>
      </c>
      <c r="B4210" s="1" t="s">
        <v>4277</v>
      </c>
      <c r="C4210" s="1" t="s">
        <v>1764</v>
      </c>
      <c r="D4210" s="1" t="s">
        <v>2646</v>
      </c>
      <c r="E4210" s="1" t="s">
        <v>4278</v>
      </c>
      <c r="F4210">
        <v>4643</v>
      </c>
      <c r="G4210">
        <v>48.9</v>
      </c>
      <c r="H4210">
        <v>85.7</v>
      </c>
      <c r="I4210">
        <v>36.299999999999997</v>
      </c>
      <c r="J4210">
        <v>103</v>
      </c>
      <c r="K4210">
        <v>5709</v>
      </c>
      <c r="L4210">
        <v>3.29</v>
      </c>
      <c r="M4210">
        <v>11.6</v>
      </c>
      <c r="N4210">
        <v>759</v>
      </c>
      <c r="O4210">
        <v>2.9</v>
      </c>
      <c r="P4210">
        <v>265</v>
      </c>
    </row>
    <row r="4211" spans="1:16">
      <c r="A4211" s="1" t="s">
        <v>4276</v>
      </c>
      <c r="B4211" s="1" t="s">
        <v>4279</v>
      </c>
      <c r="C4211" s="1" t="s">
        <v>1764</v>
      </c>
      <c r="D4211" s="1" t="s">
        <v>2646</v>
      </c>
      <c r="E4211" s="1" t="s">
        <v>4278</v>
      </c>
      <c r="F4211">
        <v>446</v>
      </c>
      <c r="G4211">
        <v>286</v>
      </c>
      <c r="H4211">
        <v>70.099999999999994</v>
      </c>
      <c r="I4211">
        <v>39</v>
      </c>
      <c r="J4211">
        <v>125</v>
      </c>
      <c r="K4211">
        <v>791</v>
      </c>
      <c r="L4211">
        <v>2.23</v>
      </c>
      <c r="M4211">
        <v>12.5</v>
      </c>
      <c r="N4211">
        <v>367</v>
      </c>
      <c r="O4211">
        <v>16.899999999999999</v>
      </c>
      <c r="P4211">
        <v>23.9</v>
      </c>
    </row>
    <row r="4212" spans="1:16">
      <c r="A4212" s="1" t="s">
        <v>4276</v>
      </c>
      <c r="B4212" s="1" t="s">
        <v>4280</v>
      </c>
      <c r="C4212" s="1" t="s">
        <v>1764</v>
      </c>
      <c r="D4212" s="1" t="s">
        <v>2646</v>
      </c>
      <c r="E4212" s="1" t="s">
        <v>4281</v>
      </c>
      <c r="F4212">
        <v>699</v>
      </c>
      <c r="G4212">
        <v>45.4</v>
      </c>
      <c r="H4212">
        <v>27.1</v>
      </c>
      <c r="I4212">
        <v>19.899999999999999</v>
      </c>
      <c r="J4212">
        <v>32.9</v>
      </c>
      <c r="K4212">
        <v>718</v>
      </c>
      <c r="L4212">
        <v>0.12</v>
      </c>
      <c r="M4212">
        <v>3.43</v>
      </c>
      <c r="N4212">
        <v>31.6</v>
      </c>
      <c r="O4212">
        <v>9.6</v>
      </c>
      <c r="P4212">
        <v>59.8</v>
      </c>
    </row>
    <row r="4213" spans="1:16">
      <c r="A4213" s="1" t="s">
        <v>4276</v>
      </c>
      <c r="B4213" s="1" t="s">
        <v>4282</v>
      </c>
      <c r="C4213" s="1" t="s">
        <v>1764</v>
      </c>
      <c r="D4213" s="1" t="s">
        <v>2646</v>
      </c>
      <c r="E4213" s="1" t="s">
        <v>4281</v>
      </c>
      <c r="F4213">
        <v>2164</v>
      </c>
      <c r="G4213">
        <v>114</v>
      </c>
      <c r="H4213">
        <v>38.700000000000003</v>
      </c>
      <c r="I4213">
        <v>20.3</v>
      </c>
      <c r="J4213">
        <v>54.9</v>
      </c>
      <c r="K4213">
        <v>3544</v>
      </c>
      <c r="L4213">
        <v>0.12</v>
      </c>
      <c r="M4213">
        <v>4.1100000000000003</v>
      </c>
      <c r="N4213">
        <v>315</v>
      </c>
      <c r="O4213">
        <v>10</v>
      </c>
      <c r="P4213">
        <v>327</v>
      </c>
    </row>
    <row r="4214" spans="1:16">
      <c r="A4214" s="1" t="s">
        <v>4276</v>
      </c>
      <c r="B4214" s="1" t="s">
        <v>4283</v>
      </c>
      <c r="C4214" s="1" t="s">
        <v>1764</v>
      </c>
      <c r="D4214" s="1" t="s">
        <v>2646</v>
      </c>
      <c r="E4214" s="1" t="s">
        <v>4281</v>
      </c>
      <c r="F4214">
        <v>2018</v>
      </c>
      <c r="G4214">
        <v>344</v>
      </c>
      <c r="H4214">
        <v>61.9</v>
      </c>
      <c r="I4214">
        <v>28.9</v>
      </c>
      <c r="J4214">
        <v>49.3</v>
      </c>
      <c r="K4214">
        <v>4562</v>
      </c>
      <c r="L4214">
        <v>0.16</v>
      </c>
      <c r="M4214">
        <v>3.09</v>
      </c>
      <c r="N4214">
        <v>196</v>
      </c>
      <c r="O4214">
        <v>14.8</v>
      </c>
      <c r="P4214">
        <v>199</v>
      </c>
    </row>
    <row r="4215" spans="1:16">
      <c r="A4215" s="1" t="s">
        <v>4276</v>
      </c>
      <c r="B4215" s="1" t="s">
        <v>4284</v>
      </c>
      <c r="C4215" s="1" t="s">
        <v>1764</v>
      </c>
      <c r="D4215" s="1" t="s">
        <v>2646</v>
      </c>
      <c r="E4215" s="1" t="s">
        <v>4281</v>
      </c>
      <c r="F4215">
        <v>2861</v>
      </c>
      <c r="G4215">
        <v>411</v>
      </c>
      <c r="H4215">
        <v>49.1</v>
      </c>
      <c r="I4215">
        <v>32.9</v>
      </c>
      <c r="J4215">
        <v>54.2</v>
      </c>
      <c r="K4215">
        <v>5135</v>
      </c>
      <c r="L4215">
        <v>2.09</v>
      </c>
      <c r="M4215">
        <v>11.3</v>
      </c>
      <c r="N4215">
        <v>316</v>
      </c>
      <c r="O4215">
        <v>13.7</v>
      </c>
      <c r="P4215">
        <v>149</v>
      </c>
    </row>
    <row r="4216" spans="1:16">
      <c r="A4216" s="1" t="s">
        <v>4276</v>
      </c>
      <c r="B4216" s="1" t="s">
        <v>4285</v>
      </c>
      <c r="C4216" s="1" t="s">
        <v>1764</v>
      </c>
      <c r="D4216" s="1" t="s">
        <v>2646</v>
      </c>
      <c r="E4216" s="1" t="s">
        <v>4281</v>
      </c>
      <c r="F4216">
        <v>1077</v>
      </c>
      <c r="G4216">
        <v>335</v>
      </c>
      <c r="H4216">
        <v>47.7</v>
      </c>
      <c r="I4216">
        <v>47.2</v>
      </c>
      <c r="J4216">
        <v>7.04</v>
      </c>
      <c r="K4216">
        <v>643</v>
      </c>
      <c r="L4216">
        <v>0.24</v>
      </c>
      <c r="M4216">
        <v>1.28</v>
      </c>
      <c r="N4216">
        <v>11.9</v>
      </c>
      <c r="O4216">
        <v>22.9</v>
      </c>
      <c r="P4216">
        <v>422</v>
      </c>
    </row>
    <row r="4217" spans="1:16">
      <c r="A4217" s="1" t="s">
        <v>4276</v>
      </c>
      <c r="B4217" s="1" t="s">
        <v>4286</v>
      </c>
      <c r="C4217" s="1" t="s">
        <v>1764</v>
      </c>
      <c r="D4217" s="1" t="s">
        <v>2646</v>
      </c>
      <c r="E4217" s="1" t="s">
        <v>4281</v>
      </c>
      <c r="F4217">
        <v>127</v>
      </c>
      <c r="G4217">
        <v>287</v>
      </c>
      <c r="H4217">
        <v>1.43</v>
      </c>
      <c r="I4217">
        <v>5.39</v>
      </c>
      <c r="J4217">
        <v>9.19</v>
      </c>
      <c r="K4217">
        <v>196</v>
      </c>
      <c r="L4217">
        <v>0.54</v>
      </c>
      <c r="M4217">
        <v>1.51</v>
      </c>
      <c r="N4217">
        <v>1027</v>
      </c>
      <c r="O4217">
        <v>163</v>
      </c>
      <c r="P4217">
        <v>118</v>
      </c>
    </row>
    <row r="4218" spans="1:16">
      <c r="A4218" s="1" t="s">
        <v>4276</v>
      </c>
      <c r="B4218" s="1" t="s">
        <v>4287</v>
      </c>
      <c r="C4218" s="1" t="s">
        <v>1764</v>
      </c>
      <c r="D4218" s="1" t="s">
        <v>2646</v>
      </c>
      <c r="E4218" s="1" t="s">
        <v>4281</v>
      </c>
      <c r="F4218">
        <v>231</v>
      </c>
      <c r="G4218">
        <v>204</v>
      </c>
      <c r="H4218">
        <v>1.96</v>
      </c>
      <c r="I4218">
        <v>7.72</v>
      </c>
      <c r="J4218">
        <v>24</v>
      </c>
      <c r="K4218">
        <v>807</v>
      </c>
      <c r="L4218">
        <v>0.16</v>
      </c>
      <c r="M4218">
        <v>1.2</v>
      </c>
      <c r="N4218">
        <v>84.9</v>
      </c>
      <c r="O4218">
        <v>167</v>
      </c>
      <c r="P4218">
        <v>356</v>
      </c>
    </row>
    <row r="4219" spans="1:16">
      <c r="A4219" s="1" t="s">
        <v>4276</v>
      </c>
      <c r="B4219" s="1" t="s">
        <v>4288</v>
      </c>
      <c r="C4219" s="1" t="s">
        <v>1764</v>
      </c>
      <c r="D4219" s="1" t="s">
        <v>2646</v>
      </c>
      <c r="E4219" s="1" t="s">
        <v>4281</v>
      </c>
      <c r="F4219">
        <v>65</v>
      </c>
      <c r="G4219">
        <v>1106</v>
      </c>
      <c r="H4219">
        <v>1.5</v>
      </c>
      <c r="I4219">
        <v>7.7</v>
      </c>
      <c r="J4219">
        <v>5.83</v>
      </c>
      <c r="K4219">
        <v>111</v>
      </c>
      <c r="L4219">
        <v>0.56000000000000005</v>
      </c>
      <c r="M4219">
        <v>0.99</v>
      </c>
      <c r="N4219">
        <v>168</v>
      </c>
      <c r="O4219">
        <v>248</v>
      </c>
      <c r="P4219">
        <v>221</v>
      </c>
    </row>
    <row r="4220" spans="1:16">
      <c r="A4220" s="1" t="s">
        <v>4276</v>
      </c>
      <c r="B4220" s="1" t="s">
        <v>4289</v>
      </c>
      <c r="C4220" s="1" t="s">
        <v>1764</v>
      </c>
      <c r="D4220" s="1" t="s">
        <v>2646</v>
      </c>
      <c r="E4220" s="1" t="s">
        <v>4281</v>
      </c>
      <c r="F4220">
        <v>1005</v>
      </c>
      <c r="G4220">
        <v>266</v>
      </c>
      <c r="H4220">
        <v>1.37</v>
      </c>
      <c r="I4220">
        <v>6.43</v>
      </c>
      <c r="J4220">
        <v>6.07</v>
      </c>
      <c r="K4220">
        <v>2876</v>
      </c>
      <c r="L4220">
        <v>0.41</v>
      </c>
      <c r="M4220">
        <v>2.04</v>
      </c>
      <c r="N4220">
        <v>320</v>
      </c>
      <c r="O4220">
        <v>154</v>
      </c>
      <c r="P4220">
        <v>171</v>
      </c>
    </row>
    <row r="4221" spans="1:16">
      <c r="A4221" s="1" t="s">
        <v>4276</v>
      </c>
      <c r="B4221" s="1" t="s">
        <v>4290</v>
      </c>
      <c r="C4221" s="1" t="s">
        <v>1764</v>
      </c>
      <c r="D4221" s="1" t="s">
        <v>2646</v>
      </c>
      <c r="E4221" s="1" t="s">
        <v>4281</v>
      </c>
      <c r="F4221">
        <v>2326</v>
      </c>
      <c r="G4221">
        <v>488</v>
      </c>
      <c r="H4221">
        <v>2.14</v>
      </c>
      <c r="I4221">
        <v>5.09</v>
      </c>
      <c r="J4221">
        <v>8.19</v>
      </c>
      <c r="K4221">
        <v>7448</v>
      </c>
      <c r="L4221">
        <v>0.75</v>
      </c>
      <c r="M4221">
        <v>1.1200000000000001</v>
      </c>
      <c r="N4221">
        <v>770</v>
      </c>
      <c r="O4221">
        <v>148</v>
      </c>
      <c r="P4221">
        <v>253</v>
      </c>
    </row>
    <row r="4222" spans="1:16">
      <c r="A4222" s="1" t="s">
        <v>4276</v>
      </c>
      <c r="B4222" s="1" t="s">
        <v>4291</v>
      </c>
      <c r="C4222" s="1" t="s">
        <v>1764</v>
      </c>
      <c r="D4222" s="1" t="s">
        <v>2646</v>
      </c>
      <c r="E4222" s="1" t="s">
        <v>4281</v>
      </c>
      <c r="F4222">
        <v>2413</v>
      </c>
      <c r="G4222">
        <v>359</v>
      </c>
      <c r="H4222">
        <v>3.06</v>
      </c>
      <c r="I4222">
        <v>4.5</v>
      </c>
      <c r="J4222">
        <v>5.44</v>
      </c>
      <c r="K4222">
        <v>5327</v>
      </c>
      <c r="L4222">
        <v>0.53</v>
      </c>
      <c r="M4222">
        <v>0.74</v>
      </c>
      <c r="N4222">
        <v>869</v>
      </c>
      <c r="O4222">
        <v>210</v>
      </c>
      <c r="P4222">
        <v>515</v>
      </c>
    </row>
    <row r="4223" spans="1:16">
      <c r="A4223" s="1" t="s">
        <v>4276</v>
      </c>
      <c r="B4223" s="1" t="s">
        <v>4292</v>
      </c>
      <c r="C4223" s="1" t="s">
        <v>1764</v>
      </c>
      <c r="D4223" s="1" t="s">
        <v>2646</v>
      </c>
      <c r="E4223" s="1" t="s">
        <v>4281</v>
      </c>
      <c r="F4223">
        <v>3839</v>
      </c>
      <c r="G4223">
        <v>8053</v>
      </c>
      <c r="H4223">
        <v>5.41</v>
      </c>
      <c r="I4223">
        <v>5.51</v>
      </c>
      <c r="J4223">
        <v>137</v>
      </c>
      <c r="K4223">
        <v>70588</v>
      </c>
      <c r="L4223">
        <v>0.71</v>
      </c>
      <c r="M4223">
        <v>4.91</v>
      </c>
      <c r="N4223">
        <v>61.8</v>
      </c>
      <c r="O4223">
        <v>10.3</v>
      </c>
      <c r="P4223">
        <v>190</v>
      </c>
    </row>
    <row r="4224" spans="1:16">
      <c r="A4224" s="1" t="s">
        <v>4276</v>
      </c>
      <c r="B4224" s="1" t="s">
        <v>4293</v>
      </c>
      <c r="C4224" s="1" t="s">
        <v>1764</v>
      </c>
      <c r="D4224" s="1" t="s">
        <v>2646</v>
      </c>
      <c r="E4224" s="1" t="s">
        <v>4281</v>
      </c>
      <c r="F4224">
        <v>1418</v>
      </c>
      <c r="G4224">
        <v>177</v>
      </c>
      <c r="H4224">
        <v>0.39</v>
      </c>
      <c r="I4224">
        <v>3.71</v>
      </c>
      <c r="J4224">
        <v>337</v>
      </c>
      <c r="K4224">
        <v>43175</v>
      </c>
      <c r="L4224">
        <v>0.47</v>
      </c>
      <c r="M4224">
        <v>1.7</v>
      </c>
      <c r="N4224">
        <v>23.9</v>
      </c>
      <c r="O4224">
        <v>3.39</v>
      </c>
      <c r="P4224">
        <v>78.5</v>
      </c>
    </row>
    <row r="4225" spans="1:16">
      <c r="A4225" s="1" t="s">
        <v>4276</v>
      </c>
      <c r="B4225" s="1" t="s">
        <v>4294</v>
      </c>
      <c r="C4225" s="1" t="s">
        <v>1764</v>
      </c>
      <c r="D4225" s="1" t="s">
        <v>2646</v>
      </c>
      <c r="E4225" s="1" t="s">
        <v>4281</v>
      </c>
      <c r="F4225">
        <v>1986</v>
      </c>
      <c r="G4225">
        <v>163</v>
      </c>
      <c r="H4225">
        <v>2.3199999999999998</v>
      </c>
      <c r="I4225">
        <v>1.07</v>
      </c>
      <c r="J4225">
        <v>13.8</v>
      </c>
      <c r="K4225">
        <v>49930</v>
      </c>
      <c r="L4225">
        <v>0.69</v>
      </c>
      <c r="M4225">
        <v>0.8</v>
      </c>
      <c r="N4225">
        <v>52.5</v>
      </c>
      <c r="O4225">
        <v>1.5</v>
      </c>
      <c r="P4225">
        <v>92.8</v>
      </c>
    </row>
    <row r="4226" spans="1:16">
      <c r="A4226" s="1" t="s">
        <v>4276</v>
      </c>
      <c r="B4226" s="1" t="s">
        <v>4295</v>
      </c>
      <c r="C4226" s="1" t="s">
        <v>1764</v>
      </c>
      <c r="D4226" s="1" t="s">
        <v>2646</v>
      </c>
      <c r="E4226" s="1" t="s">
        <v>4281</v>
      </c>
      <c r="F4226">
        <v>3116</v>
      </c>
      <c r="G4226">
        <v>3356</v>
      </c>
      <c r="H4226">
        <v>10</v>
      </c>
      <c r="I4226">
        <v>3.72</v>
      </c>
      <c r="J4226">
        <v>10.3</v>
      </c>
      <c r="K4226">
        <v>34221</v>
      </c>
      <c r="L4226">
        <v>0.23</v>
      </c>
      <c r="M4226">
        <v>1.73</v>
      </c>
      <c r="N4226">
        <v>19.8</v>
      </c>
      <c r="O4226">
        <v>5.01</v>
      </c>
      <c r="P4226">
        <v>324</v>
      </c>
    </row>
    <row r="4227" spans="1:16">
      <c r="A4227" s="1" t="s">
        <v>4276</v>
      </c>
      <c r="B4227" s="1" t="s">
        <v>4296</v>
      </c>
      <c r="C4227" s="1" t="s">
        <v>1764</v>
      </c>
      <c r="D4227" s="1" t="s">
        <v>569</v>
      </c>
      <c r="E4227" s="1" t="s">
        <v>4281</v>
      </c>
      <c r="F4227">
        <v>3669</v>
      </c>
      <c r="G4227">
        <v>606</v>
      </c>
      <c r="H4227">
        <v>5.86</v>
      </c>
      <c r="I4227">
        <v>0.31</v>
      </c>
      <c r="J4227">
        <v>10.6</v>
      </c>
      <c r="K4227">
        <v>5551</v>
      </c>
      <c r="L4227">
        <v>0.27</v>
      </c>
      <c r="M4227">
        <v>1.0900000000000001</v>
      </c>
      <c r="N4227">
        <v>268</v>
      </c>
      <c r="O4227">
        <v>1.55</v>
      </c>
      <c r="P4227">
        <v>1.32</v>
      </c>
    </row>
    <row r="4228" spans="1:16">
      <c r="A4228" s="1" t="s">
        <v>4276</v>
      </c>
      <c r="B4228" s="1" t="s">
        <v>4297</v>
      </c>
      <c r="C4228" s="1" t="s">
        <v>1764</v>
      </c>
      <c r="D4228" s="1" t="s">
        <v>569</v>
      </c>
      <c r="E4228" s="1" t="s">
        <v>4281</v>
      </c>
      <c r="F4228">
        <v>4279</v>
      </c>
      <c r="G4228">
        <v>672</v>
      </c>
      <c r="H4228">
        <v>11.2</v>
      </c>
      <c r="I4228">
        <v>1.1499999999999999</v>
      </c>
      <c r="J4228">
        <v>10</v>
      </c>
      <c r="K4228">
        <v>4219</v>
      </c>
      <c r="L4228">
        <v>0.15</v>
      </c>
      <c r="M4228">
        <v>0.68</v>
      </c>
      <c r="N4228">
        <v>34</v>
      </c>
      <c r="O4228">
        <v>1.25</v>
      </c>
      <c r="P4228">
        <v>1.65</v>
      </c>
    </row>
    <row r="4229" spans="1:16">
      <c r="A4229" s="1" t="s">
        <v>4276</v>
      </c>
      <c r="B4229" s="1" t="s">
        <v>4298</v>
      </c>
      <c r="C4229" s="1" t="s">
        <v>1764</v>
      </c>
      <c r="D4229" s="1" t="s">
        <v>569</v>
      </c>
      <c r="E4229" s="1" t="s">
        <v>4281</v>
      </c>
      <c r="F4229">
        <v>2988</v>
      </c>
      <c r="G4229">
        <v>728</v>
      </c>
      <c r="H4229">
        <v>4.05</v>
      </c>
      <c r="I4229">
        <v>0.39</v>
      </c>
      <c r="J4229">
        <v>7.08</v>
      </c>
      <c r="K4229">
        <v>5317</v>
      </c>
      <c r="L4229">
        <v>0.61</v>
      </c>
      <c r="M4229">
        <v>1.94</v>
      </c>
      <c r="N4229">
        <v>37.4</v>
      </c>
      <c r="O4229">
        <v>1.56</v>
      </c>
      <c r="P4229">
        <v>2.75</v>
      </c>
    </row>
    <row r="4230" spans="1:16">
      <c r="A4230" s="1" t="s">
        <v>4276</v>
      </c>
      <c r="B4230" s="1" t="s">
        <v>4299</v>
      </c>
      <c r="C4230" s="1" t="s">
        <v>1764</v>
      </c>
      <c r="D4230" s="1" t="s">
        <v>569</v>
      </c>
      <c r="E4230" s="1" t="s">
        <v>4281</v>
      </c>
      <c r="F4230">
        <v>5717</v>
      </c>
      <c r="G4230">
        <v>1523</v>
      </c>
      <c r="H4230">
        <v>3.43</v>
      </c>
      <c r="I4230">
        <v>0.68</v>
      </c>
      <c r="J4230">
        <v>6.72</v>
      </c>
      <c r="K4230">
        <v>4040</v>
      </c>
      <c r="L4230">
        <v>0.78</v>
      </c>
      <c r="M4230">
        <v>5.91</v>
      </c>
      <c r="N4230">
        <v>44.5</v>
      </c>
      <c r="O4230">
        <v>1.18</v>
      </c>
      <c r="P4230">
        <v>2.96</v>
      </c>
    </row>
    <row r="4231" spans="1:16">
      <c r="A4231" s="1" t="s">
        <v>4276</v>
      </c>
      <c r="B4231" s="1" t="s">
        <v>4299</v>
      </c>
      <c r="C4231" s="1" t="s">
        <v>1764</v>
      </c>
      <c r="D4231" s="1" t="s">
        <v>569</v>
      </c>
      <c r="E4231" s="1" t="s">
        <v>4281</v>
      </c>
      <c r="F4231">
        <v>3379</v>
      </c>
      <c r="G4231">
        <v>856</v>
      </c>
      <c r="H4231">
        <v>8.8000000000000007</v>
      </c>
      <c r="I4231">
        <v>0.31</v>
      </c>
      <c r="J4231">
        <v>13.4</v>
      </c>
      <c r="K4231">
        <v>10891</v>
      </c>
      <c r="L4231">
        <v>0.34</v>
      </c>
      <c r="M4231">
        <v>1.1000000000000001</v>
      </c>
      <c r="N4231">
        <v>61.5</v>
      </c>
      <c r="O4231">
        <v>1.56</v>
      </c>
      <c r="P4231">
        <v>3.35</v>
      </c>
    </row>
    <row r="4232" spans="1:16">
      <c r="A4232" s="1" t="s">
        <v>4300</v>
      </c>
      <c r="B4232" s="1" t="s">
        <v>4301</v>
      </c>
      <c r="C4232" s="1" t="s">
        <v>1764</v>
      </c>
      <c r="D4232" s="1" t="s">
        <v>2646</v>
      </c>
      <c r="E4232" s="1" t="s">
        <v>4302</v>
      </c>
      <c r="F4232">
        <v>8.1174336369570472</v>
      </c>
      <c r="G4232">
        <v>680.9890363562032</v>
      </c>
      <c r="H4232">
        <v>9.5849639687921098</v>
      </c>
      <c r="I4232">
        <v>110.54664635690662</v>
      </c>
      <c r="J4232">
        <f>10.022/2</f>
        <v>5.0110000000000001</v>
      </c>
      <c r="K4232">
        <v>44.20837338938734</v>
      </c>
      <c r="L4232">
        <v>0.11419863678209459</v>
      </c>
      <c r="M4232">
        <v>1.2472779207262912</v>
      </c>
      <c r="N4232">
        <v>21.608731452254045</v>
      </c>
      <c r="O4232">
        <v>130.67817341536957</v>
      </c>
      <c r="P4232">
        <v>3.8591548966248492</v>
      </c>
    </row>
    <row r="4233" spans="1:16">
      <c r="A4233" s="1" t="s">
        <v>4300</v>
      </c>
      <c r="B4233" s="1" t="s">
        <v>4303</v>
      </c>
      <c r="C4233" s="1" t="s">
        <v>1764</v>
      </c>
      <c r="D4233" s="1" t="s">
        <v>2646</v>
      </c>
      <c r="E4233" s="1" t="s">
        <v>4304</v>
      </c>
      <c r="F4233">
        <v>19.010910519812501</v>
      </c>
      <c r="G4233">
        <v>370.49665148959542</v>
      </c>
      <c r="H4233">
        <v>15.968410578917259</v>
      </c>
      <c r="I4233">
        <v>22.276406334412403</v>
      </c>
      <c r="J4233">
        <v>16.266230958264686</v>
      </c>
      <c r="K4233">
        <v>72.522344447386601</v>
      </c>
      <c r="L4233">
        <v>0.15587886084995053</v>
      </c>
      <c r="M4233">
        <v>1.2284035999560645</v>
      </c>
      <c r="N4233">
        <v>13.730316646097362</v>
      </c>
      <c r="O4233">
        <v>101.4365819619487</v>
      </c>
      <c r="P4233">
        <v>1.314621317043329</v>
      </c>
    </row>
    <row r="4234" spans="1:16">
      <c r="A4234" s="1" t="s">
        <v>4300</v>
      </c>
      <c r="B4234" s="1" t="s">
        <v>4305</v>
      </c>
      <c r="C4234" s="1" t="s">
        <v>1764</v>
      </c>
      <c r="D4234" s="1" t="s">
        <v>2646</v>
      </c>
      <c r="E4234" s="1" t="s">
        <v>4304</v>
      </c>
      <c r="F4234">
        <v>1078.6379344700981</v>
      </c>
      <c r="G4234">
        <v>1627.0880898043558</v>
      </c>
      <c r="H4234">
        <v>6.3915313286305571</v>
      </c>
      <c r="I4234">
        <v>107.44068528035386</v>
      </c>
      <c r="J4234">
        <f>11.717/2</f>
        <v>5.8585000000000003</v>
      </c>
      <c r="K4234">
        <v>956.80152236279753</v>
      </c>
      <c r="L4234">
        <v>0.24912017969674644</v>
      </c>
      <c r="M4234">
        <v>1.7832253213952283</v>
      </c>
      <c r="N4234">
        <v>80.88428557671287</v>
      </c>
      <c r="O4234">
        <v>120.87976613264432</v>
      </c>
      <c r="P4234">
        <v>3.3798787849440566</v>
      </c>
    </row>
    <row r="4235" spans="1:16">
      <c r="A4235" s="1" t="s">
        <v>4300</v>
      </c>
      <c r="B4235" s="1" t="s">
        <v>4306</v>
      </c>
      <c r="C4235" s="1" t="s">
        <v>1764</v>
      </c>
      <c r="D4235" s="1" t="s">
        <v>2646</v>
      </c>
      <c r="E4235" s="1" t="s">
        <v>4304</v>
      </c>
      <c r="F4235">
        <v>351.51885540802181</v>
      </c>
      <c r="G4235">
        <v>738.66891651118522</v>
      </c>
      <c r="H4235">
        <v>4.0054484377442066</v>
      </c>
      <c r="I4235">
        <v>36.979686100656252</v>
      </c>
      <c r="J4235">
        <v>12.74826525161412</v>
      </c>
      <c r="K4235">
        <v>271.90712371059391</v>
      </c>
      <c r="L4235">
        <v>0.45975330529946312</v>
      </c>
      <c r="M4235">
        <v>1.1561067216485963</v>
      </c>
      <c r="N4235">
        <v>41.468340900205192</v>
      </c>
      <c r="O4235">
        <v>110.35779980203827</v>
      </c>
      <c r="P4235">
        <v>1.1272876036431132</v>
      </c>
    </row>
    <row r="4236" spans="1:16">
      <c r="A4236" s="1" t="s">
        <v>4300</v>
      </c>
      <c r="B4236" s="1" t="s">
        <v>4307</v>
      </c>
      <c r="C4236" s="1" t="s">
        <v>1764</v>
      </c>
      <c r="D4236" s="1" t="s">
        <v>2646</v>
      </c>
      <c r="E4236" s="1" t="s">
        <v>4304</v>
      </c>
      <c r="F4236">
        <v>1747.0320520008943</v>
      </c>
      <c r="G4236">
        <v>1571.1042904153805</v>
      </c>
      <c r="H4236">
        <v>11.559051681866649</v>
      </c>
      <c r="I4236">
        <v>63.795233033710559</v>
      </c>
      <c r="J4236">
        <v>14.129784239349629</v>
      </c>
      <c r="K4236">
        <v>1390.484071316218</v>
      </c>
      <c r="L4236">
        <v>0.30334747752061497</v>
      </c>
      <c r="M4236">
        <v>0.75866493647467526</v>
      </c>
      <c r="N4236">
        <v>194.36763628207214</v>
      </c>
      <c r="O4236">
        <v>92.572494301524173</v>
      </c>
      <c r="P4236">
        <v>1.7878702548746366</v>
      </c>
    </row>
    <row r="4237" spans="1:16">
      <c r="A4237" s="1" t="s">
        <v>4300</v>
      </c>
      <c r="B4237" s="1" t="s">
        <v>4308</v>
      </c>
      <c r="C4237" s="1" t="s">
        <v>1764</v>
      </c>
      <c r="D4237" s="1" t="s">
        <v>2646</v>
      </c>
      <c r="E4237" s="1" t="s">
        <v>4304</v>
      </c>
      <c r="F4237">
        <v>1181.3611868341666</v>
      </c>
      <c r="G4237">
        <v>1811.3653966004499</v>
      </c>
      <c r="H4237">
        <v>4.299267111466996</v>
      </c>
      <c r="I4237">
        <v>62.085248756500519</v>
      </c>
      <c r="J4237">
        <v>10.725562040847642</v>
      </c>
      <c r="K4237">
        <v>839.24462425859247</v>
      </c>
      <c r="L4237">
        <v>3.3165946674702482</v>
      </c>
      <c r="M4237">
        <v>1.3702816838819096</v>
      </c>
      <c r="N4237">
        <v>142.85448544111546</v>
      </c>
      <c r="O4237">
        <v>99.889597352421347</v>
      </c>
      <c r="P4237">
        <v>1.2916553163396134</v>
      </c>
    </row>
    <row r="4238" spans="1:16">
      <c r="A4238" s="1" t="s">
        <v>4300</v>
      </c>
      <c r="B4238" s="1" t="s">
        <v>4309</v>
      </c>
      <c r="C4238" s="1" t="s">
        <v>1764</v>
      </c>
      <c r="D4238" s="1" t="s">
        <v>2646</v>
      </c>
      <c r="E4238" s="1" t="s">
        <v>4304</v>
      </c>
      <c r="F4238">
        <v>19.53522537143677</v>
      </c>
      <c r="G4238">
        <v>498.02453458482006</v>
      </c>
      <c r="H4238">
        <v>2.202252427948467</v>
      </c>
      <c r="I4238">
        <v>19.656824241340487</v>
      </c>
      <c r="J4238">
        <f>7.317/2</f>
        <v>3.6585000000000001</v>
      </c>
      <c r="K4238">
        <v>169.00509860669052</v>
      </c>
      <c r="L4238">
        <v>2.7078217726966291E-2</v>
      </c>
      <c r="M4238">
        <v>1.3052129654642728</v>
      </c>
      <c r="N4238">
        <v>26.33914602475712</v>
      </c>
      <c r="O4238">
        <v>65.675505363849183</v>
      </c>
      <c r="P4238">
        <v>0.86190141767358452</v>
      </c>
    </row>
    <row r="4239" spans="1:16">
      <c r="A4239" s="1" t="s">
        <v>4300</v>
      </c>
      <c r="B4239" s="1" t="s">
        <v>4310</v>
      </c>
      <c r="C4239" s="1" t="s">
        <v>1764</v>
      </c>
      <c r="D4239" s="1" t="s">
        <v>2646</v>
      </c>
      <c r="E4239" s="1" t="s">
        <v>4304</v>
      </c>
      <c r="F4239">
        <v>382.97661254923327</v>
      </c>
      <c r="G4239">
        <v>1215.1625524331278</v>
      </c>
      <c r="H4239">
        <f>2.719/2</f>
        <v>1.3594999999999999</v>
      </c>
      <c r="I4239">
        <v>29.076676325543581</v>
      </c>
      <c r="J4239">
        <f>5.829/2</f>
        <v>2.9144999999999999</v>
      </c>
      <c r="K4239">
        <v>166.80398723286476</v>
      </c>
      <c r="L4239">
        <v>0.13987748349172138</v>
      </c>
      <c r="M4239">
        <v>2.0982860346034378</v>
      </c>
      <c r="N4239">
        <v>31.819780969808562</v>
      </c>
      <c r="O4239">
        <v>93.987302883555657</v>
      </c>
      <c r="P4239">
        <v>1.1051289036228242</v>
      </c>
    </row>
    <row r="4240" spans="1:16">
      <c r="A4240" s="1" t="s">
        <v>4300</v>
      </c>
      <c r="B4240" s="1" t="s">
        <v>4311</v>
      </c>
      <c r="C4240" s="1" t="s">
        <v>1764</v>
      </c>
      <c r="D4240" s="1" t="s">
        <v>2646</v>
      </c>
      <c r="E4240" s="1" t="s">
        <v>4304</v>
      </c>
      <c r="F4240">
        <v>260.34234275505565</v>
      </c>
      <c r="G4240">
        <v>3656.0176106960444</v>
      </c>
      <c r="H4240">
        <v>83.439962947726002</v>
      </c>
      <c r="I4240">
        <v>191.28684947438944</v>
      </c>
      <c r="J4240">
        <f>5.377/2</f>
        <v>2.6884999999999999</v>
      </c>
      <c r="K4240">
        <v>206.21014039513383</v>
      </c>
      <c r="L4240">
        <v>4.6810979822333912E-2</v>
      </c>
      <c r="M4240">
        <v>1.7194103727989725</v>
      </c>
      <c r="N4240">
        <v>58.601570774313259</v>
      </c>
      <c r="O4240">
        <v>163.37506941382716</v>
      </c>
      <c r="P4240">
        <v>0.98391455525965343</v>
      </c>
    </row>
    <row r="4241" spans="1:16">
      <c r="A4241" s="1" t="s">
        <v>4300</v>
      </c>
      <c r="B4241" s="1" t="s">
        <v>4312</v>
      </c>
      <c r="C4241" s="1" t="s">
        <v>1764</v>
      </c>
      <c r="D4241" s="1" t="s">
        <v>2646</v>
      </c>
      <c r="E4241" s="1" t="s">
        <v>4304</v>
      </c>
      <c r="F4241">
        <v>112.92585851885208</v>
      </c>
      <c r="G4241">
        <v>2195.0638663204272</v>
      </c>
      <c r="H4241">
        <v>54.395398660444755</v>
      </c>
      <c r="I4241">
        <v>82.119739219961005</v>
      </c>
      <c r="J4241">
        <v>78.233005731476922</v>
      </c>
      <c r="K4241">
        <v>190.31861211069952</v>
      </c>
      <c r="L4241">
        <v>0.8874138595381017</v>
      </c>
      <c r="M4241">
        <v>1.5237513488465952</v>
      </c>
      <c r="N4241">
        <v>25.218263620841999</v>
      </c>
      <c r="O4241">
        <v>119.55290744585018</v>
      </c>
      <c r="P4241">
        <v>2.8815610528848006</v>
      </c>
    </row>
    <row r="4242" spans="1:16">
      <c r="A4242" s="1" t="s">
        <v>4300</v>
      </c>
      <c r="B4242" s="1" t="s">
        <v>4313</v>
      </c>
      <c r="C4242" s="1" t="s">
        <v>1764</v>
      </c>
      <c r="D4242" s="1" t="s">
        <v>2646</v>
      </c>
      <c r="E4242" s="1" t="s">
        <v>4304</v>
      </c>
      <c r="F4242">
        <v>345.15588199790119</v>
      </c>
      <c r="G4242">
        <v>1329.9260692338112</v>
      </c>
      <c r="H4242">
        <f>2.481/2</f>
        <v>1.2404999999999999</v>
      </c>
      <c r="I4242">
        <v>109.84989381879396</v>
      </c>
      <c r="J4242">
        <f>6.907/2</f>
        <v>3.4535</v>
      </c>
      <c r="K4242">
        <v>294.0932252927679</v>
      </c>
      <c r="L4242">
        <v>0.17526644563189259</v>
      </c>
      <c r="M4242">
        <v>1.4840146586775014</v>
      </c>
      <c r="N4242">
        <v>56.585080859321188</v>
      </c>
      <c r="O4242">
        <v>82.319181155353334</v>
      </c>
      <c r="P4242">
        <v>1.6403902005547084</v>
      </c>
    </row>
    <row r="4243" spans="1:16">
      <c r="A4243" s="1" t="s">
        <v>4300</v>
      </c>
      <c r="B4243" s="1" t="s">
        <v>4314</v>
      </c>
      <c r="C4243" s="1" t="s">
        <v>1764</v>
      </c>
      <c r="D4243" s="1" t="s">
        <v>2646</v>
      </c>
      <c r="E4243" s="1" t="s">
        <v>4304</v>
      </c>
      <c r="F4243">
        <v>7749.3737091174316</v>
      </c>
      <c r="G4243">
        <v>410.34880961694364</v>
      </c>
      <c r="H4243">
        <v>39.714876708750232</v>
      </c>
      <c r="I4243">
        <v>15.973800703338819</v>
      </c>
      <c r="J4243">
        <v>15.736252031874281</v>
      </c>
      <c r="K4243">
        <v>1390.9256346136228</v>
      </c>
      <c r="L4243">
        <v>0.33567656134637547</v>
      </c>
      <c r="M4243">
        <v>0.738696342130293</v>
      </c>
      <c r="N4243">
        <v>106.65783713295049</v>
      </c>
      <c r="O4243">
        <v>88.289725959736558</v>
      </c>
      <c r="P4243">
        <v>84.917225350739031</v>
      </c>
    </row>
    <row r="4244" spans="1:16">
      <c r="A4244" s="1" t="s">
        <v>4300</v>
      </c>
      <c r="B4244" s="1" t="s">
        <v>4315</v>
      </c>
      <c r="C4244" s="1" t="s">
        <v>1764</v>
      </c>
      <c r="D4244" s="1" t="s">
        <v>2646</v>
      </c>
      <c r="E4244" s="1" t="s">
        <v>4304</v>
      </c>
      <c r="F4244">
        <v>9560.7010328305641</v>
      </c>
      <c r="G4244">
        <v>687.57113115196876</v>
      </c>
      <c r="H4244">
        <v>1.0396141461511563</v>
      </c>
      <c r="I4244">
        <v>2.2947276439599258</v>
      </c>
      <c r="J4244">
        <f>7.23/2</f>
        <v>3.6150000000000002</v>
      </c>
      <c r="K4244">
        <v>1400.2983889522054</v>
      </c>
      <c r="L4244">
        <v>0.27938854048992146</v>
      </c>
      <c r="M4244">
        <v>1.130559918298649</v>
      </c>
      <c r="N4244">
        <v>107.16592019874712</v>
      </c>
      <c r="O4244">
        <v>83.58535571403543</v>
      </c>
      <c r="P4244">
        <v>109.44867356309075</v>
      </c>
    </row>
    <row r="4245" spans="1:16">
      <c r="A4245" s="1" t="s">
        <v>4300</v>
      </c>
      <c r="B4245" s="1" t="s">
        <v>4316</v>
      </c>
      <c r="C4245" s="1" t="s">
        <v>1764</v>
      </c>
      <c r="D4245" s="1" t="s">
        <v>2646</v>
      </c>
      <c r="E4245" s="1" t="s">
        <v>4304</v>
      </c>
      <c r="F4245">
        <v>8345.1890791407259</v>
      </c>
      <c r="G4245">
        <v>443.9897147406835</v>
      </c>
      <c r="H4245">
        <v>21.110517953801537</v>
      </c>
      <c r="I4245">
        <v>0.48305879537326224</v>
      </c>
      <c r="J4245">
        <f>5.243/2</f>
        <v>2.6215000000000002</v>
      </c>
      <c r="K4245">
        <v>1326.8490566751886</v>
      </c>
      <c r="L4245">
        <v>3.5337903834435545E-2</v>
      </c>
      <c r="M4245">
        <v>0.65082178070825825</v>
      </c>
      <c r="N4245">
        <v>99.924279506032491</v>
      </c>
      <c r="O4245">
        <v>93.530763012357625</v>
      </c>
      <c r="P4245">
        <v>94.354509740926233</v>
      </c>
    </row>
    <row r="4246" spans="1:16">
      <c r="A4246" s="1" t="s">
        <v>4300</v>
      </c>
      <c r="B4246" s="1" t="s">
        <v>4317</v>
      </c>
      <c r="C4246" s="1" t="s">
        <v>1764</v>
      </c>
      <c r="D4246" s="1" t="s">
        <v>2646</v>
      </c>
      <c r="E4246" s="1" t="s">
        <v>4304</v>
      </c>
      <c r="F4246">
        <v>10882.870283757202</v>
      </c>
      <c r="G4246">
        <v>730.54407315914625</v>
      </c>
      <c r="H4246">
        <v>4.6945826749021133</v>
      </c>
      <c r="I4246">
        <v>3.145247084850431</v>
      </c>
      <c r="J4246">
        <f>7.3/2</f>
        <v>3.65</v>
      </c>
      <c r="K4246">
        <v>1513.74422641251</v>
      </c>
      <c r="L4246">
        <v>3.5739245734772093E-2</v>
      </c>
      <c r="M4246">
        <v>0.41634345496272485</v>
      </c>
      <c r="N4246">
        <v>127.23651857430362</v>
      </c>
      <c r="O4246">
        <v>85.623033649526974</v>
      </c>
      <c r="P4246">
        <v>161.38846994200065</v>
      </c>
    </row>
    <row r="4247" spans="1:16">
      <c r="A4247" s="1" t="s">
        <v>4300</v>
      </c>
      <c r="B4247" s="1" t="s">
        <v>4318</v>
      </c>
      <c r="C4247" s="1" t="s">
        <v>1764</v>
      </c>
      <c r="D4247" s="1" t="s">
        <v>2646</v>
      </c>
      <c r="E4247" s="1" t="s">
        <v>4304</v>
      </c>
      <c r="F4247">
        <v>8256.0275991695198</v>
      </c>
      <c r="G4247">
        <v>381.13906689077396</v>
      </c>
      <c r="H4247">
        <v>12.289384558075618</v>
      </c>
      <c r="I4247">
        <v>6.8955994354449315</v>
      </c>
      <c r="J4247">
        <v>7.4760479309535057</v>
      </c>
      <c r="K4247">
        <v>1245.655376986309</v>
      </c>
      <c r="L4247">
        <v>8.5005989639480334E-2</v>
      </c>
      <c r="M4247">
        <v>0.94914359067401122</v>
      </c>
      <c r="N4247">
        <v>87.081806523057054</v>
      </c>
      <c r="O4247">
        <v>92.611068851413549</v>
      </c>
      <c r="P4247">
        <v>49.542687967723332</v>
      </c>
    </row>
    <row r="4248" spans="1:16">
      <c r="A4248" s="1" t="s">
        <v>4300</v>
      </c>
      <c r="B4248" s="1" t="s">
        <v>4319</v>
      </c>
      <c r="C4248" s="1" t="s">
        <v>1764</v>
      </c>
      <c r="D4248" s="1" t="s">
        <v>2646</v>
      </c>
      <c r="E4248" s="1" t="s">
        <v>4304</v>
      </c>
      <c r="F4248">
        <v>11966.41701393847</v>
      </c>
      <c r="G4248">
        <v>877.81676831505217</v>
      </c>
      <c r="H4248">
        <v>0.26825989569989267</v>
      </c>
      <c r="I4248">
        <v>0.98208101466806352</v>
      </c>
      <c r="J4248">
        <v>2.8604311276012089</v>
      </c>
      <c r="K4248">
        <v>1555.5820877962701</v>
      </c>
      <c r="L4248">
        <v>3.9163835512216111E-2</v>
      </c>
      <c r="M4248">
        <v>0.59478296018846932</v>
      </c>
      <c r="N4248">
        <v>129.13952725425108</v>
      </c>
      <c r="O4248">
        <v>80.129177638103371</v>
      </c>
      <c r="P4248">
        <v>195.24690613514758</v>
      </c>
    </row>
    <row r="4249" spans="1:16">
      <c r="A4249" s="1" t="s">
        <v>4300</v>
      </c>
      <c r="B4249" s="1" t="s">
        <v>4320</v>
      </c>
      <c r="C4249" s="1" t="s">
        <v>1764</v>
      </c>
      <c r="D4249" s="1" t="s">
        <v>2646</v>
      </c>
      <c r="E4249" s="1" t="s">
        <v>4304</v>
      </c>
      <c r="F4249">
        <v>8202.7555242205308</v>
      </c>
      <c r="G4249">
        <v>395.49294788956905</v>
      </c>
      <c r="H4249">
        <v>48.927443917616628</v>
      </c>
      <c r="I4249">
        <v>44.493497784594489</v>
      </c>
      <c r="J4249">
        <v>8.7063399730827484</v>
      </c>
      <c r="K4249">
        <v>1453.3819572699663</v>
      </c>
      <c r="L4249">
        <v>2.1358633420692909E-2</v>
      </c>
      <c r="M4249">
        <v>1.3806347559614747</v>
      </c>
      <c r="N4249">
        <v>108.90301092683642</v>
      </c>
      <c r="O4249">
        <v>99.539690503462197</v>
      </c>
      <c r="P4249">
        <v>84.762079556600838</v>
      </c>
    </row>
    <row r="4250" spans="1:16">
      <c r="A4250" s="1" t="s">
        <v>4300</v>
      </c>
      <c r="B4250" s="1" t="s">
        <v>4321</v>
      </c>
      <c r="C4250" s="1" t="s">
        <v>1764</v>
      </c>
      <c r="D4250" s="1" t="s">
        <v>2646</v>
      </c>
      <c r="E4250" s="1" t="s">
        <v>4304</v>
      </c>
      <c r="F4250">
        <v>13674.850316922806</v>
      </c>
      <c r="G4250">
        <v>722.89022992383116</v>
      </c>
      <c r="H4250">
        <v>8.1488266429468084</v>
      </c>
      <c r="I4250">
        <v>2.8937466070749491</v>
      </c>
      <c r="J4250">
        <v>2.0739938433069036</v>
      </c>
      <c r="K4250">
        <v>1559.4151409345322</v>
      </c>
      <c r="L4250">
        <v>0.20013753054676811</v>
      </c>
      <c r="M4250">
        <v>0.46929915041636744</v>
      </c>
      <c r="N4250">
        <v>166.92611806102241</v>
      </c>
      <c r="O4250">
        <v>34.782820340227687</v>
      </c>
      <c r="P4250">
        <v>182.02121781473335</v>
      </c>
    </row>
    <row r="4251" spans="1:16">
      <c r="A4251" s="1" t="s">
        <v>4300</v>
      </c>
      <c r="B4251" s="1" t="s">
        <v>4322</v>
      </c>
      <c r="C4251" s="1" t="s">
        <v>1764</v>
      </c>
      <c r="D4251" s="1" t="s">
        <v>2646</v>
      </c>
      <c r="E4251" s="1" t="s">
        <v>4304</v>
      </c>
      <c r="F4251">
        <v>11356.903734937832</v>
      </c>
      <c r="G4251">
        <v>1058.2238800976015</v>
      </c>
      <c r="H4251">
        <f>4.984/2</f>
        <v>2.492</v>
      </c>
      <c r="I4251">
        <v>1.7334757329623767</v>
      </c>
      <c r="J4251">
        <v>0.93599682342418544</v>
      </c>
      <c r="K4251">
        <v>1478.8697670635518</v>
      </c>
      <c r="L4251">
        <v>5.8720814693553405E-2</v>
      </c>
      <c r="M4251">
        <v>1.0410436530679712</v>
      </c>
      <c r="N4251">
        <v>143.02135030243693</v>
      </c>
      <c r="O4251">
        <v>125.02201296207795</v>
      </c>
      <c r="P4251">
        <v>134.64598492136523</v>
      </c>
    </row>
    <row r="4252" spans="1:16">
      <c r="A4252" s="1" t="s">
        <v>4300</v>
      </c>
      <c r="B4252" s="1" t="s">
        <v>4323</v>
      </c>
      <c r="C4252" s="1" t="s">
        <v>1764</v>
      </c>
      <c r="D4252" s="1" t="s">
        <v>2646</v>
      </c>
      <c r="E4252" s="1" t="s">
        <v>4304</v>
      </c>
      <c r="F4252">
        <v>6761.8973893976581</v>
      </c>
      <c r="G4252">
        <v>409.65412297232427</v>
      </c>
      <c r="H4252">
        <v>44.483439182738522</v>
      </c>
      <c r="I4252">
        <v>16.470286583023501</v>
      </c>
      <c r="J4252">
        <v>23.255237242722036</v>
      </c>
      <c r="K4252">
        <v>1238.6997914728795</v>
      </c>
      <c r="L4252">
        <v>9.7415084215768694E-2</v>
      </c>
      <c r="M4252">
        <v>0.98707638453026936</v>
      </c>
      <c r="N4252">
        <v>92.249225989711107</v>
      </c>
      <c r="O4252">
        <v>90.419278200635276</v>
      </c>
      <c r="P4252">
        <v>84.575972942393307</v>
      </c>
    </row>
    <row r="4253" spans="1:16">
      <c r="A4253" s="1" t="s">
        <v>4300</v>
      </c>
      <c r="B4253" s="1" t="s">
        <v>4324</v>
      </c>
      <c r="C4253" s="1" t="s">
        <v>1764</v>
      </c>
      <c r="D4253" s="1" t="s">
        <v>2646</v>
      </c>
      <c r="E4253" s="1" t="s">
        <v>4304</v>
      </c>
      <c r="F4253">
        <v>10889.956418423057</v>
      </c>
      <c r="G4253">
        <v>484.68903034123639</v>
      </c>
      <c r="H4253">
        <v>5.6779437992249706</v>
      </c>
      <c r="I4253">
        <v>6.795964303038704</v>
      </c>
      <c r="J4253">
        <v>5.8001623241297846</v>
      </c>
      <c r="K4253">
        <v>1539.3319591346087</v>
      </c>
      <c r="L4253">
        <v>0.25304920703359002</v>
      </c>
      <c r="M4253">
        <v>1.4189285430415595</v>
      </c>
      <c r="N4253">
        <v>120.81718015880833</v>
      </c>
      <c r="O4253">
        <v>73.179851319271691</v>
      </c>
      <c r="P4253">
        <v>88.407852200251526</v>
      </c>
    </row>
    <row r="4254" spans="1:16">
      <c r="A4254" s="1" t="s">
        <v>4300</v>
      </c>
      <c r="B4254" s="1" t="s">
        <v>4325</v>
      </c>
      <c r="C4254" s="1" t="s">
        <v>1764</v>
      </c>
      <c r="D4254" s="1" t="s">
        <v>2646</v>
      </c>
      <c r="E4254" s="1" t="s">
        <v>4304</v>
      </c>
      <c r="F4254">
        <v>17916.295565303892</v>
      </c>
      <c r="G4254">
        <v>143.71394510031811</v>
      </c>
      <c r="H4254">
        <v>24.561766675988487</v>
      </c>
      <c r="I4254">
        <v>16.974871149179677</v>
      </c>
      <c r="J4254">
        <v>30.747785382458215</v>
      </c>
      <c r="K4254">
        <v>1840.2093645070756</v>
      </c>
      <c r="L4254">
        <v>9.9784241281520872E-2</v>
      </c>
      <c r="M4254">
        <v>0.23627393343389205</v>
      </c>
      <c r="N4254">
        <v>61.364271032981662</v>
      </c>
      <c r="O4254">
        <v>76.884663799828687</v>
      </c>
      <c r="P4254">
        <v>20.740865226129696</v>
      </c>
    </row>
    <row r="4255" spans="1:16">
      <c r="A4255" s="1" t="s">
        <v>4300</v>
      </c>
      <c r="B4255" s="1" t="s">
        <v>4326</v>
      </c>
      <c r="C4255" s="1" t="s">
        <v>1764</v>
      </c>
      <c r="D4255" s="1" t="s">
        <v>2646</v>
      </c>
      <c r="E4255" s="1" t="s">
        <v>4304</v>
      </c>
      <c r="F4255">
        <v>10762.251118040671</v>
      </c>
      <c r="G4255">
        <v>601.19813842094652</v>
      </c>
      <c r="H4255">
        <v>83.129170335129999</v>
      </c>
      <c r="I4255">
        <v>7.7486178887881483</v>
      </c>
      <c r="J4255">
        <v>4.1013050310273735</v>
      </c>
      <c r="K4255">
        <v>1414.8238574780362</v>
      </c>
      <c r="L4255">
        <v>0.19649225590572073</v>
      </c>
      <c r="M4255">
        <v>0.29190686384325376</v>
      </c>
      <c r="N4255">
        <v>119.34407644794136</v>
      </c>
      <c r="O4255">
        <v>67.06179517414138</v>
      </c>
      <c r="P4255">
        <v>195.13165651975513</v>
      </c>
    </row>
    <row r="4256" spans="1:16">
      <c r="A4256" s="1" t="s">
        <v>4300</v>
      </c>
      <c r="B4256" s="1" t="s">
        <v>4327</v>
      </c>
      <c r="C4256" s="1" t="s">
        <v>1764</v>
      </c>
      <c r="D4256" s="1" t="s">
        <v>2646</v>
      </c>
      <c r="E4256" s="1" t="s">
        <v>4304</v>
      </c>
      <c r="F4256">
        <v>9332.6850203611957</v>
      </c>
      <c r="G4256">
        <v>323.59987379185912</v>
      </c>
      <c r="H4256">
        <v>49.825191450393788</v>
      </c>
      <c r="I4256">
        <v>40.477624171943923</v>
      </c>
      <c r="J4256">
        <v>120.57739270037779</v>
      </c>
      <c r="K4256">
        <v>1414.3161021934673</v>
      </c>
      <c r="L4256">
        <v>8.2820544111406783E-2</v>
      </c>
      <c r="M4256">
        <v>0.8801263587929895</v>
      </c>
      <c r="N4256">
        <v>92.347508086052528</v>
      </c>
      <c r="O4256">
        <v>75.732701018846356</v>
      </c>
      <c r="P4256">
        <v>106.72008369301979</v>
      </c>
    </row>
    <row r="4257" spans="1:16">
      <c r="A4257" s="1" t="s">
        <v>4300</v>
      </c>
      <c r="B4257" s="1" t="s">
        <v>4328</v>
      </c>
      <c r="C4257" s="1" t="s">
        <v>1764</v>
      </c>
      <c r="D4257" s="1" t="s">
        <v>2646</v>
      </c>
      <c r="E4257" s="1" t="s">
        <v>4304</v>
      </c>
      <c r="F4257">
        <v>11288.272424106259</v>
      </c>
      <c r="G4257">
        <v>880.11405446154038</v>
      </c>
      <c r="H4257">
        <v>37.139896964983329</v>
      </c>
      <c r="I4257">
        <v>12.627567145540231</v>
      </c>
      <c r="J4257">
        <v>52.822488645283634</v>
      </c>
      <c r="K4257">
        <v>1627.0196621518548</v>
      </c>
      <c r="L4257">
        <v>6.306566078630324E-2</v>
      </c>
      <c r="M4257">
        <v>0.54029165676930002</v>
      </c>
      <c r="N4257">
        <v>126.4208412772754</v>
      </c>
      <c r="O4257">
        <v>64.432332546583879</v>
      </c>
      <c r="P4257">
        <v>137.83965446613092</v>
      </c>
    </row>
    <row r="4258" spans="1:16">
      <c r="A4258" s="1" t="s">
        <v>4300</v>
      </c>
      <c r="B4258" s="1" t="s">
        <v>4329</v>
      </c>
      <c r="C4258" s="1" t="s">
        <v>1764</v>
      </c>
      <c r="D4258" s="1" t="s">
        <v>2646</v>
      </c>
      <c r="E4258" s="1" t="s">
        <v>4304</v>
      </c>
      <c r="F4258">
        <v>11014.730989268024</v>
      </c>
      <c r="G4258">
        <v>556.30348958850584</v>
      </c>
      <c r="H4258">
        <v>42.781461487688787</v>
      </c>
      <c r="I4258">
        <v>13.79244581729634</v>
      </c>
      <c r="J4258">
        <v>62.629516368277805</v>
      </c>
      <c r="K4258">
        <v>1469.1923593484707</v>
      </c>
      <c r="L4258">
        <v>0.10009522190352062</v>
      </c>
      <c r="M4258">
        <v>1.0285312936680662</v>
      </c>
      <c r="N4258">
        <v>113.63385047278705</v>
      </c>
      <c r="O4258">
        <v>70.854721200894218</v>
      </c>
      <c r="P4258">
        <v>117.02929191667644</v>
      </c>
    </row>
    <row r="4259" spans="1:16">
      <c r="A4259" s="1" t="s">
        <v>4300</v>
      </c>
      <c r="B4259" s="1" t="s">
        <v>4330</v>
      </c>
      <c r="C4259" s="1" t="s">
        <v>1764</v>
      </c>
      <c r="D4259" s="1" t="s">
        <v>2646</v>
      </c>
      <c r="E4259" s="1" t="s">
        <v>4304</v>
      </c>
      <c r="F4259">
        <v>7634.110411723841</v>
      </c>
      <c r="G4259">
        <v>758.77083137712702</v>
      </c>
      <c r="H4259">
        <v>10.474848925456254</v>
      </c>
      <c r="I4259">
        <v>5.1714881723322534</v>
      </c>
      <c r="J4259">
        <v>20.273004884487385</v>
      </c>
      <c r="K4259">
        <v>1166.1507433336415</v>
      </c>
      <c r="L4259">
        <v>0.3119234927610845</v>
      </c>
      <c r="M4259">
        <v>0.71902586915960631</v>
      </c>
      <c r="N4259">
        <v>99.248635572461936</v>
      </c>
      <c r="O4259">
        <v>33.973715809339517</v>
      </c>
      <c r="P4259">
        <v>121.97580172289256</v>
      </c>
    </row>
    <row r="4260" spans="1:16">
      <c r="A4260" s="1" t="s">
        <v>4300</v>
      </c>
      <c r="B4260" s="1" t="s">
        <v>4331</v>
      </c>
      <c r="C4260" s="1" t="s">
        <v>1764</v>
      </c>
      <c r="D4260" s="1" t="s">
        <v>2646</v>
      </c>
      <c r="E4260" s="1" t="s">
        <v>4304</v>
      </c>
      <c r="F4260">
        <v>10099.436679498875</v>
      </c>
      <c r="G4260">
        <v>325.71920996089108</v>
      </c>
      <c r="H4260">
        <v>37.91241410446009</v>
      </c>
      <c r="I4260">
        <v>7.5905931919885772</v>
      </c>
      <c r="J4260">
        <v>12.394768136552809</v>
      </c>
      <c r="K4260">
        <v>1392.697745138322</v>
      </c>
      <c r="L4260">
        <v>5.9603827692795368E-2</v>
      </c>
      <c r="M4260">
        <v>0.30498418154966989</v>
      </c>
      <c r="N4260">
        <v>119.68177472580257</v>
      </c>
      <c r="O4260">
        <v>63.057036779394487</v>
      </c>
      <c r="P4260">
        <v>68.260593092451927</v>
      </c>
    </row>
    <row r="4261" spans="1:16">
      <c r="A4261" s="1" t="s">
        <v>4300</v>
      </c>
      <c r="B4261" s="1" t="s">
        <v>4332</v>
      </c>
      <c r="C4261" s="1" t="s">
        <v>1764</v>
      </c>
      <c r="D4261" s="1" t="s">
        <v>2646</v>
      </c>
      <c r="E4261" s="1" t="s">
        <v>4304</v>
      </c>
      <c r="F4261">
        <v>5230.7199064501992</v>
      </c>
      <c r="G4261">
        <v>486.67402566664458</v>
      </c>
      <c r="H4261">
        <v>3.6898537187494833</v>
      </c>
      <c r="I4261">
        <v>40.339298330571999</v>
      </c>
      <c r="J4261">
        <v>4.8776540606147814</v>
      </c>
      <c r="K4261">
        <v>142.9460408700254</v>
      </c>
      <c r="L4261">
        <v>1.9372745412592512E-2</v>
      </c>
      <c r="M4261">
        <v>1.1334770372018161</v>
      </c>
      <c r="N4261">
        <v>26.67797525301766</v>
      </c>
      <c r="O4261">
        <v>121.26382954756518</v>
      </c>
      <c r="P4261">
        <v>19.558170556551609</v>
      </c>
    </row>
    <row r="4262" spans="1:16">
      <c r="A4262" s="1" t="s">
        <v>4300</v>
      </c>
      <c r="B4262" s="1" t="s">
        <v>4333</v>
      </c>
      <c r="C4262" s="1" t="s">
        <v>1764</v>
      </c>
      <c r="D4262" s="1" t="s">
        <v>2646</v>
      </c>
      <c r="E4262" s="1" t="s">
        <v>4304</v>
      </c>
      <c r="F4262">
        <v>3177.5761493733089</v>
      </c>
      <c r="G4262">
        <v>396.46934743641009</v>
      </c>
      <c r="H4262">
        <v>6.073195952178156</v>
      </c>
      <c r="I4262">
        <v>57.021282930011338</v>
      </c>
      <c r="J4262">
        <v>23.981237987058474</v>
      </c>
      <c r="K4262">
        <v>184.57053915069662</v>
      </c>
      <c r="L4262">
        <v>4.5829763340652953E-2</v>
      </c>
      <c r="M4262">
        <v>1.5010287297039313</v>
      </c>
      <c r="N4262">
        <v>15.56568269608066</v>
      </c>
      <c r="O4262">
        <v>124.93216888592484</v>
      </c>
      <c r="P4262">
        <v>18.27189554795136</v>
      </c>
    </row>
    <row r="4263" spans="1:16">
      <c r="A4263" s="1" t="s">
        <v>4300</v>
      </c>
      <c r="B4263" s="1" t="s">
        <v>4334</v>
      </c>
      <c r="C4263" s="1" t="s">
        <v>1764</v>
      </c>
      <c r="D4263" s="1" t="s">
        <v>2646</v>
      </c>
      <c r="E4263" s="1" t="s">
        <v>4304</v>
      </c>
      <c r="F4263">
        <v>3953.4407227479041</v>
      </c>
      <c r="G4263">
        <v>276.78518738370269</v>
      </c>
      <c r="H4263">
        <v>8.3417660675971472</v>
      </c>
      <c r="I4263">
        <v>23.32084741108056</v>
      </c>
      <c r="J4263">
        <v>2.7584489394901071</v>
      </c>
      <c r="K4263">
        <v>237.01555701606688</v>
      </c>
      <c r="L4263">
        <v>0.2025858819743025</v>
      </c>
      <c r="M4263">
        <v>1.2956866418453392</v>
      </c>
      <c r="N4263">
        <v>13.808916386054273</v>
      </c>
      <c r="O4263">
        <v>123.77039732760497</v>
      </c>
      <c r="P4263">
        <v>16.835965720325955</v>
      </c>
    </row>
    <row r="4264" spans="1:16">
      <c r="A4264" s="1" t="s">
        <v>4300</v>
      </c>
      <c r="B4264" s="1" t="s">
        <v>4335</v>
      </c>
      <c r="C4264" s="1" t="s">
        <v>1764</v>
      </c>
      <c r="D4264" s="1" t="s">
        <v>2646</v>
      </c>
      <c r="E4264" s="1" t="s">
        <v>4304</v>
      </c>
      <c r="F4264">
        <v>4687.6662855475697</v>
      </c>
      <c r="G4264">
        <v>314.0876426777495</v>
      </c>
      <c r="H4264">
        <f>5.631/2</f>
        <v>2.8155000000000001</v>
      </c>
      <c r="I4264">
        <v>26.251590028138985</v>
      </c>
      <c r="J4264">
        <v>40.753399606710857</v>
      </c>
      <c r="K4264">
        <v>165.64102324508431</v>
      </c>
      <c r="L4264">
        <v>0.75367081114646706</v>
      </c>
      <c r="M4264">
        <v>1.6595102087715456</v>
      </c>
      <c r="N4264">
        <v>15.158503769435248</v>
      </c>
      <c r="O4264">
        <v>122.99395096078527</v>
      </c>
      <c r="P4264">
        <v>22.085940047953926</v>
      </c>
    </row>
    <row r="4265" spans="1:16">
      <c r="A4265" s="1" t="s">
        <v>4300</v>
      </c>
      <c r="B4265" s="1" t="s">
        <v>4336</v>
      </c>
      <c r="C4265" s="1" t="s">
        <v>1764</v>
      </c>
      <c r="D4265" s="1" t="s">
        <v>2646</v>
      </c>
      <c r="E4265" s="1" t="s">
        <v>4304</v>
      </c>
      <c r="F4265">
        <v>5230.2301996177557</v>
      </c>
      <c r="G4265">
        <v>632.5408001102146</v>
      </c>
      <c r="H4265">
        <v>27.058480953735959</v>
      </c>
      <c r="I4265">
        <v>72.498764179832961</v>
      </c>
      <c r="J4265">
        <v>5.692655028833336</v>
      </c>
      <c r="K4265">
        <v>174.67126253967206</v>
      </c>
      <c r="L4265">
        <v>6.5710296879908078E-2</v>
      </c>
      <c r="M4265">
        <v>0.98041901960214306</v>
      </c>
      <c r="N4265">
        <v>30.462302710518237</v>
      </c>
      <c r="O4265">
        <v>126.15640607191017</v>
      </c>
      <c r="P4265">
        <v>33.436075061597776</v>
      </c>
    </row>
    <row r="4266" spans="1:16">
      <c r="A4266" s="1" t="s">
        <v>4300</v>
      </c>
      <c r="B4266" s="1" t="s">
        <v>4337</v>
      </c>
      <c r="C4266" s="1" t="s">
        <v>1764</v>
      </c>
      <c r="D4266" s="1" t="s">
        <v>2646</v>
      </c>
      <c r="E4266" s="1" t="s">
        <v>4304</v>
      </c>
      <c r="F4266">
        <v>5878.2389504224875</v>
      </c>
      <c r="G4266">
        <v>617.287872289451</v>
      </c>
      <c r="H4266">
        <v>7.5969786992033788</v>
      </c>
      <c r="I4266">
        <v>40.095361142665382</v>
      </c>
      <c r="J4266">
        <v>3.4457893452469683</v>
      </c>
      <c r="K4266">
        <v>167.06892598882013</v>
      </c>
      <c r="L4266">
        <v>0.24558629438530025</v>
      </c>
      <c r="M4266">
        <v>1.8798924490438909</v>
      </c>
      <c r="N4266">
        <v>34.319149837649555</v>
      </c>
      <c r="O4266">
        <v>118.44145861682394</v>
      </c>
      <c r="P4266">
        <v>51.19222384754211</v>
      </c>
    </row>
    <row r="4267" spans="1:16">
      <c r="A4267" s="1" t="s">
        <v>4300</v>
      </c>
      <c r="B4267" s="1" t="s">
        <v>4338</v>
      </c>
      <c r="C4267" s="1" t="s">
        <v>1764</v>
      </c>
      <c r="D4267" s="1" t="s">
        <v>2646</v>
      </c>
      <c r="E4267" s="1" t="s">
        <v>4304</v>
      </c>
      <c r="F4267">
        <v>6621.780434522796</v>
      </c>
      <c r="G4267">
        <v>773.97416314514476</v>
      </c>
      <c r="H4267">
        <v>10.815770751112376</v>
      </c>
      <c r="I4267">
        <v>3.387896214222113</v>
      </c>
      <c r="J4267">
        <v>3.2132035880467873</v>
      </c>
      <c r="K4267">
        <v>305.6518512655158</v>
      </c>
      <c r="L4267">
        <v>0.20787592625244633</v>
      </c>
      <c r="M4267">
        <v>0.23776014974893064</v>
      </c>
      <c r="N4267">
        <v>91.133173235893139</v>
      </c>
      <c r="O4267">
        <v>110.29526481181533</v>
      </c>
      <c r="P4267">
        <v>72.995919243450146</v>
      </c>
    </row>
    <row r="4268" spans="1:16">
      <c r="A4268" s="1" t="s">
        <v>4300</v>
      </c>
      <c r="B4268" s="1" t="s">
        <v>4339</v>
      </c>
      <c r="C4268" s="1" t="s">
        <v>1764</v>
      </c>
      <c r="D4268" s="1" t="s">
        <v>2646</v>
      </c>
      <c r="E4268" s="1" t="s">
        <v>4304</v>
      </c>
      <c r="F4268">
        <v>5550.6198799244366</v>
      </c>
      <c r="G4268">
        <v>589.80685956494358</v>
      </c>
      <c r="H4268">
        <v>4.8809063795880006</v>
      </c>
      <c r="I4268">
        <v>1.0086339372776629</v>
      </c>
      <c r="J4268">
        <v>1.9428613528248668</v>
      </c>
      <c r="K4268">
        <v>241.50913314749533</v>
      </c>
      <c r="L4268">
        <v>0.17688448477482127</v>
      </c>
      <c r="M4268">
        <v>1.0132972744955542</v>
      </c>
      <c r="N4268">
        <v>62.06769900839889</v>
      </c>
      <c r="O4268">
        <v>100.03351011568512</v>
      </c>
      <c r="P4268">
        <v>65.578578102626693</v>
      </c>
    </row>
    <row r="4269" spans="1:16">
      <c r="A4269" s="1" t="s">
        <v>4300</v>
      </c>
      <c r="B4269" s="1" t="s">
        <v>4340</v>
      </c>
      <c r="C4269" s="1" t="s">
        <v>1764</v>
      </c>
      <c r="D4269" s="1" t="s">
        <v>2646</v>
      </c>
      <c r="E4269" s="1" t="s">
        <v>4304</v>
      </c>
      <c r="F4269">
        <v>4120.8240473951309</v>
      </c>
      <c r="G4269">
        <v>249.7772523615686</v>
      </c>
      <c r="H4269">
        <v>15.831006241169149</v>
      </c>
      <c r="I4269">
        <v>32.201059050727686</v>
      </c>
      <c r="J4269">
        <v>20.84372622484188</v>
      </c>
      <c r="K4269">
        <v>216.10632974375378</v>
      </c>
      <c r="L4269">
        <v>6.4253428123387232E-2</v>
      </c>
      <c r="M4269">
        <v>1.1266076470113482</v>
      </c>
      <c r="N4269">
        <v>14.093969965950587</v>
      </c>
      <c r="O4269">
        <v>125.81472782398122</v>
      </c>
      <c r="P4269">
        <v>13.878963158631475</v>
      </c>
    </row>
    <row r="4270" spans="1:16">
      <c r="A4270" s="1" t="s">
        <v>4300</v>
      </c>
      <c r="B4270" s="1" t="s">
        <v>4341</v>
      </c>
      <c r="C4270" s="1" t="s">
        <v>1764</v>
      </c>
      <c r="D4270" s="1" t="s">
        <v>2646</v>
      </c>
      <c r="E4270" s="1" t="s">
        <v>4304</v>
      </c>
      <c r="F4270">
        <v>3689.8054148610408</v>
      </c>
      <c r="G4270">
        <v>354.34819313170561</v>
      </c>
      <c r="H4270">
        <f>5.656/2</f>
        <v>2.8279999999999998</v>
      </c>
      <c r="I4270">
        <v>24.750509561980735</v>
      </c>
      <c r="J4270">
        <v>86.645814200891323</v>
      </c>
      <c r="K4270">
        <v>176.18109555554756</v>
      </c>
      <c r="L4270">
        <v>0.65851288530999519</v>
      </c>
      <c r="M4270">
        <v>0.9839492589885882</v>
      </c>
      <c r="N4270">
        <v>11.540566906943658</v>
      </c>
      <c r="O4270">
        <v>126.07731907230504</v>
      </c>
      <c r="P4270">
        <v>30.648061476229469</v>
      </c>
    </row>
    <row r="4271" spans="1:16">
      <c r="A4271" s="1" t="s">
        <v>4300</v>
      </c>
      <c r="B4271" s="1" t="s">
        <v>4342</v>
      </c>
      <c r="C4271" s="1" t="s">
        <v>1764</v>
      </c>
      <c r="D4271" s="1" t="s">
        <v>2646</v>
      </c>
      <c r="E4271" s="1" t="s">
        <v>4304</v>
      </c>
      <c r="F4271">
        <v>3165.2649526313703</v>
      </c>
      <c r="G4271">
        <v>218.74227340783494</v>
      </c>
      <c r="H4271">
        <v>5.9600448180091101</v>
      </c>
      <c r="I4271">
        <v>40.380462587641212</v>
      </c>
      <c r="J4271">
        <v>19.022171218215426</v>
      </c>
      <c r="K4271">
        <v>250.06951063109906</v>
      </c>
      <c r="L4271">
        <v>3.9675884553303099E-2</v>
      </c>
      <c r="M4271">
        <v>2.0983777959260781</v>
      </c>
      <c r="N4271">
        <v>14.731685113977463</v>
      </c>
      <c r="O4271">
        <v>122.45707907214812</v>
      </c>
      <c r="P4271">
        <v>4.8726111080359784</v>
      </c>
    </row>
    <row r="4272" spans="1:16">
      <c r="A4272" s="1" t="s">
        <v>4300</v>
      </c>
      <c r="B4272" s="1" t="s">
        <v>4343</v>
      </c>
      <c r="C4272" s="1" t="s">
        <v>1764</v>
      </c>
      <c r="D4272" s="1" t="s">
        <v>2646</v>
      </c>
      <c r="E4272" s="1" t="s">
        <v>4304</v>
      </c>
      <c r="F4272">
        <v>4709.4503100734555</v>
      </c>
      <c r="G4272">
        <v>325.06573706805239</v>
      </c>
      <c r="H4272">
        <v>6.349955527401379</v>
      </c>
      <c r="I4272">
        <v>31.343943589551138</v>
      </c>
      <c r="J4272">
        <v>3.8500541087589548</v>
      </c>
      <c r="K4272">
        <v>209.21938203498513</v>
      </c>
      <c r="L4272">
        <v>6.7126119557153419E-2</v>
      </c>
      <c r="M4272">
        <v>1.6483614304242249</v>
      </c>
      <c r="N4272">
        <v>22.885048188145085</v>
      </c>
      <c r="O4272">
        <v>126.74576524711927</v>
      </c>
      <c r="P4272">
        <v>38.293337028352262</v>
      </c>
    </row>
    <row r="4273" spans="1:16">
      <c r="A4273" s="1" t="s">
        <v>4300</v>
      </c>
      <c r="B4273" s="1" t="s">
        <v>4344</v>
      </c>
      <c r="C4273" s="1" t="s">
        <v>1764</v>
      </c>
      <c r="D4273" s="1" t="s">
        <v>2646</v>
      </c>
      <c r="E4273" s="1" t="s">
        <v>4304</v>
      </c>
      <c r="F4273">
        <v>4186.3281432325948</v>
      </c>
      <c r="G4273">
        <v>316.44638246400655</v>
      </c>
      <c r="H4273">
        <v>8.6209033556071351</v>
      </c>
      <c r="I4273">
        <v>44.034909196783573</v>
      </c>
      <c r="J4273">
        <v>2.4218380514562003</v>
      </c>
      <c r="K4273">
        <v>177.46905327655486</v>
      </c>
      <c r="L4273">
        <v>6.7886182616914051E-2</v>
      </c>
      <c r="M4273">
        <v>0.47606716381359571</v>
      </c>
      <c r="N4273">
        <v>15.631521036403154</v>
      </c>
      <c r="O4273">
        <v>126.87689172961902</v>
      </c>
      <c r="P4273">
        <v>30.920081931106747</v>
      </c>
    </row>
    <row r="4274" spans="1:16">
      <c r="A4274" s="1" t="s">
        <v>4300</v>
      </c>
      <c r="B4274" s="1" t="s">
        <v>4345</v>
      </c>
      <c r="C4274" s="1" t="s">
        <v>1764</v>
      </c>
      <c r="D4274" s="1" t="s">
        <v>2646</v>
      </c>
      <c r="E4274" s="1" t="s">
        <v>4304</v>
      </c>
      <c r="F4274">
        <v>6946.8798747862547</v>
      </c>
      <c r="G4274">
        <v>482.00223245986075</v>
      </c>
      <c r="H4274">
        <v>5.417508155217722</v>
      </c>
      <c r="I4274">
        <v>3.6801691934306371</v>
      </c>
      <c r="J4274">
        <v>2.4011365716597344</v>
      </c>
      <c r="K4274">
        <v>318.09714715242364</v>
      </c>
      <c r="L4274">
        <v>0.11206015692962669</v>
      </c>
      <c r="M4274">
        <v>1.9869728674873068</v>
      </c>
      <c r="N4274">
        <v>58.977478439985987</v>
      </c>
      <c r="O4274">
        <v>111.39938396542347</v>
      </c>
      <c r="P4274">
        <v>70.750276917161287</v>
      </c>
    </row>
    <row r="4275" spans="1:16">
      <c r="A4275" s="1" t="s">
        <v>4300</v>
      </c>
      <c r="B4275" s="1" t="s">
        <v>4346</v>
      </c>
      <c r="C4275" s="1" t="s">
        <v>1764</v>
      </c>
      <c r="D4275" s="1" t="s">
        <v>2646</v>
      </c>
      <c r="E4275" s="1" t="s">
        <v>4304</v>
      </c>
      <c r="F4275">
        <v>6349.4920811781676</v>
      </c>
      <c r="G4275">
        <v>393.12279490444007</v>
      </c>
      <c r="H4275">
        <v>8.2863490559148882</v>
      </c>
      <c r="I4275">
        <v>12.537105989753092</v>
      </c>
      <c r="J4275">
        <v>2.3882124407764334</v>
      </c>
      <c r="K4275">
        <v>192.6522971780123</v>
      </c>
      <c r="L4275">
        <v>0.10912385119585079</v>
      </c>
      <c r="M4275">
        <v>1.2391577678596262</v>
      </c>
      <c r="N4275">
        <v>38.638709739984151</v>
      </c>
      <c r="O4275">
        <v>114.38384360723973</v>
      </c>
      <c r="P4275">
        <v>60.372940637464239</v>
      </c>
    </row>
    <row r="4276" spans="1:16">
      <c r="A4276" s="1" t="s">
        <v>4300</v>
      </c>
      <c r="B4276" s="1" t="s">
        <v>4347</v>
      </c>
      <c r="C4276" s="1" t="s">
        <v>1764</v>
      </c>
      <c r="D4276" s="1" t="s">
        <v>2646</v>
      </c>
      <c r="E4276" s="1" t="s">
        <v>4304</v>
      </c>
      <c r="F4276">
        <v>2839.5547014571544</v>
      </c>
      <c r="G4276">
        <v>12280.24113864474</v>
      </c>
      <c r="H4276">
        <v>576.04680849507565</v>
      </c>
      <c r="I4276">
        <v>73.392497217350979</v>
      </c>
      <c r="J4276">
        <v>14.015773001548299</v>
      </c>
      <c r="K4276">
        <v>369.71033463866871</v>
      </c>
      <c r="L4276">
        <v>4.2351578491404508E-2</v>
      </c>
      <c r="M4276">
        <v>1.5133905153997425</v>
      </c>
      <c r="N4276">
        <v>42.879642745104888</v>
      </c>
      <c r="O4276">
        <v>84.750074591412741</v>
      </c>
      <c r="P4276">
        <v>29.819532345516699</v>
      </c>
    </row>
    <row r="4277" spans="1:16">
      <c r="A4277" s="1" t="s">
        <v>4300</v>
      </c>
      <c r="B4277" s="1" t="s">
        <v>4348</v>
      </c>
      <c r="C4277" s="1" t="s">
        <v>1764</v>
      </c>
      <c r="D4277" s="1" t="s">
        <v>2646</v>
      </c>
      <c r="E4277" s="1" t="s">
        <v>4304</v>
      </c>
      <c r="F4277">
        <v>1729.2389238724581</v>
      </c>
      <c r="G4277">
        <v>4681.17931923178</v>
      </c>
      <c r="H4277">
        <v>443.72206478746148</v>
      </c>
      <c r="I4277">
        <v>64.986166403488269</v>
      </c>
      <c r="J4277">
        <v>23.359859128577408</v>
      </c>
      <c r="K4277">
        <v>375.92804086919966</v>
      </c>
      <c r="L4277">
        <v>0.2655083438169033</v>
      </c>
      <c r="M4277">
        <v>0.9739393295835751</v>
      </c>
      <c r="N4277">
        <v>46.301047124425146</v>
      </c>
      <c r="O4277">
        <v>71.117633100972711</v>
      </c>
      <c r="P4277">
        <v>24.63448196878435</v>
      </c>
    </row>
    <row r="4278" spans="1:16">
      <c r="A4278" s="1" t="s">
        <v>4300</v>
      </c>
      <c r="B4278" s="1" t="s">
        <v>4349</v>
      </c>
      <c r="C4278" s="1" t="s">
        <v>1764</v>
      </c>
      <c r="D4278" s="1" t="s">
        <v>2646</v>
      </c>
      <c r="E4278" s="1" t="s">
        <v>4304</v>
      </c>
      <c r="F4278">
        <v>1699.0944907932485</v>
      </c>
      <c r="G4278">
        <v>5020.2472059741003</v>
      </c>
      <c r="H4278">
        <v>466.41800518746822</v>
      </c>
      <c r="I4278">
        <v>57.069939687216277</v>
      </c>
      <c r="J4278">
        <v>3.0831278623860978</v>
      </c>
      <c r="K4278">
        <v>365.09694341199338</v>
      </c>
      <c r="L4278">
        <v>7.3725430847959836E-2</v>
      </c>
      <c r="M4278">
        <v>1.0773894298497024</v>
      </c>
      <c r="N4278">
        <v>42.285507541027982</v>
      </c>
      <c r="O4278">
        <v>74.558251237111378</v>
      </c>
      <c r="P4278">
        <v>27.119533848635839</v>
      </c>
    </row>
    <row r="4279" spans="1:16">
      <c r="A4279" s="1" t="s">
        <v>4300</v>
      </c>
      <c r="B4279" s="1" t="s">
        <v>4350</v>
      </c>
      <c r="C4279" s="1" t="s">
        <v>1764</v>
      </c>
      <c r="D4279" s="1" t="s">
        <v>2646</v>
      </c>
      <c r="E4279" s="1" t="s">
        <v>4304</v>
      </c>
      <c r="F4279">
        <v>1938.4325359712727</v>
      </c>
      <c r="G4279">
        <v>7462.2453394381937</v>
      </c>
      <c r="H4279">
        <v>321.40049635995456</v>
      </c>
      <c r="I4279">
        <v>45.915089430223126</v>
      </c>
      <c r="J4279">
        <v>12.821417700262545</v>
      </c>
      <c r="K4279">
        <v>287.62847034561634</v>
      </c>
      <c r="L4279">
        <v>0.10091449587334414</v>
      </c>
      <c r="M4279">
        <v>4.1237700067440635</v>
      </c>
      <c r="N4279">
        <v>57.63753133935024</v>
      </c>
      <c r="O4279">
        <v>54.260934687437754</v>
      </c>
      <c r="P4279">
        <v>35.005366016836199</v>
      </c>
    </row>
    <row r="4280" spans="1:16">
      <c r="A4280" s="1" t="s">
        <v>4300</v>
      </c>
      <c r="B4280" s="1" t="s">
        <v>4351</v>
      </c>
      <c r="C4280" s="1" t="s">
        <v>1764</v>
      </c>
      <c r="D4280" s="1" t="s">
        <v>2646</v>
      </c>
      <c r="E4280" s="1" t="s">
        <v>4304</v>
      </c>
      <c r="F4280">
        <v>1433.579402782867</v>
      </c>
      <c r="G4280">
        <v>3708.9076576995521</v>
      </c>
      <c r="H4280">
        <v>398.41948576408384</v>
      </c>
      <c r="I4280">
        <v>51.769583979511367</v>
      </c>
      <c r="J4280">
        <v>5.2432199055329489</v>
      </c>
      <c r="K4280">
        <v>391.00997567466055</v>
      </c>
      <c r="L4280">
        <v>0.29639344319872096</v>
      </c>
      <c r="M4280">
        <v>1.0504036420379801</v>
      </c>
      <c r="N4280">
        <v>59.868436159999177</v>
      </c>
      <c r="O4280">
        <v>54.346102879669083</v>
      </c>
      <c r="P4280">
        <v>20.238485745281</v>
      </c>
    </row>
    <row r="4281" spans="1:16">
      <c r="A4281" s="1" t="s">
        <v>4300</v>
      </c>
      <c r="B4281" s="1" t="s">
        <v>4352</v>
      </c>
      <c r="C4281" s="1" t="s">
        <v>1764</v>
      </c>
      <c r="D4281" s="1" t="s">
        <v>2646</v>
      </c>
      <c r="E4281" s="1" t="s">
        <v>4304</v>
      </c>
      <c r="F4281">
        <v>2364.6796186353799</v>
      </c>
      <c r="G4281">
        <v>8503.4079638563671</v>
      </c>
      <c r="H4281">
        <v>349.1780711499116</v>
      </c>
      <c r="I4281">
        <v>49.608820946081458</v>
      </c>
      <c r="J4281">
        <v>2.9151380172106367</v>
      </c>
      <c r="K4281">
        <v>454.90288262751864</v>
      </c>
      <c r="L4281">
        <v>8.8742980359022186E-2</v>
      </c>
      <c r="M4281">
        <v>1.6867901073228377</v>
      </c>
      <c r="N4281">
        <v>60.198099715364386</v>
      </c>
      <c r="O4281">
        <v>60.495767077243414</v>
      </c>
      <c r="P4281">
        <v>30.452683128341679</v>
      </c>
    </row>
    <row r="4282" spans="1:16">
      <c r="A4282" s="1" t="s">
        <v>4300</v>
      </c>
      <c r="B4282" s="1" t="s">
        <v>4353</v>
      </c>
      <c r="C4282" s="1" t="s">
        <v>1764</v>
      </c>
      <c r="D4282" s="1" t="s">
        <v>2646</v>
      </c>
      <c r="E4282" s="1" t="s">
        <v>4304</v>
      </c>
      <c r="F4282">
        <v>2011.8603278531821</v>
      </c>
      <c r="G4282">
        <v>8211.3259265414108</v>
      </c>
      <c r="H4282">
        <v>416.90475019733856</v>
      </c>
      <c r="I4282">
        <v>63.157614649024062</v>
      </c>
      <c r="J4282">
        <v>3.1859068619087632</v>
      </c>
      <c r="K4282">
        <v>413.90546048642636</v>
      </c>
      <c r="L4282">
        <v>0.21683835135890436</v>
      </c>
      <c r="M4282">
        <v>1.8459041238635781</v>
      </c>
      <c r="N4282">
        <v>58.318609810073802</v>
      </c>
      <c r="O4282">
        <v>62.16270217696416</v>
      </c>
      <c r="P4282">
        <v>31.388160906735038</v>
      </c>
    </row>
    <row r="4283" spans="1:16">
      <c r="A4283" s="1" t="s">
        <v>4300</v>
      </c>
      <c r="B4283" s="1" t="s">
        <v>4354</v>
      </c>
      <c r="C4283" s="1" t="s">
        <v>1764</v>
      </c>
      <c r="D4283" s="1" t="s">
        <v>2646</v>
      </c>
      <c r="E4283" s="1" t="s">
        <v>4304</v>
      </c>
      <c r="F4283">
        <v>8604.5302081863192</v>
      </c>
      <c r="G4283">
        <v>981.13160853510533</v>
      </c>
      <c r="H4283">
        <v>455.73588989400855</v>
      </c>
      <c r="I4283">
        <v>130.77827742761204</v>
      </c>
      <c r="J4283">
        <v>12.96548375773623</v>
      </c>
      <c r="K4283">
        <v>1321.6664136594866</v>
      </c>
      <c r="L4283">
        <v>0.1333131320823448</v>
      </c>
      <c r="M4283">
        <v>1.3897600693701306</v>
      </c>
      <c r="N4283">
        <v>256.31593925346874</v>
      </c>
      <c r="O4283">
        <v>46.189977984864257</v>
      </c>
      <c r="P4283">
        <v>29.818593804102687</v>
      </c>
    </row>
    <row r="4284" spans="1:16">
      <c r="A4284" s="1" t="s">
        <v>4300</v>
      </c>
      <c r="B4284" s="1" t="s">
        <v>4355</v>
      </c>
      <c r="C4284" s="1" t="s">
        <v>1764</v>
      </c>
      <c r="D4284" s="1" t="s">
        <v>2646</v>
      </c>
      <c r="E4284" s="1" t="s">
        <v>4304</v>
      </c>
      <c r="F4284">
        <v>9467.6811270480612</v>
      </c>
      <c r="G4284">
        <v>845.48126831155116</v>
      </c>
      <c r="H4284">
        <v>425.22606240022344</v>
      </c>
      <c r="I4284">
        <v>119.03235785341009</v>
      </c>
      <c r="J4284">
        <v>5.6402995131880296</v>
      </c>
      <c r="K4284">
        <v>1279.7858344275126</v>
      </c>
      <c r="L4284">
        <v>0.70817519193751166</v>
      </c>
      <c r="M4284">
        <v>0.50375105633429917</v>
      </c>
      <c r="N4284">
        <v>277.17680043440976</v>
      </c>
      <c r="O4284">
        <v>44.270116446240792</v>
      </c>
      <c r="P4284">
        <v>38.009649485145879</v>
      </c>
    </row>
    <row r="4285" spans="1:16">
      <c r="A4285" s="1" t="s">
        <v>4300</v>
      </c>
      <c r="B4285" s="1" t="s">
        <v>4356</v>
      </c>
      <c r="C4285" s="1" t="s">
        <v>1764</v>
      </c>
      <c r="D4285" s="1" t="s">
        <v>2646</v>
      </c>
      <c r="E4285" s="1" t="s">
        <v>4304</v>
      </c>
      <c r="F4285">
        <v>10795.06908589798</v>
      </c>
      <c r="G4285">
        <v>2078.3323191162376</v>
      </c>
      <c r="H4285">
        <v>513.97804202168732</v>
      </c>
      <c r="I4285">
        <v>101.93689337628538</v>
      </c>
      <c r="J4285">
        <v>3.3652046276794825</v>
      </c>
      <c r="K4285">
        <v>1256.2223292234662</v>
      </c>
      <c r="L4285">
        <v>0.26441895411038863</v>
      </c>
      <c r="M4285">
        <v>1.2321829487005889</v>
      </c>
      <c r="N4285">
        <v>265.17340896915334</v>
      </c>
      <c r="O4285">
        <v>57.632496577622007</v>
      </c>
      <c r="P4285">
        <v>77.750766157068156</v>
      </c>
    </row>
    <row r="4286" spans="1:16">
      <c r="A4286" s="1" t="s">
        <v>4300</v>
      </c>
      <c r="B4286" s="1" t="s">
        <v>4357</v>
      </c>
      <c r="C4286" s="1" t="s">
        <v>1764</v>
      </c>
      <c r="D4286" s="1" t="s">
        <v>2646</v>
      </c>
      <c r="E4286" s="1" t="s">
        <v>4304</v>
      </c>
      <c r="F4286">
        <v>10002.142798029416</v>
      </c>
      <c r="G4286">
        <v>1307.279499270604</v>
      </c>
      <c r="H4286">
        <v>349.26931850592592</v>
      </c>
      <c r="I4286">
        <v>94.48287988405302</v>
      </c>
      <c r="J4286">
        <v>3.6989589028889593</v>
      </c>
      <c r="K4286">
        <v>1295.0529386720398</v>
      </c>
      <c r="L4286">
        <v>0.25156450140978492</v>
      </c>
      <c r="M4286">
        <v>0.61625243793469353</v>
      </c>
      <c r="N4286">
        <v>291.44966463605687</v>
      </c>
      <c r="O4286">
        <v>55.122075961264166</v>
      </c>
      <c r="P4286">
        <v>52.889706111347323</v>
      </c>
    </row>
    <row r="4287" spans="1:16">
      <c r="A4287" s="1" t="s">
        <v>4300</v>
      </c>
      <c r="B4287" s="1" t="s">
        <v>4358</v>
      </c>
      <c r="C4287" s="1" t="s">
        <v>1764</v>
      </c>
      <c r="D4287" s="1" t="s">
        <v>2646</v>
      </c>
      <c r="E4287" s="1" t="s">
        <v>4304</v>
      </c>
      <c r="F4287">
        <v>10124.251444020831</v>
      </c>
      <c r="G4287">
        <v>1305.3072615335186</v>
      </c>
      <c r="H4287">
        <v>261.58594344508924</v>
      </c>
      <c r="I4287">
        <v>85.240346828666588</v>
      </c>
      <c r="J4287">
        <v>2.1785406749093497</v>
      </c>
      <c r="K4287">
        <v>1305.0260090812681</v>
      </c>
      <c r="L4287">
        <v>2.2476935599111454</v>
      </c>
      <c r="M4287">
        <v>1.520343861855064</v>
      </c>
      <c r="N4287">
        <v>247.76736120832189</v>
      </c>
      <c r="O4287">
        <v>49.223958160863226</v>
      </c>
      <c r="P4287">
        <v>65.242500860306734</v>
      </c>
    </row>
    <row r="4288" spans="1:16">
      <c r="A4288" s="1" t="s">
        <v>4300</v>
      </c>
      <c r="B4288" s="1" t="s">
        <v>4359</v>
      </c>
      <c r="C4288" s="1" t="s">
        <v>1764</v>
      </c>
      <c r="D4288" s="1" t="s">
        <v>2646</v>
      </c>
      <c r="E4288" s="1" t="s">
        <v>4304</v>
      </c>
      <c r="F4288">
        <v>10741.440404040839</v>
      </c>
      <c r="G4288">
        <v>1246.3646642090166</v>
      </c>
      <c r="H4288">
        <v>426.42191115048558</v>
      </c>
      <c r="I4288">
        <v>120.02913498728711</v>
      </c>
      <c r="J4288">
        <v>2.3494182482958439</v>
      </c>
      <c r="K4288">
        <v>1318.9731347172778</v>
      </c>
      <c r="L4288">
        <v>0.28447232228945452</v>
      </c>
      <c r="M4288">
        <v>1.5617587430079649</v>
      </c>
      <c r="N4288">
        <v>251.40523183848484</v>
      </c>
      <c r="O4288">
        <v>56.475521811624098</v>
      </c>
      <c r="P4288">
        <v>42.512492115846506</v>
      </c>
    </row>
    <row r="4289" spans="1:16">
      <c r="A4289" s="1" t="s">
        <v>4300</v>
      </c>
      <c r="B4289" s="1" t="s">
        <v>4360</v>
      </c>
      <c r="C4289" s="1" t="s">
        <v>1764</v>
      </c>
      <c r="D4289" s="1" t="s">
        <v>2646</v>
      </c>
      <c r="E4289" s="1" t="s">
        <v>4304</v>
      </c>
      <c r="F4289">
        <v>2613.0461549864913</v>
      </c>
      <c r="G4289">
        <v>1428.3491540935697</v>
      </c>
      <c r="H4289">
        <v>340.58955794467073</v>
      </c>
      <c r="I4289">
        <v>107.24632149018743</v>
      </c>
      <c r="J4289">
        <v>40.751486273721021</v>
      </c>
      <c r="K4289">
        <v>1530.0059355743824</v>
      </c>
      <c r="L4289">
        <v>9.8804903023301083E-2</v>
      </c>
      <c r="M4289">
        <v>1.1499227635453539</v>
      </c>
      <c r="N4289">
        <v>148.57716191364705</v>
      </c>
      <c r="O4289">
        <v>50.705859367636272</v>
      </c>
      <c r="P4289">
        <v>20.013025142216488</v>
      </c>
    </row>
    <row r="4290" spans="1:16">
      <c r="A4290" s="1" t="s">
        <v>4300</v>
      </c>
      <c r="B4290" s="1" t="s">
        <v>4361</v>
      </c>
      <c r="C4290" s="1" t="s">
        <v>1764</v>
      </c>
      <c r="D4290" s="1" t="s">
        <v>2646</v>
      </c>
      <c r="E4290" s="1" t="s">
        <v>4304</v>
      </c>
      <c r="F4290">
        <v>4237.5231684774217</v>
      </c>
      <c r="G4290">
        <v>3409.2787459930428</v>
      </c>
      <c r="H4290">
        <v>384.21719685828725</v>
      </c>
      <c r="I4290">
        <v>122.98658446714209</v>
      </c>
      <c r="J4290">
        <v>11.857361619180123</v>
      </c>
      <c r="K4290">
        <v>1757.0893217022813</v>
      </c>
      <c r="L4290">
        <v>1.2899860569174058</v>
      </c>
      <c r="M4290">
        <v>0.9243023036499165</v>
      </c>
      <c r="N4290">
        <v>184.2390564250646</v>
      </c>
      <c r="O4290">
        <v>54.401699056997444</v>
      </c>
      <c r="P4290">
        <v>31.497810568790477</v>
      </c>
    </row>
    <row r="4291" spans="1:16">
      <c r="A4291" s="1" t="s">
        <v>4300</v>
      </c>
      <c r="B4291" s="1" t="s">
        <v>4362</v>
      </c>
      <c r="C4291" s="1" t="s">
        <v>1764</v>
      </c>
      <c r="D4291" s="1" t="s">
        <v>2646</v>
      </c>
      <c r="E4291" s="1" t="s">
        <v>4304</v>
      </c>
      <c r="F4291">
        <v>4347.5179843057613</v>
      </c>
      <c r="G4291">
        <v>2345.2590032294588</v>
      </c>
      <c r="H4291">
        <v>371.39770460904623</v>
      </c>
      <c r="I4291">
        <v>132.15500859279751</v>
      </c>
      <c r="J4291">
        <v>106.95533072452075</v>
      </c>
      <c r="K4291">
        <v>1663.7123195744898</v>
      </c>
      <c r="L4291">
        <v>0.10466907341353589</v>
      </c>
      <c r="M4291">
        <v>1.1218392132728581</v>
      </c>
      <c r="N4291">
        <v>233.48572621132573</v>
      </c>
      <c r="O4291">
        <v>60.489986762741914</v>
      </c>
      <c r="P4291">
        <v>35.669795696906498</v>
      </c>
    </row>
    <row r="4292" spans="1:16">
      <c r="A4292" s="1" t="s">
        <v>4300</v>
      </c>
      <c r="B4292" s="1" t="s">
        <v>4363</v>
      </c>
      <c r="C4292" s="1" t="s">
        <v>1764</v>
      </c>
      <c r="D4292" s="1" t="s">
        <v>2646</v>
      </c>
      <c r="E4292" s="1" t="s">
        <v>4304</v>
      </c>
      <c r="F4292">
        <v>3449.5373211522265</v>
      </c>
      <c r="G4292">
        <v>2150.8792865714327</v>
      </c>
      <c r="H4292">
        <v>428.45721809213825</v>
      </c>
      <c r="I4292">
        <v>135.37963864890045</v>
      </c>
      <c r="J4292">
        <v>62.966576431368786</v>
      </c>
      <c r="K4292">
        <v>1677.2046724291274</v>
      </c>
      <c r="L4292">
        <v>1.4291937586491326</v>
      </c>
      <c r="M4292">
        <v>1.1745420416822412</v>
      </c>
      <c r="N4292">
        <v>223.53642277246465</v>
      </c>
      <c r="O4292">
        <v>57.811413330916892</v>
      </c>
      <c r="P4292">
        <v>38.316147998876602</v>
      </c>
    </row>
    <row r="4293" spans="1:16">
      <c r="A4293" s="1" t="s">
        <v>4300</v>
      </c>
      <c r="B4293" s="1" t="s">
        <v>4364</v>
      </c>
      <c r="C4293" s="1" t="s">
        <v>1764</v>
      </c>
      <c r="D4293" s="1" t="s">
        <v>2646</v>
      </c>
      <c r="E4293" s="1" t="s">
        <v>4304</v>
      </c>
      <c r="F4293">
        <v>4680.3801910810271</v>
      </c>
      <c r="G4293">
        <v>3192.038156197822</v>
      </c>
      <c r="H4293">
        <v>494.68053331889297</v>
      </c>
      <c r="I4293">
        <v>147.50014002958289</v>
      </c>
      <c r="J4293">
        <v>75.993991597283255</v>
      </c>
      <c r="K4293">
        <v>1688.8358493604487</v>
      </c>
      <c r="L4293">
        <v>0.61424193314249464</v>
      </c>
      <c r="M4293">
        <v>0.65224287266013659</v>
      </c>
      <c r="N4293">
        <v>229.84408420631902</v>
      </c>
      <c r="O4293">
        <v>56.013994481115148</v>
      </c>
      <c r="P4293">
        <v>35.434703415096472</v>
      </c>
    </row>
    <row r="4294" spans="1:16">
      <c r="A4294" s="1" t="s">
        <v>4300</v>
      </c>
      <c r="B4294" s="1" t="s">
        <v>5601</v>
      </c>
      <c r="C4294" s="1" t="s">
        <v>1764</v>
      </c>
      <c r="D4294" s="1" t="s">
        <v>2646</v>
      </c>
      <c r="E4294" s="1" t="s">
        <v>4304</v>
      </c>
      <c r="F4294">
        <v>2159.85493974366</v>
      </c>
      <c r="G4294">
        <v>7647.1797491147699</v>
      </c>
      <c r="H4294">
        <v>466.56548284021397</v>
      </c>
      <c r="I4294">
        <v>53.907910548804303</v>
      </c>
      <c r="J4294">
        <v>4.8758190995215598</v>
      </c>
      <c r="K4294">
        <v>395.98447349683101</v>
      </c>
      <c r="L4294">
        <v>0.56067829767034005</v>
      </c>
      <c r="M4294">
        <v>0.69415972253272196</v>
      </c>
      <c r="N4294">
        <v>73.123932782689096</v>
      </c>
      <c r="O4294">
        <v>62.209332880367597</v>
      </c>
      <c r="P4294">
        <v>40.9892102919178</v>
      </c>
    </row>
    <row r="4295" spans="1:16">
      <c r="A4295" s="1" t="s">
        <v>4300</v>
      </c>
      <c r="B4295" s="1" t="s">
        <v>5602</v>
      </c>
      <c r="C4295" s="1" t="s">
        <v>1764</v>
      </c>
      <c r="D4295" s="1" t="s">
        <v>2646</v>
      </c>
      <c r="E4295" s="1" t="s">
        <v>4304</v>
      </c>
      <c r="F4295">
        <v>2362.0106741539498</v>
      </c>
      <c r="G4295">
        <v>7383.4888250591102</v>
      </c>
      <c r="H4295">
        <v>564.02722590996905</v>
      </c>
      <c r="I4295">
        <v>69.494898834368598</v>
      </c>
      <c r="J4295">
        <v>4.9265312274997051</v>
      </c>
      <c r="K4295">
        <v>300.74603402121801</v>
      </c>
      <c r="L4295">
        <v>0.56664313685662004</v>
      </c>
      <c r="M4295">
        <v>0.98298601005908204</v>
      </c>
      <c r="N4295">
        <v>65.389108076653898</v>
      </c>
      <c r="O4295">
        <v>58.480752482614399</v>
      </c>
      <c r="P4295">
        <v>30.086995637952501</v>
      </c>
    </row>
    <row r="4296" spans="1:16">
      <c r="A4296" s="1" t="s">
        <v>4300</v>
      </c>
      <c r="B4296" s="1" t="s">
        <v>5605</v>
      </c>
      <c r="C4296" s="1" t="s">
        <v>1764</v>
      </c>
      <c r="D4296" s="1" t="s">
        <v>2646</v>
      </c>
      <c r="E4296" s="1" t="s">
        <v>4304</v>
      </c>
      <c r="F4296">
        <v>1847.1365233706399</v>
      </c>
      <c r="G4296">
        <v>6208.2837500774503</v>
      </c>
      <c r="H4296">
        <v>444.263822783298</v>
      </c>
      <c r="I4296">
        <v>40.919961798482603</v>
      </c>
      <c r="J4296">
        <v>4.8999049025257104</v>
      </c>
      <c r="K4296">
        <v>424.99271133811499</v>
      </c>
      <c r="L4296">
        <v>0.56371333988038497</v>
      </c>
      <c r="M4296">
        <v>1.1286453158793499</v>
      </c>
      <c r="N4296">
        <v>63.165417666252097</v>
      </c>
      <c r="O4296">
        <v>63.778402414033103</v>
      </c>
      <c r="P4296">
        <v>34.271339400651897</v>
      </c>
    </row>
    <row r="4297" spans="1:16">
      <c r="A4297" s="1" t="s">
        <v>4300</v>
      </c>
      <c r="B4297" s="1" t="s">
        <v>5606</v>
      </c>
      <c r="C4297" s="1" t="s">
        <v>1764</v>
      </c>
      <c r="D4297" s="1" t="s">
        <v>2646</v>
      </c>
      <c r="E4297" s="1" t="s">
        <v>4304</v>
      </c>
      <c r="F4297">
        <v>2277.1201597652598</v>
      </c>
      <c r="G4297">
        <v>9793.3204531338797</v>
      </c>
      <c r="H4297">
        <v>447.43515375020701</v>
      </c>
      <c r="I4297">
        <v>50.804223261904802</v>
      </c>
      <c r="J4297">
        <v>3.9757646488591898</v>
      </c>
      <c r="K4297">
        <v>416.694050775834</v>
      </c>
      <c r="L4297">
        <v>0.51918941348961001</v>
      </c>
      <c r="M4297">
        <v>0.80561753404754999</v>
      </c>
      <c r="N4297">
        <v>65.550167947651502</v>
      </c>
      <c r="O4297">
        <v>65.181956052835901</v>
      </c>
      <c r="P4297">
        <v>41.640671288926598</v>
      </c>
    </row>
    <row r="4298" spans="1:16">
      <c r="A4298" s="1" t="s">
        <v>4300</v>
      </c>
      <c r="B4298" s="1" t="s">
        <v>5607</v>
      </c>
      <c r="C4298" s="1" t="s">
        <v>1764</v>
      </c>
      <c r="D4298" s="1" t="s">
        <v>2646</v>
      </c>
      <c r="E4298" s="1" t="s">
        <v>4304</v>
      </c>
      <c r="F4298">
        <v>2009.1662883214301</v>
      </c>
      <c r="G4298">
        <v>8432.5853246187598</v>
      </c>
      <c r="H4298">
        <v>386.97193774879702</v>
      </c>
      <c r="I4298">
        <v>47.106197567753902</v>
      </c>
      <c r="J4298">
        <v>3.8609950473273549</v>
      </c>
      <c r="K4298">
        <v>405.98735281245899</v>
      </c>
      <c r="L4298">
        <v>0.50436661755374002</v>
      </c>
      <c r="M4298">
        <v>1.79648889174907</v>
      </c>
      <c r="N4298">
        <v>60.890053879237001</v>
      </c>
      <c r="O4298">
        <v>61.264385104134199</v>
      </c>
      <c r="P4298">
        <v>39.468700757469101</v>
      </c>
    </row>
    <row r="4299" spans="1:16">
      <c r="A4299" s="1" t="s">
        <v>4300</v>
      </c>
      <c r="B4299" s="1" t="s">
        <v>5608</v>
      </c>
      <c r="C4299" s="1" t="s">
        <v>1764</v>
      </c>
      <c r="D4299" s="1" t="s">
        <v>2646</v>
      </c>
      <c r="E4299" s="1" t="s">
        <v>4304</v>
      </c>
      <c r="F4299">
        <v>1548.42601072978</v>
      </c>
      <c r="G4299">
        <v>5658.5312271986504</v>
      </c>
      <c r="H4299">
        <v>270.04023106643501</v>
      </c>
      <c r="I4299">
        <v>30.8416470961958</v>
      </c>
      <c r="J4299">
        <v>3.6755289778661902</v>
      </c>
      <c r="K4299">
        <v>408.87293182003998</v>
      </c>
      <c r="L4299">
        <v>0.48025240320221152</v>
      </c>
      <c r="M4299">
        <v>1.56468169769689</v>
      </c>
      <c r="N4299">
        <v>63.079898442195898</v>
      </c>
      <c r="O4299">
        <v>54.345928168873499</v>
      </c>
      <c r="P4299">
        <v>33.342920017981299</v>
      </c>
    </row>
    <row r="4300" spans="1:16">
      <c r="A4300" s="1" t="s">
        <v>4300</v>
      </c>
      <c r="B4300" s="1" t="s">
        <v>5603</v>
      </c>
      <c r="C4300" s="1" t="s">
        <v>1764</v>
      </c>
      <c r="D4300" s="1" t="s">
        <v>2646</v>
      </c>
      <c r="E4300" s="1" t="s">
        <v>4304</v>
      </c>
      <c r="F4300">
        <v>1944.9438618496399</v>
      </c>
      <c r="G4300">
        <v>8949.5528194375293</v>
      </c>
      <c r="H4300">
        <v>313.03985046448798</v>
      </c>
      <c r="I4300">
        <v>42.787333018836897</v>
      </c>
      <c r="J4300">
        <v>3.8771101958615648</v>
      </c>
      <c r="K4300">
        <v>406.54994634067901</v>
      </c>
      <c r="L4300">
        <v>0.50671118120936998</v>
      </c>
      <c r="M4300">
        <v>0.78459616049069003</v>
      </c>
      <c r="N4300">
        <v>62.265148668727797</v>
      </c>
      <c r="O4300">
        <v>56.009434224471597</v>
      </c>
      <c r="P4300">
        <v>41.124543315505797</v>
      </c>
    </row>
    <row r="4301" spans="1:16">
      <c r="A4301" s="1" t="s">
        <v>4300</v>
      </c>
      <c r="B4301" s="1" t="s">
        <v>5604</v>
      </c>
      <c r="C4301" s="1" t="s">
        <v>1764</v>
      </c>
      <c r="D4301" s="1" t="s">
        <v>2646</v>
      </c>
      <c r="E4301" s="1" t="s">
        <v>4304</v>
      </c>
      <c r="F4301">
        <v>2085.3587595563899</v>
      </c>
      <c r="G4301">
        <v>8706.5578563911804</v>
      </c>
      <c r="H4301">
        <v>418.52479200266998</v>
      </c>
      <c r="I4301">
        <v>52.550065983181</v>
      </c>
      <c r="J4301">
        <v>4.0725651150049798</v>
      </c>
      <c r="K4301">
        <v>330.11938748454202</v>
      </c>
      <c r="L4301">
        <v>0.53238163181023002</v>
      </c>
      <c r="M4301">
        <v>0.82383009917536998</v>
      </c>
      <c r="N4301">
        <v>62.750838901458202</v>
      </c>
      <c r="O4301">
        <v>62.230625196699997</v>
      </c>
      <c r="P4301">
        <v>40.202990484150298</v>
      </c>
    </row>
    <row r="4302" spans="1:16">
      <c r="A4302" s="1" t="s">
        <v>4300</v>
      </c>
      <c r="B4302" s="1" t="s">
        <v>5609</v>
      </c>
      <c r="C4302" s="1" t="s">
        <v>1764</v>
      </c>
      <c r="D4302" s="1" t="s">
        <v>2646</v>
      </c>
      <c r="E4302" s="1" t="s">
        <v>4304</v>
      </c>
      <c r="F4302">
        <v>1849.1758809856201</v>
      </c>
      <c r="G4302">
        <v>7050.1887580625498</v>
      </c>
      <c r="H4302">
        <v>323.529634204199</v>
      </c>
      <c r="I4302">
        <v>33.621613210122298</v>
      </c>
      <c r="J4302">
        <v>4.2119682350498202</v>
      </c>
      <c r="K4302">
        <v>183.010203851917</v>
      </c>
      <c r="L4302">
        <v>0.55143123323037002</v>
      </c>
      <c r="M4302">
        <v>1.7812403323449999</v>
      </c>
      <c r="N4302">
        <v>61.876858141257699</v>
      </c>
      <c r="O4302">
        <v>56.492445805413602</v>
      </c>
      <c r="P4302">
        <v>41.861466910253498</v>
      </c>
    </row>
    <row r="4303" spans="1:16">
      <c r="A4303" s="1" t="s">
        <v>4300</v>
      </c>
      <c r="B4303" s="1" t="s">
        <v>5610</v>
      </c>
      <c r="C4303" s="1" t="s">
        <v>1764</v>
      </c>
      <c r="D4303" s="1" t="s">
        <v>2646</v>
      </c>
      <c r="E4303" s="1" t="s">
        <v>4304</v>
      </c>
      <c r="F4303">
        <v>5161.8577580629199</v>
      </c>
      <c r="G4303">
        <v>8501.8475414055702</v>
      </c>
      <c r="H4303">
        <v>505.10097213884501</v>
      </c>
      <c r="I4303">
        <v>76.888653146646604</v>
      </c>
      <c r="J4303">
        <v>3.8269560276921548</v>
      </c>
      <c r="K4303">
        <v>128.95125378284399</v>
      </c>
      <c r="L4303">
        <v>0.50118863169198002</v>
      </c>
      <c r="M4303">
        <v>0.77183853226074495</v>
      </c>
      <c r="N4303">
        <v>64.672067620358206</v>
      </c>
      <c r="O4303">
        <v>56.946369969064598</v>
      </c>
      <c r="P4303">
        <v>24.888207004359099</v>
      </c>
    </row>
    <row r="4304" spans="1:16">
      <c r="A4304" s="1" t="s">
        <v>4300</v>
      </c>
      <c r="B4304" s="1" t="s">
        <v>5611</v>
      </c>
      <c r="C4304" s="1" t="s">
        <v>1764</v>
      </c>
      <c r="D4304" s="1" t="s">
        <v>2646</v>
      </c>
      <c r="E4304" s="1" t="s">
        <v>4304</v>
      </c>
      <c r="F4304">
        <v>1351.2209918180299</v>
      </c>
      <c r="G4304">
        <v>4494.5134651715398</v>
      </c>
      <c r="H4304">
        <v>344.50742902873401</v>
      </c>
      <c r="I4304">
        <v>42.132498799238697</v>
      </c>
      <c r="J4304">
        <v>3.7408681635202852</v>
      </c>
      <c r="K4304">
        <v>188.40190630878601</v>
      </c>
      <c r="L4304">
        <v>0.49003173904102848</v>
      </c>
      <c r="M4304">
        <v>0.75418106868068002</v>
      </c>
      <c r="N4304">
        <v>59.638907143302802</v>
      </c>
      <c r="O4304">
        <v>54.004586824528097</v>
      </c>
      <c r="P4304">
        <v>30.3922807982736</v>
      </c>
    </row>
    <row r="4305" spans="1:16">
      <c r="A4305" s="1" t="s">
        <v>4300</v>
      </c>
      <c r="B4305" s="1" t="s">
        <v>5612</v>
      </c>
      <c r="C4305" s="1" t="s">
        <v>1764</v>
      </c>
      <c r="D4305" s="1" t="s">
        <v>2646</v>
      </c>
      <c r="E4305" s="1" t="s">
        <v>4304</v>
      </c>
      <c r="F4305">
        <v>1597.37794071026</v>
      </c>
      <c r="G4305">
        <v>6424.1264225349996</v>
      </c>
      <c r="H4305">
        <v>460.36078367410801</v>
      </c>
      <c r="I4305">
        <v>58.089693621754101</v>
      </c>
      <c r="J4305">
        <v>4.0682794398739448</v>
      </c>
      <c r="K4305">
        <v>341.942362609508</v>
      </c>
      <c r="L4305">
        <v>0.53304717917134503</v>
      </c>
      <c r="M4305">
        <v>0.81987185447485</v>
      </c>
      <c r="N4305">
        <v>56.322532275774499</v>
      </c>
      <c r="O4305">
        <v>59.350488404501903</v>
      </c>
      <c r="P4305">
        <v>28.5365332347384</v>
      </c>
    </row>
    <row r="4306" spans="1:16">
      <c r="A4306" s="1" t="s">
        <v>4300</v>
      </c>
      <c r="B4306" s="1" t="s">
        <v>5613</v>
      </c>
      <c r="C4306" s="1" t="s">
        <v>1764</v>
      </c>
      <c r="D4306" s="1" t="s">
        <v>2646</v>
      </c>
      <c r="E4306" s="1" t="s">
        <v>4304</v>
      </c>
      <c r="F4306">
        <v>3212.1671649016798</v>
      </c>
      <c r="G4306">
        <v>12137.9195677507</v>
      </c>
      <c r="H4306">
        <v>688.25502873117603</v>
      </c>
      <c r="I4306">
        <v>66.653185781777296</v>
      </c>
      <c r="J4306">
        <v>3.8157378299428948</v>
      </c>
      <c r="K4306">
        <v>318.05278379138701</v>
      </c>
      <c r="L4306">
        <v>0.50007777033023004</v>
      </c>
      <c r="M4306">
        <v>0.76867729117033001</v>
      </c>
      <c r="N4306">
        <v>50.941386214468302</v>
      </c>
      <c r="O4306">
        <v>69.2345791233911</v>
      </c>
      <c r="P4306">
        <v>36.801920985708001</v>
      </c>
    </row>
    <row r="4307" spans="1:16">
      <c r="A4307" s="1" t="s">
        <v>4300</v>
      </c>
      <c r="B4307" s="1" t="s">
        <v>5614</v>
      </c>
      <c r="C4307" s="1" t="s">
        <v>1764</v>
      </c>
      <c r="D4307" s="1" t="s">
        <v>2646</v>
      </c>
      <c r="E4307" s="1" t="s">
        <v>4304</v>
      </c>
      <c r="F4307">
        <v>4016.1889820687902</v>
      </c>
      <c r="G4307">
        <v>12607.538484816299</v>
      </c>
      <c r="H4307">
        <v>620.08647300842199</v>
      </c>
      <c r="I4307">
        <v>76.904117401803703</v>
      </c>
      <c r="J4307">
        <v>22.488220969030401</v>
      </c>
      <c r="K4307">
        <v>307.84862330291401</v>
      </c>
      <c r="L4307">
        <v>0.4902618461166085</v>
      </c>
      <c r="M4307">
        <v>0.75062063837218496</v>
      </c>
      <c r="N4307">
        <v>50.237166890037599</v>
      </c>
      <c r="O4307">
        <v>67.403387392117693</v>
      </c>
      <c r="P4307">
        <v>29.662139229344699</v>
      </c>
    </row>
    <row r="4308" spans="1:16">
      <c r="A4308" s="1" t="s">
        <v>4300</v>
      </c>
      <c r="B4308" s="1" t="s">
        <v>5615</v>
      </c>
      <c r="C4308" s="1" t="s">
        <v>1764</v>
      </c>
      <c r="D4308" s="1" t="s">
        <v>2646</v>
      </c>
      <c r="E4308" s="1" t="s">
        <v>4304</v>
      </c>
      <c r="F4308">
        <v>8283.5785637742392</v>
      </c>
      <c r="G4308">
        <v>14302.260986462699</v>
      </c>
      <c r="H4308">
        <v>739.27126623964398</v>
      </c>
      <c r="I4308">
        <v>79.302774665181104</v>
      </c>
      <c r="J4308">
        <v>11.1962280663654</v>
      </c>
      <c r="K4308">
        <v>152.795631943839</v>
      </c>
      <c r="L4308">
        <v>0.50605389194800998</v>
      </c>
      <c r="M4308">
        <v>0.77413515760570495</v>
      </c>
      <c r="N4308">
        <v>75.241971370211601</v>
      </c>
      <c r="O4308">
        <v>75.208228854799799</v>
      </c>
      <c r="P4308">
        <v>34.973304518341997</v>
      </c>
    </row>
    <row r="4309" spans="1:16">
      <c r="A4309" s="1" t="s">
        <v>4300</v>
      </c>
      <c r="B4309" s="1" t="s">
        <v>5616</v>
      </c>
      <c r="C4309" s="1" t="s">
        <v>1764</v>
      </c>
      <c r="D4309" s="1" t="s">
        <v>2646</v>
      </c>
      <c r="E4309" s="1" t="s">
        <v>4304</v>
      </c>
      <c r="F4309">
        <v>3522.1003043670999</v>
      </c>
      <c r="G4309">
        <v>12761.599718113301</v>
      </c>
      <c r="H4309">
        <v>613.29712228015296</v>
      </c>
      <c r="I4309">
        <v>69.347959912163205</v>
      </c>
      <c r="J4309">
        <v>11.2938025306812</v>
      </c>
      <c r="K4309">
        <v>273.83604912252503</v>
      </c>
      <c r="L4309">
        <v>0.47010610233217248</v>
      </c>
      <c r="M4309">
        <v>0.71869534717786998</v>
      </c>
      <c r="N4309">
        <v>41.991979883012398</v>
      </c>
      <c r="O4309">
        <v>60.831123573563403</v>
      </c>
      <c r="P4309">
        <v>28.9041902513884</v>
      </c>
    </row>
    <row r="4310" spans="1:16">
      <c r="A4310" s="1" t="s">
        <v>4300</v>
      </c>
      <c r="B4310" s="1" t="s">
        <v>5617</v>
      </c>
      <c r="C4310" s="1" t="s">
        <v>1764</v>
      </c>
      <c r="D4310" s="1" t="s">
        <v>2646</v>
      </c>
      <c r="E4310" s="1" t="s">
        <v>4304</v>
      </c>
      <c r="F4310">
        <v>3211.8311732554498</v>
      </c>
      <c r="G4310">
        <v>12993.278980274201</v>
      </c>
      <c r="H4310">
        <v>565.01141783999196</v>
      </c>
      <c r="I4310">
        <v>64.439500216457006</v>
      </c>
      <c r="J4310">
        <v>3.7373153288731151</v>
      </c>
      <c r="K4310">
        <v>351.04382705130502</v>
      </c>
      <c r="L4310">
        <v>0.49093236367236898</v>
      </c>
      <c r="M4310">
        <v>0.75006136523546996</v>
      </c>
      <c r="N4310">
        <v>44.2686082998393</v>
      </c>
      <c r="O4310">
        <v>62.6601953901352</v>
      </c>
      <c r="P4310">
        <v>35.887277391923199</v>
      </c>
    </row>
    <row r="4311" spans="1:16">
      <c r="A4311" s="1" t="s">
        <v>4300</v>
      </c>
      <c r="B4311" s="1" t="s">
        <v>5618</v>
      </c>
      <c r="C4311" s="1" t="s">
        <v>1764</v>
      </c>
      <c r="D4311" s="1" t="s">
        <v>2646</v>
      </c>
      <c r="E4311" s="1" t="s">
        <v>4304</v>
      </c>
      <c r="F4311">
        <v>2979.5047463442202</v>
      </c>
      <c r="G4311">
        <v>13143.167733437</v>
      </c>
      <c r="H4311">
        <v>487.880550676773</v>
      </c>
      <c r="I4311">
        <v>67.262335350726104</v>
      </c>
      <c r="J4311">
        <v>11.0028908445931</v>
      </c>
      <c r="K4311">
        <v>335.53785962973001</v>
      </c>
      <c r="L4311">
        <v>0.495315261321916</v>
      </c>
      <c r="M4311">
        <v>0.75628073539968499</v>
      </c>
      <c r="N4311">
        <v>43.083181849898203</v>
      </c>
      <c r="O4311">
        <v>57.909721543346599</v>
      </c>
      <c r="P4311">
        <v>29.474819978911899</v>
      </c>
    </row>
    <row r="4312" spans="1:16">
      <c r="A4312" s="1" t="s">
        <v>4300</v>
      </c>
      <c r="B4312" s="1" t="s">
        <v>5619</v>
      </c>
      <c r="C4312" s="1" t="s">
        <v>1764</v>
      </c>
      <c r="D4312" s="1" t="s">
        <v>2646</v>
      </c>
      <c r="E4312" s="1" t="s">
        <v>4304</v>
      </c>
      <c r="F4312">
        <v>4963.7648653388196</v>
      </c>
      <c r="G4312">
        <v>11493.1561582707</v>
      </c>
      <c r="H4312">
        <v>557.74002580611</v>
      </c>
      <c r="I4312">
        <v>72.2668224237093</v>
      </c>
      <c r="J4312">
        <v>4.9088790992938502</v>
      </c>
      <c r="K4312">
        <v>224.24128274140699</v>
      </c>
      <c r="L4312">
        <v>0.67434616537407499</v>
      </c>
      <c r="M4312">
        <v>3.3496471275477897E-2</v>
      </c>
      <c r="N4312">
        <v>60.290927896133503</v>
      </c>
      <c r="O4312">
        <v>60.792597087658798</v>
      </c>
      <c r="P4312">
        <v>33.216074937986797</v>
      </c>
    </row>
    <row r="4313" spans="1:16">
      <c r="A4313" s="1" t="s">
        <v>4300</v>
      </c>
      <c r="B4313" s="1" t="s">
        <v>5620</v>
      </c>
      <c r="C4313" s="1" t="s">
        <v>1764</v>
      </c>
      <c r="D4313" s="1" t="s">
        <v>2646</v>
      </c>
      <c r="E4313" s="1" t="s">
        <v>4304</v>
      </c>
      <c r="F4313">
        <v>3513.6563569743798</v>
      </c>
      <c r="G4313">
        <v>12548.5332479927</v>
      </c>
      <c r="H4313">
        <v>580.85831572201403</v>
      </c>
      <c r="I4313">
        <v>68.2720911256976</v>
      </c>
      <c r="J4313">
        <v>4.6453537347587401</v>
      </c>
      <c r="K4313">
        <v>263.480233822971</v>
      </c>
      <c r="L4313">
        <v>0.63835149316570505</v>
      </c>
      <c r="M4313">
        <v>7.3355853120477803E-3</v>
      </c>
      <c r="N4313">
        <v>60.744418036870002</v>
      </c>
      <c r="O4313">
        <v>62.5819918773214</v>
      </c>
      <c r="P4313">
        <v>35.530928811525598</v>
      </c>
    </row>
    <row r="4314" spans="1:16">
      <c r="A4314" s="1" t="s">
        <v>4300</v>
      </c>
      <c r="B4314" s="1" t="s">
        <v>5621</v>
      </c>
      <c r="C4314" s="1" t="s">
        <v>1764</v>
      </c>
      <c r="D4314" s="1" t="s">
        <v>2646</v>
      </c>
      <c r="E4314" s="1" t="s">
        <v>4304</v>
      </c>
      <c r="F4314">
        <v>12219.024898301701</v>
      </c>
      <c r="G4314">
        <v>18354.3345118057</v>
      </c>
      <c r="H4314">
        <v>599.58683929636197</v>
      </c>
      <c r="I4314">
        <v>81.449615356574</v>
      </c>
      <c r="J4314">
        <v>5.45726194329115</v>
      </c>
      <c r="K4314">
        <v>137.93610582772601</v>
      </c>
      <c r="L4314">
        <v>0.75028234062164501</v>
      </c>
      <c r="M4314">
        <v>7.6087343090283199E-2</v>
      </c>
      <c r="N4314">
        <v>99.409772567266202</v>
      </c>
      <c r="O4314">
        <v>71.654170343684697</v>
      </c>
      <c r="P4314">
        <v>38.874876743620398</v>
      </c>
    </row>
    <row r="4315" spans="1:16">
      <c r="A4315" s="1" t="s">
        <v>4300</v>
      </c>
      <c r="B4315" s="1" t="s">
        <v>5622</v>
      </c>
      <c r="C4315" s="1" t="s">
        <v>1764</v>
      </c>
      <c r="D4315" s="1" t="s">
        <v>2646</v>
      </c>
      <c r="E4315" s="1" t="s">
        <v>4304</v>
      </c>
      <c r="F4315">
        <v>2985.2216155280498</v>
      </c>
      <c r="G4315">
        <v>11253.359336567601</v>
      </c>
      <c r="H4315">
        <v>662.62790130513599</v>
      </c>
      <c r="I4315">
        <v>65.532991451218606</v>
      </c>
      <c r="J4315">
        <v>5.1303993536575501</v>
      </c>
      <c r="K4315">
        <v>303.76419829093197</v>
      </c>
      <c r="L4315">
        <v>0.70551304215874</v>
      </c>
      <c r="M4315">
        <v>1.6081048190779101E-2</v>
      </c>
      <c r="N4315">
        <v>59.609828245753</v>
      </c>
      <c r="O4315">
        <v>63.087266895514801</v>
      </c>
      <c r="P4315">
        <v>32.802113434730202</v>
      </c>
    </row>
    <row r="4316" spans="1:16">
      <c r="A4316" s="1" t="s">
        <v>4300</v>
      </c>
      <c r="B4316" s="1" t="s">
        <v>5623</v>
      </c>
      <c r="C4316" s="1" t="s">
        <v>1764</v>
      </c>
      <c r="D4316" s="1" t="s">
        <v>2646</v>
      </c>
      <c r="E4316" s="1" t="s">
        <v>4304</v>
      </c>
      <c r="F4316">
        <v>3300.2496772561699</v>
      </c>
      <c r="G4316">
        <v>12339.876214217</v>
      </c>
      <c r="H4316">
        <v>546.29596887795901</v>
      </c>
      <c r="I4316">
        <v>73.336681564286096</v>
      </c>
      <c r="J4316">
        <v>4.8674642420575651</v>
      </c>
      <c r="K4316">
        <v>173.35110105888899</v>
      </c>
      <c r="L4316">
        <v>0.670370487116975</v>
      </c>
      <c r="M4316">
        <v>1.1360983171294901</v>
      </c>
      <c r="N4316">
        <v>46.9858892335793</v>
      </c>
      <c r="O4316">
        <v>60.421173714885903</v>
      </c>
      <c r="P4316">
        <v>31.133226749162301</v>
      </c>
    </row>
    <row r="4317" spans="1:16">
      <c r="A4317" s="1" t="s">
        <v>4300</v>
      </c>
      <c r="B4317" s="1" t="s">
        <v>5624</v>
      </c>
      <c r="C4317" s="1" t="s">
        <v>1764</v>
      </c>
      <c r="D4317" s="1" t="s">
        <v>2646</v>
      </c>
      <c r="E4317" s="1" t="s">
        <v>4304</v>
      </c>
      <c r="F4317">
        <v>8477.5992987915997</v>
      </c>
      <c r="G4317">
        <v>16757.475857748799</v>
      </c>
      <c r="H4317">
        <v>592.71830840589098</v>
      </c>
      <c r="I4317">
        <v>77.613338501575299</v>
      </c>
      <c r="J4317">
        <v>5.2211151071656001</v>
      </c>
      <c r="K4317">
        <v>231.70790447804399</v>
      </c>
      <c r="L4317">
        <v>0.71948342808746002</v>
      </c>
      <c r="M4317">
        <v>0.31146226568774199</v>
      </c>
      <c r="N4317">
        <v>72.272477911378402</v>
      </c>
      <c r="O4317">
        <v>70.746929043054607</v>
      </c>
      <c r="P4317">
        <v>31.705457491697501</v>
      </c>
    </row>
    <row r="4318" spans="1:16">
      <c r="A4318" s="1" t="s">
        <v>4300</v>
      </c>
      <c r="B4318" s="1" t="s">
        <v>5625</v>
      </c>
      <c r="C4318" s="1" t="s">
        <v>1764</v>
      </c>
      <c r="D4318" s="1" t="s">
        <v>2646</v>
      </c>
      <c r="E4318" s="1" t="s">
        <v>4304</v>
      </c>
      <c r="F4318">
        <v>3136.15325385194</v>
      </c>
      <c r="G4318">
        <v>13609.332803744301</v>
      </c>
      <c r="H4318">
        <v>535.56819003646206</v>
      </c>
      <c r="I4318">
        <v>71.514753931352701</v>
      </c>
      <c r="J4318">
        <v>5.0649321875591999</v>
      </c>
      <c r="K4318">
        <v>153.87974177426401</v>
      </c>
      <c r="L4318">
        <v>0.69812871639245999</v>
      </c>
      <c r="M4318">
        <v>0.161187123967173</v>
      </c>
      <c r="N4318">
        <v>69.540846455170694</v>
      </c>
      <c r="O4318">
        <v>65.997688066209406</v>
      </c>
      <c r="P4318">
        <v>30.885433456076999</v>
      </c>
    </row>
    <row r="4319" spans="1:16" s="11" customFormat="1">
      <c r="A4319" s="1" t="s">
        <v>5626</v>
      </c>
      <c r="B4319" s="13" t="s">
        <v>5627</v>
      </c>
      <c r="C4319" s="1" t="s">
        <v>18</v>
      </c>
      <c r="D4319" s="1" t="s">
        <v>81</v>
      </c>
      <c r="E4319" s="1" t="s">
        <v>4369</v>
      </c>
      <c r="F4319" s="13">
        <v>3.9240211255157598</v>
      </c>
      <c r="G4319" s="13">
        <v>905.19312453100713</v>
      </c>
      <c r="H4319" s="13">
        <v>604.6544222507099</v>
      </c>
      <c r="I4319" s="13">
        <v>318.74340343253698</v>
      </c>
      <c r="J4319" s="13">
        <v>1.162815432022023</v>
      </c>
      <c r="K4319" s="13">
        <v>26.558575920899084</v>
      </c>
      <c r="L4319" s="13">
        <v>25.853598794884071</v>
      </c>
      <c r="M4319" s="13">
        <v>202.85684459734929</v>
      </c>
      <c r="N4319" s="13">
        <v>5.1971997124528011</v>
      </c>
      <c r="O4319" s="13">
        <v>23.308599625263074</v>
      </c>
      <c r="P4319" s="13">
        <v>2.0792867711580758</v>
      </c>
    </row>
    <row r="4320" spans="1:16" s="11" customFormat="1">
      <c r="A4320" s="1" t="s">
        <v>5626</v>
      </c>
      <c r="B4320" s="13" t="s">
        <v>5628</v>
      </c>
      <c r="C4320" s="1" t="s">
        <v>18</v>
      </c>
      <c r="D4320" s="1" t="s">
        <v>81</v>
      </c>
      <c r="E4320" s="1" t="s">
        <v>4369</v>
      </c>
      <c r="F4320" s="13">
        <v>15.577890471651635</v>
      </c>
      <c r="G4320" s="13">
        <v>946.48501347054355</v>
      </c>
      <c r="H4320" s="13">
        <v>647.66620342165436</v>
      </c>
      <c r="I4320" s="13">
        <v>345.06580860579328</v>
      </c>
      <c r="J4320" s="13">
        <v>1.162815432022023</v>
      </c>
      <c r="K4320" s="13">
        <v>42.054059916094168</v>
      </c>
      <c r="L4320" s="13">
        <v>38.958300378965291</v>
      </c>
      <c r="M4320" s="13">
        <v>196.65955443693423</v>
      </c>
      <c r="N4320" s="13">
        <v>6.2079658935975717</v>
      </c>
      <c r="O4320" s="13">
        <v>23.186345579922175</v>
      </c>
      <c r="P4320" s="13">
        <v>2.0345242365714808</v>
      </c>
    </row>
    <row r="4321" spans="1:16" s="11" customFormat="1">
      <c r="A4321" s="1" t="s">
        <v>5626</v>
      </c>
      <c r="B4321" s="13" t="s">
        <v>5629</v>
      </c>
      <c r="C4321" s="1" t="s">
        <v>18</v>
      </c>
      <c r="D4321" s="1" t="s">
        <v>81</v>
      </c>
      <c r="E4321" s="1" t="s">
        <v>4369</v>
      </c>
      <c r="F4321" s="13">
        <v>3.9240211255157598</v>
      </c>
      <c r="G4321" s="13">
        <v>1076.2275333885034</v>
      </c>
      <c r="H4321" s="13">
        <v>644.90615948232721</v>
      </c>
      <c r="I4321" s="13">
        <v>336.94445808546112</v>
      </c>
      <c r="J4321" s="13">
        <v>10.664391183519569</v>
      </c>
      <c r="K4321" s="13">
        <v>27.851962018756943</v>
      </c>
      <c r="L4321" s="13">
        <v>27.887290811818037</v>
      </c>
      <c r="M4321" s="13">
        <v>197.18476944384889</v>
      </c>
      <c r="N4321" s="13">
        <v>6.3703425994536618</v>
      </c>
      <c r="O4321" s="13">
        <v>22.907285710595197</v>
      </c>
      <c r="P4321" s="13">
        <v>2.8668761188474514</v>
      </c>
    </row>
    <row r="4322" spans="1:16" s="11" customFormat="1">
      <c r="A4322" s="1" t="s">
        <v>5626</v>
      </c>
      <c r="B4322" s="13" t="s">
        <v>5630</v>
      </c>
      <c r="C4322" s="1" t="s">
        <v>18</v>
      </c>
      <c r="D4322" s="1" t="s">
        <v>81</v>
      </c>
      <c r="E4322" s="1" t="s">
        <v>4369</v>
      </c>
      <c r="F4322" s="13">
        <v>54.021889144500669</v>
      </c>
      <c r="G4322" s="13">
        <v>1501.9621485316243</v>
      </c>
      <c r="H4322" s="13">
        <v>769.21449294733316</v>
      </c>
      <c r="I4322" s="13">
        <v>339.95547783786827</v>
      </c>
      <c r="J4322" s="13">
        <v>1.162815432022025</v>
      </c>
      <c r="K4322" s="13">
        <v>32.356058298125696</v>
      </c>
      <c r="L4322" s="13">
        <v>26.618433753222718</v>
      </c>
      <c r="M4322" s="13">
        <v>220.3888750018649</v>
      </c>
      <c r="N4322" s="13">
        <v>10.569817091501653</v>
      </c>
      <c r="O4322" s="13">
        <v>27.518351816424975</v>
      </c>
      <c r="P4322" s="13">
        <v>3.1988113528951607</v>
      </c>
    </row>
    <row r="4323" spans="1:16" s="11" customFormat="1">
      <c r="A4323" s="1" t="s">
        <v>5626</v>
      </c>
      <c r="B4323" s="13" t="s">
        <v>5631</v>
      </c>
      <c r="C4323" s="1" t="s">
        <v>18</v>
      </c>
      <c r="D4323" s="1" t="s">
        <v>81</v>
      </c>
      <c r="E4323" s="1" t="s">
        <v>4369</v>
      </c>
      <c r="F4323" s="13">
        <v>44.520389369093316</v>
      </c>
      <c r="G4323" s="13">
        <v>1452.9570404758126</v>
      </c>
      <c r="H4323" s="13">
        <v>979.27912864757332</v>
      </c>
      <c r="I4323" s="13">
        <v>351.71718838152577</v>
      </c>
      <c r="J4323" s="13">
        <v>1.162815432022025</v>
      </c>
      <c r="K4323" s="13">
        <v>32.696415742888135</v>
      </c>
      <c r="L4323" s="13">
        <v>28.08950238631197</v>
      </c>
      <c r="M4323" s="13">
        <v>217.68930831105908</v>
      </c>
      <c r="N4323" s="13">
        <v>8.1553841268500307</v>
      </c>
      <c r="O4323" s="13">
        <v>25.15425059914114</v>
      </c>
      <c r="P4323" s="13">
        <v>3.682550207683331</v>
      </c>
    </row>
    <row r="4324" spans="1:16" s="11" customFormat="1">
      <c r="A4324" s="1" t="s">
        <v>5626</v>
      </c>
      <c r="B4324" s="13" t="s">
        <v>5632</v>
      </c>
      <c r="C4324" s="1" t="s">
        <v>18</v>
      </c>
      <c r="D4324" s="1" t="s">
        <v>81</v>
      </c>
      <c r="E4324" s="1" t="s">
        <v>4369</v>
      </c>
      <c r="F4324" s="13">
        <v>22.806828693147565</v>
      </c>
      <c r="G4324" s="13">
        <v>1142.7629067641333</v>
      </c>
      <c r="H4324" s="13">
        <v>651.8538348598604</v>
      </c>
      <c r="I4324" s="13">
        <v>353.71771724596209</v>
      </c>
      <c r="J4324" s="13">
        <v>62.79531635043768</v>
      </c>
      <c r="K4324" s="13">
        <v>36.626289531322875</v>
      </c>
      <c r="L4324" s="13">
        <v>30.689179734714202</v>
      </c>
      <c r="M4324" s="13">
        <v>200.37787485830935</v>
      </c>
      <c r="N4324" s="13">
        <v>9.1859021796769529</v>
      </c>
      <c r="O4324" s="13">
        <v>23.68079698683734</v>
      </c>
      <c r="P4324" s="13">
        <v>2.6802150291743478</v>
      </c>
    </row>
    <row r="4325" spans="1:16" s="11" customFormat="1">
      <c r="A4325" s="1" t="s">
        <v>5626</v>
      </c>
      <c r="B4325" s="13" t="s">
        <v>5633</v>
      </c>
      <c r="C4325" s="1" t="s">
        <v>18</v>
      </c>
      <c r="D4325" s="1" t="s">
        <v>81</v>
      </c>
      <c r="E4325" s="1" t="s">
        <v>4369</v>
      </c>
      <c r="F4325" s="13">
        <v>16.148023509072029</v>
      </c>
      <c r="G4325" s="13">
        <v>1329.0691398252875</v>
      </c>
      <c r="H4325" s="13">
        <v>770.74291845175696</v>
      </c>
      <c r="I4325" s="13">
        <v>342.6159216572791</v>
      </c>
      <c r="J4325" s="13">
        <v>1.162815432022025</v>
      </c>
      <c r="K4325" s="13">
        <v>31.950654964311624</v>
      </c>
      <c r="L4325" s="13">
        <v>30.279931351673838</v>
      </c>
      <c r="M4325" s="13">
        <v>195.3399775717177</v>
      </c>
      <c r="N4325" s="13">
        <v>11.215767070186494</v>
      </c>
      <c r="O4325" s="13">
        <v>26.642584252359001</v>
      </c>
      <c r="P4325" s="13">
        <v>2.1830445230960733</v>
      </c>
    </row>
    <row r="4326" spans="1:16" s="11" customFormat="1">
      <c r="A4326" s="1" t="s">
        <v>5626</v>
      </c>
      <c r="B4326" s="13" t="s">
        <v>5634</v>
      </c>
      <c r="C4326" s="1" t="s">
        <v>18</v>
      </c>
      <c r="D4326" s="1" t="s">
        <v>81</v>
      </c>
      <c r="E4326" s="1" t="s">
        <v>4369</v>
      </c>
      <c r="F4326" s="13">
        <v>3.9240211255157602</v>
      </c>
      <c r="G4326" s="13">
        <v>991.71427972537231</v>
      </c>
      <c r="H4326" s="13">
        <v>645.91220242014617</v>
      </c>
      <c r="I4326" s="13">
        <v>352.42740697495623</v>
      </c>
      <c r="J4326" s="13">
        <v>1.162815432022025</v>
      </c>
      <c r="K4326" s="13">
        <v>29.685773877934878</v>
      </c>
      <c r="L4326" s="13">
        <v>29.220167929828744</v>
      </c>
      <c r="M4326" s="13">
        <v>198.49164460782856</v>
      </c>
      <c r="N4326" s="13">
        <v>3.5470326140137982</v>
      </c>
      <c r="O4326" s="13">
        <v>26.83325979266785</v>
      </c>
      <c r="P4326" s="13">
        <v>2.8230810034038072</v>
      </c>
    </row>
    <row r="4327" spans="1:16" s="11" customFormat="1">
      <c r="A4327" s="1" t="s">
        <v>5626</v>
      </c>
      <c r="B4327" s="13" t="s">
        <v>5635</v>
      </c>
      <c r="C4327" s="1" t="s">
        <v>18</v>
      </c>
      <c r="D4327" s="1" t="s">
        <v>81</v>
      </c>
      <c r="E4327" s="1" t="s">
        <v>4369</v>
      </c>
      <c r="F4327" s="13">
        <v>9.1535185568614956</v>
      </c>
      <c r="G4327" s="13">
        <v>997.2544696882228</v>
      </c>
      <c r="H4327" s="13">
        <v>358.20232019720743</v>
      </c>
      <c r="I4327" s="13">
        <v>547.43640758622917</v>
      </c>
      <c r="J4327" s="13">
        <v>1.162815432022025</v>
      </c>
      <c r="K4327" s="13">
        <v>30.625677269942138</v>
      </c>
      <c r="L4327" s="13">
        <v>49.655225824377268</v>
      </c>
      <c r="M4327" s="13">
        <v>382.22755171653762</v>
      </c>
      <c r="N4327" s="13">
        <v>7.8551305351877794</v>
      </c>
      <c r="O4327" s="13">
        <v>106.11178083522442</v>
      </c>
      <c r="P4327" s="13">
        <v>0.90411556770722057</v>
      </c>
    </row>
    <row r="4328" spans="1:16" s="11" customFormat="1">
      <c r="A4328" s="1" t="s">
        <v>5626</v>
      </c>
      <c r="B4328" s="13" t="s">
        <v>5636</v>
      </c>
      <c r="C4328" s="1" t="s">
        <v>18</v>
      </c>
      <c r="D4328" s="1" t="s">
        <v>81</v>
      </c>
      <c r="E4328" s="1" t="s">
        <v>4369</v>
      </c>
      <c r="F4328" s="13">
        <v>10.189751751195146</v>
      </c>
      <c r="G4328" s="13">
        <v>1118.3244465356065</v>
      </c>
      <c r="H4328" s="13">
        <v>344.11797734688543</v>
      </c>
      <c r="I4328" s="13">
        <v>523.67898864501694</v>
      </c>
      <c r="J4328" s="13">
        <v>1.162815432022025</v>
      </c>
      <c r="K4328" s="13">
        <v>31.757379861000533</v>
      </c>
      <c r="L4328" s="13">
        <v>50.813118200594268</v>
      </c>
      <c r="M4328" s="13">
        <v>378.72519747478066</v>
      </c>
      <c r="N4328" s="13">
        <v>6.3917857681625803</v>
      </c>
      <c r="O4328" s="13">
        <v>111.02430244207481</v>
      </c>
      <c r="P4328" s="13">
        <v>0.70009001494353773</v>
      </c>
    </row>
    <row r="4329" spans="1:16" s="11" customFormat="1">
      <c r="A4329" s="1" t="s">
        <v>5626</v>
      </c>
      <c r="B4329" s="13" t="s">
        <v>5637</v>
      </c>
      <c r="C4329" s="1" t="s">
        <v>18</v>
      </c>
      <c r="D4329" s="1" t="s">
        <v>81</v>
      </c>
      <c r="E4329" s="1" t="s">
        <v>4369</v>
      </c>
      <c r="F4329" s="13">
        <v>18.652983326360882</v>
      </c>
      <c r="G4329" s="13">
        <v>1192.1137477123038</v>
      </c>
      <c r="H4329" s="13">
        <v>395.71514531224148</v>
      </c>
      <c r="I4329" s="13">
        <v>571.27533402122276</v>
      </c>
      <c r="J4329" s="13">
        <v>1.162815432022025</v>
      </c>
      <c r="K4329" s="13">
        <v>33.871687318844756</v>
      </c>
      <c r="L4329" s="13">
        <v>51.343427225785142</v>
      </c>
      <c r="M4329" s="13">
        <v>381.57261752793374</v>
      </c>
      <c r="N4329" s="13">
        <v>7.9160526834049918</v>
      </c>
      <c r="O4329" s="13">
        <v>115.21055238829913</v>
      </c>
      <c r="P4329" s="13">
        <v>1.6532282559389913</v>
      </c>
    </row>
    <row r="4330" spans="1:16" s="11" customFormat="1">
      <c r="A4330" s="1" t="s">
        <v>5626</v>
      </c>
      <c r="B4330" s="13" t="s">
        <v>5638</v>
      </c>
      <c r="C4330" s="1" t="s">
        <v>18</v>
      </c>
      <c r="D4330" s="1" t="s">
        <v>81</v>
      </c>
      <c r="E4330" s="1" t="s">
        <v>4369</v>
      </c>
      <c r="F4330" s="13">
        <v>12.40529351920307</v>
      </c>
      <c r="G4330" s="13">
        <v>1182.7308538532548</v>
      </c>
      <c r="H4330" s="13">
        <v>413.00114483108234</v>
      </c>
      <c r="I4330" s="13">
        <v>557.7668558438944</v>
      </c>
      <c r="J4330" s="13">
        <v>1.162815432022025</v>
      </c>
      <c r="K4330" s="13">
        <v>38.546461483689193</v>
      </c>
      <c r="L4330" s="13">
        <v>54.198406125447683</v>
      </c>
      <c r="M4330" s="13">
        <v>377.10380842565553</v>
      </c>
      <c r="N4330" s="13">
        <v>7.2186602215142299</v>
      </c>
      <c r="O4330" s="13">
        <v>110.12507546980775</v>
      </c>
      <c r="P4330" s="13">
        <v>0.81104078841703142</v>
      </c>
    </row>
    <row r="4331" spans="1:16" s="11" customFormat="1">
      <c r="A4331" s="1" t="s">
        <v>5626</v>
      </c>
      <c r="B4331" s="13" t="s">
        <v>5639</v>
      </c>
      <c r="C4331" s="1" t="s">
        <v>18</v>
      </c>
      <c r="D4331" s="1" t="s">
        <v>81</v>
      </c>
      <c r="E4331" s="1" t="s">
        <v>4369</v>
      </c>
      <c r="F4331" s="13">
        <v>18.796384756367637</v>
      </c>
      <c r="G4331" s="13">
        <v>1249.2681271966405</v>
      </c>
      <c r="H4331" s="13">
        <v>441.14350712449959</v>
      </c>
      <c r="I4331" s="13">
        <v>580.03666443839506</v>
      </c>
      <c r="J4331" s="13">
        <v>1.162815432022025</v>
      </c>
      <c r="K4331" s="13">
        <v>37.961125205262292</v>
      </c>
      <c r="L4331" s="13">
        <v>55.001388206818525</v>
      </c>
      <c r="M4331" s="13">
        <v>381.0718532016337</v>
      </c>
      <c r="N4331" s="13">
        <v>15.002752993862194</v>
      </c>
      <c r="O4331" s="13">
        <v>112.59235212631759</v>
      </c>
      <c r="P4331" s="13">
        <v>1.4472355862183708</v>
      </c>
    </row>
    <row r="4332" spans="1:16" s="11" customFormat="1">
      <c r="A4332" s="1" t="s">
        <v>5626</v>
      </c>
      <c r="B4332" s="13" t="s">
        <v>5640</v>
      </c>
      <c r="C4332" s="1" t="s">
        <v>18</v>
      </c>
      <c r="D4332" s="1" t="s">
        <v>81</v>
      </c>
      <c r="E4332" s="1" t="s">
        <v>4369</v>
      </c>
      <c r="F4332" s="13">
        <v>13.942554893129616</v>
      </c>
      <c r="G4332" s="13">
        <v>1172.8408614201978</v>
      </c>
      <c r="H4332" s="13">
        <v>373.58044353155856</v>
      </c>
      <c r="I4332" s="13">
        <v>526.11996756388828</v>
      </c>
      <c r="J4332" s="13">
        <v>1.162815432022025</v>
      </c>
      <c r="K4332" s="13">
        <v>39.619679557775676</v>
      </c>
      <c r="L4332" s="13">
        <v>52.320449605105104</v>
      </c>
      <c r="M4332" s="13">
        <v>359.67276161327817</v>
      </c>
      <c r="N4332" s="13">
        <v>6.1882763009066997</v>
      </c>
      <c r="O4332" s="13">
        <v>112.09702784198873</v>
      </c>
      <c r="P4332" s="13">
        <v>0.86194716761321488</v>
      </c>
    </row>
    <row r="4333" spans="1:16" s="11" customFormat="1">
      <c r="A4333" s="1" t="s">
        <v>5626</v>
      </c>
      <c r="B4333" s="13" t="s">
        <v>5641</v>
      </c>
      <c r="C4333" s="1" t="s">
        <v>18</v>
      </c>
      <c r="D4333" s="1" t="s">
        <v>81</v>
      </c>
      <c r="E4333" s="1" t="s">
        <v>4369</v>
      </c>
      <c r="F4333" s="13">
        <v>11.61786428699468</v>
      </c>
      <c r="G4333" s="13">
        <v>1235.3830618964071</v>
      </c>
      <c r="H4333" s="13">
        <v>414.37259856215991</v>
      </c>
      <c r="I4333" s="13">
        <v>577.17713973967079</v>
      </c>
      <c r="J4333" s="13">
        <v>12.509301723823921</v>
      </c>
      <c r="K4333" s="13">
        <v>35.028710120970395</v>
      </c>
      <c r="L4333" s="13">
        <v>50.614306099235243</v>
      </c>
      <c r="M4333" s="13">
        <v>371.28641924431611</v>
      </c>
      <c r="N4333" s="13">
        <v>6.7841788231772346</v>
      </c>
      <c r="O4333" s="13">
        <v>118.03465282619695</v>
      </c>
      <c r="P4333" s="13">
        <v>0.80500360224449174</v>
      </c>
    </row>
    <row r="4334" spans="1:16" s="11" customFormat="1">
      <c r="A4334" s="1" t="s">
        <v>5626</v>
      </c>
      <c r="B4334" s="13" t="s">
        <v>5642</v>
      </c>
      <c r="C4334" s="1" t="s">
        <v>18</v>
      </c>
      <c r="D4334" s="1" t="s">
        <v>81</v>
      </c>
      <c r="E4334" s="1" t="s">
        <v>4369</v>
      </c>
      <c r="F4334" s="13">
        <v>17.920621244463462</v>
      </c>
      <c r="G4334" s="13">
        <v>1187.3753738162977</v>
      </c>
      <c r="H4334" s="13">
        <v>268.88910635600445</v>
      </c>
      <c r="I4334" s="13">
        <v>567.55517596183427</v>
      </c>
      <c r="J4334" s="13">
        <v>1.162815432022025</v>
      </c>
      <c r="K4334" s="13">
        <v>34.54150076020678</v>
      </c>
      <c r="L4334" s="13">
        <v>50.679914238908907</v>
      </c>
      <c r="M4334" s="13">
        <v>371.9594098649884</v>
      </c>
      <c r="N4334" s="13">
        <v>5.15627380458566</v>
      </c>
      <c r="O4334" s="13">
        <v>111.2122051604818</v>
      </c>
      <c r="P4334" s="13">
        <v>0.90938932511286896</v>
      </c>
    </row>
    <row r="4335" spans="1:16" s="11" customFormat="1">
      <c r="A4335" s="1" t="s">
        <v>5626</v>
      </c>
      <c r="B4335" s="11" t="s">
        <v>5643</v>
      </c>
      <c r="C4335" s="1" t="s">
        <v>18</v>
      </c>
      <c r="D4335" s="1" t="s">
        <v>81</v>
      </c>
      <c r="E4335" s="1" t="s">
        <v>4369</v>
      </c>
      <c r="F4335" s="11">
        <v>17.53623142927232</v>
      </c>
      <c r="G4335" s="11">
        <v>1446.1648966349551</v>
      </c>
      <c r="H4335" s="11">
        <v>288.39270604305062</v>
      </c>
      <c r="I4335" s="11">
        <v>599.772914405086</v>
      </c>
      <c r="J4335" s="11">
        <v>1.162815432022025</v>
      </c>
      <c r="K4335" s="11">
        <v>38.500920481441526</v>
      </c>
      <c r="L4335" s="11">
        <v>28.765869864720017</v>
      </c>
      <c r="M4335" s="11">
        <v>270.83305237271094</v>
      </c>
      <c r="N4335" s="11">
        <v>1.9187381426697256</v>
      </c>
      <c r="O4335" s="11">
        <v>70.776720373508397</v>
      </c>
      <c r="P4335" s="11">
        <v>0.76239165997173031</v>
      </c>
    </row>
    <row r="4336" spans="1:16" s="11" customFormat="1">
      <c r="A4336" s="1" t="s">
        <v>5626</v>
      </c>
      <c r="B4336" s="11" t="s">
        <v>5644</v>
      </c>
      <c r="C4336" s="1" t="s">
        <v>18</v>
      </c>
      <c r="D4336" s="1" t="s">
        <v>81</v>
      </c>
      <c r="E4336" s="1" t="s">
        <v>4369</v>
      </c>
      <c r="F4336" s="11">
        <v>32.052726398120498</v>
      </c>
      <c r="G4336" s="11">
        <v>796.85927589372682</v>
      </c>
      <c r="H4336" s="11">
        <v>463.04908067249164</v>
      </c>
      <c r="I4336" s="11">
        <v>613.75225332394837</v>
      </c>
      <c r="J4336" s="11">
        <v>1.162815432022025</v>
      </c>
      <c r="K4336" s="11">
        <v>46.658874039318711</v>
      </c>
      <c r="L4336" s="11">
        <v>31.761024701064898</v>
      </c>
      <c r="M4336" s="11">
        <v>250.15460460806275</v>
      </c>
      <c r="N4336" s="11">
        <v>4.4223926137233338</v>
      </c>
      <c r="O4336" s="11">
        <v>70.813776871212823</v>
      </c>
      <c r="P4336" s="11">
        <v>1.1877392816897736</v>
      </c>
    </row>
    <row r="4337" spans="1:16" s="11" customFormat="1">
      <c r="A4337" s="1" t="s">
        <v>5626</v>
      </c>
      <c r="B4337" s="11" t="s">
        <v>5645</v>
      </c>
      <c r="C4337" s="1" t="s">
        <v>18</v>
      </c>
      <c r="D4337" s="1" t="s">
        <v>81</v>
      </c>
      <c r="E4337" s="1" t="s">
        <v>4369</v>
      </c>
      <c r="F4337" s="11">
        <v>9.3309850746107106</v>
      </c>
      <c r="G4337" s="11">
        <v>529.6988224241021</v>
      </c>
      <c r="H4337" s="11">
        <v>372.54499499746896</v>
      </c>
      <c r="I4337" s="11">
        <v>507.49866302751559</v>
      </c>
      <c r="J4337" s="11">
        <v>55.426030362916293</v>
      </c>
      <c r="K4337" s="11">
        <v>47.424666611653478</v>
      </c>
      <c r="L4337" s="11">
        <v>23.993884653290113</v>
      </c>
      <c r="M4337" s="11">
        <v>317.09475961718175</v>
      </c>
      <c r="N4337" s="11">
        <v>3.4789405356244343</v>
      </c>
      <c r="O4337" s="11">
        <v>55.093070190754979</v>
      </c>
      <c r="P4337" s="11">
        <v>1.32521081289141</v>
      </c>
    </row>
    <row r="4338" spans="1:16" s="11" customFormat="1">
      <c r="A4338" s="1" t="s">
        <v>5626</v>
      </c>
      <c r="B4338" s="11" t="s">
        <v>5646</v>
      </c>
      <c r="C4338" s="1" t="s">
        <v>18</v>
      </c>
      <c r="D4338" s="1" t="s">
        <v>81</v>
      </c>
      <c r="E4338" s="1" t="s">
        <v>4369</v>
      </c>
      <c r="F4338" s="11">
        <v>16.128972269501507</v>
      </c>
      <c r="G4338" s="11">
        <v>773.63940031848654</v>
      </c>
      <c r="H4338" s="11">
        <v>430.89219187826245</v>
      </c>
      <c r="I4338" s="11">
        <v>675.23937724109737</v>
      </c>
      <c r="J4338" s="11">
        <v>3.9163203420096022</v>
      </c>
      <c r="K4338" s="11">
        <v>49.605904363665559</v>
      </c>
      <c r="L4338" s="11">
        <v>23.004103590794898</v>
      </c>
      <c r="M4338" s="11">
        <v>280.12792876589219</v>
      </c>
      <c r="N4338" s="11">
        <v>4.2488180252560586</v>
      </c>
      <c r="O4338" s="11">
        <v>64.524592546279294</v>
      </c>
      <c r="P4338" s="11">
        <v>1.631217916581166</v>
      </c>
    </row>
    <row r="4339" spans="1:16" s="11" customFormat="1">
      <c r="A4339" s="1" t="s">
        <v>5626</v>
      </c>
      <c r="B4339" s="11" t="s">
        <v>5647</v>
      </c>
      <c r="C4339" s="1" t="s">
        <v>18</v>
      </c>
      <c r="D4339" s="1" t="s">
        <v>81</v>
      </c>
      <c r="E4339" s="1" t="s">
        <v>4369</v>
      </c>
      <c r="F4339" s="11">
        <v>10.191484564452704</v>
      </c>
      <c r="G4339" s="11">
        <v>1226.4048426216109</v>
      </c>
      <c r="H4339" s="11">
        <v>445.13216678153731</v>
      </c>
      <c r="I4339" s="11">
        <v>463.40552575319299</v>
      </c>
      <c r="J4339" s="11">
        <v>25.411955998890317</v>
      </c>
      <c r="K4339" s="11">
        <v>33.504666638502883</v>
      </c>
      <c r="L4339" s="11">
        <v>33.897407859381687</v>
      </c>
      <c r="M4339" s="11">
        <v>178.79020392211885</v>
      </c>
      <c r="N4339" s="11">
        <v>6.224482603065236</v>
      </c>
      <c r="O4339" s="11">
        <v>126.15925527417747</v>
      </c>
      <c r="P4339" s="11">
        <v>1.391453867263261</v>
      </c>
    </row>
    <row r="4340" spans="1:16" s="11" customFormat="1">
      <c r="A4340" s="1" t="s">
        <v>5626</v>
      </c>
      <c r="B4340" s="11" t="s">
        <v>5648</v>
      </c>
      <c r="C4340" s="1" t="s">
        <v>18</v>
      </c>
      <c r="D4340" s="1" t="s">
        <v>81</v>
      </c>
      <c r="E4340" s="1" t="s">
        <v>4369</v>
      </c>
      <c r="F4340" s="11">
        <v>10.825906263639343</v>
      </c>
      <c r="G4340" s="11">
        <v>925.75153088997638</v>
      </c>
      <c r="H4340" s="11">
        <v>491.12052459493418</v>
      </c>
      <c r="I4340" s="11">
        <v>530.11831998808884</v>
      </c>
      <c r="J4340" s="11">
        <v>9.573495256470693</v>
      </c>
      <c r="K4340" s="11">
        <v>33.301314475754538</v>
      </c>
      <c r="L4340" s="11">
        <v>35.349273795926919</v>
      </c>
      <c r="M4340" s="11">
        <v>164.44489314591425</v>
      </c>
      <c r="N4340" s="11">
        <v>4.9995722040183201</v>
      </c>
      <c r="O4340" s="11">
        <v>143.85308325985079</v>
      </c>
      <c r="P4340" s="11">
        <v>2.7354014696038127</v>
      </c>
    </row>
    <row r="4341" spans="1:16" s="11" customFormat="1">
      <c r="A4341" s="1" t="s">
        <v>5626</v>
      </c>
      <c r="B4341" s="11" t="s">
        <v>5649</v>
      </c>
      <c r="C4341" s="1" t="s">
        <v>18</v>
      </c>
      <c r="D4341" s="1" t="s">
        <v>81</v>
      </c>
      <c r="E4341" s="1" t="s">
        <v>4369</v>
      </c>
      <c r="F4341" s="11">
        <v>14.255380842675915</v>
      </c>
      <c r="G4341" s="11">
        <v>604.1031707996641</v>
      </c>
      <c r="H4341" s="11">
        <v>498.23133208045948</v>
      </c>
      <c r="I4341" s="11">
        <v>404.80310228390073</v>
      </c>
      <c r="J4341" s="11">
        <v>22.995251211292437</v>
      </c>
      <c r="K4341" s="11">
        <v>35.032556163154567</v>
      </c>
      <c r="L4341" s="11">
        <v>35.974046069211468</v>
      </c>
      <c r="M4341" s="11">
        <v>191.52126083204192</v>
      </c>
      <c r="N4341" s="11">
        <v>3.2001642252437859</v>
      </c>
      <c r="O4341" s="11">
        <v>114.82295347696585</v>
      </c>
      <c r="P4341" s="11">
        <v>1.5520306031163522</v>
      </c>
    </row>
    <row r="4342" spans="1:16" s="11" customFormat="1">
      <c r="A4342" s="1" t="s">
        <v>5626</v>
      </c>
      <c r="B4342" s="11" t="s">
        <v>5650</v>
      </c>
      <c r="C4342" s="1" t="s">
        <v>18</v>
      </c>
      <c r="D4342" s="1" t="s">
        <v>81</v>
      </c>
      <c r="E4342" s="1" t="s">
        <v>4369</v>
      </c>
      <c r="F4342" s="11">
        <v>25.166860044585981</v>
      </c>
      <c r="G4342" s="11">
        <v>1462.5948035846757</v>
      </c>
      <c r="H4342" s="11">
        <v>640.20665562519446</v>
      </c>
      <c r="I4342" s="11">
        <v>432.8504928959245</v>
      </c>
      <c r="J4342" s="11">
        <v>1.162815432022025</v>
      </c>
      <c r="K4342" s="11">
        <v>36.261743654877101</v>
      </c>
      <c r="L4342" s="11">
        <v>36.524547516122766</v>
      </c>
      <c r="M4342" s="11">
        <v>187.23797999276854</v>
      </c>
      <c r="N4342" s="11">
        <v>4.3444974114895034</v>
      </c>
      <c r="O4342" s="11">
        <v>123.9569679311396</v>
      </c>
      <c r="P4342" s="11">
        <v>3.1777042086180667</v>
      </c>
    </row>
    <row r="4343" spans="1:16" s="11" customFormat="1">
      <c r="A4343" s="1" t="s">
        <v>5626</v>
      </c>
      <c r="B4343" s="11" t="s">
        <v>5651</v>
      </c>
      <c r="C4343" s="1" t="s">
        <v>18</v>
      </c>
      <c r="D4343" s="1" t="s">
        <v>81</v>
      </c>
      <c r="E4343" s="1" t="s">
        <v>4369</v>
      </c>
      <c r="F4343" s="11">
        <v>9.6634699442233085</v>
      </c>
      <c r="G4343" s="11">
        <v>1336.560251832391</v>
      </c>
      <c r="H4343" s="11">
        <v>909.11127799949224</v>
      </c>
      <c r="I4343" s="11">
        <v>104.68899191734459</v>
      </c>
      <c r="J4343" s="11">
        <v>2.418343645659609</v>
      </c>
      <c r="K4343" s="11">
        <v>51.166053992330106</v>
      </c>
      <c r="L4343" s="11">
        <v>65.150182159836959</v>
      </c>
      <c r="M4343" s="11">
        <v>36.42059363142095</v>
      </c>
      <c r="N4343" s="11">
        <v>115.90178759321554</v>
      </c>
      <c r="O4343" s="11">
        <v>77.675888968820715</v>
      </c>
      <c r="P4343" s="11">
        <v>3.0012216380873604</v>
      </c>
    </row>
    <row r="4344" spans="1:16" s="11" customFormat="1">
      <c r="A4344" s="1" t="s">
        <v>5626</v>
      </c>
      <c r="B4344" s="11" t="s">
        <v>5652</v>
      </c>
      <c r="C4344" s="1" t="s">
        <v>18</v>
      </c>
      <c r="D4344" s="1" t="s">
        <v>81</v>
      </c>
      <c r="E4344" s="1" t="s">
        <v>4369</v>
      </c>
      <c r="F4344" s="11">
        <v>9.3041885437785048</v>
      </c>
      <c r="G4344" s="11">
        <v>999.95716907565259</v>
      </c>
      <c r="H4344" s="11">
        <v>798.62632468365507</v>
      </c>
      <c r="I4344" s="11">
        <v>92.173863237347732</v>
      </c>
      <c r="J4344" s="11">
        <v>1.162815432022025</v>
      </c>
      <c r="K4344" s="11">
        <v>50.662490700165471</v>
      </c>
      <c r="L4344" s="11">
        <v>57.49571005989101</v>
      </c>
      <c r="M4344" s="11">
        <v>53.429915751857379</v>
      </c>
      <c r="N4344" s="11">
        <v>62.877785379231341</v>
      </c>
      <c r="O4344" s="11">
        <v>53.628600024780248</v>
      </c>
      <c r="P4344" s="11">
        <v>1.8714582967746298</v>
      </c>
    </row>
    <row r="4345" spans="1:16" s="11" customFormat="1">
      <c r="A4345" s="1" t="s">
        <v>5626</v>
      </c>
      <c r="B4345" s="11" t="s">
        <v>5653</v>
      </c>
      <c r="C4345" s="1" t="s">
        <v>18</v>
      </c>
      <c r="D4345" s="1" t="s">
        <v>81</v>
      </c>
      <c r="E4345" s="1" t="s">
        <v>4369</v>
      </c>
      <c r="F4345" s="11">
        <v>3.9240211255157602</v>
      </c>
      <c r="G4345" s="11">
        <v>1163.1410227270992</v>
      </c>
      <c r="H4345" s="11">
        <v>813.6754541208586</v>
      </c>
      <c r="I4345" s="11">
        <v>104.45301918469316</v>
      </c>
      <c r="J4345" s="11">
        <v>1.162815432022025</v>
      </c>
      <c r="K4345" s="11">
        <v>43.073861273972284</v>
      </c>
      <c r="L4345" s="11">
        <v>68.993482552774694</v>
      </c>
      <c r="M4345" s="11">
        <v>33.137860759437999</v>
      </c>
      <c r="N4345" s="11">
        <v>106.08812270626198</v>
      </c>
      <c r="O4345" s="11">
        <v>79.695491995865282</v>
      </c>
      <c r="P4345" s="11">
        <v>2.2427946756420738</v>
      </c>
    </row>
    <row r="4346" spans="1:16" s="11" customFormat="1">
      <c r="A4346" s="1" t="s">
        <v>5626</v>
      </c>
      <c r="B4346" s="11" t="s">
        <v>5654</v>
      </c>
      <c r="C4346" s="1" t="s">
        <v>18</v>
      </c>
      <c r="D4346" s="1" t="s">
        <v>81</v>
      </c>
      <c r="E4346" s="1" t="s">
        <v>4369</v>
      </c>
      <c r="F4346" s="11">
        <v>24.82961388903885</v>
      </c>
      <c r="G4346" s="11">
        <v>1864.3130381353917</v>
      </c>
      <c r="H4346" s="11">
        <v>850.91079319898415</v>
      </c>
      <c r="I4346" s="11">
        <v>104.09021571604048</v>
      </c>
      <c r="J4346" s="11">
        <v>1.162815432022025</v>
      </c>
      <c r="K4346" s="11">
        <v>53.413812490418735</v>
      </c>
      <c r="L4346" s="11">
        <v>78.724684385922814</v>
      </c>
      <c r="M4346" s="11">
        <v>37.122994556259393</v>
      </c>
      <c r="N4346" s="11">
        <v>160.43682857444443</v>
      </c>
      <c r="O4346" s="11">
        <v>78.739257958335216</v>
      </c>
      <c r="P4346" s="11">
        <v>4.1619815781965261</v>
      </c>
    </row>
    <row r="4347" spans="1:16" s="11" customFormat="1">
      <c r="A4347" s="1" t="s">
        <v>5626</v>
      </c>
      <c r="B4347" s="11" t="s">
        <v>5655</v>
      </c>
      <c r="C4347" s="1" t="s">
        <v>18</v>
      </c>
      <c r="D4347" s="1" t="s">
        <v>81</v>
      </c>
      <c r="E4347" s="1" t="s">
        <v>4369</v>
      </c>
      <c r="F4347" s="11">
        <v>8.393324256993079</v>
      </c>
      <c r="G4347" s="11">
        <v>437.47467023348503</v>
      </c>
      <c r="H4347" s="11">
        <v>364.51792230152944</v>
      </c>
      <c r="I4347" s="11">
        <v>587.63074137293859</v>
      </c>
      <c r="J4347" s="11">
        <v>1144.4516228786517</v>
      </c>
      <c r="K4347" s="11">
        <v>29.114244820874369</v>
      </c>
      <c r="L4347" s="11">
        <v>86.159006907448415</v>
      </c>
      <c r="M4347" s="11">
        <v>431.48028351583525</v>
      </c>
      <c r="N4347" s="11">
        <v>3.3937461998602432</v>
      </c>
      <c r="O4347" s="11">
        <v>52.770551279229402</v>
      </c>
      <c r="P4347" s="11">
        <v>2.3268943780248774</v>
      </c>
    </row>
    <row r="4348" spans="1:16" s="11" customFormat="1">
      <c r="A4348" s="1" t="s">
        <v>5626</v>
      </c>
      <c r="B4348" s="11" t="s">
        <v>5656</v>
      </c>
      <c r="C4348" s="1" t="s">
        <v>18</v>
      </c>
      <c r="D4348" s="1" t="s">
        <v>81</v>
      </c>
      <c r="E4348" s="1" t="s">
        <v>4369</v>
      </c>
      <c r="F4348" s="11">
        <v>3.9240211255157602</v>
      </c>
      <c r="G4348" s="11">
        <v>661.61334968934864</v>
      </c>
      <c r="H4348" s="11">
        <v>726.44409973706229</v>
      </c>
      <c r="I4348" s="11">
        <v>433.09905917469081</v>
      </c>
      <c r="J4348" s="11">
        <v>115.02115895444415</v>
      </c>
      <c r="K4348" s="11">
        <v>31.109347423467042</v>
      </c>
      <c r="L4348" s="11">
        <v>89.093588716039491</v>
      </c>
      <c r="M4348" s="11">
        <v>266.53564316865186</v>
      </c>
      <c r="N4348" s="11">
        <v>7.2890032438666301</v>
      </c>
      <c r="O4348" s="11">
        <v>66.412494747915773</v>
      </c>
      <c r="P4348" s="11">
        <v>4.6737370654889441</v>
      </c>
    </row>
    <row r="4349" spans="1:16" s="11" customFormat="1">
      <c r="A4349" s="1" t="s">
        <v>5626</v>
      </c>
      <c r="B4349" s="11" t="s">
        <v>5657</v>
      </c>
      <c r="C4349" s="1" t="s">
        <v>18</v>
      </c>
      <c r="D4349" s="1" t="s">
        <v>81</v>
      </c>
      <c r="E4349" s="1" t="s">
        <v>4369</v>
      </c>
      <c r="F4349" s="11">
        <v>14.952134284461613</v>
      </c>
      <c r="G4349" s="11">
        <v>574.93598171355177</v>
      </c>
      <c r="H4349" s="11">
        <v>527.93837206079456</v>
      </c>
      <c r="I4349" s="11">
        <v>573.61159206131777</v>
      </c>
      <c r="J4349" s="11">
        <v>426.90773024336147</v>
      </c>
      <c r="K4349" s="11">
        <v>33.270944588006508</v>
      </c>
      <c r="L4349" s="11">
        <v>84.476542836048637</v>
      </c>
      <c r="M4349" s="11">
        <v>256.02362281376799</v>
      </c>
      <c r="N4349" s="11">
        <v>7.0545385870007751</v>
      </c>
      <c r="O4349" s="11">
        <v>61.03794015277726</v>
      </c>
      <c r="P4349" s="11">
        <v>4.0045127332492667</v>
      </c>
    </row>
    <row r="4350" spans="1:16" s="11" customFormat="1">
      <c r="A4350" s="1" t="s">
        <v>5626</v>
      </c>
      <c r="B4350" s="11" t="s">
        <v>5658</v>
      </c>
      <c r="C4350" s="1" t="s">
        <v>18</v>
      </c>
      <c r="D4350" s="1" t="s">
        <v>81</v>
      </c>
      <c r="E4350" s="1" t="s">
        <v>4369</v>
      </c>
      <c r="F4350" s="11">
        <v>3.9240211255157602</v>
      </c>
      <c r="G4350" s="11">
        <v>709.82355762965028</v>
      </c>
      <c r="H4350" s="11">
        <v>629.57236949343633</v>
      </c>
      <c r="I4350" s="11">
        <v>569.79595525714274</v>
      </c>
      <c r="J4350" s="11">
        <v>440.75030134465283</v>
      </c>
      <c r="K4350" s="11">
        <v>30.774489799625485</v>
      </c>
      <c r="L4350" s="11">
        <v>89.386360535427841</v>
      </c>
      <c r="M4350" s="11">
        <v>270.96537588914265</v>
      </c>
      <c r="N4350" s="11">
        <v>8.0537153275593809</v>
      </c>
      <c r="O4350" s="11">
        <v>61.624844509350183</v>
      </c>
      <c r="P4350" s="11">
        <v>3.3594323905352894</v>
      </c>
    </row>
    <row r="4351" spans="1:16" s="11" customFormat="1">
      <c r="A4351" s="1" t="s">
        <v>5626</v>
      </c>
      <c r="B4351" s="11" t="s">
        <v>5659</v>
      </c>
      <c r="C4351" s="1" t="s">
        <v>18</v>
      </c>
      <c r="D4351" s="1" t="s">
        <v>81</v>
      </c>
      <c r="E4351" s="1" t="s">
        <v>4369</v>
      </c>
      <c r="F4351" s="11">
        <v>11.484636928297574</v>
      </c>
      <c r="G4351" s="11">
        <v>331.27612575815567</v>
      </c>
      <c r="H4351" s="11">
        <v>225.50327370465351</v>
      </c>
      <c r="I4351" s="11">
        <v>53.652042420500024</v>
      </c>
      <c r="J4351" s="11">
        <v>1.162815432022025</v>
      </c>
      <c r="K4351" s="11">
        <v>53.098078738908875</v>
      </c>
      <c r="L4351" s="11">
        <v>234.05744305397789</v>
      </c>
      <c r="M4351" s="11">
        <v>150.40401889399791</v>
      </c>
      <c r="N4351" s="11">
        <v>78.835812146325409</v>
      </c>
      <c r="O4351" s="11">
        <v>20.868864442833974</v>
      </c>
      <c r="P4351" s="11">
        <v>0.62203023919968892</v>
      </c>
    </row>
    <row r="4352" spans="1:16" s="11" customFormat="1">
      <c r="A4352" s="1" t="s">
        <v>5626</v>
      </c>
      <c r="B4352" s="11" t="s">
        <v>5660</v>
      </c>
      <c r="C4352" s="1" t="s">
        <v>18</v>
      </c>
      <c r="D4352" s="1" t="s">
        <v>81</v>
      </c>
      <c r="E4352" s="1" t="s">
        <v>4369</v>
      </c>
      <c r="F4352" s="11">
        <v>12.818788881030466</v>
      </c>
      <c r="G4352" s="11">
        <v>287.40729112648359</v>
      </c>
      <c r="H4352" s="11">
        <v>336.64985670146035</v>
      </c>
      <c r="I4352" s="11">
        <v>67.124746287990504</v>
      </c>
      <c r="J4352" s="11">
        <v>1.162815432022025</v>
      </c>
      <c r="K4352" s="11">
        <v>50.549390895507699</v>
      </c>
      <c r="L4352" s="11">
        <v>138.26712344217557</v>
      </c>
      <c r="M4352" s="11">
        <v>234.93815462776507</v>
      </c>
      <c r="N4352" s="11">
        <v>48.718687711416422</v>
      </c>
      <c r="O4352" s="11">
        <v>20.686748687175676</v>
      </c>
      <c r="P4352" s="11">
        <v>1.2894553887522113</v>
      </c>
    </row>
    <row r="4353" spans="1:16" s="11" customFormat="1">
      <c r="A4353" s="1" t="s">
        <v>5626</v>
      </c>
      <c r="B4353" s="11" t="s">
        <v>5661</v>
      </c>
      <c r="C4353" s="1" t="s">
        <v>18</v>
      </c>
      <c r="D4353" s="1" t="s">
        <v>81</v>
      </c>
      <c r="E4353" s="1" t="s">
        <v>4369</v>
      </c>
      <c r="F4353" s="11">
        <v>12.380242978131148</v>
      </c>
      <c r="G4353" s="11">
        <v>283.70784118623016</v>
      </c>
      <c r="H4353" s="11">
        <v>273.20682259501734</v>
      </c>
      <c r="I4353" s="11">
        <v>67.377807681930079</v>
      </c>
      <c r="J4353" s="11">
        <v>6.7258812196677678</v>
      </c>
      <c r="K4353" s="11">
        <v>54.294917974892812</v>
      </c>
      <c r="L4353" s="11">
        <v>209.39667375885494</v>
      </c>
      <c r="M4353" s="11">
        <v>196.30405351752944</v>
      </c>
      <c r="N4353" s="11">
        <v>49.933674433265772</v>
      </c>
      <c r="O4353" s="11">
        <v>22.378174231117253</v>
      </c>
      <c r="P4353" s="11">
        <v>0.62212806232332651</v>
      </c>
    </row>
    <row r="4354" spans="1:16" s="11" customFormat="1">
      <c r="A4354" s="1" t="s">
        <v>5626</v>
      </c>
      <c r="B4354" s="11" t="s">
        <v>5662</v>
      </c>
      <c r="C4354" s="1" t="s">
        <v>18</v>
      </c>
      <c r="D4354" s="1" t="s">
        <v>81</v>
      </c>
      <c r="E4354" s="1" t="s">
        <v>4369</v>
      </c>
      <c r="F4354" s="11">
        <v>53.670279359260498</v>
      </c>
      <c r="G4354" s="11">
        <v>190.41902982338772</v>
      </c>
      <c r="H4354" s="11">
        <v>146.96614138923388</v>
      </c>
      <c r="I4354" s="11">
        <v>150.80379517052452</v>
      </c>
      <c r="J4354" s="11">
        <v>1.162815432022025</v>
      </c>
      <c r="K4354" s="11">
        <v>45.492161403671517</v>
      </c>
      <c r="L4354" s="11">
        <v>198.98920756663819</v>
      </c>
      <c r="M4354" s="11">
        <v>274.57395938177115</v>
      </c>
      <c r="N4354" s="11">
        <v>34.673375259345875</v>
      </c>
      <c r="O4354" s="11">
        <v>20.527811298538495</v>
      </c>
      <c r="P4354" s="11">
        <v>0.54739044541032356</v>
      </c>
    </row>
    <row r="4355" spans="1:16" s="11" customFormat="1">
      <c r="A4355" s="1" t="s">
        <v>5626</v>
      </c>
      <c r="B4355" s="11" t="s">
        <v>5663</v>
      </c>
      <c r="C4355" s="1" t="s">
        <v>18</v>
      </c>
      <c r="D4355" s="1" t="s">
        <v>81</v>
      </c>
      <c r="E4355" s="1" t="s">
        <v>4369</v>
      </c>
      <c r="F4355" s="11">
        <v>23.81327242731556</v>
      </c>
      <c r="G4355" s="11">
        <v>1390.7330578871702</v>
      </c>
      <c r="H4355" s="11">
        <v>799.61296086632399</v>
      </c>
      <c r="I4355" s="11">
        <v>955.71254536632739</v>
      </c>
      <c r="J4355" s="11">
        <v>5.1391036007785216</v>
      </c>
      <c r="K4355" s="11">
        <v>45.174288902068334</v>
      </c>
      <c r="L4355" s="11">
        <v>8.4914302425312513</v>
      </c>
      <c r="M4355" s="11">
        <v>24.42831483787057</v>
      </c>
      <c r="N4355" s="11">
        <v>11.704566749674747</v>
      </c>
      <c r="O4355" s="11">
        <v>59.298180810904796</v>
      </c>
      <c r="P4355" s="11">
        <v>2.9243831991212939</v>
      </c>
    </row>
    <row r="4356" spans="1:16" s="11" customFormat="1">
      <c r="A4356" s="1" t="s">
        <v>5626</v>
      </c>
      <c r="B4356" s="11" t="s">
        <v>5664</v>
      </c>
      <c r="C4356" s="1" t="s">
        <v>18</v>
      </c>
      <c r="D4356" s="1" t="s">
        <v>81</v>
      </c>
      <c r="E4356" s="1" t="s">
        <v>4369</v>
      </c>
      <c r="F4356" s="11">
        <v>3.9240211255157602</v>
      </c>
      <c r="G4356" s="11">
        <v>960.94191940885594</v>
      </c>
      <c r="H4356" s="11">
        <v>1028.6531154884133</v>
      </c>
      <c r="I4356" s="11">
        <v>1619.0752345286282</v>
      </c>
      <c r="J4356" s="11">
        <v>1.162815432022025</v>
      </c>
      <c r="K4356" s="11">
        <v>43.487093773486876</v>
      </c>
      <c r="L4356" s="11">
        <v>1.3128158360172373</v>
      </c>
      <c r="M4356" s="11">
        <v>13.654610699546618</v>
      </c>
      <c r="N4356" s="11">
        <v>8.5211155453118241</v>
      </c>
      <c r="O4356" s="11">
        <v>58.839591315530186</v>
      </c>
      <c r="P4356" s="11">
        <v>3.0678702436795882</v>
      </c>
    </row>
    <row r="4357" spans="1:16" s="11" customFormat="1">
      <c r="A4357" s="1" t="s">
        <v>5626</v>
      </c>
      <c r="B4357" s="11" t="s">
        <v>5665</v>
      </c>
      <c r="C4357" s="1" t="s">
        <v>18</v>
      </c>
      <c r="D4357" s="1" t="s">
        <v>81</v>
      </c>
      <c r="E4357" s="1" t="s">
        <v>4369</v>
      </c>
      <c r="F4357" s="11">
        <v>8.4296139122512681</v>
      </c>
      <c r="G4357" s="11">
        <v>1069.5033225301984</v>
      </c>
      <c r="H4357" s="11">
        <v>1156.7542449694461</v>
      </c>
      <c r="I4357" s="11">
        <v>1016.25874406986</v>
      </c>
      <c r="J4357" s="11">
        <v>37.014063736909435</v>
      </c>
      <c r="K4357" s="11">
        <v>49.156794587487028</v>
      </c>
      <c r="L4357" s="11">
        <v>4.7159874807353557</v>
      </c>
      <c r="M4357" s="11">
        <v>10.236411383434726</v>
      </c>
      <c r="N4357" s="11">
        <v>14.581074791609142</v>
      </c>
      <c r="O4357" s="11">
        <v>60.582296037370014</v>
      </c>
      <c r="P4357" s="11">
        <v>4.0195947680179724</v>
      </c>
    </row>
    <row r="4358" spans="1:16" s="11" customFormat="1">
      <c r="A4358" s="1" t="s">
        <v>5626</v>
      </c>
      <c r="B4358" s="11" t="s">
        <v>5666</v>
      </c>
      <c r="C4358" s="1" t="s">
        <v>18</v>
      </c>
      <c r="D4358" s="1" t="s">
        <v>81</v>
      </c>
      <c r="E4358" s="1" t="s">
        <v>4369</v>
      </c>
      <c r="F4358" s="11">
        <v>3.9240211255157602</v>
      </c>
      <c r="G4358" s="11">
        <v>762.17881894421589</v>
      </c>
      <c r="H4358" s="11">
        <v>876.35091902687748</v>
      </c>
      <c r="I4358" s="11">
        <v>839.69276895798646</v>
      </c>
      <c r="J4358" s="11">
        <v>3.3055755073635171</v>
      </c>
      <c r="K4358" s="11">
        <v>45.744913082979863</v>
      </c>
      <c r="L4358" s="11">
        <v>5.7921704831905485</v>
      </c>
      <c r="M4358" s="11">
        <v>24.470844318676129</v>
      </c>
      <c r="N4358" s="11">
        <v>11.636201798067757</v>
      </c>
      <c r="O4358" s="11">
        <v>42.830729859259868</v>
      </c>
      <c r="P4358" s="11">
        <v>3.5785298975589828</v>
      </c>
    </row>
    <row r="4359" spans="1:16" s="11" customFormat="1">
      <c r="A4359" s="1" t="s">
        <v>5626</v>
      </c>
      <c r="B4359" s="13" t="s">
        <v>5667</v>
      </c>
      <c r="C4359" s="1" t="s">
        <v>18</v>
      </c>
      <c r="D4359" s="1" t="s">
        <v>81</v>
      </c>
      <c r="E4359" s="1" t="s">
        <v>4369</v>
      </c>
      <c r="F4359" s="13">
        <v>24.396089782868859</v>
      </c>
      <c r="G4359" s="13">
        <v>1237.002992781514</v>
      </c>
      <c r="H4359" s="13">
        <v>497.56899010402515</v>
      </c>
      <c r="I4359" s="13">
        <v>149.46116127140399</v>
      </c>
      <c r="J4359" s="13">
        <v>7.8261701118956006</v>
      </c>
      <c r="K4359" s="13">
        <v>88.042700046609951</v>
      </c>
      <c r="L4359" s="13">
        <v>5.0881817528612867</v>
      </c>
      <c r="M4359" s="13">
        <v>113.77082810275704</v>
      </c>
      <c r="N4359" s="13">
        <v>64.66093689283332</v>
      </c>
      <c r="O4359" s="13">
        <v>24.092533850831895</v>
      </c>
      <c r="P4359" s="13">
        <v>8.091709512161426</v>
      </c>
    </row>
    <row r="4360" spans="1:16" s="11" customFormat="1">
      <c r="A4360" s="1" t="s">
        <v>5626</v>
      </c>
      <c r="B4360" s="13" t="s">
        <v>5668</v>
      </c>
      <c r="C4360" s="1" t="s">
        <v>18</v>
      </c>
      <c r="D4360" s="1" t="s">
        <v>81</v>
      </c>
      <c r="E4360" s="1" t="s">
        <v>4369</v>
      </c>
      <c r="F4360" s="13">
        <v>16.64848585508625</v>
      </c>
      <c r="G4360" s="13">
        <v>1320.377138011404</v>
      </c>
      <c r="H4360" s="13">
        <v>346.35545389823659</v>
      </c>
      <c r="I4360" s="13">
        <v>127.57310282952432</v>
      </c>
      <c r="J4360" s="13">
        <v>1.162815432022025</v>
      </c>
      <c r="K4360" s="13">
        <v>120.27687714337377</v>
      </c>
      <c r="L4360" s="13">
        <v>6.3317473524179935</v>
      </c>
      <c r="M4360" s="13">
        <v>112.12773610255103</v>
      </c>
      <c r="N4360" s="13">
        <v>43.577412997526878</v>
      </c>
      <c r="O4360" s="13">
        <v>24.379379236893051</v>
      </c>
      <c r="P4360" s="13">
        <v>7.1884946230927662</v>
      </c>
    </row>
    <row r="4361" spans="1:16" s="11" customFormat="1">
      <c r="A4361" s="1" t="s">
        <v>5626</v>
      </c>
      <c r="B4361" s="13" t="s">
        <v>5669</v>
      </c>
      <c r="C4361" s="1" t="s">
        <v>18</v>
      </c>
      <c r="D4361" s="1" t="s">
        <v>81</v>
      </c>
      <c r="E4361" s="1" t="s">
        <v>4369</v>
      </c>
      <c r="F4361" s="13">
        <v>14.151321067623165</v>
      </c>
      <c r="G4361" s="13">
        <v>1244.00111509263</v>
      </c>
      <c r="H4361" s="13">
        <v>1079.2103031038639</v>
      </c>
      <c r="I4361" s="13">
        <v>499.90560478850773</v>
      </c>
      <c r="J4361" s="13">
        <v>1.162815432022025</v>
      </c>
      <c r="K4361" s="13">
        <v>78.998544188356007</v>
      </c>
      <c r="L4361" s="13">
        <v>4.0626007641708695</v>
      </c>
      <c r="M4361" s="13">
        <v>127.05616625624562</v>
      </c>
      <c r="N4361" s="13">
        <v>106.9141926493151</v>
      </c>
      <c r="O4361" s="13">
        <v>25.507566906260791</v>
      </c>
      <c r="P4361" s="13">
        <v>9.2746997601747037</v>
      </c>
    </row>
    <row r="4362" spans="1:16" s="11" customFormat="1">
      <c r="A4362" s="1" t="s">
        <v>5626</v>
      </c>
      <c r="B4362" s="13" t="s">
        <v>5670</v>
      </c>
      <c r="C4362" s="1" t="s">
        <v>18</v>
      </c>
      <c r="D4362" s="1" t="s">
        <v>81</v>
      </c>
      <c r="E4362" s="1" t="s">
        <v>4369</v>
      </c>
      <c r="F4362" s="13">
        <v>25.596513069333405</v>
      </c>
      <c r="G4362" s="13">
        <v>1178.8686605643486</v>
      </c>
      <c r="H4362" s="13">
        <v>815.40066563569701</v>
      </c>
      <c r="I4362" s="13">
        <v>217.45089042409069</v>
      </c>
      <c r="J4362" s="13">
        <v>1.162815432022025</v>
      </c>
      <c r="K4362" s="13">
        <v>116.97074823280143</v>
      </c>
      <c r="L4362" s="13">
        <v>5.4300193505634544</v>
      </c>
      <c r="M4362" s="13">
        <v>102.48303416394209</v>
      </c>
      <c r="N4362" s="13">
        <v>57.548126258989427</v>
      </c>
      <c r="O4362" s="13">
        <v>23.906870981719972</v>
      </c>
      <c r="P4362" s="13">
        <v>5.9355435284625262</v>
      </c>
    </row>
    <row r="4363" spans="1:16" s="11" customFormat="1">
      <c r="A4363" s="1" t="s">
        <v>5626</v>
      </c>
      <c r="B4363" s="13" t="s">
        <v>5671</v>
      </c>
      <c r="C4363" s="1" t="s">
        <v>18</v>
      </c>
      <c r="D4363" s="1" t="s">
        <v>81</v>
      </c>
      <c r="E4363" s="1" t="s">
        <v>4369</v>
      </c>
      <c r="F4363" s="13">
        <v>31.633111327865159</v>
      </c>
      <c r="G4363" s="13">
        <v>1298.0482382307728</v>
      </c>
      <c r="H4363" s="13">
        <v>786.57404393068828</v>
      </c>
      <c r="I4363" s="13">
        <v>289.05058419259598</v>
      </c>
      <c r="J4363" s="13">
        <v>45.176180146125795</v>
      </c>
      <c r="K4363" s="13">
        <v>159.81363416203365</v>
      </c>
      <c r="L4363" s="13">
        <v>7.5861120997185392</v>
      </c>
      <c r="M4363" s="13">
        <v>113.7463494984664</v>
      </c>
      <c r="N4363" s="13">
        <v>77.159545076398061</v>
      </c>
      <c r="O4363" s="13">
        <v>22.259317222751712</v>
      </c>
      <c r="P4363" s="13">
        <v>7.7304101102565008</v>
      </c>
    </row>
    <row r="4364" spans="1:16" s="11" customFormat="1">
      <c r="A4364" s="1" t="s">
        <v>5626</v>
      </c>
      <c r="B4364" s="13" t="s">
        <v>5672</v>
      </c>
      <c r="C4364" s="1" t="s">
        <v>18</v>
      </c>
      <c r="D4364" s="1" t="s">
        <v>81</v>
      </c>
      <c r="E4364" s="1" t="s">
        <v>4369</v>
      </c>
      <c r="F4364" s="13">
        <v>24.980195171366859</v>
      </c>
      <c r="G4364" s="13">
        <v>1328.6731327757152</v>
      </c>
      <c r="H4364" s="13">
        <v>859.08888662026152</v>
      </c>
      <c r="I4364" s="13">
        <v>292.34646003563245</v>
      </c>
      <c r="J4364" s="13">
        <v>25.583333767334</v>
      </c>
      <c r="K4364" s="13">
        <v>116.06944235620955</v>
      </c>
      <c r="L4364" s="13">
        <v>5.8966286837132991</v>
      </c>
      <c r="M4364" s="13">
        <v>110.09406959566664</v>
      </c>
      <c r="N4364" s="13">
        <v>54.531958760230964</v>
      </c>
      <c r="O4364" s="13">
        <v>23.226112743295136</v>
      </c>
      <c r="P4364" s="13">
        <v>6.8023198092159438</v>
      </c>
    </row>
    <row r="4365" spans="1:16" s="11" customFormat="1">
      <c r="A4365" s="1" t="s">
        <v>5626</v>
      </c>
      <c r="B4365" s="13" t="s">
        <v>5673</v>
      </c>
      <c r="C4365" s="1" t="s">
        <v>18</v>
      </c>
      <c r="D4365" s="1" t="s">
        <v>81</v>
      </c>
      <c r="E4365" s="1" t="s">
        <v>4369</v>
      </c>
      <c r="F4365" s="13">
        <v>18.403569019731737</v>
      </c>
      <c r="G4365" s="13">
        <v>1078.2770003488815</v>
      </c>
      <c r="H4365" s="13">
        <v>965.62439395162687</v>
      </c>
      <c r="I4365" s="13">
        <v>634.77799896795239</v>
      </c>
      <c r="J4365" s="13">
        <v>1.162815432022025</v>
      </c>
      <c r="K4365" s="13">
        <v>107.62307414241339</v>
      </c>
      <c r="L4365" s="13">
        <v>5.3378109006508527</v>
      </c>
      <c r="M4365" s="13">
        <v>105.26503706513552</v>
      </c>
      <c r="N4365" s="13">
        <v>41.846972339459228</v>
      </c>
      <c r="O4365" s="13">
        <v>23.216236271897571</v>
      </c>
      <c r="P4365" s="13">
        <v>5.3167008490575789</v>
      </c>
    </row>
    <row r="4366" spans="1:16" s="11" customFormat="1">
      <c r="A4366" s="1" t="s">
        <v>5626</v>
      </c>
      <c r="B4366" s="13" t="s">
        <v>5674</v>
      </c>
      <c r="C4366" s="1" t="s">
        <v>18</v>
      </c>
      <c r="D4366" s="1" t="s">
        <v>81</v>
      </c>
      <c r="E4366" s="1" t="s">
        <v>4369</v>
      </c>
      <c r="F4366" s="13">
        <v>11.255455683331039</v>
      </c>
      <c r="G4366" s="13">
        <v>1197.3148104824763</v>
      </c>
      <c r="H4366" s="13">
        <v>701.83597523199739</v>
      </c>
      <c r="I4366" s="13">
        <v>269.30339669329419</v>
      </c>
      <c r="J4366" s="13">
        <v>1.162815432022025</v>
      </c>
      <c r="K4366" s="13">
        <v>65.948411474995439</v>
      </c>
      <c r="L4366" s="13">
        <v>5.5095504456454121</v>
      </c>
      <c r="M4366" s="13">
        <v>100.68377159432531</v>
      </c>
      <c r="N4366" s="13">
        <v>37.185709942480777</v>
      </c>
      <c r="O4366" s="13">
        <v>25.246058352888511</v>
      </c>
      <c r="P4366" s="13">
        <v>4.5323690094331832</v>
      </c>
    </row>
    <row r="4367" spans="1:16" s="11" customFormat="1">
      <c r="A4367" s="1" t="s">
        <v>5626</v>
      </c>
      <c r="B4367" s="13" t="s">
        <v>5675</v>
      </c>
      <c r="C4367" s="1" t="s">
        <v>18</v>
      </c>
      <c r="D4367" s="1" t="s">
        <v>81</v>
      </c>
      <c r="E4367" s="1" t="s">
        <v>4369</v>
      </c>
      <c r="F4367" s="13">
        <v>15.958617856345661</v>
      </c>
      <c r="G4367" s="13">
        <v>999.63979108727597</v>
      </c>
      <c r="H4367" s="13">
        <v>885.16098518662682</v>
      </c>
      <c r="I4367" s="13">
        <v>379.14637270632454</v>
      </c>
      <c r="J4367" s="13">
        <v>4.9737619763021685</v>
      </c>
      <c r="K4367" s="13">
        <v>67.960779793374613</v>
      </c>
      <c r="L4367" s="13">
        <v>8.1833077266292253</v>
      </c>
      <c r="M4367" s="13">
        <v>49.665711486204266</v>
      </c>
      <c r="N4367" s="13">
        <v>7.3723924254461171</v>
      </c>
      <c r="O4367" s="13">
        <v>57.387848280570843</v>
      </c>
      <c r="P4367" s="13">
        <v>5.5048162631297437</v>
      </c>
    </row>
    <row r="4368" spans="1:16" s="11" customFormat="1">
      <c r="A4368" s="1" t="s">
        <v>5626</v>
      </c>
      <c r="B4368" s="13" t="s">
        <v>5676</v>
      </c>
      <c r="C4368" s="1" t="s">
        <v>18</v>
      </c>
      <c r="D4368" s="1" t="s">
        <v>81</v>
      </c>
      <c r="E4368" s="1" t="s">
        <v>4369</v>
      </c>
      <c r="F4368" s="13">
        <v>9.3841042016804224</v>
      </c>
      <c r="G4368" s="13">
        <v>906.49849385996913</v>
      </c>
      <c r="H4368" s="13">
        <v>732.31055928542708</v>
      </c>
      <c r="I4368" s="13">
        <v>605.3800894678119</v>
      </c>
      <c r="J4368" s="13">
        <v>21.354199318069583</v>
      </c>
      <c r="K4368" s="13">
        <v>70.989227866150415</v>
      </c>
      <c r="L4368" s="13">
        <v>6.7163192567876324</v>
      </c>
      <c r="M4368" s="13">
        <v>54.337193838098365</v>
      </c>
      <c r="N4368" s="13">
        <v>7.6513560292551492</v>
      </c>
      <c r="O4368" s="13">
        <v>55.405427183538649</v>
      </c>
      <c r="P4368" s="13">
        <v>5.1461490611044196</v>
      </c>
    </row>
    <row r="4369" spans="1:16" s="11" customFormat="1">
      <c r="A4369" s="1" t="s">
        <v>5626</v>
      </c>
      <c r="B4369" s="13" t="s">
        <v>5677</v>
      </c>
      <c r="C4369" s="1" t="s">
        <v>18</v>
      </c>
      <c r="D4369" s="1" t="s">
        <v>81</v>
      </c>
      <c r="E4369" s="1" t="s">
        <v>4369</v>
      </c>
      <c r="F4369" s="13">
        <v>13.027647463137868</v>
      </c>
      <c r="G4369" s="13">
        <v>1394.2597497654417</v>
      </c>
      <c r="H4369" s="13">
        <v>1612.0367839317212</v>
      </c>
      <c r="I4369" s="13">
        <v>340.74947222051367</v>
      </c>
      <c r="J4369" s="13">
        <v>14.434658140236387</v>
      </c>
      <c r="K4369" s="13">
        <v>92.050078236801284</v>
      </c>
      <c r="L4369" s="13">
        <v>7.0373752968885999</v>
      </c>
      <c r="M4369" s="13">
        <v>43.149354456200328</v>
      </c>
      <c r="N4369" s="13">
        <v>11.61360681524036</v>
      </c>
      <c r="O4369" s="13">
        <v>60.679366354994329</v>
      </c>
      <c r="P4369" s="13">
        <v>7.4365539893389565</v>
      </c>
    </row>
    <row r="4370" spans="1:16" s="11" customFormat="1">
      <c r="A4370" s="1" t="s">
        <v>5626</v>
      </c>
      <c r="B4370" s="13" t="s">
        <v>5678</v>
      </c>
      <c r="C4370" s="1" t="s">
        <v>18</v>
      </c>
      <c r="D4370" s="1" t="s">
        <v>81</v>
      </c>
      <c r="E4370" s="1" t="s">
        <v>4369</v>
      </c>
      <c r="F4370" s="13">
        <v>15.781125908137337</v>
      </c>
      <c r="G4370" s="13">
        <v>1617.0165184559241</v>
      </c>
      <c r="H4370" s="13">
        <v>1641.7016504489516</v>
      </c>
      <c r="I4370" s="13">
        <v>437.69875137984542</v>
      </c>
      <c r="J4370" s="13">
        <v>1.162815432022025</v>
      </c>
      <c r="K4370" s="13">
        <v>91.301738163856982</v>
      </c>
      <c r="L4370" s="13">
        <v>7.2116917804558796</v>
      </c>
      <c r="M4370" s="13">
        <v>41.588637865948961</v>
      </c>
      <c r="N4370" s="13">
        <v>10.376694719109736</v>
      </c>
      <c r="O4370" s="13">
        <v>65.281205018577637</v>
      </c>
      <c r="P4370" s="13">
        <v>7.5245599890245956</v>
      </c>
    </row>
    <row r="4371" spans="1:16" s="11" customFormat="1">
      <c r="A4371" s="1" t="s">
        <v>5626</v>
      </c>
      <c r="B4371" s="13" t="s">
        <v>5679</v>
      </c>
      <c r="C4371" s="1" t="s">
        <v>18</v>
      </c>
      <c r="D4371" s="1" t="s">
        <v>81</v>
      </c>
      <c r="E4371" s="1" t="s">
        <v>4369</v>
      </c>
      <c r="F4371" s="13">
        <v>10.264847866378451</v>
      </c>
      <c r="G4371" s="13">
        <v>1310.3669447005657</v>
      </c>
      <c r="H4371" s="13">
        <v>1155.4179251993407</v>
      </c>
      <c r="I4371" s="13">
        <v>518.9296330182184</v>
      </c>
      <c r="J4371" s="13">
        <v>5.125484580820185</v>
      </c>
      <c r="K4371" s="13">
        <v>75.796258254968308</v>
      </c>
      <c r="L4371" s="13">
        <v>6.5062875853897442</v>
      </c>
      <c r="M4371" s="13">
        <v>46.006989297517961</v>
      </c>
      <c r="N4371" s="13">
        <v>7.2540164854653018</v>
      </c>
      <c r="O4371" s="13">
        <v>62.750718018657302</v>
      </c>
      <c r="P4371" s="13">
        <v>5.3855124336412796</v>
      </c>
    </row>
    <row r="4372" spans="1:16" s="11" customFormat="1">
      <c r="A4372" s="1" t="s">
        <v>5626</v>
      </c>
      <c r="B4372" s="13" t="s">
        <v>5680</v>
      </c>
      <c r="C4372" s="1" t="s">
        <v>18</v>
      </c>
      <c r="D4372" s="1" t="s">
        <v>81</v>
      </c>
      <c r="E4372" s="1" t="s">
        <v>4369</v>
      </c>
      <c r="F4372" s="13">
        <v>10.580185738205095</v>
      </c>
      <c r="G4372" s="13">
        <v>865.97174141813298</v>
      </c>
      <c r="H4372" s="13">
        <v>601.01932350300194</v>
      </c>
      <c r="I4372" s="13">
        <v>607.13702594489621</v>
      </c>
      <c r="J4372" s="13">
        <v>7.8532619626698779</v>
      </c>
      <c r="K4372" s="13">
        <v>65.680950402706742</v>
      </c>
      <c r="L4372" s="13">
        <v>5.8443746893474202</v>
      </c>
      <c r="M4372" s="13">
        <v>53.213162825077696</v>
      </c>
      <c r="N4372" s="13">
        <v>4.7456447289183021</v>
      </c>
      <c r="O4372" s="13">
        <v>52.127221909600529</v>
      </c>
      <c r="P4372" s="13">
        <v>3.8310804819931414</v>
      </c>
    </row>
    <row r="4373" spans="1:16" s="11" customFormat="1">
      <c r="A4373" s="1" t="s">
        <v>5626</v>
      </c>
      <c r="B4373" s="13" t="s">
        <v>5681</v>
      </c>
      <c r="C4373" s="1" t="s">
        <v>18</v>
      </c>
      <c r="D4373" s="1" t="s">
        <v>81</v>
      </c>
      <c r="E4373" s="1" t="s">
        <v>4369</v>
      </c>
      <c r="F4373" s="13">
        <v>9.923722876035713</v>
      </c>
      <c r="G4373" s="13">
        <v>952.63823266313182</v>
      </c>
      <c r="H4373" s="13">
        <v>852.2386103111362</v>
      </c>
      <c r="I4373" s="13">
        <v>791.60791270108109</v>
      </c>
      <c r="J4373" s="13">
        <v>15.564527777317846</v>
      </c>
      <c r="K4373" s="13">
        <v>74.130354956655282</v>
      </c>
      <c r="L4373" s="13">
        <v>4.8505973243558058</v>
      </c>
      <c r="M4373" s="13">
        <v>49.539768917471221</v>
      </c>
      <c r="N4373" s="13">
        <v>4.4891016484410668</v>
      </c>
      <c r="O4373" s="13">
        <v>52.588238986335654</v>
      </c>
      <c r="P4373" s="13">
        <v>6.141837434930407</v>
      </c>
    </row>
    <row r="4374" spans="1:16" s="11" customFormat="1">
      <c r="A4374" s="1" t="s">
        <v>5626</v>
      </c>
      <c r="B4374" s="13" t="s">
        <v>5682</v>
      </c>
      <c r="C4374" s="1" t="s">
        <v>18</v>
      </c>
      <c r="D4374" s="1" t="s">
        <v>81</v>
      </c>
      <c r="E4374" s="1" t="s">
        <v>4369</v>
      </c>
      <c r="F4374" s="13">
        <v>13.94313280980071</v>
      </c>
      <c r="G4374" s="13">
        <v>1369.9453735560596</v>
      </c>
      <c r="H4374" s="13">
        <v>1129.6149303813038</v>
      </c>
      <c r="I4374" s="13">
        <v>762.41798653872297</v>
      </c>
      <c r="J4374" s="13">
        <v>8.0848994567972241</v>
      </c>
      <c r="K4374" s="13">
        <v>85.799107579739655</v>
      </c>
      <c r="L4374" s="13">
        <v>7.7249431283819963</v>
      </c>
      <c r="M4374" s="13">
        <v>42.864393178299217</v>
      </c>
      <c r="N4374" s="13">
        <v>10.224325397920769</v>
      </c>
      <c r="O4374" s="13">
        <v>59.08957820164504</v>
      </c>
      <c r="P4374" s="13">
        <v>6.5352000364069411</v>
      </c>
    </row>
    <row r="4375" spans="1:16" s="11" customFormat="1">
      <c r="A4375" s="1" t="s">
        <v>5626</v>
      </c>
      <c r="B4375" s="11" t="s">
        <v>5683</v>
      </c>
      <c r="C4375" s="1" t="s">
        <v>18</v>
      </c>
      <c r="D4375" s="1" t="s">
        <v>81</v>
      </c>
      <c r="E4375" s="1" t="s">
        <v>4369</v>
      </c>
      <c r="F4375" s="11">
        <v>19.03446776042534</v>
      </c>
      <c r="G4375" s="11">
        <v>1308.9994843767352</v>
      </c>
      <c r="H4375" s="11">
        <v>686.78211182396637</v>
      </c>
      <c r="I4375" s="11">
        <v>729.8585523109748</v>
      </c>
      <c r="J4375" s="11">
        <v>28.730979332432831</v>
      </c>
      <c r="K4375" s="11">
        <v>108.514962912252</v>
      </c>
      <c r="L4375" s="11">
        <v>40.783617321686606</v>
      </c>
      <c r="M4375" s="11">
        <v>30.133768650140492</v>
      </c>
      <c r="N4375" s="11">
        <v>75.928191760851121</v>
      </c>
      <c r="O4375" s="11">
        <v>46.930719320839472</v>
      </c>
      <c r="P4375" s="11">
        <v>0.9502333829947196</v>
      </c>
    </row>
    <row r="4376" spans="1:16" s="11" customFormat="1">
      <c r="A4376" s="1" t="s">
        <v>5626</v>
      </c>
      <c r="B4376" s="11" t="s">
        <v>5684</v>
      </c>
      <c r="C4376" s="1" t="s">
        <v>18</v>
      </c>
      <c r="D4376" s="1" t="s">
        <v>81</v>
      </c>
      <c r="E4376" s="1" t="s">
        <v>4369</v>
      </c>
      <c r="F4376" s="11">
        <v>16.454377239067217</v>
      </c>
      <c r="G4376" s="11">
        <v>1417.8685403829506</v>
      </c>
      <c r="H4376" s="11">
        <v>946.35189603053436</v>
      </c>
      <c r="I4376" s="11">
        <v>682.64766769687697</v>
      </c>
      <c r="J4376" s="11">
        <v>11.820533909097723</v>
      </c>
      <c r="K4376" s="11">
        <v>112.11845930369536</v>
      </c>
      <c r="L4376" s="11">
        <v>33.904622771924544</v>
      </c>
      <c r="M4376" s="11">
        <v>28.899061835618443</v>
      </c>
      <c r="N4376" s="11">
        <v>105.832142268979</v>
      </c>
      <c r="O4376" s="11">
        <v>45.877771077716183</v>
      </c>
      <c r="P4376" s="11">
        <v>0.82408792712658396</v>
      </c>
    </row>
    <row r="4377" spans="1:16" s="11" customFormat="1">
      <c r="A4377" s="1" t="s">
        <v>5626</v>
      </c>
      <c r="B4377" s="11" t="s">
        <v>5685</v>
      </c>
      <c r="C4377" s="1" t="s">
        <v>18</v>
      </c>
      <c r="D4377" s="1" t="s">
        <v>81</v>
      </c>
      <c r="E4377" s="1" t="s">
        <v>4369</v>
      </c>
      <c r="F4377" s="11">
        <v>13.649353429943531</v>
      </c>
      <c r="G4377" s="11">
        <v>1541.0305104886572</v>
      </c>
      <c r="H4377" s="11">
        <v>871.39572984546771</v>
      </c>
      <c r="I4377" s="11">
        <v>655.91253451987563</v>
      </c>
      <c r="J4377" s="11">
        <v>2.4743534926330475</v>
      </c>
      <c r="K4377" s="11">
        <v>126.23128974583771</v>
      </c>
      <c r="L4377" s="11">
        <v>40.343280920854973</v>
      </c>
      <c r="M4377" s="11">
        <v>32.496733957404587</v>
      </c>
      <c r="N4377" s="11">
        <v>95.747956316509075</v>
      </c>
      <c r="O4377" s="11">
        <v>44.236361045905568</v>
      </c>
      <c r="P4377" s="11">
        <v>1.2666422888627644</v>
      </c>
    </row>
    <row r="4378" spans="1:16" s="11" customFormat="1">
      <c r="A4378" s="1" t="s">
        <v>5626</v>
      </c>
      <c r="B4378" s="11" t="s">
        <v>5686</v>
      </c>
      <c r="C4378" s="1" t="s">
        <v>18</v>
      </c>
      <c r="D4378" s="1" t="s">
        <v>81</v>
      </c>
      <c r="E4378" s="1" t="s">
        <v>4369</v>
      </c>
      <c r="F4378" s="11">
        <v>23.528449439854523</v>
      </c>
      <c r="G4378" s="11">
        <v>1665.7925091468148</v>
      </c>
      <c r="H4378" s="11">
        <v>1645.8145578650187</v>
      </c>
      <c r="I4378" s="11">
        <v>643.57785915879788</v>
      </c>
      <c r="J4378" s="11">
        <v>12.483653261761088</v>
      </c>
      <c r="K4378" s="11">
        <v>168.71100488850516</v>
      </c>
      <c r="L4378" s="11">
        <v>41.160798469891702</v>
      </c>
      <c r="M4378" s="11">
        <v>35.342020325773156</v>
      </c>
      <c r="N4378" s="11">
        <v>170.07315552268179</v>
      </c>
      <c r="O4378" s="11">
        <v>48.148357816226778</v>
      </c>
      <c r="P4378" s="11">
        <v>1.2508095464599158</v>
      </c>
    </row>
    <row r="4379" spans="1:16" s="11" customFormat="1">
      <c r="A4379" s="1" t="s">
        <v>5626</v>
      </c>
      <c r="B4379" s="11" t="s">
        <v>5687</v>
      </c>
      <c r="C4379" s="1" t="s">
        <v>18</v>
      </c>
      <c r="D4379" s="1" t="s">
        <v>81</v>
      </c>
      <c r="E4379" s="1" t="s">
        <v>4369</v>
      </c>
      <c r="F4379" s="11">
        <v>16.833166351611851</v>
      </c>
      <c r="G4379" s="11">
        <v>1039.3328459293796</v>
      </c>
      <c r="H4379" s="11">
        <v>1534.9545809630988</v>
      </c>
      <c r="I4379" s="11">
        <v>139.08365202441306</v>
      </c>
      <c r="J4379" s="11">
        <v>1.162815432022025</v>
      </c>
      <c r="K4379" s="11">
        <v>99.122395794899305</v>
      </c>
      <c r="L4379" s="11">
        <v>25.025572122706851</v>
      </c>
      <c r="M4379" s="11">
        <v>171.09217895118857</v>
      </c>
      <c r="N4379" s="11">
        <v>115.39624956791667</v>
      </c>
      <c r="O4379" s="11">
        <v>12.54309015501607</v>
      </c>
      <c r="P4379" s="11">
        <v>1.1000160544187849</v>
      </c>
    </row>
    <row r="4380" spans="1:16" s="11" customFormat="1">
      <c r="A4380" s="1" t="s">
        <v>5626</v>
      </c>
      <c r="B4380" s="11" t="s">
        <v>5688</v>
      </c>
      <c r="C4380" s="1" t="s">
        <v>18</v>
      </c>
      <c r="D4380" s="1" t="s">
        <v>81</v>
      </c>
      <c r="E4380" s="1" t="s">
        <v>4369</v>
      </c>
      <c r="F4380" s="11">
        <v>9.8841340674524218</v>
      </c>
      <c r="G4380" s="11">
        <v>1283.0406429797827</v>
      </c>
      <c r="H4380" s="11">
        <v>1629.9181523979173</v>
      </c>
      <c r="I4380" s="11">
        <v>183.33045609622752</v>
      </c>
      <c r="J4380" s="11">
        <v>1.162815432022025</v>
      </c>
      <c r="K4380" s="11">
        <v>104.20855467324935</v>
      </c>
      <c r="L4380" s="11">
        <v>34.09676508376544</v>
      </c>
      <c r="M4380" s="11">
        <v>163.90274728686646</v>
      </c>
      <c r="N4380" s="11">
        <v>293.46325725037661</v>
      </c>
      <c r="O4380" s="11">
        <v>15.192966578258487</v>
      </c>
      <c r="P4380" s="11">
        <v>2.1253702518170492</v>
      </c>
    </row>
    <row r="4381" spans="1:16" s="11" customFormat="1">
      <c r="A4381" s="1" t="s">
        <v>5626</v>
      </c>
      <c r="B4381" s="11" t="s">
        <v>5689</v>
      </c>
      <c r="C4381" s="1" t="s">
        <v>18</v>
      </c>
      <c r="D4381" s="1" t="s">
        <v>81</v>
      </c>
      <c r="E4381" s="1" t="s">
        <v>4369</v>
      </c>
      <c r="F4381" s="11">
        <v>13.491819677967143</v>
      </c>
      <c r="G4381" s="11">
        <v>790.19899536733976</v>
      </c>
      <c r="H4381" s="11">
        <v>1397.5549137763608</v>
      </c>
      <c r="I4381" s="11">
        <v>216.10812439251205</v>
      </c>
      <c r="J4381" s="11">
        <v>2.3825172985072682</v>
      </c>
      <c r="K4381" s="11">
        <v>70.614551812478965</v>
      </c>
      <c r="L4381" s="11">
        <v>15.239890305275942</v>
      </c>
      <c r="M4381" s="11">
        <v>134.63284353269202</v>
      </c>
      <c r="N4381" s="11">
        <v>72.776064729729896</v>
      </c>
      <c r="O4381" s="11">
        <v>11.660126398258136</v>
      </c>
      <c r="P4381" s="11">
        <v>1.2800095875796533</v>
      </c>
    </row>
    <row r="4382" spans="1:16" s="11" customFormat="1">
      <c r="A4382" s="1" t="s">
        <v>5626</v>
      </c>
      <c r="B4382" s="11" t="s">
        <v>5690</v>
      </c>
      <c r="C4382" s="1" t="s">
        <v>18</v>
      </c>
      <c r="D4382" s="1" t="s">
        <v>81</v>
      </c>
      <c r="E4382" s="1" t="s">
        <v>4369</v>
      </c>
      <c r="F4382" s="11">
        <v>14.652803170619293</v>
      </c>
      <c r="G4382" s="11">
        <v>1507.5757111624632</v>
      </c>
      <c r="H4382" s="11">
        <v>1897.952919742341</v>
      </c>
      <c r="I4382" s="11">
        <v>186.74693532834391</v>
      </c>
      <c r="J4382" s="11">
        <v>1.162815432022025</v>
      </c>
      <c r="K4382" s="11">
        <v>109.99892575593768</v>
      </c>
      <c r="L4382" s="11">
        <v>46.757516601432798</v>
      </c>
      <c r="M4382" s="11">
        <v>167.72762241228153</v>
      </c>
      <c r="N4382" s="11">
        <v>6259.7463484302434</v>
      </c>
      <c r="O4382" s="11">
        <v>15.354961024622776</v>
      </c>
      <c r="P4382" s="11">
        <v>2.6979841011047214</v>
      </c>
    </row>
    <row r="4383" spans="1:16" s="11" customFormat="1">
      <c r="A4383" s="1" t="s">
        <v>5626</v>
      </c>
      <c r="B4383" s="11" t="s">
        <v>5691</v>
      </c>
      <c r="C4383" s="1" t="s">
        <v>18</v>
      </c>
      <c r="D4383" s="1" t="s">
        <v>81</v>
      </c>
      <c r="E4383" s="1" t="s">
        <v>4369</v>
      </c>
      <c r="F4383" s="11">
        <v>9.8793820316110263</v>
      </c>
      <c r="G4383" s="11">
        <v>1512.3814653224003</v>
      </c>
      <c r="H4383" s="11">
        <v>1211.6529073801012</v>
      </c>
      <c r="I4383" s="11">
        <v>496.91532155394765</v>
      </c>
      <c r="J4383" s="11">
        <v>1.162815432022025</v>
      </c>
      <c r="K4383" s="11">
        <v>99.926902404298502</v>
      </c>
      <c r="L4383" s="11">
        <v>17.809300428282825</v>
      </c>
      <c r="M4383" s="11">
        <v>49.869883444145316</v>
      </c>
      <c r="N4383" s="11">
        <v>221.43454329240777</v>
      </c>
      <c r="O4383" s="11">
        <v>36.100621932954567</v>
      </c>
      <c r="P4383" s="11">
        <v>5.7398043601910276</v>
      </c>
    </row>
    <row r="4384" spans="1:16" s="11" customFormat="1">
      <c r="A4384" s="1" t="s">
        <v>5626</v>
      </c>
      <c r="B4384" s="11" t="s">
        <v>5692</v>
      </c>
      <c r="C4384" s="1" t="s">
        <v>18</v>
      </c>
      <c r="D4384" s="1" t="s">
        <v>81</v>
      </c>
      <c r="E4384" s="1" t="s">
        <v>4369</v>
      </c>
      <c r="F4384" s="11">
        <v>3.9240211255157602</v>
      </c>
      <c r="G4384" s="11">
        <v>1689.2162185513653</v>
      </c>
      <c r="H4384" s="11">
        <v>1904.3570896270332</v>
      </c>
      <c r="I4384" s="11">
        <v>763.0531353938037</v>
      </c>
      <c r="J4384" s="11">
        <v>1.162815432022025</v>
      </c>
      <c r="K4384" s="11">
        <v>117.80758640303058</v>
      </c>
      <c r="L4384" s="11">
        <v>7.0173276072111195</v>
      </c>
      <c r="M4384" s="11">
        <v>46.859787522572766</v>
      </c>
      <c r="N4384" s="11">
        <v>219.55252128670637</v>
      </c>
      <c r="O4384" s="11">
        <v>38.296979998923007</v>
      </c>
      <c r="P4384" s="11">
        <v>4.2961510210121689</v>
      </c>
    </row>
    <row r="4385" spans="1:16" s="11" customFormat="1">
      <c r="A4385" s="1" t="s">
        <v>5626</v>
      </c>
      <c r="B4385" s="11" t="s">
        <v>5693</v>
      </c>
      <c r="C4385" s="1" t="s">
        <v>18</v>
      </c>
      <c r="D4385" s="1" t="s">
        <v>81</v>
      </c>
      <c r="E4385" s="1" t="s">
        <v>4369</v>
      </c>
      <c r="F4385" s="11">
        <v>16.027392883860678</v>
      </c>
      <c r="G4385" s="11">
        <v>1359.8168236884126</v>
      </c>
      <c r="H4385" s="11">
        <v>1090.9042009863037</v>
      </c>
      <c r="I4385" s="11">
        <v>543.04049710149422</v>
      </c>
      <c r="J4385" s="11">
        <v>25.289180914109565</v>
      </c>
      <c r="K4385" s="11">
        <v>75.354324676916789</v>
      </c>
      <c r="L4385" s="11">
        <v>6.6262154126879595</v>
      </c>
      <c r="M4385" s="11">
        <v>50.283208876129351</v>
      </c>
      <c r="N4385" s="11">
        <v>99.436044250992396</v>
      </c>
      <c r="O4385" s="11">
        <v>32.077793693053778</v>
      </c>
      <c r="P4385" s="11">
        <v>4.1375958308828773</v>
      </c>
    </row>
    <row r="4386" spans="1:16" s="11" customFormat="1">
      <c r="A4386" s="1" t="s">
        <v>5626</v>
      </c>
      <c r="B4386" s="11" t="s">
        <v>5694</v>
      </c>
      <c r="C4386" s="1" t="s">
        <v>18</v>
      </c>
      <c r="D4386" s="1" t="s">
        <v>81</v>
      </c>
      <c r="E4386" s="1" t="s">
        <v>4369</v>
      </c>
      <c r="F4386" s="11">
        <v>3.9240211255157602</v>
      </c>
      <c r="G4386" s="11">
        <v>1355.7655113211031</v>
      </c>
      <c r="H4386" s="11">
        <v>773.20768308976892</v>
      </c>
      <c r="I4386" s="11">
        <v>798.52670226902171</v>
      </c>
      <c r="J4386" s="11">
        <v>1.162815432022025</v>
      </c>
      <c r="K4386" s="11">
        <v>61.725990878683596</v>
      </c>
      <c r="L4386" s="11">
        <v>26.792788360666702</v>
      </c>
      <c r="M4386" s="11">
        <v>193.84317345738731</v>
      </c>
      <c r="N4386" s="11">
        <v>354.57007372080307</v>
      </c>
      <c r="O4386" s="11">
        <v>46.787181633659394</v>
      </c>
      <c r="P4386" s="11">
        <v>4.6952906115641806</v>
      </c>
    </row>
    <row r="4387" spans="1:16" s="11" customFormat="1">
      <c r="A4387" s="1" t="s">
        <v>5626</v>
      </c>
      <c r="B4387" s="11" t="s">
        <v>5695</v>
      </c>
      <c r="C4387" s="1" t="s">
        <v>18</v>
      </c>
      <c r="D4387" s="1" t="s">
        <v>81</v>
      </c>
      <c r="E4387" s="1" t="s">
        <v>4369</v>
      </c>
      <c r="F4387" s="11">
        <v>21.50877514438902</v>
      </c>
      <c r="G4387" s="11">
        <v>1624.873211467866</v>
      </c>
      <c r="H4387" s="11">
        <v>1581.8629251992747</v>
      </c>
      <c r="I4387" s="11">
        <v>493.60640006919863</v>
      </c>
      <c r="J4387" s="11">
        <v>20.060780358780399</v>
      </c>
      <c r="K4387" s="11">
        <v>34.697178187395856</v>
      </c>
      <c r="L4387" s="11">
        <v>23.140191074858311</v>
      </c>
      <c r="M4387" s="11">
        <v>102.78854959430267</v>
      </c>
      <c r="N4387" s="11">
        <v>8.6875327727920268</v>
      </c>
      <c r="O4387" s="11">
        <v>39.949221874557075</v>
      </c>
      <c r="P4387" s="11">
        <v>5.3709781239966645</v>
      </c>
    </row>
    <row r="4388" spans="1:16" s="11" customFormat="1">
      <c r="A4388" s="1" t="s">
        <v>5626</v>
      </c>
      <c r="B4388" s="11" t="s">
        <v>5696</v>
      </c>
      <c r="C4388" s="1" t="s">
        <v>18</v>
      </c>
      <c r="D4388" s="1" t="s">
        <v>81</v>
      </c>
      <c r="E4388" s="1" t="s">
        <v>4369</v>
      </c>
      <c r="F4388" s="11">
        <v>14.192804685221049</v>
      </c>
      <c r="G4388" s="11">
        <v>1123.949878524938</v>
      </c>
      <c r="H4388" s="11">
        <v>762.26238374704235</v>
      </c>
      <c r="I4388" s="11">
        <v>591.58322305119339</v>
      </c>
      <c r="J4388" s="11">
        <v>24.23585500981536</v>
      </c>
      <c r="K4388" s="11">
        <v>35.841696202251001</v>
      </c>
      <c r="L4388" s="11">
        <v>20.749563822468524</v>
      </c>
      <c r="M4388" s="11">
        <v>98.94074951058586</v>
      </c>
      <c r="N4388" s="11">
        <v>8.3855578440617364</v>
      </c>
      <c r="O4388" s="11">
        <v>40.121956690076708</v>
      </c>
      <c r="P4388" s="11">
        <v>3.8703364799081377</v>
      </c>
    </row>
    <row r="4389" spans="1:16" s="11" customFormat="1">
      <c r="A4389" s="1" t="s">
        <v>5626</v>
      </c>
      <c r="B4389" s="11" t="s">
        <v>5697</v>
      </c>
      <c r="C4389" s="1" t="s">
        <v>18</v>
      </c>
      <c r="D4389" s="1" t="s">
        <v>81</v>
      </c>
      <c r="E4389" s="1" t="s">
        <v>4369</v>
      </c>
      <c r="F4389" s="11">
        <v>12.286126087020598</v>
      </c>
      <c r="G4389" s="11">
        <v>1268.3820319071267</v>
      </c>
      <c r="H4389" s="11">
        <v>1029.1432529681747</v>
      </c>
      <c r="I4389" s="11">
        <v>468.46237823039166</v>
      </c>
      <c r="J4389" s="11">
        <v>1.162815432022025</v>
      </c>
      <c r="K4389" s="11">
        <v>31.885464033166677</v>
      </c>
      <c r="L4389" s="11">
        <v>21.475543463260166</v>
      </c>
      <c r="M4389" s="11">
        <v>100.05613209404407</v>
      </c>
      <c r="N4389" s="11">
        <v>6.2955918808369651</v>
      </c>
      <c r="O4389" s="11">
        <v>38.750179248070133</v>
      </c>
      <c r="P4389" s="11">
        <v>4.4713323058025249</v>
      </c>
    </row>
    <row r="4390" spans="1:16" s="11" customFormat="1">
      <c r="A4390" s="1" t="s">
        <v>5626</v>
      </c>
      <c r="B4390" s="11" t="s">
        <v>5698</v>
      </c>
      <c r="C4390" s="1" t="s">
        <v>18</v>
      </c>
      <c r="D4390" s="1" t="s">
        <v>81</v>
      </c>
      <c r="E4390" s="1" t="s">
        <v>4369</v>
      </c>
      <c r="F4390" s="11">
        <v>10.335214690715066</v>
      </c>
      <c r="G4390" s="11">
        <v>1232.4068158741106</v>
      </c>
      <c r="H4390" s="11">
        <v>1139.2503400589828</v>
      </c>
      <c r="I4390" s="11">
        <v>461.11879007301582</v>
      </c>
      <c r="J4390" s="11">
        <v>27.008740940590339</v>
      </c>
      <c r="K4390" s="11">
        <v>41.150515084734629</v>
      </c>
      <c r="L4390" s="11">
        <v>22.72254451410662</v>
      </c>
      <c r="M4390" s="11">
        <v>56.590779618595398</v>
      </c>
      <c r="N4390" s="11">
        <v>6.847003632313637</v>
      </c>
      <c r="O4390" s="11">
        <v>25.36856713033119</v>
      </c>
      <c r="P4390" s="11">
        <v>3.8798927711809452</v>
      </c>
    </row>
    <row r="4391" spans="1:16" s="11" customFormat="1">
      <c r="A4391" s="1" t="s">
        <v>5626</v>
      </c>
      <c r="B4391" s="11" t="s">
        <v>5699</v>
      </c>
      <c r="C4391" s="1" t="s">
        <v>18</v>
      </c>
      <c r="D4391" s="1" t="s">
        <v>81</v>
      </c>
      <c r="E4391" s="1" t="s">
        <v>4369</v>
      </c>
      <c r="F4391" s="11">
        <v>30.596534071883649</v>
      </c>
      <c r="G4391" s="11">
        <v>1307.0324991365401</v>
      </c>
      <c r="H4391" s="11">
        <v>923.86803651610921</v>
      </c>
      <c r="I4391" s="11">
        <v>141.35251636982954</v>
      </c>
      <c r="J4391" s="11">
        <v>4.8060598487247654</v>
      </c>
      <c r="K4391" s="11">
        <v>107.01234727126752</v>
      </c>
      <c r="L4391" s="11">
        <v>86.349114935962945</v>
      </c>
      <c r="M4391" s="11">
        <v>157.29949800266451</v>
      </c>
      <c r="N4391" s="11">
        <v>6.0121851085915026</v>
      </c>
      <c r="O4391" s="11">
        <v>39.783289316299431</v>
      </c>
      <c r="P4391" s="11">
        <v>2.5620981871381949</v>
      </c>
    </row>
    <row r="4392" spans="1:16" s="11" customFormat="1">
      <c r="A4392" s="1" t="s">
        <v>5626</v>
      </c>
      <c r="B4392" s="11" t="s">
        <v>5700</v>
      </c>
      <c r="C4392" s="1" t="s">
        <v>18</v>
      </c>
      <c r="D4392" s="1" t="s">
        <v>81</v>
      </c>
      <c r="E4392" s="1" t="s">
        <v>4369</v>
      </c>
      <c r="F4392" s="11">
        <v>26.239444481723837</v>
      </c>
      <c r="G4392" s="11">
        <v>1469.6760476150439</v>
      </c>
      <c r="H4392" s="11">
        <v>1010.6103853153709</v>
      </c>
      <c r="I4392" s="11">
        <v>157.4654321335085</v>
      </c>
      <c r="J4392" s="11">
        <v>114.06492917169787</v>
      </c>
      <c r="K4392" s="11">
        <v>95.151150239686743</v>
      </c>
      <c r="L4392" s="11">
        <v>78.142468845736119</v>
      </c>
      <c r="M4392" s="11">
        <v>161.0289171194168</v>
      </c>
      <c r="N4392" s="11">
        <v>5.1558449199124423</v>
      </c>
      <c r="O4392" s="11">
        <v>43.724377351834363</v>
      </c>
      <c r="P4392" s="11">
        <v>2.7929580822904212</v>
      </c>
    </row>
    <row r="4393" spans="1:16" s="11" customFormat="1">
      <c r="A4393" s="1" t="s">
        <v>5626</v>
      </c>
      <c r="B4393" s="11" t="s">
        <v>5701</v>
      </c>
      <c r="C4393" s="1" t="s">
        <v>18</v>
      </c>
      <c r="D4393" s="1" t="s">
        <v>81</v>
      </c>
      <c r="E4393" s="1" t="s">
        <v>4369</v>
      </c>
      <c r="F4393" s="11">
        <v>25.737908642023058</v>
      </c>
      <c r="G4393" s="11">
        <v>1033.7282523231333</v>
      </c>
      <c r="H4393" s="11">
        <v>911.52652092394999</v>
      </c>
      <c r="I4393" s="11">
        <v>175.56927067064439</v>
      </c>
      <c r="J4393" s="11">
        <v>3.6822609359358776</v>
      </c>
      <c r="K4393" s="11">
        <v>74.717275231680517</v>
      </c>
      <c r="L4393" s="11">
        <v>79.452217038647859</v>
      </c>
      <c r="M4393" s="11">
        <v>154.59978482784643</v>
      </c>
      <c r="N4393" s="11">
        <v>4.3359256752317803</v>
      </c>
      <c r="O4393" s="11">
        <v>37.066280736674798</v>
      </c>
      <c r="P4393" s="11">
        <v>2.5336682022883719</v>
      </c>
    </row>
    <row r="4394" spans="1:16" s="11" customFormat="1">
      <c r="A4394" s="1" t="s">
        <v>5626</v>
      </c>
      <c r="B4394" s="11" t="s">
        <v>5702</v>
      </c>
      <c r="C4394" s="1" t="s">
        <v>18</v>
      </c>
      <c r="D4394" s="1" t="s">
        <v>81</v>
      </c>
      <c r="E4394" s="1" t="s">
        <v>4369</v>
      </c>
      <c r="F4394" s="11">
        <v>16.257898477455022</v>
      </c>
      <c r="G4394" s="11">
        <v>997.37101255029836</v>
      </c>
      <c r="H4394" s="11">
        <v>719.28899580152188</v>
      </c>
      <c r="I4394" s="11">
        <v>233.51249701323454</v>
      </c>
      <c r="J4394" s="11">
        <v>59.25508401361413</v>
      </c>
      <c r="K4394" s="11">
        <v>49.816861685299401</v>
      </c>
      <c r="L4394" s="11">
        <v>67.263804047468028</v>
      </c>
      <c r="M4394" s="11">
        <v>141.68605337282787</v>
      </c>
      <c r="N4394" s="11">
        <v>2.4662421933632879</v>
      </c>
      <c r="O4394" s="11">
        <v>31.237680045363401</v>
      </c>
      <c r="P4394" s="11">
        <v>2.5621411999901693</v>
      </c>
    </row>
    <row r="4395" spans="1:16" s="11" customFormat="1">
      <c r="A4395" s="1" t="s">
        <v>5626</v>
      </c>
      <c r="B4395" s="11" t="s">
        <v>5703</v>
      </c>
      <c r="C4395" s="1" t="s">
        <v>18</v>
      </c>
      <c r="D4395" s="1" t="s">
        <v>81</v>
      </c>
      <c r="E4395" s="1" t="s">
        <v>4369</v>
      </c>
      <c r="F4395" s="11">
        <v>3.9240211255157602</v>
      </c>
      <c r="G4395" s="11">
        <v>1278.7372941882861</v>
      </c>
      <c r="H4395" s="11">
        <v>1795.6347991885468</v>
      </c>
      <c r="I4395" s="11">
        <v>365.29507513862671</v>
      </c>
      <c r="J4395" s="11">
        <v>1.162815432022025</v>
      </c>
      <c r="K4395" s="11">
        <v>65.843348995332775</v>
      </c>
      <c r="L4395" s="11">
        <v>2.1366680268992888</v>
      </c>
      <c r="M4395" s="11">
        <v>67.666728523378424</v>
      </c>
      <c r="N4395" s="11">
        <v>112.18150103679858</v>
      </c>
      <c r="O4395" s="11">
        <v>25.26460038613784</v>
      </c>
      <c r="P4395" s="11">
        <v>7.6470467924050558</v>
      </c>
    </row>
    <row r="4396" spans="1:16" s="11" customFormat="1">
      <c r="A4396" s="1" t="s">
        <v>5626</v>
      </c>
      <c r="B4396" s="11" t="s">
        <v>5704</v>
      </c>
      <c r="C4396" s="1" t="s">
        <v>18</v>
      </c>
      <c r="D4396" s="1" t="s">
        <v>81</v>
      </c>
      <c r="E4396" s="1" t="s">
        <v>4369</v>
      </c>
      <c r="F4396" s="11">
        <v>30.97711746032126</v>
      </c>
      <c r="G4396" s="11">
        <v>1592.0534448450128</v>
      </c>
      <c r="H4396" s="11">
        <v>1757.238220091625</v>
      </c>
      <c r="I4396" s="11">
        <v>571.19844284205601</v>
      </c>
      <c r="J4396" s="11">
        <v>5.6239427430535764</v>
      </c>
      <c r="K4396" s="11">
        <v>68.083363480285641</v>
      </c>
      <c r="L4396" s="11">
        <v>2.3152847493245305</v>
      </c>
      <c r="M4396" s="11">
        <v>76.480303463273827</v>
      </c>
      <c r="N4396" s="11">
        <v>160.27470121421237</v>
      </c>
      <c r="O4396" s="11">
        <v>24.391095720855233</v>
      </c>
      <c r="P4396" s="11">
        <v>8.1336787880078116</v>
      </c>
    </row>
    <row r="4397" spans="1:16" s="11" customFormat="1">
      <c r="A4397" s="1" t="s">
        <v>5626</v>
      </c>
      <c r="B4397" s="11" t="s">
        <v>5705</v>
      </c>
      <c r="C4397" s="1" t="s">
        <v>18</v>
      </c>
      <c r="D4397" s="1" t="s">
        <v>81</v>
      </c>
      <c r="E4397" s="1" t="s">
        <v>4369</v>
      </c>
      <c r="F4397" s="11">
        <v>3.9240211255157602</v>
      </c>
      <c r="G4397" s="11">
        <v>987.12079265986927</v>
      </c>
      <c r="H4397" s="11">
        <v>1086.9713059196015</v>
      </c>
      <c r="I4397" s="11">
        <v>416.65475319862185</v>
      </c>
      <c r="J4397" s="11">
        <v>3.3840941188237861</v>
      </c>
      <c r="K4397" s="11">
        <v>52.794203141407557</v>
      </c>
      <c r="L4397" s="11">
        <v>1.640778634762305</v>
      </c>
      <c r="M4397" s="11">
        <v>73.326037884577872</v>
      </c>
      <c r="N4397" s="11">
        <v>30.458162004247644</v>
      </c>
      <c r="O4397" s="11">
        <v>18.120390387917443</v>
      </c>
      <c r="P4397" s="11">
        <v>5.9605588118847876</v>
      </c>
    </row>
    <row r="4398" spans="1:16" s="11" customFormat="1">
      <c r="A4398" s="1" t="s">
        <v>5626</v>
      </c>
      <c r="B4398" s="11" t="s">
        <v>5706</v>
      </c>
      <c r="C4398" s="1" t="s">
        <v>18</v>
      </c>
      <c r="D4398" s="1" t="s">
        <v>81</v>
      </c>
      <c r="E4398" s="1" t="s">
        <v>4369</v>
      </c>
      <c r="F4398" s="11">
        <v>101.60546873283492</v>
      </c>
      <c r="G4398" s="11">
        <v>802.12514705771332</v>
      </c>
      <c r="H4398" s="11">
        <v>691.9838876456048</v>
      </c>
      <c r="I4398" s="11">
        <v>935.80281059015965</v>
      </c>
      <c r="J4398" s="11">
        <v>30.243967713975302</v>
      </c>
      <c r="K4398" s="11">
        <v>41.900278689410861</v>
      </c>
      <c r="L4398" s="11">
        <v>1.9696366037614887</v>
      </c>
      <c r="M4398" s="11">
        <v>79.44229132869684</v>
      </c>
      <c r="N4398" s="11">
        <v>17.410101383906149</v>
      </c>
      <c r="O4398" s="11">
        <v>12.762186959509155</v>
      </c>
      <c r="P4398" s="11">
        <v>1.8176605339732701</v>
      </c>
    </row>
    <row r="4399" spans="1:16" s="11" customFormat="1">
      <c r="A4399" s="1" t="s">
        <v>5786</v>
      </c>
      <c r="B4399" s="13" t="s">
        <v>5707</v>
      </c>
      <c r="C4399" s="1" t="s">
        <v>18</v>
      </c>
      <c r="D4399" s="1" t="s">
        <v>81</v>
      </c>
      <c r="E4399" s="1" t="s">
        <v>4369</v>
      </c>
      <c r="F4399" s="13">
        <v>114.74201780625637</v>
      </c>
      <c r="G4399" s="13">
        <v>1280.018324903147</v>
      </c>
      <c r="H4399" s="13">
        <v>1322.0176585092456</v>
      </c>
      <c r="I4399" s="13">
        <v>14.982049753652722</v>
      </c>
      <c r="J4399" s="13">
        <v>8.5582306479406238</v>
      </c>
      <c r="K4399" s="13">
        <v>101.52591651548993</v>
      </c>
      <c r="L4399" s="13">
        <v>110.45104432933353</v>
      </c>
      <c r="M4399" s="13">
        <v>29.957542877321568</v>
      </c>
      <c r="N4399" s="13">
        <v>3.1158162096512134</v>
      </c>
      <c r="O4399" s="13">
        <v>5.5767611344296641</v>
      </c>
      <c r="P4399" s="13">
        <v>0.2696348638997485</v>
      </c>
    </row>
    <row r="4400" spans="1:16" s="11" customFormat="1">
      <c r="A4400" s="1" t="s">
        <v>5786</v>
      </c>
      <c r="B4400" s="13" t="s">
        <v>5708</v>
      </c>
      <c r="C4400" s="1" t="s">
        <v>18</v>
      </c>
      <c r="D4400" s="1" t="s">
        <v>81</v>
      </c>
      <c r="E4400" s="1" t="s">
        <v>4369</v>
      </c>
      <c r="F4400" s="13">
        <v>170.5921445686063</v>
      </c>
      <c r="G4400" s="13">
        <v>814.60689333244159</v>
      </c>
      <c r="H4400" s="13">
        <v>973.01762101666225</v>
      </c>
      <c r="I4400" s="13">
        <v>15.934383122405624</v>
      </c>
      <c r="J4400" s="13">
        <v>32.481953608665684</v>
      </c>
      <c r="K4400" s="13">
        <v>75.8937095962321</v>
      </c>
      <c r="L4400" s="13">
        <v>107.67454735037907</v>
      </c>
      <c r="M4400" s="13">
        <v>31.538219544644292</v>
      </c>
      <c r="N4400" s="13">
        <v>2.9064128832651943</v>
      </c>
      <c r="O4400" s="13">
        <v>5.3584005945807434</v>
      </c>
      <c r="P4400" s="13">
        <v>0.2696348638997485</v>
      </c>
    </row>
    <row r="4401" spans="1:16" s="11" customFormat="1">
      <c r="A4401" s="1" t="s">
        <v>5786</v>
      </c>
      <c r="B4401" s="13" t="s">
        <v>5709</v>
      </c>
      <c r="C4401" s="1" t="s">
        <v>18</v>
      </c>
      <c r="D4401" s="1" t="s">
        <v>81</v>
      </c>
      <c r="E4401" s="1" t="s">
        <v>4369</v>
      </c>
      <c r="F4401" s="13">
        <v>72.451747659509266</v>
      </c>
      <c r="G4401" s="13">
        <v>943.50063674009607</v>
      </c>
      <c r="H4401" s="13">
        <v>1178.5375752147042</v>
      </c>
      <c r="I4401" s="13">
        <v>16.806982348874016</v>
      </c>
      <c r="J4401" s="13">
        <v>12.026101843477976</v>
      </c>
      <c r="K4401" s="13">
        <v>81.000865328268048</v>
      </c>
      <c r="L4401" s="13">
        <v>115.67380668603415</v>
      </c>
      <c r="M4401" s="13">
        <v>30.263936980762089</v>
      </c>
      <c r="N4401" s="13">
        <v>1.5765445757433765</v>
      </c>
      <c r="O4401" s="13">
        <v>5.9308338353199552</v>
      </c>
      <c r="P4401" s="13">
        <v>0.2696348638997485</v>
      </c>
    </row>
    <row r="4402" spans="1:16" s="11" customFormat="1">
      <c r="A4402" s="1" t="s">
        <v>5786</v>
      </c>
      <c r="B4402" s="13" t="s">
        <v>5710</v>
      </c>
      <c r="C4402" s="1" t="s">
        <v>18</v>
      </c>
      <c r="D4402" s="1" t="s">
        <v>81</v>
      </c>
      <c r="E4402" s="1" t="s">
        <v>4369</v>
      </c>
      <c r="F4402" s="13">
        <v>100.12299144737445</v>
      </c>
      <c r="G4402" s="13">
        <v>1239.7216312787814</v>
      </c>
      <c r="H4402" s="13">
        <v>1331.1851845340875</v>
      </c>
      <c r="I4402" s="13">
        <v>15.642349040910252</v>
      </c>
      <c r="J4402" s="13">
        <v>9.3636668582594105</v>
      </c>
      <c r="K4402" s="13">
        <v>94.076697948270535</v>
      </c>
      <c r="L4402" s="13">
        <v>110.87038462818437</v>
      </c>
      <c r="M4402" s="13">
        <v>29.946960552708017</v>
      </c>
      <c r="N4402" s="13">
        <v>2.3016513457671368</v>
      </c>
      <c r="O4402" s="13">
        <v>6.9541373481477242</v>
      </c>
      <c r="P4402" s="13">
        <v>0.2696348638997485</v>
      </c>
    </row>
    <row r="4403" spans="1:16" s="11" customFormat="1">
      <c r="A4403" s="1" t="s">
        <v>5786</v>
      </c>
      <c r="B4403" s="13" t="s">
        <v>5711</v>
      </c>
      <c r="C4403" s="1" t="s">
        <v>18</v>
      </c>
      <c r="D4403" s="1" t="s">
        <v>81</v>
      </c>
      <c r="E4403" s="1" t="s">
        <v>4369</v>
      </c>
      <c r="F4403" s="13">
        <v>79.528084185771036</v>
      </c>
      <c r="G4403" s="13">
        <v>1186.3329558806745</v>
      </c>
      <c r="H4403" s="13">
        <v>1349.6960603808302</v>
      </c>
      <c r="I4403" s="13">
        <v>11.412302600464214</v>
      </c>
      <c r="J4403" s="13">
        <v>4.9466624621635527</v>
      </c>
      <c r="K4403" s="13">
        <v>85.092820077843271</v>
      </c>
      <c r="L4403" s="13">
        <v>111.60654895775187</v>
      </c>
      <c r="M4403" s="13">
        <v>25.307682945539515</v>
      </c>
      <c r="N4403" s="13">
        <v>2.5757640202767731</v>
      </c>
      <c r="O4403" s="13">
        <v>5.7645834057666194</v>
      </c>
      <c r="P4403" s="13">
        <v>0.2696348638997485</v>
      </c>
    </row>
    <row r="4404" spans="1:16" s="11" customFormat="1">
      <c r="A4404" s="1" t="s">
        <v>5786</v>
      </c>
      <c r="B4404" s="13" t="s">
        <v>5712</v>
      </c>
      <c r="C4404" s="1" t="s">
        <v>18</v>
      </c>
      <c r="D4404" s="1" t="s">
        <v>81</v>
      </c>
      <c r="E4404" s="1" t="s">
        <v>4369</v>
      </c>
      <c r="F4404" s="13">
        <v>65.530413794520626</v>
      </c>
      <c r="G4404" s="13">
        <v>1056.2086987478108</v>
      </c>
      <c r="H4404" s="13">
        <v>1237.6958641003339</v>
      </c>
      <c r="I4404" s="13">
        <v>18.886141626462845</v>
      </c>
      <c r="J4404" s="13">
        <v>5.1278889317707756</v>
      </c>
      <c r="K4404" s="13">
        <v>87.239042809649447</v>
      </c>
      <c r="L4404" s="13">
        <v>100.49094064673459</v>
      </c>
      <c r="M4404" s="13">
        <v>31.870629631024471</v>
      </c>
      <c r="N4404" s="13">
        <v>1.1525610616372117</v>
      </c>
      <c r="O4404" s="13">
        <v>5.1215373547847713</v>
      </c>
      <c r="P4404" s="13">
        <v>0.2696348638997485</v>
      </c>
    </row>
    <row r="4405" spans="1:16" s="11" customFormat="1">
      <c r="A4405" s="1" t="s">
        <v>5786</v>
      </c>
      <c r="B4405" s="13" t="s">
        <v>5713</v>
      </c>
      <c r="C4405" s="1" t="s">
        <v>18</v>
      </c>
      <c r="D4405" s="1" t="s">
        <v>81</v>
      </c>
      <c r="E4405" s="1" t="s">
        <v>4369</v>
      </c>
      <c r="F4405" s="13">
        <v>80.31861712347947</v>
      </c>
      <c r="G4405" s="13">
        <v>1453.3271696295737</v>
      </c>
      <c r="H4405" s="13">
        <v>1286.151727022246</v>
      </c>
      <c r="I4405" s="13">
        <v>13.639450661037429</v>
      </c>
      <c r="J4405" s="13">
        <v>3.9333080243241456</v>
      </c>
      <c r="K4405" s="13">
        <v>94.478393525602442</v>
      </c>
      <c r="L4405" s="13">
        <v>110.31526639420554</v>
      </c>
      <c r="M4405" s="13">
        <v>27.864468620220475</v>
      </c>
      <c r="N4405" s="13">
        <v>4.0284037819711331</v>
      </c>
      <c r="O4405" s="13">
        <v>5.6859504013389</v>
      </c>
      <c r="P4405" s="13">
        <v>0.2696348638997485</v>
      </c>
    </row>
    <row r="4406" spans="1:16" s="11" customFormat="1">
      <c r="A4406" s="1" t="s">
        <v>5786</v>
      </c>
      <c r="B4406" s="13" t="s">
        <v>5714</v>
      </c>
      <c r="C4406" s="1" t="s">
        <v>18</v>
      </c>
      <c r="D4406" s="1" t="s">
        <v>81</v>
      </c>
      <c r="E4406" s="1" t="s">
        <v>4369</v>
      </c>
      <c r="F4406" s="13">
        <v>247.95438846166212</v>
      </c>
      <c r="G4406" s="13">
        <v>1259.7709463082979</v>
      </c>
      <c r="H4406" s="13">
        <v>1191.6214102953293</v>
      </c>
      <c r="I4406" s="13">
        <v>18.394263371147932</v>
      </c>
      <c r="J4406" s="13">
        <v>7.7792157611683157</v>
      </c>
      <c r="K4406" s="13">
        <v>66.342085097482055</v>
      </c>
      <c r="L4406" s="13">
        <v>96.638634108110196</v>
      </c>
      <c r="M4406" s="13">
        <v>33.960675199489508</v>
      </c>
      <c r="N4406" s="13">
        <v>2.8256141633260654</v>
      </c>
      <c r="O4406" s="13">
        <v>6.6619296331591435</v>
      </c>
      <c r="P4406" s="13">
        <v>0.91583796580528576</v>
      </c>
    </row>
    <row r="4407" spans="1:16" s="11" customFormat="1">
      <c r="A4407" s="1" t="s">
        <v>5786</v>
      </c>
      <c r="B4407" s="13" t="s">
        <v>5715</v>
      </c>
      <c r="C4407" s="1" t="s">
        <v>18</v>
      </c>
      <c r="D4407" s="1" t="s">
        <v>81</v>
      </c>
      <c r="E4407" s="1" t="s">
        <v>4369</v>
      </c>
      <c r="F4407" s="13">
        <v>62.905237483766136</v>
      </c>
      <c r="G4407" s="13">
        <v>1257.4984737975601</v>
      </c>
      <c r="H4407" s="13">
        <v>1382.4618405755386</v>
      </c>
      <c r="I4407" s="13">
        <v>14.681520427268458</v>
      </c>
      <c r="J4407" s="13">
        <v>12.875079037889389</v>
      </c>
      <c r="K4407" s="13">
        <v>94.172682684691125</v>
      </c>
      <c r="L4407" s="13">
        <v>111.71113952143763</v>
      </c>
      <c r="M4407" s="13">
        <v>33.998054841754652</v>
      </c>
      <c r="N4407" s="13">
        <v>5.5817893186104879</v>
      </c>
      <c r="O4407" s="13">
        <v>5.9080914679075462</v>
      </c>
      <c r="P4407" s="13">
        <v>0.2696348638997485</v>
      </c>
    </row>
    <row r="4408" spans="1:16" s="11" customFormat="1">
      <c r="A4408" s="1" t="s">
        <v>5786</v>
      </c>
      <c r="B4408" s="13" t="s">
        <v>5716</v>
      </c>
      <c r="C4408" s="1" t="s">
        <v>18</v>
      </c>
      <c r="D4408" s="1" t="s">
        <v>81</v>
      </c>
      <c r="E4408" s="1" t="s">
        <v>4369</v>
      </c>
      <c r="F4408" s="13">
        <v>83.838028388499126</v>
      </c>
      <c r="G4408" s="13">
        <v>1452.1440742017155</v>
      </c>
      <c r="H4408" s="13">
        <v>1948.2428636502145</v>
      </c>
      <c r="I4408" s="13">
        <v>17.837819777373785</v>
      </c>
      <c r="J4408" s="13">
        <v>3.0652300867488722</v>
      </c>
      <c r="K4408" s="13">
        <v>79.281605979929125</v>
      </c>
      <c r="L4408" s="13">
        <v>117.56447342984445</v>
      </c>
      <c r="M4408" s="13">
        <v>31.600010058835021</v>
      </c>
      <c r="N4408" s="13">
        <v>4.366374298941949</v>
      </c>
      <c r="O4408" s="13">
        <v>6.6543937136455105</v>
      </c>
      <c r="P4408" s="13">
        <v>0.61549860929543621</v>
      </c>
    </row>
    <row r="4409" spans="1:16" s="11" customFormat="1">
      <c r="A4409" s="1" t="s">
        <v>5786</v>
      </c>
      <c r="B4409" s="11" t="s">
        <v>5717</v>
      </c>
      <c r="C4409" s="1" t="s">
        <v>18</v>
      </c>
      <c r="D4409" s="1" t="s">
        <v>81</v>
      </c>
      <c r="E4409" s="1" t="s">
        <v>4369</v>
      </c>
      <c r="F4409" s="11">
        <v>1208.2142063911238</v>
      </c>
      <c r="G4409" s="11">
        <v>1597.503921410974</v>
      </c>
      <c r="H4409" s="11">
        <v>74.020144579988568</v>
      </c>
      <c r="I4409" s="11">
        <v>602.39505989314034</v>
      </c>
      <c r="J4409" s="11">
        <v>16.822646904327247</v>
      </c>
      <c r="K4409" s="11">
        <v>52.282131244143486</v>
      </c>
      <c r="L4409" s="11">
        <v>51.804638931278369</v>
      </c>
      <c r="M4409" s="11">
        <v>271.12424221436618</v>
      </c>
      <c r="N4409" s="11">
        <v>4.8064738458108751</v>
      </c>
      <c r="O4409" s="11">
        <v>13.295386788146496</v>
      </c>
      <c r="P4409" s="11">
        <v>0.82574633350837734</v>
      </c>
    </row>
    <row r="4410" spans="1:16" s="11" customFormat="1">
      <c r="A4410" s="1" t="s">
        <v>5786</v>
      </c>
      <c r="B4410" s="11" t="s">
        <v>5718</v>
      </c>
      <c r="C4410" s="1" t="s">
        <v>18</v>
      </c>
      <c r="D4410" s="1" t="s">
        <v>81</v>
      </c>
      <c r="E4410" s="1" t="s">
        <v>4369</v>
      </c>
      <c r="F4410" s="11">
        <v>15.998046760390594</v>
      </c>
      <c r="G4410" s="11">
        <v>395.72307018014203</v>
      </c>
      <c r="H4410" s="11">
        <v>59.281531128774375</v>
      </c>
      <c r="I4410" s="11">
        <v>666.57238547616498</v>
      </c>
      <c r="J4410" s="11">
        <v>29.493260148803447</v>
      </c>
      <c r="K4410" s="11">
        <v>55.364742512849254</v>
      </c>
      <c r="L4410" s="11">
        <v>50.80706436328213</v>
      </c>
      <c r="M4410" s="11">
        <v>317.79054888034864</v>
      </c>
      <c r="N4410" s="11">
        <v>4.0349015682819802</v>
      </c>
      <c r="O4410" s="11">
        <v>20.451159313523071</v>
      </c>
      <c r="P4410" s="11">
        <v>0.2696348638997485</v>
      </c>
    </row>
    <row r="4411" spans="1:16" s="11" customFormat="1">
      <c r="A4411" s="1" t="s">
        <v>5786</v>
      </c>
      <c r="B4411" s="11" t="s">
        <v>5719</v>
      </c>
      <c r="C4411" s="1" t="s">
        <v>18</v>
      </c>
      <c r="D4411" s="1" t="s">
        <v>81</v>
      </c>
      <c r="E4411" s="1" t="s">
        <v>4369</v>
      </c>
      <c r="F4411" s="11">
        <v>15.628615040937197</v>
      </c>
      <c r="G4411" s="11">
        <v>376.01535304967229</v>
      </c>
      <c r="H4411" s="11">
        <v>102.91204340846431</v>
      </c>
      <c r="I4411" s="11">
        <v>687.15715895592098</v>
      </c>
      <c r="J4411" s="11">
        <v>15.754398930591522</v>
      </c>
      <c r="K4411" s="11">
        <v>55.067575562177097</v>
      </c>
      <c r="L4411" s="11">
        <v>51.914154163090032</v>
      </c>
      <c r="M4411" s="11">
        <v>324.72207950523364</v>
      </c>
      <c r="N4411" s="11">
        <v>5.3132789550794985</v>
      </c>
      <c r="O4411" s="11">
        <v>17.497875374363677</v>
      </c>
      <c r="P4411" s="11">
        <v>0.2696348638997485</v>
      </c>
    </row>
    <row r="4412" spans="1:16" s="11" customFormat="1">
      <c r="A4412" s="1" t="s">
        <v>5786</v>
      </c>
      <c r="B4412" s="11" t="s">
        <v>5720</v>
      </c>
      <c r="C4412" s="1" t="s">
        <v>18</v>
      </c>
      <c r="D4412" s="1" t="s">
        <v>81</v>
      </c>
      <c r="E4412" s="1" t="s">
        <v>4369</v>
      </c>
      <c r="F4412" s="11">
        <v>204.03980561016422</v>
      </c>
      <c r="G4412" s="11">
        <v>546.7140089547172</v>
      </c>
      <c r="H4412" s="11">
        <v>38.677820624461589</v>
      </c>
      <c r="I4412" s="11">
        <v>668.99198402513957</v>
      </c>
      <c r="J4412" s="11">
        <v>20.619682780985855</v>
      </c>
      <c r="K4412" s="11">
        <v>50.956381065671629</v>
      </c>
      <c r="L4412" s="11">
        <v>50.838312583739217</v>
      </c>
      <c r="M4412" s="11">
        <v>297.78960795721019</v>
      </c>
      <c r="N4412" s="11">
        <v>4.1544984193011008</v>
      </c>
      <c r="O4412" s="11">
        <v>12.853495861031355</v>
      </c>
      <c r="P4412" s="11">
        <v>0.2696348638997485</v>
      </c>
    </row>
    <row r="4413" spans="1:16" s="11" customFormat="1">
      <c r="A4413" s="1" t="s">
        <v>5786</v>
      </c>
      <c r="B4413" s="11" t="s">
        <v>5721</v>
      </c>
      <c r="C4413" s="1" t="s">
        <v>18</v>
      </c>
      <c r="D4413" s="1" t="s">
        <v>81</v>
      </c>
      <c r="E4413" s="1" t="s">
        <v>4369</v>
      </c>
      <c r="F4413" s="11">
        <v>20.380360522725152</v>
      </c>
      <c r="G4413" s="11">
        <v>415.80735984085101</v>
      </c>
      <c r="H4413" s="11">
        <v>69.132420266635933</v>
      </c>
      <c r="I4413" s="11">
        <v>659.92018667048683</v>
      </c>
      <c r="J4413" s="11">
        <v>36.549189201779129</v>
      </c>
      <c r="K4413" s="11">
        <v>57.295069094395245</v>
      </c>
      <c r="L4413" s="11">
        <v>52.393661101280216</v>
      </c>
      <c r="M4413" s="11">
        <v>300.61136996655659</v>
      </c>
      <c r="N4413" s="11">
        <v>4.9745216525449152</v>
      </c>
      <c r="O4413" s="11">
        <v>16.682988539998497</v>
      </c>
      <c r="P4413" s="11">
        <v>0.2696348638997485</v>
      </c>
    </row>
    <row r="4414" spans="1:16" s="11" customFormat="1">
      <c r="A4414" s="1" t="s">
        <v>5786</v>
      </c>
      <c r="B4414" s="11" t="s">
        <v>5722</v>
      </c>
      <c r="C4414" s="1" t="s">
        <v>18</v>
      </c>
      <c r="D4414" s="1" t="s">
        <v>81</v>
      </c>
      <c r="E4414" s="1" t="s">
        <v>4369</v>
      </c>
      <c r="F4414" s="11">
        <v>8.3861763435951531</v>
      </c>
      <c r="G4414" s="11">
        <v>520.9041545429767</v>
      </c>
      <c r="H4414" s="11">
        <v>358.8257164526907</v>
      </c>
      <c r="I4414" s="11">
        <v>662.86555631092529</v>
      </c>
      <c r="J4414" s="11">
        <v>33.103203632592567</v>
      </c>
      <c r="K4414" s="11">
        <v>55.837414533513162</v>
      </c>
      <c r="L4414" s="11">
        <v>50.442073669362628</v>
      </c>
      <c r="M4414" s="11">
        <v>337.54150835760754</v>
      </c>
      <c r="N4414" s="11">
        <v>3.6455918874692657</v>
      </c>
      <c r="O4414" s="11">
        <v>17.721437620536239</v>
      </c>
      <c r="P4414" s="11">
        <v>0.2696348638997485</v>
      </c>
    </row>
    <row r="4415" spans="1:16" s="11" customFormat="1">
      <c r="A4415" s="1" t="s">
        <v>5786</v>
      </c>
      <c r="B4415" s="11" t="s">
        <v>5723</v>
      </c>
      <c r="C4415" s="1" t="s">
        <v>18</v>
      </c>
      <c r="D4415" s="1" t="s">
        <v>81</v>
      </c>
      <c r="E4415" s="1" t="s">
        <v>4369</v>
      </c>
      <c r="F4415" s="11">
        <v>97.028865467040148</v>
      </c>
      <c r="G4415" s="11">
        <v>553.39481639485518</v>
      </c>
      <c r="H4415" s="11">
        <v>521.42450863553995</v>
      </c>
      <c r="I4415" s="11">
        <v>666.45893303619209</v>
      </c>
      <c r="J4415" s="11">
        <v>38.011401156481284</v>
      </c>
      <c r="K4415" s="11">
        <v>53.774104133472107</v>
      </c>
      <c r="L4415" s="11">
        <v>53.145723364213232</v>
      </c>
      <c r="M4415" s="11">
        <v>344.79533947913552</v>
      </c>
      <c r="N4415" s="11">
        <v>4.5617678601832985</v>
      </c>
      <c r="O4415" s="11">
        <v>16.123028732662334</v>
      </c>
      <c r="P4415" s="11">
        <v>0.2696348638997485</v>
      </c>
    </row>
    <row r="4416" spans="1:16" s="11" customFormat="1">
      <c r="A4416" s="1" t="s">
        <v>5786</v>
      </c>
      <c r="B4416" s="11" t="s">
        <v>5724</v>
      </c>
      <c r="C4416" s="1" t="s">
        <v>18</v>
      </c>
      <c r="D4416" s="1" t="s">
        <v>81</v>
      </c>
      <c r="E4416" s="1" t="s">
        <v>4369</v>
      </c>
      <c r="F4416" s="11">
        <v>142.89629524673828</v>
      </c>
      <c r="G4416" s="11">
        <v>556.12549898508462</v>
      </c>
      <c r="H4416" s="11">
        <v>539.53684773096779</v>
      </c>
      <c r="I4416" s="11">
        <v>641.97032978794175</v>
      </c>
      <c r="J4416" s="11">
        <v>47.850302658253511</v>
      </c>
      <c r="K4416" s="11">
        <v>57.910617825703106</v>
      </c>
      <c r="L4416" s="11">
        <v>51.309989043379133</v>
      </c>
      <c r="M4416" s="11">
        <v>345.47459041124489</v>
      </c>
      <c r="N4416" s="11">
        <v>5.9392381082043677</v>
      </c>
      <c r="O4416" s="11">
        <v>19.067582748852086</v>
      </c>
      <c r="P4416" s="11">
        <v>0.67706340912276386</v>
      </c>
    </row>
    <row r="4417" spans="1:16" s="11" customFormat="1">
      <c r="A4417" s="1" t="s">
        <v>5786</v>
      </c>
      <c r="B4417" s="11" t="s">
        <v>5725</v>
      </c>
      <c r="C4417" s="1" t="s">
        <v>18</v>
      </c>
      <c r="D4417" s="1" t="s">
        <v>81</v>
      </c>
      <c r="E4417" s="1" t="s">
        <v>4369</v>
      </c>
      <c r="F4417" s="11">
        <v>62.661398034473734</v>
      </c>
      <c r="G4417" s="11">
        <v>542.02958447536298</v>
      </c>
      <c r="H4417" s="11">
        <v>163.62794714979799</v>
      </c>
      <c r="I4417" s="11">
        <v>606.52022106693346</v>
      </c>
      <c r="J4417" s="11">
        <v>48.546722031613143</v>
      </c>
      <c r="K4417" s="11">
        <v>54.70749384001595</v>
      </c>
      <c r="L4417" s="11">
        <v>50.049932605185177</v>
      </c>
      <c r="M4417" s="11">
        <v>341.20409595337264</v>
      </c>
      <c r="N4417" s="11">
        <v>6.5396097620544458</v>
      </c>
      <c r="O4417" s="11">
        <v>24.488643133959364</v>
      </c>
      <c r="P4417" s="11">
        <v>0.2696348638997485</v>
      </c>
    </row>
    <row r="4418" spans="1:16" s="11" customFormat="1">
      <c r="A4418" s="1" t="s">
        <v>5786</v>
      </c>
      <c r="B4418" s="11" t="s">
        <v>5726</v>
      </c>
      <c r="C4418" s="1" t="s">
        <v>18</v>
      </c>
      <c r="D4418" s="1" t="s">
        <v>81</v>
      </c>
      <c r="E4418" s="1" t="s">
        <v>4369</v>
      </c>
      <c r="F4418" s="11">
        <v>42.60888775031011</v>
      </c>
      <c r="G4418" s="11">
        <v>504.57258827365285</v>
      </c>
      <c r="H4418" s="11">
        <v>63.026278625438614</v>
      </c>
      <c r="I4418" s="11">
        <v>654.52998389186234</v>
      </c>
      <c r="J4418" s="11">
        <v>41.966252914847061</v>
      </c>
      <c r="K4418" s="11">
        <v>57.256070106266463</v>
      </c>
      <c r="L4418" s="11">
        <v>49.791926117763303</v>
      </c>
      <c r="M4418" s="11">
        <v>341.72392122933149</v>
      </c>
      <c r="N4418" s="11">
        <v>4.5155789785461184</v>
      </c>
      <c r="O4418" s="11">
        <v>21.935039987478223</v>
      </c>
      <c r="P4418" s="11">
        <v>0.2696348638997485</v>
      </c>
    </row>
    <row r="4419" spans="1:16" s="11" customFormat="1">
      <c r="A4419" s="1" t="s">
        <v>5786</v>
      </c>
      <c r="B4419" s="11" t="s">
        <v>5727</v>
      </c>
      <c r="C4419" s="1" t="s">
        <v>18</v>
      </c>
      <c r="D4419" s="1" t="s">
        <v>81</v>
      </c>
      <c r="E4419" s="1" t="s">
        <v>4369</v>
      </c>
      <c r="F4419" s="11">
        <v>94.734439661841776</v>
      </c>
      <c r="G4419" s="11">
        <v>536.07782813386734</v>
      </c>
      <c r="H4419" s="11">
        <v>714.83648787235984</v>
      </c>
      <c r="I4419" s="11">
        <v>608.61869520013011</v>
      </c>
      <c r="J4419" s="11">
        <v>41.671477709593944</v>
      </c>
      <c r="K4419" s="11">
        <v>56.375178344625589</v>
      </c>
      <c r="L4419" s="11">
        <v>51.851551053540412</v>
      </c>
      <c r="M4419" s="11">
        <v>336.4204986584262</v>
      </c>
      <c r="N4419" s="11">
        <v>6.935658329859419</v>
      </c>
      <c r="O4419" s="11">
        <v>16.878308110677239</v>
      </c>
      <c r="P4419" s="11">
        <v>0.594551786929156</v>
      </c>
    </row>
    <row r="4420" spans="1:16" s="11" customFormat="1">
      <c r="A4420" s="1" t="s">
        <v>5786</v>
      </c>
      <c r="B4420" s="11" t="s">
        <v>5728</v>
      </c>
      <c r="C4420" s="1" t="s">
        <v>18</v>
      </c>
      <c r="D4420" s="1" t="s">
        <v>81</v>
      </c>
      <c r="E4420" s="1" t="s">
        <v>4369</v>
      </c>
      <c r="F4420" s="11">
        <v>138.71230541675865</v>
      </c>
      <c r="G4420" s="11">
        <v>544.42471423272355</v>
      </c>
      <c r="H4420" s="11">
        <v>451.30306424944018</v>
      </c>
      <c r="I4420" s="11">
        <v>634.73288436807582</v>
      </c>
      <c r="J4420" s="11">
        <v>42.097882282290563</v>
      </c>
      <c r="K4420" s="11">
        <v>60.388443075666132</v>
      </c>
      <c r="L4420" s="11">
        <v>55.349555886010918</v>
      </c>
      <c r="M4420" s="11">
        <v>355.39741859017562</v>
      </c>
      <c r="N4420" s="11">
        <v>7.8645518438322979</v>
      </c>
      <c r="O4420" s="11">
        <v>18.780448977008607</v>
      </c>
      <c r="P4420" s="11">
        <v>0.58545356210031474</v>
      </c>
    </row>
    <row r="4421" spans="1:16" s="11" customFormat="1">
      <c r="A4421" s="1" t="s">
        <v>5786</v>
      </c>
      <c r="B4421" s="11" t="s">
        <v>5729</v>
      </c>
      <c r="C4421" s="1" t="s">
        <v>18</v>
      </c>
      <c r="D4421" s="1" t="s">
        <v>81</v>
      </c>
      <c r="E4421" s="1" t="s">
        <v>4369</v>
      </c>
      <c r="F4421" s="11">
        <v>25.575602603951221</v>
      </c>
      <c r="G4421" s="11">
        <v>617.75992613884489</v>
      </c>
      <c r="H4421" s="11">
        <v>193.50536530889161</v>
      </c>
      <c r="I4421" s="11">
        <v>626.9372280594996</v>
      </c>
      <c r="J4421" s="11">
        <v>28.375165254980754</v>
      </c>
      <c r="K4421" s="11">
        <v>60.338515156396106</v>
      </c>
      <c r="L4421" s="11">
        <v>52.184435557669289</v>
      </c>
      <c r="M4421" s="11">
        <v>336.15712348557321</v>
      </c>
      <c r="N4421" s="11">
        <v>8.1986499098355239</v>
      </c>
      <c r="O4421" s="11">
        <v>19.981192037977205</v>
      </c>
      <c r="P4421" s="11">
        <v>0.2696348638997485</v>
      </c>
    </row>
    <row r="4422" spans="1:16" s="11" customFormat="1">
      <c r="A4422" s="1" t="s">
        <v>5786</v>
      </c>
      <c r="B4422" s="11" t="s">
        <v>5730</v>
      </c>
      <c r="C4422" s="1" t="s">
        <v>18</v>
      </c>
      <c r="D4422" s="1" t="s">
        <v>81</v>
      </c>
      <c r="E4422" s="1" t="s">
        <v>4369</v>
      </c>
      <c r="F4422" s="11">
        <v>23.497117518303089</v>
      </c>
      <c r="G4422" s="11">
        <v>578.91448642049352</v>
      </c>
      <c r="H4422" s="11">
        <v>377.17865803525166</v>
      </c>
      <c r="I4422" s="11">
        <v>643.07482996223848</v>
      </c>
      <c r="J4422" s="11">
        <v>37.155312385481736</v>
      </c>
      <c r="K4422" s="11">
        <v>54.61005154460792</v>
      </c>
      <c r="L4422" s="11">
        <v>49.376470727011785</v>
      </c>
      <c r="M4422" s="11">
        <v>344.75856959369418</v>
      </c>
      <c r="N4422" s="11">
        <v>8.6678694946708763</v>
      </c>
      <c r="O4422" s="11">
        <v>23.479603171302106</v>
      </c>
      <c r="P4422" s="11">
        <v>0.2696348638997485</v>
      </c>
    </row>
    <row r="4423" spans="1:16" s="11" customFormat="1">
      <c r="A4423" s="1" t="s">
        <v>5786</v>
      </c>
      <c r="B4423" s="11" t="s">
        <v>5731</v>
      </c>
      <c r="C4423" s="1" t="s">
        <v>18</v>
      </c>
      <c r="D4423" s="1" t="s">
        <v>81</v>
      </c>
      <c r="E4423" s="1" t="s">
        <v>4369</v>
      </c>
      <c r="F4423" s="11">
        <v>142.03623070575543</v>
      </c>
      <c r="G4423" s="11">
        <v>649.04004950681019</v>
      </c>
      <c r="H4423" s="11">
        <v>431.13566392081947</v>
      </c>
      <c r="I4423" s="11">
        <v>618.95840621888942</v>
      </c>
      <c r="J4423" s="11">
        <v>45.360732415427179</v>
      </c>
      <c r="K4423" s="11">
        <v>56.57891875408307</v>
      </c>
      <c r="L4423" s="11">
        <v>51.567131093019128</v>
      </c>
      <c r="M4423" s="11">
        <v>345.8294659403353</v>
      </c>
      <c r="N4423" s="11">
        <v>8.3483867240136451</v>
      </c>
      <c r="O4423" s="11">
        <v>18.913622184848698</v>
      </c>
      <c r="P4423" s="11">
        <v>0.2696348638997485</v>
      </c>
    </row>
    <row r="4424" spans="1:16" s="11" customFormat="1">
      <c r="A4424" s="1" t="s">
        <v>5786</v>
      </c>
      <c r="B4424" s="11" t="s">
        <v>5732</v>
      </c>
      <c r="C4424" s="1" t="s">
        <v>18</v>
      </c>
      <c r="D4424" s="1" t="s">
        <v>81</v>
      </c>
      <c r="E4424" s="1" t="s">
        <v>4369</v>
      </c>
      <c r="F4424" s="11">
        <v>80.71881046427022</v>
      </c>
      <c r="G4424" s="11">
        <v>532.92693983239735</v>
      </c>
      <c r="H4424" s="11">
        <v>160.81457747849734</v>
      </c>
      <c r="I4424" s="11">
        <v>604.65404227352951</v>
      </c>
      <c r="J4424" s="11">
        <v>45.351748285556532</v>
      </c>
      <c r="K4424" s="11">
        <v>59.19869343742257</v>
      </c>
      <c r="L4424" s="11">
        <v>59.061128631170718</v>
      </c>
      <c r="M4424" s="11">
        <v>330.98475216496468</v>
      </c>
      <c r="N4424" s="11">
        <v>14.19369063269596</v>
      </c>
      <c r="O4424" s="11">
        <v>19.629672069059158</v>
      </c>
      <c r="P4424" s="11">
        <v>0.2696348638997485</v>
      </c>
    </row>
    <row r="4425" spans="1:16" s="11" customFormat="1">
      <c r="A4425" s="1" t="s">
        <v>5786</v>
      </c>
      <c r="B4425" s="11" t="s">
        <v>5733</v>
      </c>
      <c r="C4425" s="1" t="s">
        <v>18</v>
      </c>
      <c r="D4425" s="1" t="s">
        <v>81</v>
      </c>
      <c r="E4425" s="1" t="s">
        <v>4369</v>
      </c>
      <c r="F4425" s="11">
        <v>140.60878555275369</v>
      </c>
      <c r="G4425" s="11">
        <v>369.36601324186154</v>
      </c>
      <c r="H4425" s="11">
        <v>66.62355138953572</v>
      </c>
      <c r="I4425" s="11">
        <v>608.13697941356565</v>
      </c>
      <c r="J4425" s="11">
        <v>62.108956420048472</v>
      </c>
      <c r="K4425" s="11">
        <v>55.496150245370629</v>
      </c>
      <c r="L4425" s="11">
        <v>59.610721888285092</v>
      </c>
      <c r="M4425" s="11">
        <v>330.01413992593285</v>
      </c>
      <c r="N4425" s="11">
        <v>4.978258454079505</v>
      </c>
      <c r="O4425" s="11">
        <v>15.399326719071281</v>
      </c>
      <c r="P4425" s="11">
        <v>0.2696348638997485</v>
      </c>
    </row>
    <row r="4426" spans="1:16" s="11" customFormat="1">
      <c r="A4426" s="1" t="s">
        <v>5786</v>
      </c>
      <c r="B4426" s="11" t="s">
        <v>5734</v>
      </c>
      <c r="C4426" s="1" t="s">
        <v>18</v>
      </c>
      <c r="D4426" s="1" t="s">
        <v>81</v>
      </c>
      <c r="E4426" s="1" t="s">
        <v>4369</v>
      </c>
      <c r="F4426" s="11">
        <v>133.5118855557885</v>
      </c>
      <c r="G4426" s="11">
        <v>438.8453501925411</v>
      </c>
      <c r="H4426" s="11">
        <v>135.48344343847131</v>
      </c>
      <c r="I4426" s="11">
        <v>599.01298837823231</v>
      </c>
      <c r="J4426" s="11">
        <v>44.405216255514183</v>
      </c>
      <c r="K4426" s="11">
        <v>55.816548604858127</v>
      </c>
      <c r="L4426" s="11">
        <v>56.926156514876325</v>
      </c>
      <c r="M4426" s="11">
        <v>330.22688104921053</v>
      </c>
      <c r="N4426" s="11">
        <v>7.0534501091944923</v>
      </c>
      <c r="O4426" s="11">
        <v>18.73793088608134</v>
      </c>
      <c r="P4426" s="11">
        <v>0.2696348638997485</v>
      </c>
    </row>
    <row r="4427" spans="1:16" s="11" customFormat="1">
      <c r="A4427" s="1" t="s">
        <v>5786</v>
      </c>
      <c r="B4427" s="11" t="s">
        <v>5735</v>
      </c>
      <c r="C4427" s="1" t="s">
        <v>18</v>
      </c>
      <c r="D4427" s="1" t="s">
        <v>81</v>
      </c>
      <c r="E4427" s="1" t="s">
        <v>4369</v>
      </c>
      <c r="F4427" s="11">
        <v>15.417463868974011</v>
      </c>
      <c r="G4427" s="11">
        <v>457.04709464393687</v>
      </c>
      <c r="H4427" s="11">
        <v>49.893364530770512</v>
      </c>
      <c r="I4427" s="11">
        <v>579.60533987713234</v>
      </c>
      <c r="J4427" s="11">
        <v>46.525558268146746</v>
      </c>
      <c r="K4427" s="11">
        <v>53.953507933538987</v>
      </c>
      <c r="L4427" s="11">
        <v>54.982535921609092</v>
      </c>
      <c r="M4427" s="11">
        <v>336.64729617268148</v>
      </c>
      <c r="N4427" s="11">
        <v>13.966226794315302</v>
      </c>
      <c r="O4427" s="11">
        <v>18.711688638438602</v>
      </c>
      <c r="P4427" s="11">
        <v>0.2696348638997485</v>
      </c>
    </row>
    <row r="4428" spans="1:16" s="11" customFormat="1">
      <c r="A4428" s="1" t="s">
        <v>5786</v>
      </c>
      <c r="B4428" s="11" t="s">
        <v>5736</v>
      </c>
      <c r="C4428" s="1" t="s">
        <v>18</v>
      </c>
      <c r="D4428" s="1" t="s">
        <v>81</v>
      </c>
      <c r="E4428" s="1" t="s">
        <v>4369</v>
      </c>
      <c r="F4428" s="11">
        <v>68.175461985463727</v>
      </c>
      <c r="G4428" s="11">
        <v>496.40985643779612</v>
      </c>
      <c r="H4428" s="11">
        <v>405.66612409397277</v>
      </c>
      <c r="I4428" s="11">
        <v>589.83413737619935</v>
      </c>
      <c r="J4428" s="11">
        <v>44.450680911174601</v>
      </c>
      <c r="K4428" s="11">
        <v>54.638393979222052</v>
      </c>
      <c r="L4428" s="11">
        <v>55.291362559352869</v>
      </c>
      <c r="M4428" s="11">
        <v>335.26182375751051</v>
      </c>
      <c r="N4428" s="11">
        <v>13.724983717264308</v>
      </c>
      <c r="O4428" s="11">
        <v>20.583430817009695</v>
      </c>
      <c r="P4428" s="11">
        <v>0.2696348638997485</v>
      </c>
    </row>
    <row r="4429" spans="1:16" s="11" customFormat="1">
      <c r="A4429" s="1" t="s">
        <v>5786</v>
      </c>
      <c r="B4429" s="11" t="s">
        <v>5737</v>
      </c>
      <c r="C4429" s="1" t="s">
        <v>18</v>
      </c>
      <c r="D4429" s="1" t="s">
        <v>81</v>
      </c>
      <c r="E4429" s="1" t="s">
        <v>4369</v>
      </c>
      <c r="F4429" s="11">
        <v>142.29243667563131</v>
      </c>
      <c r="G4429" s="11">
        <v>537.31607046973863</v>
      </c>
      <c r="H4429" s="11">
        <v>41.413188767785648</v>
      </c>
      <c r="I4429" s="11">
        <v>661.65436393424795</v>
      </c>
      <c r="J4429" s="11">
        <v>50.921955136109752</v>
      </c>
      <c r="K4429" s="11">
        <v>52.51341776268805</v>
      </c>
      <c r="L4429" s="11">
        <v>50.479488910203791</v>
      </c>
      <c r="M4429" s="11">
        <v>339.35731803927752</v>
      </c>
      <c r="N4429" s="11">
        <v>4.566416263018457</v>
      </c>
      <c r="O4429" s="11">
        <v>15.32196608137294</v>
      </c>
      <c r="P4429" s="11">
        <v>0.2696348638997485</v>
      </c>
    </row>
    <row r="4430" spans="1:16" s="11" customFormat="1">
      <c r="A4430" s="1" t="s">
        <v>5786</v>
      </c>
      <c r="B4430" s="11" t="s">
        <v>5738</v>
      </c>
      <c r="C4430" s="1" t="s">
        <v>18</v>
      </c>
      <c r="D4430" s="1" t="s">
        <v>81</v>
      </c>
      <c r="E4430" s="1" t="s">
        <v>4369</v>
      </c>
      <c r="F4430" s="11">
        <v>82.285227091675978</v>
      </c>
      <c r="G4430" s="11">
        <v>508.75408547293932</v>
      </c>
      <c r="H4430" s="11">
        <v>542.07401362461246</v>
      </c>
      <c r="I4430" s="11">
        <v>649.94559672125035</v>
      </c>
      <c r="J4430" s="11">
        <v>51.98841116125849</v>
      </c>
      <c r="K4430" s="11">
        <v>57.807679900566207</v>
      </c>
      <c r="L4430" s="11">
        <v>52.65497506226464</v>
      </c>
      <c r="M4430" s="11">
        <v>338.49681586183482</v>
      </c>
      <c r="N4430" s="11">
        <v>5.5768518667259439</v>
      </c>
      <c r="O4430" s="11">
        <v>20.908999842479972</v>
      </c>
      <c r="P4430" s="11">
        <v>0.2696348638997485</v>
      </c>
    </row>
    <row r="4431" spans="1:16" s="11" customFormat="1">
      <c r="A4431" s="1" t="s">
        <v>5786</v>
      </c>
      <c r="B4431" s="11" t="s">
        <v>5739</v>
      </c>
      <c r="C4431" s="1" t="s">
        <v>18</v>
      </c>
      <c r="D4431" s="1" t="s">
        <v>81</v>
      </c>
      <c r="E4431" s="1" t="s">
        <v>4369</v>
      </c>
      <c r="F4431" s="11">
        <v>20.779052895121488</v>
      </c>
      <c r="G4431" s="11">
        <v>453.98129513690435</v>
      </c>
      <c r="H4431" s="11">
        <v>96.136461420205819</v>
      </c>
      <c r="I4431" s="11">
        <v>642.75167638424</v>
      </c>
      <c r="J4431" s="11">
        <v>37.369522519999798</v>
      </c>
      <c r="K4431" s="11">
        <v>54.225705321539898</v>
      </c>
      <c r="L4431" s="11">
        <v>52.890611547778889</v>
      </c>
      <c r="M4431" s="11">
        <v>358.83476972523158</v>
      </c>
      <c r="N4431" s="11">
        <v>6.4491494159882095</v>
      </c>
      <c r="O4431" s="11">
        <v>19.563616522598167</v>
      </c>
      <c r="P4431" s="11">
        <v>0.2696348638997485</v>
      </c>
    </row>
    <row r="4432" spans="1:16" s="11" customFormat="1">
      <c r="A4432" s="1" t="s">
        <v>5786</v>
      </c>
      <c r="B4432" s="11" t="s">
        <v>5740</v>
      </c>
      <c r="C4432" s="1" t="s">
        <v>18</v>
      </c>
      <c r="D4432" s="1" t="s">
        <v>81</v>
      </c>
      <c r="E4432" s="1" t="s">
        <v>4369</v>
      </c>
      <c r="F4432" s="11">
        <v>130.63965701089933</v>
      </c>
      <c r="G4432" s="11">
        <v>528.35429501831572</v>
      </c>
      <c r="H4432" s="11">
        <v>50.719688195682068</v>
      </c>
      <c r="I4432" s="11">
        <v>634.54609248482177</v>
      </c>
      <c r="J4432" s="11">
        <v>89.932564701253128</v>
      </c>
      <c r="K4432" s="11">
        <v>50.958668272844854</v>
      </c>
      <c r="L4432" s="11">
        <v>51.493114423037596</v>
      </c>
      <c r="M4432" s="11">
        <v>346.25884882425709</v>
      </c>
      <c r="N4432" s="11">
        <v>4.8335604609964324</v>
      </c>
      <c r="O4432" s="11">
        <v>16.322355547932197</v>
      </c>
      <c r="P4432" s="11">
        <v>0.2696348638997485</v>
      </c>
    </row>
    <row r="4433" spans="1:16" s="11" customFormat="1">
      <c r="A4433" s="1" t="s">
        <v>5786</v>
      </c>
      <c r="B4433" s="11" t="s">
        <v>5741</v>
      </c>
      <c r="C4433" s="1" t="s">
        <v>18</v>
      </c>
      <c r="D4433" s="1" t="s">
        <v>81</v>
      </c>
      <c r="E4433" s="1" t="s">
        <v>4369</v>
      </c>
      <c r="F4433" s="11">
        <v>379.67194547488305</v>
      </c>
      <c r="G4433" s="11">
        <v>2536.8077421382609</v>
      </c>
      <c r="H4433" s="11">
        <v>742.90327648310108</v>
      </c>
      <c r="I4433" s="11">
        <v>89.194259467863247</v>
      </c>
      <c r="J4433" s="11">
        <v>12.654393751428957</v>
      </c>
      <c r="K4433" s="11">
        <v>155.72099334396066</v>
      </c>
      <c r="L4433" s="11">
        <v>170.41433405892943</v>
      </c>
      <c r="M4433" s="11">
        <v>26.629449699622253</v>
      </c>
      <c r="N4433" s="11">
        <v>6.936512449526739</v>
      </c>
      <c r="O4433" s="11">
        <v>7.6359782819786197</v>
      </c>
      <c r="P4433" s="11">
        <v>3.2086203169019543</v>
      </c>
    </row>
    <row r="4434" spans="1:16" s="11" customFormat="1">
      <c r="A4434" s="1" t="s">
        <v>5786</v>
      </c>
      <c r="B4434" s="11" t="s">
        <v>5742</v>
      </c>
      <c r="C4434" s="1" t="s">
        <v>18</v>
      </c>
      <c r="D4434" s="1" t="s">
        <v>81</v>
      </c>
      <c r="E4434" s="1" t="s">
        <v>4369</v>
      </c>
      <c r="F4434" s="11">
        <v>262.2824322351791</v>
      </c>
      <c r="G4434" s="11">
        <v>1667.8632138337134</v>
      </c>
      <c r="H4434" s="11">
        <v>996.63261064829658</v>
      </c>
      <c r="I4434" s="11">
        <v>87.00144802846178</v>
      </c>
      <c r="J4434" s="11">
        <v>17.147179605656316</v>
      </c>
      <c r="K4434" s="11">
        <v>185.52152481714174</v>
      </c>
      <c r="L4434" s="11">
        <v>165.29265339789166</v>
      </c>
      <c r="M4434" s="11">
        <v>30.424104017730883</v>
      </c>
      <c r="N4434" s="11">
        <v>7.7163522080327214</v>
      </c>
      <c r="O4434" s="11">
        <v>8.5601414223186918</v>
      </c>
      <c r="P4434" s="11">
        <v>3.2113381108582613</v>
      </c>
    </row>
    <row r="4435" spans="1:16" s="11" customFormat="1">
      <c r="A4435" s="1" t="s">
        <v>5786</v>
      </c>
      <c r="B4435" s="11" t="s">
        <v>5743</v>
      </c>
      <c r="C4435" s="1" t="s">
        <v>18</v>
      </c>
      <c r="D4435" s="1" t="s">
        <v>81</v>
      </c>
      <c r="E4435" s="1" t="s">
        <v>4369</v>
      </c>
      <c r="F4435" s="11">
        <v>537.39978642046026</v>
      </c>
      <c r="G4435" s="11">
        <v>3249.848956928588</v>
      </c>
      <c r="H4435" s="11">
        <v>1297.8964344142053</v>
      </c>
      <c r="I4435" s="11">
        <v>94.331114334648348</v>
      </c>
      <c r="J4435" s="11">
        <v>22.292389735347474</v>
      </c>
      <c r="K4435" s="11">
        <v>232.50428042787061</v>
      </c>
      <c r="L4435" s="11">
        <v>173.47780475857439</v>
      </c>
      <c r="M4435" s="11">
        <v>30.766611898649366</v>
      </c>
      <c r="N4435" s="11">
        <v>8.4338471424678971</v>
      </c>
      <c r="O4435" s="11">
        <v>9.2637425472393815</v>
      </c>
      <c r="P4435" s="11">
        <v>3.9543774246468906</v>
      </c>
    </row>
    <row r="4436" spans="1:16" s="11" customFormat="1">
      <c r="A4436" s="1" t="s">
        <v>5786</v>
      </c>
      <c r="B4436" s="11" t="s">
        <v>5744</v>
      </c>
      <c r="C4436" s="1" t="s">
        <v>18</v>
      </c>
      <c r="D4436" s="1" t="s">
        <v>81</v>
      </c>
      <c r="E4436" s="1" t="s">
        <v>4369</v>
      </c>
      <c r="F4436" s="11">
        <v>363.22402986970087</v>
      </c>
      <c r="G4436" s="11">
        <v>2194.7545057334605</v>
      </c>
      <c r="H4436" s="11">
        <v>1019.9759857278481</v>
      </c>
      <c r="I4436" s="11">
        <v>88.947407601554204</v>
      </c>
      <c r="J4436" s="11">
        <v>19.374191115459361</v>
      </c>
      <c r="K4436" s="11">
        <v>172.28510912233716</v>
      </c>
      <c r="L4436" s="11">
        <v>157.77351008416832</v>
      </c>
      <c r="M4436" s="11">
        <v>29.176497657242844</v>
      </c>
      <c r="N4436" s="11">
        <v>7.833232280778228</v>
      </c>
      <c r="O4436" s="11">
        <v>7.9698457794118251</v>
      </c>
      <c r="P4436" s="11">
        <v>3.4087454771443486</v>
      </c>
    </row>
    <row r="4437" spans="1:16" s="11" customFormat="1">
      <c r="A4437" s="1" t="s">
        <v>5786</v>
      </c>
      <c r="B4437" s="11" t="s">
        <v>5745</v>
      </c>
      <c r="C4437" s="1" t="s">
        <v>18</v>
      </c>
      <c r="D4437" s="1" t="s">
        <v>81</v>
      </c>
      <c r="E4437" s="1" t="s">
        <v>4369</v>
      </c>
      <c r="F4437" s="11">
        <v>89.056181974669045</v>
      </c>
      <c r="G4437" s="11">
        <v>1114.0740648644528</v>
      </c>
      <c r="H4437" s="11">
        <v>797.9770096248136</v>
      </c>
      <c r="I4437" s="11">
        <v>96.828031771811894</v>
      </c>
      <c r="J4437" s="11">
        <v>18.042748942441648</v>
      </c>
      <c r="K4437" s="11">
        <v>145.39554118609342</v>
      </c>
      <c r="L4437" s="11">
        <v>173.02546930214427</v>
      </c>
      <c r="M4437" s="11">
        <v>30.959255409831631</v>
      </c>
      <c r="N4437" s="11">
        <v>6.010859202933359</v>
      </c>
      <c r="O4437" s="11">
        <v>8.0583235450957442</v>
      </c>
      <c r="P4437" s="11">
        <v>2.403282139050388</v>
      </c>
    </row>
    <row r="4438" spans="1:16" s="11" customFormat="1">
      <c r="A4438" s="1" t="s">
        <v>5786</v>
      </c>
      <c r="B4438" s="11" t="s">
        <v>5746</v>
      </c>
      <c r="C4438" s="1" t="s">
        <v>18</v>
      </c>
      <c r="D4438" s="1" t="s">
        <v>81</v>
      </c>
      <c r="E4438" s="1" t="s">
        <v>4369</v>
      </c>
      <c r="F4438" s="11">
        <v>1014.751632530377</v>
      </c>
      <c r="G4438" s="11">
        <v>4974.7752894986925</v>
      </c>
      <c r="H4438" s="11">
        <v>1162.1463503668372</v>
      </c>
      <c r="I4438" s="11">
        <v>92.682129905347125</v>
      </c>
      <c r="J4438" s="11">
        <v>6.343791672990605</v>
      </c>
      <c r="K4438" s="11">
        <v>311.05848816953267</v>
      </c>
      <c r="L4438" s="11">
        <v>177.93668002388003</v>
      </c>
      <c r="M4438" s="11">
        <v>28.918539585459087</v>
      </c>
      <c r="N4438" s="11">
        <v>8.166314266667742</v>
      </c>
      <c r="O4438" s="11">
        <v>8.4924624448985622</v>
      </c>
      <c r="P4438" s="11">
        <v>2.8889095877718924</v>
      </c>
    </row>
    <row r="4439" spans="1:16" s="11" customFormat="1">
      <c r="A4439" s="1" t="s">
        <v>5786</v>
      </c>
      <c r="B4439" s="11" t="s">
        <v>5747</v>
      </c>
      <c r="C4439" s="1" t="s">
        <v>18</v>
      </c>
      <c r="D4439" s="1" t="s">
        <v>81</v>
      </c>
      <c r="E4439" s="1" t="s">
        <v>4369</v>
      </c>
      <c r="F4439" s="11">
        <v>111.89572091911342</v>
      </c>
      <c r="G4439" s="11">
        <v>1359.1512742206517</v>
      </c>
      <c r="H4439" s="11">
        <v>876.88380741162143</v>
      </c>
      <c r="I4439" s="11">
        <v>104.06108962977765</v>
      </c>
      <c r="J4439" s="11">
        <v>10.529811146984425</v>
      </c>
      <c r="K4439" s="11">
        <v>226.80735694128546</v>
      </c>
      <c r="L4439" s="11">
        <v>176.392783273969</v>
      </c>
      <c r="M4439" s="11">
        <v>33.544244922871755</v>
      </c>
      <c r="N4439" s="11">
        <v>9.4770061713416176</v>
      </c>
      <c r="O4439" s="11">
        <v>8.1593901472353689</v>
      </c>
      <c r="P4439" s="11">
        <v>2.7199101852181404</v>
      </c>
    </row>
    <row r="4440" spans="1:16" s="11" customFormat="1">
      <c r="A4440" s="1" t="s">
        <v>5786</v>
      </c>
      <c r="B4440" s="11" t="s">
        <v>5748</v>
      </c>
      <c r="C4440" s="1" t="s">
        <v>18</v>
      </c>
      <c r="D4440" s="1" t="s">
        <v>81</v>
      </c>
      <c r="E4440" s="1" t="s">
        <v>4369</v>
      </c>
      <c r="F4440" s="11">
        <v>538.63103310698898</v>
      </c>
      <c r="G4440" s="11">
        <v>3964.5233611059525</v>
      </c>
      <c r="H4440" s="11">
        <v>744.35879591084836</v>
      </c>
      <c r="I4440" s="11">
        <v>100.91088791097992</v>
      </c>
      <c r="J4440" s="11">
        <v>11.264178889187901</v>
      </c>
      <c r="K4440" s="11">
        <v>190.80010639631797</v>
      </c>
      <c r="L4440" s="11">
        <v>171.1591487879939</v>
      </c>
      <c r="M4440" s="11">
        <v>35.213431528207408</v>
      </c>
      <c r="N4440" s="11">
        <v>7.6196773832605018</v>
      </c>
      <c r="O4440" s="11">
        <v>8.9074224929782932</v>
      </c>
      <c r="P4440" s="11">
        <v>3.4129551997451375</v>
      </c>
    </row>
    <row r="4441" spans="1:16" s="11" customFormat="1">
      <c r="A4441" s="1" t="s">
        <v>5786</v>
      </c>
      <c r="B4441" s="11" t="s">
        <v>5749</v>
      </c>
      <c r="C4441" s="1" t="s">
        <v>18</v>
      </c>
      <c r="D4441" s="1" t="s">
        <v>81</v>
      </c>
      <c r="E4441" s="1" t="s">
        <v>4369</v>
      </c>
      <c r="F4441" s="11">
        <v>563.42804354771215</v>
      </c>
      <c r="G4441" s="11">
        <v>3021.9764593720383</v>
      </c>
      <c r="H4441" s="11">
        <v>755.27098267883787</v>
      </c>
      <c r="I4441" s="11">
        <v>92.259609658554623</v>
      </c>
      <c r="J4441" s="11">
        <v>11.7968713181734</v>
      </c>
      <c r="K4441" s="11">
        <v>190.4804333763625</v>
      </c>
      <c r="L4441" s="11">
        <v>165.48859983199253</v>
      </c>
      <c r="M4441" s="11">
        <v>38.129204849815842</v>
      </c>
      <c r="N4441" s="11">
        <v>10.020710261440534</v>
      </c>
      <c r="O4441" s="11">
        <v>8.2081776786871732</v>
      </c>
      <c r="P4441" s="11">
        <v>2.7472435873283896</v>
      </c>
    </row>
    <row r="4442" spans="1:16" s="11" customFormat="1">
      <c r="A4442" s="1" t="s">
        <v>5786</v>
      </c>
      <c r="B4442" s="11" t="s">
        <v>5750</v>
      </c>
      <c r="C4442" s="1" t="s">
        <v>18</v>
      </c>
      <c r="D4442" s="1" t="s">
        <v>81</v>
      </c>
      <c r="E4442" s="1" t="s">
        <v>4369</v>
      </c>
      <c r="F4442" s="11">
        <v>266.61775943506103</v>
      </c>
      <c r="G4442" s="11">
        <v>2003.1082938899333</v>
      </c>
      <c r="H4442" s="11">
        <v>937.47473361279083</v>
      </c>
      <c r="I4442" s="11">
        <v>96.263056538984415</v>
      </c>
      <c r="J4442" s="11">
        <v>5.3146943768279131</v>
      </c>
      <c r="K4442" s="11">
        <v>176.77660829927473</v>
      </c>
      <c r="L4442" s="11">
        <v>170.08835486867301</v>
      </c>
      <c r="M4442" s="11">
        <v>35.184953756687094</v>
      </c>
      <c r="N4442" s="11">
        <v>9.5155595784690092</v>
      </c>
      <c r="O4442" s="11">
        <v>8.7797121546245585</v>
      </c>
      <c r="P4442" s="11">
        <v>3.3280218956401799</v>
      </c>
    </row>
    <row r="4443" spans="1:16" s="11" customFormat="1">
      <c r="A4443" s="1" t="s">
        <v>5786</v>
      </c>
      <c r="B4443" s="11" t="s">
        <v>5751</v>
      </c>
      <c r="C4443" s="1" t="s">
        <v>18</v>
      </c>
      <c r="D4443" s="1" t="s">
        <v>81</v>
      </c>
      <c r="E4443" s="1" t="s">
        <v>4369</v>
      </c>
      <c r="F4443" s="11">
        <v>444.97900245999637</v>
      </c>
      <c r="G4443" s="11">
        <v>3060.5952716324759</v>
      </c>
      <c r="H4443" s="11">
        <v>590.77784409802132</v>
      </c>
      <c r="I4443" s="11">
        <v>86.092445827073647</v>
      </c>
      <c r="J4443" s="11">
        <v>19.68442756013118</v>
      </c>
      <c r="K4443" s="11">
        <v>157.81554038099688</v>
      </c>
      <c r="L4443" s="11">
        <v>158.33709392054939</v>
      </c>
      <c r="M4443" s="11">
        <v>28.007907480790191</v>
      </c>
      <c r="N4443" s="11">
        <v>8.420707579119453</v>
      </c>
      <c r="O4443" s="11">
        <v>6.457757473117824</v>
      </c>
      <c r="P4443" s="11">
        <v>2.4914812092102898</v>
      </c>
    </row>
    <row r="4444" spans="1:16" s="11" customFormat="1">
      <c r="A4444" s="1" t="s">
        <v>5786</v>
      </c>
      <c r="B4444" s="11" t="s">
        <v>5752</v>
      </c>
      <c r="C4444" s="1" t="s">
        <v>18</v>
      </c>
      <c r="D4444" s="1" t="s">
        <v>81</v>
      </c>
      <c r="E4444" s="1" t="s">
        <v>4369</v>
      </c>
      <c r="F4444" s="11">
        <v>292.75368516816422</v>
      </c>
      <c r="G4444" s="11">
        <v>2116.4396739018448</v>
      </c>
      <c r="H4444" s="11">
        <v>630.50338151124799</v>
      </c>
      <c r="I4444" s="11">
        <v>89.714316255087567</v>
      </c>
      <c r="J4444" s="11">
        <v>16.068524781890456</v>
      </c>
      <c r="K4444" s="11">
        <v>150.72991454688164</v>
      </c>
      <c r="L4444" s="11">
        <v>167.90091134269545</v>
      </c>
      <c r="M4444" s="11">
        <v>34.118406709502494</v>
      </c>
      <c r="N4444" s="11">
        <v>12.920393132847153</v>
      </c>
      <c r="O4444" s="11">
        <v>7.6683984847545767</v>
      </c>
      <c r="P4444" s="11">
        <v>3.3896173744252125</v>
      </c>
    </row>
    <row r="4445" spans="1:16" s="11" customFormat="1">
      <c r="A4445" s="1" t="s">
        <v>5786</v>
      </c>
      <c r="B4445" s="11" t="s">
        <v>5753</v>
      </c>
      <c r="C4445" s="1" t="s">
        <v>18</v>
      </c>
      <c r="D4445" s="1" t="s">
        <v>81</v>
      </c>
      <c r="E4445" s="1" t="s">
        <v>4369</v>
      </c>
      <c r="F4445" s="11">
        <v>599.06378662983229</v>
      </c>
      <c r="G4445" s="11">
        <v>2562.9622569854168</v>
      </c>
      <c r="H4445" s="11">
        <v>893.47152091194982</v>
      </c>
      <c r="I4445" s="11">
        <v>90.879276889409141</v>
      </c>
      <c r="J4445" s="11">
        <v>16.775993642236831</v>
      </c>
      <c r="K4445" s="11">
        <v>258.21888943742522</v>
      </c>
      <c r="L4445" s="11">
        <v>171.96041505846978</v>
      </c>
      <c r="M4445" s="11">
        <v>29.343157550796871</v>
      </c>
      <c r="N4445" s="11">
        <v>10.05765090925353</v>
      </c>
      <c r="O4445" s="11">
        <v>8.7531092514943847</v>
      </c>
      <c r="P4445" s="11">
        <v>3.4619232226175041</v>
      </c>
    </row>
    <row r="4446" spans="1:16" s="11" customFormat="1">
      <c r="A4446" s="1" t="s">
        <v>5786</v>
      </c>
      <c r="B4446" s="11" t="s">
        <v>5754</v>
      </c>
      <c r="C4446" s="1" t="s">
        <v>18</v>
      </c>
      <c r="D4446" s="1" t="s">
        <v>81</v>
      </c>
      <c r="E4446" s="1" t="s">
        <v>4369</v>
      </c>
      <c r="F4446" s="11">
        <v>1318.1060684272672</v>
      </c>
      <c r="G4446" s="11">
        <v>5387.9984049912928</v>
      </c>
      <c r="H4446" s="11">
        <v>9437.71624286722</v>
      </c>
      <c r="I4446" s="11">
        <v>96.790324459581086</v>
      </c>
      <c r="J4446" s="11">
        <v>16.253305740202581</v>
      </c>
      <c r="K4446" s="11">
        <v>683.29611714783664</v>
      </c>
      <c r="L4446" s="11">
        <v>187.87263027248704</v>
      </c>
      <c r="M4446" s="11">
        <v>28.906725127071329</v>
      </c>
      <c r="N4446" s="11">
        <v>11.188704818234481</v>
      </c>
      <c r="O4446" s="11">
        <v>9.6123844568793508</v>
      </c>
      <c r="P4446" s="11">
        <v>5.2965270009092666</v>
      </c>
    </row>
    <row r="4447" spans="1:16" s="11" customFormat="1">
      <c r="A4447" s="1" t="s">
        <v>5786</v>
      </c>
      <c r="B4447" s="11" t="s">
        <v>5755</v>
      </c>
      <c r="C4447" s="1" t="s">
        <v>18</v>
      </c>
      <c r="D4447" s="1" t="s">
        <v>81</v>
      </c>
      <c r="E4447" s="1" t="s">
        <v>4369</v>
      </c>
      <c r="F4447" s="11">
        <v>3.9240211255157602</v>
      </c>
      <c r="G4447" s="11">
        <v>873.53169261691244</v>
      </c>
      <c r="H4447" s="11">
        <v>1128.8897326122847</v>
      </c>
      <c r="I4447" s="11">
        <v>85.033819822055378</v>
      </c>
      <c r="J4447" s="11">
        <v>11.946760944024977</v>
      </c>
      <c r="K4447" s="11">
        <v>194.08528565406795</v>
      </c>
      <c r="L4447" s="11">
        <v>168.89503211703678</v>
      </c>
      <c r="M4447" s="11">
        <v>32.060834751757341</v>
      </c>
      <c r="N4447" s="11">
        <v>8.1412506276644105</v>
      </c>
      <c r="O4447" s="11">
        <v>7.2561420953601701</v>
      </c>
      <c r="P4447" s="11">
        <v>2.2928254805183883</v>
      </c>
    </row>
    <row r="4448" spans="1:16" s="11" customFormat="1">
      <c r="A4448" s="1" t="s">
        <v>5786</v>
      </c>
      <c r="B4448" s="11" t="s">
        <v>5756</v>
      </c>
      <c r="C4448" s="1" t="s">
        <v>18</v>
      </c>
      <c r="D4448" s="1" t="s">
        <v>81</v>
      </c>
      <c r="E4448" s="1" t="s">
        <v>4369</v>
      </c>
      <c r="F4448" s="11">
        <v>1133.4210939638151</v>
      </c>
      <c r="G4448" s="11">
        <v>4624.9667202575329</v>
      </c>
      <c r="H4448" s="11">
        <v>1683.3946626643101</v>
      </c>
      <c r="I4448" s="11">
        <v>82.154183531716697</v>
      </c>
      <c r="J4448" s="11">
        <v>12.297296275343292</v>
      </c>
      <c r="K4448" s="11">
        <v>216.36188355166701</v>
      </c>
      <c r="L4448" s="11">
        <v>190.89027477452132</v>
      </c>
      <c r="M4448" s="11">
        <v>30.165811903512125</v>
      </c>
      <c r="N4448" s="11">
        <v>5.5151181855005706</v>
      </c>
      <c r="O4448" s="11">
        <v>8.1528396494030044</v>
      </c>
      <c r="P4448" s="11">
        <v>5.2291052110870471</v>
      </c>
    </row>
    <row r="4449" spans="1:16" s="11" customFormat="1">
      <c r="A4449" s="1" t="s">
        <v>5786</v>
      </c>
      <c r="B4449" s="11" t="s">
        <v>5757</v>
      </c>
      <c r="C4449" s="1" t="s">
        <v>18</v>
      </c>
      <c r="D4449" s="1" t="s">
        <v>81</v>
      </c>
      <c r="E4449" s="1" t="s">
        <v>4369</v>
      </c>
      <c r="F4449" s="11">
        <v>21.152511489882443</v>
      </c>
      <c r="G4449" s="11">
        <v>929.4754141396694</v>
      </c>
      <c r="H4449" s="11">
        <v>1231.2729235021322</v>
      </c>
      <c r="I4449" s="11">
        <v>84.835287638428284</v>
      </c>
      <c r="J4449" s="11">
        <v>10.808409501074712</v>
      </c>
      <c r="K4449" s="11">
        <v>205.84287292573654</v>
      </c>
      <c r="L4449" s="11">
        <v>171.29726781461429</v>
      </c>
      <c r="M4449" s="11">
        <v>32.454563580891886</v>
      </c>
      <c r="N4449" s="11">
        <v>6.9140483267230382</v>
      </c>
      <c r="O4449" s="11">
        <v>8.0498039959212271</v>
      </c>
      <c r="P4449" s="11">
        <v>2.7487116053664833</v>
      </c>
    </row>
    <row r="4450" spans="1:16" s="11" customFormat="1">
      <c r="A4450" s="1" t="s">
        <v>5786</v>
      </c>
      <c r="B4450" s="11" t="s">
        <v>5758</v>
      </c>
      <c r="C4450" s="1" t="s">
        <v>18</v>
      </c>
      <c r="D4450" s="1" t="s">
        <v>81</v>
      </c>
      <c r="E4450" s="1" t="s">
        <v>4369</v>
      </c>
      <c r="F4450" s="11">
        <v>977.99655552970216</v>
      </c>
      <c r="G4450" s="11">
        <v>4922.4388065886824</v>
      </c>
      <c r="H4450" s="11">
        <v>1017.3922385656948</v>
      </c>
      <c r="I4450" s="11">
        <v>86.136744553147011</v>
      </c>
      <c r="J4450" s="11">
        <v>11.445377478677104</v>
      </c>
      <c r="K4450" s="11">
        <v>195.35290508656271</v>
      </c>
      <c r="L4450" s="11">
        <v>180.46710969555963</v>
      </c>
      <c r="M4450" s="11">
        <v>31.68195499603139</v>
      </c>
      <c r="N4450" s="11">
        <v>12.105912795385896</v>
      </c>
      <c r="O4450" s="11">
        <v>7.766664849436741</v>
      </c>
      <c r="P4450" s="11">
        <v>4.706715308615907</v>
      </c>
    </row>
    <row r="4451" spans="1:16" s="11" customFormat="1">
      <c r="A4451" s="1" t="s">
        <v>5786</v>
      </c>
      <c r="B4451" s="11" t="s">
        <v>5759</v>
      </c>
      <c r="C4451" s="1" t="s">
        <v>18</v>
      </c>
      <c r="D4451" s="1" t="s">
        <v>81</v>
      </c>
      <c r="E4451" s="1" t="s">
        <v>4369</v>
      </c>
      <c r="F4451" s="11">
        <v>631.81463019024386</v>
      </c>
      <c r="G4451" s="11">
        <v>3515.0088181358078</v>
      </c>
      <c r="H4451" s="11">
        <v>974.94892102200572</v>
      </c>
      <c r="I4451" s="11">
        <v>102.83981789405337</v>
      </c>
      <c r="J4451" s="11">
        <v>10.432754997554117</v>
      </c>
      <c r="K4451" s="11">
        <v>336.3598722195191</v>
      </c>
      <c r="L4451" s="11">
        <v>168.89860749693318</v>
      </c>
      <c r="M4451" s="11">
        <v>32.093022377538631</v>
      </c>
      <c r="N4451" s="11">
        <v>10.091687197053911</v>
      </c>
      <c r="O4451" s="11">
        <v>8.3052467345259782</v>
      </c>
      <c r="P4451" s="11">
        <v>3.5517218888384741</v>
      </c>
    </row>
    <row r="4452" spans="1:16" s="11" customFormat="1">
      <c r="A4452" s="1" t="s">
        <v>5786</v>
      </c>
      <c r="B4452" s="11" t="s">
        <v>5760</v>
      </c>
      <c r="C4452" s="1" t="s">
        <v>18</v>
      </c>
      <c r="D4452" s="1" t="s">
        <v>81</v>
      </c>
      <c r="E4452" s="1" t="s">
        <v>4369</v>
      </c>
      <c r="F4452" s="11">
        <v>765.53747878535319</v>
      </c>
      <c r="G4452" s="11">
        <v>3558.8614705699415</v>
      </c>
      <c r="H4452" s="11">
        <v>1045.7637193074465</v>
      </c>
      <c r="I4452" s="11">
        <v>99.378433052701936</v>
      </c>
      <c r="J4452" s="11">
        <v>11.047498453065115</v>
      </c>
      <c r="K4452" s="11">
        <v>175.27074530130847</v>
      </c>
      <c r="L4452" s="11">
        <v>170.1469507939928</v>
      </c>
      <c r="M4452" s="11">
        <v>31.381355113589493</v>
      </c>
      <c r="N4452" s="11">
        <v>7.9395411628646633</v>
      </c>
      <c r="O4452" s="11">
        <v>8.2951882151850462</v>
      </c>
      <c r="P4452" s="11">
        <v>2.9973060780628238</v>
      </c>
    </row>
    <row r="4453" spans="1:16" s="11" customFormat="1">
      <c r="A4453" s="1" t="s">
        <v>5786</v>
      </c>
      <c r="B4453" s="11" t="s">
        <v>5761</v>
      </c>
      <c r="C4453" s="1" t="s">
        <v>18</v>
      </c>
      <c r="D4453" s="1" t="s">
        <v>81</v>
      </c>
      <c r="E4453" s="1" t="s">
        <v>4369</v>
      </c>
      <c r="F4453" s="11">
        <v>387.97064753854318</v>
      </c>
      <c r="G4453" s="11">
        <v>2419.5277850809716</v>
      </c>
      <c r="H4453" s="11">
        <v>778.05925008835152</v>
      </c>
      <c r="I4453" s="11">
        <v>101.09197630705155</v>
      </c>
      <c r="J4453" s="11">
        <v>5.6070081207957472</v>
      </c>
      <c r="K4453" s="11">
        <v>156.34317804968501</v>
      </c>
      <c r="L4453" s="11">
        <v>163.38577178736537</v>
      </c>
      <c r="M4453" s="11">
        <v>31.496915237274607</v>
      </c>
      <c r="N4453" s="11">
        <v>9.8107764849610355</v>
      </c>
      <c r="O4453" s="11">
        <v>8.4658448667338639</v>
      </c>
      <c r="P4453" s="11">
        <v>3.0240314803303248</v>
      </c>
    </row>
    <row r="4454" spans="1:16" s="11" customFormat="1">
      <c r="A4454" s="1" t="s">
        <v>5786</v>
      </c>
      <c r="B4454" s="11" t="s">
        <v>5762</v>
      </c>
      <c r="C4454" s="1" t="s">
        <v>18</v>
      </c>
      <c r="D4454" s="1" t="s">
        <v>81</v>
      </c>
      <c r="E4454" s="1" t="s">
        <v>4369</v>
      </c>
      <c r="F4454" s="11">
        <v>277.03456321155574</v>
      </c>
      <c r="G4454" s="11">
        <v>2298.1399359675765</v>
      </c>
      <c r="H4454" s="11">
        <v>853.40531580959907</v>
      </c>
      <c r="I4454" s="11">
        <v>100.66914094006299</v>
      </c>
      <c r="J4454" s="11">
        <v>14.253385816081359</v>
      </c>
      <c r="K4454" s="11">
        <v>168.65081840020756</v>
      </c>
      <c r="L4454" s="11">
        <v>169.40254879196473</v>
      </c>
      <c r="M4454" s="11">
        <v>31.991717444451549</v>
      </c>
      <c r="N4454" s="11">
        <v>8.2935592365014603</v>
      </c>
      <c r="O4454" s="11">
        <v>8.5498351402377502</v>
      </c>
      <c r="P4454" s="11">
        <v>3.1888724445877523</v>
      </c>
    </row>
    <row r="4455" spans="1:16" s="11" customFormat="1">
      <c r="A4455" s="1" t="s">
        <v>5786</v>
      </c>
      <c r="B4455" s="11" t="s">
        <v>5763</v>
      </c>
      <c r="C4455" s="1" t="s">
        <v>18</v>
      </c>
      <c r="D4455" s="1" t="s">
        <v>81</v>
      </c>
      <c r="E4455" s="1" t="s">
        <v>4369</v>
      </c>
      <c r="F4455" s="11">
        <v>913.52250368825878</v>
      </c>
      <c r="G4455" s="11">
        <v>4553.1050424880405</v>
      </c>
      <c r="H4455" s="11">
        <v>32120.582690879753</v>
      </c>
      <c r="I4455" s="11">
        <v>94.059674421951826</v>
      </c>
      <c r="J4455" s="11">
        <v>10.500350366753381</v>
      </c>
      <c r="K4455" s="11">
        <v>601.33728797144283</v>
      </c>
      <c r="L4455" s="11">
        <v>174.40841442997478</v>
      </c>
      <c r="M4455" s="11">
        <v>28.588276951854979</v>
      </c>
      <c r="N4455" s="11">
        <v>15.781971358327707</v>
      </c>
      <c r="O4455" s="11">
        <v>8.3174112923900942</v>
      </c>
      <c r="P4455" s="11">
        <v>7.0720793069400694</v>
      </c>
    </row>
    <row r="4456" spans="1:16" s="11" customFormat="1">
      <c r="A4456" s="1" t="s">
        <v>5786</v>
      </c>
      <c r="B4456" s="11" t="s">
        <v>5764</v>
      </c>
      <c r="C4456" s="1" t="s">
        <v>18</v>
      </c>
      <c r="D4456" s="1" t="s">
        <v>81</v>
      </c>
      <c r="E4456" s="1" t="s">
        <v>4369</v>
      </c>
      <c r="F4456" s="11">
        <v>112.7331392243909</v>
      </c>
      <c r="G4456" s="11">
        <v>890.48783191485188</v>
      </c>
      <c r="H4456" s="11">
        <v>359.13978004373769</v>
      </c>
      <c r="I4456" s="11">
        <v>516.41755407648805</v>
      </c>
      <c r="J4456" s="11">
        <v>18.242182096348177</v>
      </c>
      <c r="K4456" s="11">
        <v>136.84220527723548</v>
      </c>
      <c r="L4456" s="11">
        <v>62.36260446520955</v>
      </c>
      <c r="M4456" s="11">
        <v>31.515219028307797</v>
      </c>
      <c r="N4456" s="11">
        <v>7.1885945678410321</v>
      </c>
      <c r="O4456" s="11">
        <v>26.377243020499986</v>
      </c>
      <c r="P4456" s="11">
        <v>0.2696348638997485</v>
      </c>
    </row>
    <row r="4457" spans="1:16" s="11" customFormat="1">
      <c r="A4457" s="1" t="s">
        <v>5786</v>
      </c>
      <c r="B4457" s="11" t="s">
        <v>5765</v>
      </c>
      <c r="C4457" s="1" t="s">
        <v>18</v>
      </c>
      <c r="D4457" s="1" t="s">
        <v>81</v>
      </c>
      <c r="E4457" s="1" t="s">
        <v>4369</v>
      </c>
      <c r="F4457" s="11">
        <v>13.224805753866008</v>
      </c>
      <c r="G4457" s="11">
        <v>766.249889041291</v>
      </c>
      <c r="H4457" s="11">
        <v>469.9973219668218</v>
      </c>
      <c r="I4457" s="11">
        <v>668.18721941429783</v>
      </c>
      <c r="J4457" s="11">
        <v>151.68990811333285</v>
      </c>
      <c r="K4457" s="11">
        <v>141.34992163334081</v>
      </c>
      <c r="L4457" s="11">
        <v>65.726723420398429</v>
      </c>
      <c r="M4457" s="11">
        <v>33.78351381443597</v>
      </c>
      <c r="N4457" s="11">
        <v>4.6363150519673457</v>
      </c>
      <c r="O4457" s="11">
        <v>30.091747208067172</v>
      </c>
      <c r="P4457" s="11">
        <v>0.2696348638997485</v>
      </c>
    </row>
    <row r="4458" spans="1:16" s="11" customFormat="1">
      <c r="A4458" s="1" t="s">
        <v>5786</v>
      </c>
      <c r="B4458" s="11" t="s">
        <v>5766</v>
      </c>
      <c r="C4458" s="1" t="s">
        <v>18</v>
      </c>
      <c r="D4458" s="1" t="s">
        <v>81</v>
      </c>
      <c r="E4458" s="1" t="s">
        <v>4369</v>
      </c>
      <c r="F4458" s="11">
        <v>31.141554901338935</v>
      </c>
      <c r="G4458" s="11">
        <v>861.46345743615484</v>
      </c>
      <c r="H4458" s="11">
        <v>325.47077427443691</v>
      </c>
      <c r="I4458" s="11">
        <v>572.44722453721033</v>
      </c>
      <c r="J4458" s="11">
        <v>9.7588633194578609</v>
      </c>
      <c r="K4458" s="11">
        <v>138.29744683077405</v>
      </c>
      <c r="L4458" s="11">
        <v>60.200571605106234</v>
      </c>
      <c r="M4458" s="11">
        <v>38.986713122793759</v>
      </c>
      <c r="N4458" s="11">
        <v>3.4157890752360784</v>
      </c>
      <c r="O4458" s="11">
        <v>31.662972217648445</v>
      </c>
      <c r="P4458" s="11">
        <v>1.0124805984779188</v>
      </c>
    </row>
    <row r="4459" spans="1:16" s="11" customFormat="1">
      <c r="A4459" s="1" t="s">
        <v>5786</v>
      </c>
      <c r="B4459" s="11" t="s">
        <v>5767</v>
      </c>
      <c r="C4459" s="1" t="s">
        <v>18</v>
      </c>
      <c r="D4459" s="1" t="s">
        <v>81</v>
      </c>
      <c r="E4459" s="1" t="s">
        <v>4369</v>
      </c>
      <c r="F4459" s="11">
        <v>40.523113186328082</v>
      </c>
      <c r="G4459" s="11">
        <v>883.20760674737085</v>
      </c>
      <c r="H4459" s="11">
        <v>478.15148369377295</v>
      </c>
      <c r="I4459" s="11">
        <v>602.56011062881907</v>
      </c>
      <c r="J4459" s="11">
        <v>178.53307542891147</v>
      </c>
      <c r="K4459" s="11">
        <v>148.57523932515917</v>
      </c>
      <c r="L4459" s="11">
        <v>65.637030918074316</v>
      </c>
      <c r="M4459" s="11">
        <v>38.041737469177107</v>
      </c>
      <c r="N4459" s="11">
        <v>4.7129228596184287</v>
      </c>
      <c r="O4459" s="11">
        <v>35.570707899373254</v>
      </c>
      <c r="P4459" s="11">
        <v>0.7120579984616594</v>
      </c>
    </row>
    <row r="4460" spans="1:16" s="11" customFormat="1">
      <c r="A4460" s="1" t="s">
        <v>5786</v>
      </c>
      <c r="B4460" s="11" t="s">
        <v>5768</v>
      </c>
      <c r="C4460" s="1" t="s">
        <v>18</v>
      </c>
      <c r="D4460" s="1" t="s">
        <v>81</v>
      </c>
      <c r="E4460" s="1" t="s">
        <v>4369</v>
      </c>
      <c r="F4460" s="11">
        <v>36.891111916259305</v>
      </c>
      <c r="G4460" s="11">
        <v>878.41074098133913</v>
      </c>
      <c r="H4460" s="11">
        <v>382.45393127283262</v>
      </c>
      <c r="I4460" s="11">
        <v>1483.5563342263929</v>
      </c>
      <c r="J4460" s="11">
        <v>276.27470775738323</v>
      </c>
      <c r="K4460" s="11">
        <v>88.80201663701304</v>
      </c>
      <c r="L4460" s="11">
        <v>60.347140517379309</v>
      </c>
      <c r="M4460" s="11">
        <v>48.711446489049436</v>
      </c>
      <c r="N4460" s="11">
        <v>3.5355468050283796</v>
      </c>
      <c r="O4460" s="11">
        <v>22.441115666576362</v>
      </c>
      <c r="P4460" s="11">
        <v>0.75256880395288006</v>
      </c>
    </row>
    <row r="4461" spans="1:16" s="11" customFormat="1">
      <c r="A4461" s="1" t="s">
        <v>5786</v>
      </c>
      <c r="B4461" s="11" t="s">
        <v>5769</v>
      </c>
      <c r="C4461" s="1" t="s">
        <v>18</v>
      </c>
      <c r="D4461" s="1" t="s">
        <v>81</v>
      </c>
      <c r="E4461" s="1" t="s">
        <v>4369</v>
      </c>
      <c r="F4461" s="11">
        <v>21.528667430842113</v>
      </c>
      <c r="G4461" s="11">
        <v>784.17799685971102</v>
      </c>
      <c r="H4461" s="11">
        <v>376.53977037142374</v>
      </c>
      <c r="I4461" s="11">
        <v>950.11951612732491</v>
      </c>
      <c r="J4461" s="11">
        <v>1747.520227659586</v>
      </c>
      <c r="K4461" s="11">
        <v>85.65890833620297</v>
      </c>
      <c r="L4461" s="11">
        <v>61.316672121427644</v>
      </c>
      <c r="M4461" s="11">
        <v>45.565100765930232</v>
      </c>
      <c r="N4461" s="11">
        <v>8.7692982439992875</v>
      </c>
      <c r="O4461" s="11">
        <v>17.399873430451429</v>
      </c>
      <c r="P4461" s="11">
        <v>1.7734719294247161</v>
      </c>
    </row>
    <row r="4462" spans="1:16" s="11" customFormat="1">
      <c r="A4462" s="1" t="s">
        <v>5786</v>
      </c>
      <c r="B4462" s="11" t="s">
        <v>5770</v>
      </c>
      <c r="C4462" s="1" t="s">
        <v>18</v>
      </c>
      <c r="D4462" s="1" t="s">
        <v>81</v>
      </c>
      <c r="E4462" s="1" t="s">
        <v>4369</v>
      </c>
      <c r="F4462" s="11">
        <v>2102.2704268747798</v>
      </c>
      <c r="G4462" s="11">
        <v>8349.845408196963</v>
      </c>
      <c r="H4462" s="11">
        <v>2234.078307225232</v>
      </c>
      <c r="I4462" s="11">
        <v>836.34417951658668</v>
      </c>
      <c r="J4462" s="11">
        <v>1509.1187197598358</v>
      </c>
      <c r="K4462" s="11">
        <v>368.7456166081617</v>
      </c>
      <c r="L4462" s="11">
        <v>66.268457411373618</v>
      </c>
      <c r="M4462" s="11">
        <v>46.791156360263606</v>
      </c>
      <c r="N4462" s="11">
        <v>7.9539410565474054</v>
      </c>
      <c r="O4462" s="11">
        <v>25.498358050398121</v>
      </c>
      <c r="P4462" s="11">
        <v>2.2922142306676037</v>
      </c>
    </row>
    <row r="4463" spans="1:16" s="11" customFormat="1">
      <c r="A4463" s="1" t="s">
        <v>5786</v>
      </c>
      <c r="B4463" s="11" t="s">
        <v>5771</v>
      </c>
      <c r="C4463" s="1" t="s">
        <v>18</v>
      </c>
      <c r="D4463" s="1" t="s">
        <v>81</v>
      </c>
      <c r="E4463" s="1" t="s">
        <v>4369</v>
      </c>
      <c r="F4463" s="11">
        <v>74.780742215826649</v>
      </c>
      <c r="G4463" s="11">
        <v>711.69521500589178</v>
      </c>
      <c r="H4463" s="11">
        <v>792.36275609883182</v>
      </c>
      <c r="I4463" s="11">
        <v>1133.5543991290997</v>
      </c>
      <c r="J4463" s="11">
        <v>873.57619862347462</v>
      </c>
      <c r="K4463" s="11">
        <v>131.51432341135086</v>
      </c>
      <c r="L4463" s="11">
        <v>64.715714998108226</v>
      </c>
      <c r="M4463" s="11">
        <v>44.584868555766093</v>
      </c>
      <c r="N4463" s="11">
        <v>4.8283485727634403</v>
      </c>
      <c r="O4463" s="11">
        <v>18.084619733341711</v>
      </c>
      <c r="P4463" s="11">
        <v>0.2696348638997485</v>
      </c>
    </row>
    <row r="4464" spans="1:16" s="11" customFormat="1">
      <c r="A4464" s="1" t="s">
        <v>5786</v>
      </c>
      <c r="B4464" s="11" t="s">
        <v>5772</v>
      </c>
      <c r="C4464" s="1" t="s">
        <v>18</v>
      </c>
      <c r="D4464" s="1" t="s">
        <v>81</v>
      </c>
      <c r="E4464" s="1" t="s">
        <v>4369</v>
      </c>
      <c r="F4464" s="11">
        <v>15.010902961024311</v>
      </c>
      <c r="G4464" s="11">
        <v>885.14664240459444</v>
      </c>
      <c r="H4464" s="11">
        <v>498.93304805535797</v>
      </c>
      <c r="I4464" s="11">
        <v>774.28924654440698</v>
      </c>
      <c r="J4464" s="11">
        <v>1638.2049500485998</v>
      </c>
      <c r="K4464" s="11">
        <v>116.55712197928312</v>
      </c>
      <c r="L4464" s="11">
        <v>59.393900992685019</v>
      </c>
      <c r="M4464" s="11">
        <v>43.860420374470976</v>
      </c>
      <c r="N4464" s="11">
        <v>4.8996918362563173</v>
      </c>
      <c r="O4464" s="11">
        <v>24.971398168813437</v>
      </c>
      <c r="P4464" s="11">
        <v>0.64065163066207875</v>
      </c>
    </row>
    <row r="4465" spans="1:16" s="11" customFormat="1">
      <c r="A4465" s="1" t="s">
        <v>5786</v>
      </c>
      <c r="B4465" s="11" t="s">
        <v>5773</v>
      </c>
      <c r="C4465" s="1" t="s">
        <v>18</v>
      </c>
      <c r="D4465" s="1" t="s">
        <v>81</v>
      </c>
      <c r="E4465" s="1" t="s">
        <v>4369</v>
      </c>
      <c r="F4465" s="11">
        <v>155.40786284385507</v>
      </c>
      <c r="G4465" s="11">
        <v>1249.1141078015144</v>
      </c>
      <c r="H4465" s="11">
        <v>396.16722642609648</v>
      </c>
      <c r="I4465" s="11">
        <v>520.58873450653937</v>
      </c>
      <c r="J4465" s="11">
        <v>178.6902926200685</v>
      </c>
      <c r="K4465" s="11">
        <v>131.16004706390538</v>
      </c>
      <c r="L4465" s="11">
        <v>79.771771714759538</v>
      </c>
      <c r="M4465" s="11">
        <v>35.083587832494402</v>
      </c>
      <c r="N4465" s="11">
        <v>3.7532747030797755</v>
      </c>
      <c r="O4465" s="11">
        <v>29.80271042829856</v>
      </c>
      <c r="P4465" s="11">
        <v>1.9024872766815917</v>
      </c>
    </row>
    <row r="4466" spans="1:16" s="11" customFormat="1">
      <c r="A4466" s="1" t="s">
        <v>5786</v>
      </c>
      <c r="B4466" s="11" t="s">
        <v>5774</v>
      </c>
      <c r="C4466" s="1" t="s">
        <v>18</v>
      </c>
      <c r="D4466" s="1" t="s">
        <v>81</v>
      </c>
      <c r="E4466" s="1" t="s">
        <v>4369</v>
      </c>
      <c r="F4466" s="11">
        <v>17.48448282429991</v>
      </c>
      <c r="G4466" s="11">
        <v>912.16757087646658</v>
      </c>
      <c r="H4466" s="11">
        <v>387.37771643190774</v>
      </c>
      <c r="I4466" s="11">
        <v>564.21246224256492</v>
      </c>
      <c r="J4466" s="11">
        <v>166.94103890745939</v>
      </c>
      <c r="K4466" s="11">
        <v>118.76627324477701</v>
      </c>
      <c r="L4466" s="11">
        <v>73.641666658661805</v>
      </c>
      <c r="M4466" s="11">
        <v>32.556598776095434</v>
      </c>
      <c r="N4466" s="11">
        <v>3.5324844133335875</v>
      </c>
      <c r="O4466" s="11">
        <v>31.969897364804091</v>
      </c>
      <c r="P4466" s="11">
        <v>0.68172736115022625</v>
      </c>
    </row>
    <row r="4467" spans="1:16" s="11" customFormat="1">
      <c r="A4467" s="1" t="s">
        <v>5786</v>
      </c>
      <c r="B4467" s="11" t="s">
        <v>5775</v>
      </c>
      <c r="C4467" s="1" t="s">
        <v>18</v>
      </c>
      <c r="D4467" s="1" t="s">
        <v>81</v>
      </c>
      <c r="E4467" s="1" t="s">
        <v>4369</v>
      </c>
      <c r="F4467" s="11">
        <v>33.240975705515616</v>
      </c>
      <c r="G4467" s="11">
        <v>842.50527835578634</v>
      </c>
      <c r="H4467" s="11">
        <v>218.65775922819222</v>
      </c>
      <c r="I4467" s="11">
        <v>653.56650477215726</v>
      </c>
      <c r="J4467" s="11">
        <v>213.88781353398525</v>
      </c>
      <c r="K4467" s="11">
        <v>107.77380628032536</v>
      </c>
      <c r="L4467" s="11">
        <v>70.938411545697917</v>
      </c>
      <c r="M4467" s="11">
        <v>28.014471869660976</v>
      </c>
      <c r="N4467" s="11">
        <v>5.6812059626458149</v>
      </c>
      <c r="O4467" s="11">
        <v>21.886226976602664</v>
      </c>
      <c r="P4467" s="11">
        <v>0.80118564707797602</v>
      </c>
    </row>
    <row r="4468" spans="1:16" s="11" customFormat="1">
      <c r="A4468" s="1" t="s">
        <v>5786</v>
      </c>
      <c r="B4468" s="11" t="s">
        <v>5776</v>
      </c>
      <c r="C4468" s="1" t="s">
        <v>18</v>
      </c>
      <c r="D4468" s="1" t="s">
        <v>81</v>
      </c>
      <c r="E4468" s="1" t="s">
        <v>4369</v>
      </c>
      <c r="F4468" s="11">
        <v>47.904641396883946</v>
      </c>
      <c r="G4468" s="11">
        <v>1000.8085612244057</v>
      </c>
      <c r="H4468" s="11">
        <v>406.22332290466528</v>
      </c>
      <c r="I4468" s="11">
        <v>628.42758037811041</v>
      </c>
      <c r="J4468" s="11">
        <v>224.39717053799157</v>
      </c>
      <c r="K4468" s="11">
        <v>119.07055933714557</v>
      </c>
      <c r="L4468" s="11">
        <v>75.94870193198345</v>
      </c>
      <c r="M4468" s="11">
        <v>33.515616709230621</v>
      </c>
      <c r="N4468" s="11">
        <v>5.9736235060514282</v>
      </c>
      <c r="O4468" s="11">
        <v>30.043545290009643</v>
      </c>
      <c r="P4468" s="11">
        <v>0.2696348638997485</v>
      </c>
    </row>
    <row r="4469" spans="1:16" s="11" customFormat="1">
      <c r="A4469" s="1" t="s">
        <v>5786</v>
      </c>
      <c r="B4469" s="11" t="s">
        <v>5777</v>
      </c>
      <c r="C4469" s="1" t="s">
        <v>18</v>
      </c>
      <c r="D4469" s="1" t="s">
        <v>81</v>
      </c>
      <c r="E4469" s="1" t="s">
        <v>4369</v>
      </c>
      <c r="F4469" s="11">
        <v>17.459771072698455</v>
      </c>
      <c r="G4469" s="11">
        <v>920.75778037220789</v>
      </c>
      <c r="H4469" s="11">
        <v>400.04940945579636</v>
      </c>
      <c r="I4469" s="11">
        <v>527.46320530293235</v>
      </c>
      <c r="J4469" s="11">
        <v>158.29335498484923</v>
      </c>
      <c r="K4469" s="11">
        <v>122.86159137917932</v>
      </c>
      <c r="L4469" s="11">
        <v>76.244870391054448</v>
      </c>
      <c r="M4469" s="11">
        <v>31.16015887481738</v>
      </c>
      <c r="N4469" s="11">
        <v>5.4653831528884815</v>
      </c>
      <c r="O4469" s="11">
        <v>28.848490841932811</v>
      </c>
      <c r="P4469" s="11">
        <v>0.2696348638997485</v>
      </c>
    </row>
    <row r="4470" spans="1:16" s="11" customFormat="1">
      <c r="A4470" s="1" t="s">
        <v>5786</v>
      </c>
      <c r="B4470" s="11" t="s">
        <v>5778</v>
      </c>
      <c r="C4470" s="1" t="s">
        <v>18</v>
      </c>
      <c r="D4470" s="1" t="s">
        <v>81</v>
      </c>
      <c r="E4470" s="1" t="s">
        <v>4369</v>
      </c>
      <c r="F4470" s="11">
        <v>28.014263226239517</v>
      </c>
      <c r="G4470" s="11">
        <v>822.02231565150419</v>
      </c>
      <c r="H4470" s="11">
        <v>369.91488609373346</v>
      </c>
      <c r="I4470" s="11">
        <v>826.8285373234836</v>
      </c>
      <c r="J4470" s="11">
        <v>181.5593571086217</v>
      </c>
      <c r="K4470" s="11">
        <v>122.61774000044477</v>
      </c>
      <c r="L4470" s="11">
        <v>75.836633240233454</v>
      </c>
      <c r="M4470" s="11">
        <v>31.659931236274158</v>
      </c>
      <c r="N4470" s="11">
        <v>4.5295003103291185</v>
      </c>
      <c r="O4470" s="11">
        <v>29.270884257137848</v>
      </c>
      <c r="P4470" s="11">
        <v>0.6148774005249027</v>
      </c>
    </row>
    <row r="4471" spans="1:16" s="11" customFormat="1">
      <c r="A4471" s="1" t="s">
        <v>5786</v>
      </c>
      <c r="B4471" s="11" t="s">
        <v>5779</v>
      </c>
      <c r="C4471" s="1" t="s">
        <v>18</v>
      </c>
      <c r="D4471" s="1" t="s">
        <v>81</v>
      </c>
      <c r="E4471" s="1" t="s">
        <v>4369</v>
      </c>
      <c r="F4471" s="11">
        <v>162.99257538448356</v>
      </c>
      <c r="G4471" s="11">
        <v>765.41411352437501</v>
      </c>
      <c r="H4471" s="11">
        <v>345.37520734326625</v>
      </c>
      <c r="I4471" s="11">
        <v>1168.1475207810017</v>
      </c>
      <c r="J4471" s="11">
        <v>365.83411124287215</v>
      </c>
      <c r="K4471" s="11">
        <v>234.26620123483863</v>
      </c>
      <c r="L4471" s="11">
        <v>63.578725521010917</v>
      </c>
      <c r="M4471" s="11">
        <v>38.314439223317017</v>
      </c>
      <c r="N4471" s="11">
        <v>9.5406014428601527</v>
      </c>
      <c r="O4471" s="11">
        <v>10.996590856127476</v>
      </c>
      <c r="P4471" s="11">
        <v>0.2696348638997485</v>
      </c>
    </row>
    <row r="4472" spans="1:16" s="11" customFormat="1">
      <c r="A4472" s="1" t="s">
        <v>5786</v>
      </c>
      <c r="B4472" s="11" t="s">
        <v>5780</v>
      </c>
      <c r="C4472" s="1" t="s">
        <v>18</v>
      </c>
      <c r="D4472" s="1" t="s">
        <v>81</v>
      </c>
      <c r="E4472" s="1" t="s">
        <v>4369</v>
      </c>
      <c r="F4472" s="11">
        <v>3.9240211255157602</v>
      </c>
      <c r="G4472" s="11">
        <v>736.17214028663466</v>
      </c>
      <c r="H4472" s="11">
        <v>319.39195723561875</v>
      </c>
      <c r="I4472" s="11">
        <v>1160.2202428282997</v>
      </c>
      <c r="J4472" s="11">
        <v>1177.3313206861412</v>
      </c>
      <c r="K4472" s="11">
        <v>87.512526757363091</v>
      </c>
      <c r="L4472" s="11">
        <v>73.17305637696461</v>
      </c>
      <c r="M4472" s="11">
        <v>44.975142223020413</v>
      </c>
      <c r="N4472" s="11">
        <v>4.8422928748977787</v>
      </c>
      <c r="O4472" s="11">
        <v>21.857701230262911</v>
      </c>
      <c r="P4472" s="11">
        <v>0.2696348638997485</v>
      </c>
    </row>
    <row r="4473" spans="1:16" s="11" customFormat="1">
      <c r="A4473" s="1" t="s">
        <v>5786</v>
      </c>
      <c r="B4473" s="11" t="s">
        <v>5781</v>
      </c>
      <c r="C4473" s="1" t="s">
        <v>18</v>
      </c>
      <c r="D4473" s="1" t="s">
        <v>81</v>
      </c>
      <c r="E4473" s="1" t="s">
        <v>4369</v>
      </c>
      <c r="F4473" s="11">
        <v>16.980900080309301</v>
      </c>
      <c r="G4473" s="11">
        <v>792.69971839474385</v>
      </c>
      <c r="H4473" s="11">
        <v>385.91672288002587</v>
      </c>
      <c r="I4473" s="11">
        <v>789.52779252981531</v>
      </c>
      <c r="J4473" s="11">
        <v>36.221314022852539</v>
      </c>
      <c r="K4473" s="11">
        <v>87.543802755883334</v>
      </c>
      <c r="L4473" s="11">
        <v>113.30334163185127</v>
      </c>
      <c r="M4473" s="11">
        <v>35.205373174095769</v>
      </c>
      <c r="N4473" s="11">
        <v>4.567547118522044</v>
      </c>
      <c r="O4473" s="11">
        <v>32.058584522132406</v>
      </c>
      <c r="P4473" s="11">
        <v>0.2696348638997485</v>
      </c>
    </row>
    <row r="4474" spans="1:16" s="11" customFormat="1">
      <c r="A4474" s="1" t="s">
        <v>5786</v>
      </c>
      <c r="B4474" s="11" t="s">
        <v>5782</v>
      </c>
      <c r="C4474" s="1" t="s">
        <v>18</v>
      </c>
      <c r="D4474" s="1" t="s">
        <v>81</v>
      </c>
      <c r="E4474" s="1" t="s">
        <v>4369</v>
      </c>
      <c r="F4474" s="11">
        <v>22.170552175770815</v>
      </c>
      <c r="G4474" s="11">
        <v>864.72367732722739</v>
      </c>
      <c r="H4474" s="11">
        <v>405.7832035068858</v>
      </c>
      <c r="I4474" s="11">
        <v>838.55868318867613</v>
      </c>
      <c r="J4474" s="11">
        <v>4.2347438486890834</v>
      </c>
      <c r="K4474" s="11">
        <v>100.04029843377387</v>
      </c>
      <c r="L4474" s="11">
        <v>93.473149927254781</v>
      </c>
      <c r="M4474" s="11">
        <v>39.462801013430791</v>
      </c>
      <c r="N4474" s="11">
        <v>4.9888612192467869</v>
      </c>
      <c r="O4474" s="11">
        <v>32.200108403495506</v>
      </c>
      <c r="P4474" s="11">
        <v>0.82467760475503094</v>
      </c>
    </row>
    <row r="4475" spans="1:16" s="11" customFormat="1">
      <c r="A4475" s="1" t="s">
        <v>5786</v>
      </c>
      <c r="B4475" s="11" t="s">
        <v>5783</v>
      </c>
      <c r="C4475" s="1" t="s">
        <v>18</v>
      </c>
      <c r="D4475" s="1" t="s">
        <v>81</v>
      </c>
      <c r="E4475" s="1" t="s">
        <v>4369</v>
      </c>
      <c r="F4475" s="11">
        <v>13.281707295937249</v>
      </c>
      <c r="G4475" s="11">
        <v>825.83044205937608</v>
      </c>
      <c r="H4475" s="11">
        <v>366.18950464475688</v>
      </c>
      <c r="I4475" s="11">
        <v>786.08526330716802</v>
      </c>
      <c r="J4475" s="11">
        <v>70.400797659987219</v>
      </c>
      <c r="K4475" s="11">
        <v>93.403039687001197</v>
      </c>
      <c r="L4475" s="11">
        <v>112.91943942700874</v>
      </c>
      <c r="M4475" s="11">
        <v>22.37785571288056</v>
      </c>
      <c r="N4475" s="11">
        <v>5.4627918344465423</v>
      </c>
      <c r="O4475" s="11">
        <v>31.184792575859205</v>
      </c>
      <c r="P4475" s="11">
        <v>0.2696348638997485</v>
      </c>
    </row>
    <row r="4476" spans="1:16" s="11" customFormat="1">
      <c r="A4476" s="1" t="s">
        <v>5786</v>
      </c>
      <c r="B4476" s="11" t="s">
        <v>5784</v>
      </c>
      <c r="C4476" s="1" t="s">
        <v>18</v>
      </c>
      <c r="D4476" s="1" t="s">
        <v>81</v>
      </c>
      <c r="E4476" s="1" t="s">
        <v>4369</v>
      </c>
      <c r="F4476" s="11">
        <v>15.825442504252498</v>
      </c>
      <c r="G4476" s="11">
        <v>791.61072929997658</v>
      </c>
      <c r="H4476" s="11">
        <v>370.78561294333599</v>
      </c>
      <c r="I4476" s="11">
        <v>717.25983904076031</v>
      </c>
      <c r="J4476" s="11">
        <v>33.108673933511682</v>
      </c>
      <c r="K4476" s="11">
        <v>91.778233596386968</v>
      </c>
      <c r="L4476" s="11">
        <v>107.99440731912297</v>
      </c>
      <c r="M4476" s="11">
        <v>33.439418775625072</v>
      </c>
      <c r="N4476" s="11">
        <v>4.7562342562839506</v>
      </c>
      <c r="O4476" s="11">
        <v>32.424016830204117</v>
      </c>
      <c r="P4476" s="11">
        <v>0.75933725811168362</v>
      </c>
    </row>
    <row r="4477" spans="1:16" s="11" customFormat="1">
      <c r="A4477" s="1" t="s">
        <v>5786</v>
      </c>
      <c r="B4477" s="11" t="s">
        <v>5785</v>
      </c>
      <c r="C4477" s="1" t="s">
        <v>18</v>
      </c>
      <c r="D4477" s="1" t="s">
        <v>81</v>
      </c>
      <c r="E4477" s="1" t="s">
        <v>4369</v>
      </c>
      <c r="F4477" s="11">
        <v>3.9240211255157602</v>
      </c>
      <c r="G4477" s="11">
        <v>715.84110358122905</v>
      </c>
      <c r="H4477" s="11">
        <v>325.30795362207664</v>
      </c>
      <c r="I4477" s="11">
        <v>917.91382670895962</v>
      </c>
      <c r="J4477" s="11">
        <v>136.50822692252109</v>
      </c>
      <c r="K4477" s="11">
        <v>84.336111096701288</v>
      </c>
      <c r="L4477" s="11">
        <v>112.67450239435279</v>
      </c>
      <c r="M4477" s="11">
        <v>31.179826132144139</v>
      </c>
      <c r="N4477" s="11">
        <v>4.4716468604722674</v>
      </c>
      <c r="O4477" s="11">
        <v>27.833581577224372</v>
      </c>
      <c r="P4477" s="11">
        <v>0.2696348638997485</v>
      </c>
    </row>
    <row r="4478" spans="1:16">
      <c r="A4478" s="1" t="s">
        <v>4365</v>
      </c>
      <c r="B4478" s="7" t="s">
        <v>4366</v>
      </c>
      <c r="C4478" s="1" t="s">
        <v>18</v>
      </c>
      <c r="D4478" s="1" t="s">
        <v>81</v>
      </c>
      <c r="E4478" s="1" t="s">
        <v>4369</v>
      </c>
      <c r="F4478" s="13">
        <v>140.99769327316591</v>
      </c>
      <c r="G4478" s="13">
        <v>359.78469882838777</v>
      </c>
      <c r="H4478" s="13">
        <v>297.03268775238354</v>
      </c>
      <c r="I4478" s="13">
        <v>19.815626030986678</v>
      </c>
      <c r="J4478" s="13">
        <v>7.150712671389841</v>
      </c>
      <c r="K4478" s="13">
        <v>53.494811861314794</v>
      </c>
      <c r="L4478" s="13">
        <v>1.7402750770622966</v>
      </c>
      <c r="M4478" s="13">
        <v>1.18065155355942</v>
      </c>
      <c r="N4478" s="13">
        <v>5.3727263862638921</v>
      </c>
      <c r="O4478" s="13">
        <v>0.90088750617934321</v>
      </c>
      <c r="P4478" s="13">
        <v>47.112777866472875</v>
      </c>
    </row>
    <row r="4479" spans="1:16">
      <c r="A4479" s="1" t="s">
        <v>4365</v>
      </c>
      <c r="B4479" s="7" t="s">
        <v>4367</v>
      </c>
      <c r="C4479" s="1" t="s">
        <v>18</v>
      </c>
      <c r="D4479" s="1" t="s">
        <v>81</v>
      </c>
      <c r="E4479" s="1" t="s">
        <v>4369</v>
      </c>
      <c r="F4479" s="13">
        <v>141.41698384974441</v>
      </c>
      <c r="G4479" s="13">
        <v>320.63038014567894</v>
      </c>
      <c r="H4479" s="13">
        <v>292.33775244275256</v>
      </c>
      <c r="I4479" s="13">
        <v>21.486397208452086</v>
      </c>
      <c r="J4479" s="13">
        <v>4.6984026281781954</v>
      </c>
      <c r="K4479" s="13">
        <v>145.20549522902164</v>
      </c>
      <c r="L4479" s="13">
        <v>2.2919049199656714</v>
      </c>
      <c r="M4479" s="13">
        <v>1.18065155355942</v>
      </c>
      <c r="N4479" s="13">
        <v>16.362610319864796</v>
      </c>
      <c r="O4479" s="13">
        <v>0.95410713121044399</v>
      </c>
      <c r="P4479" s="13">
        <v>44.372700838091312</v>
      </c>
    </row>
    <row r="4480" spans="1:16">
      <c r="A4480" s="1" t="s">
        <v>4365</v>
      </c>
      <c r="B4480" s="7" t="s">
        <v>4368</v>
      </c>
      <c r="C4480" s="1" t="s">
        <v>18</v>
      </c>
      <c r="D4480" s="1" t="s">
        <v>81</v>
      </c>
      <c r="E4480" s="1" t="s">
        <v>4369</v>
      </c>
      <c r="F4480" s="13">
        <v>95.624113990195482</v>
      </c>
      <c r="G4480" s="13">
        <v>318.66966635558629</v>
      </c>
      <c r="H4480" s="13">
        <v>305.09290779863528</v>
      </c>
      <c r="I4480" s="13">
        <v>23.559586923894372</v>
      </c>
      <c r="J4480" s="13">
        <v>7.5434238063659418</v>
      </c>
      <c r="K4480" s="13">
        <v>52.36216966235876</v>
      </c>
      <c r="L4480" s="13">
        <v>1.7395654070432065</v>
      </c>
      <c r="M4480" s="13">
        <v>1.18065155355942</v>
      </c>
      <c r="N4480" s="13">
        <v>3.846448021643607</v>
      </c>
      <c r="O4480" s="13">
        <v>1.7220417714730654</v>
      </c>
      <c r="P4480" s="13">
        <v>38.482782150014032</v>
      </c>
    </row>
    <row r="4481" spans="1:16">
      <c r="A4481" s="1" t="s">
        <v>4365</v>
      </c>
      <c r="B4481" s="7" t="s">
        <v>4370</v>
      </c>
      <c r="C4481" s="1" t="s">
        <v>18</v>
      </c>
      <c r="D4481" s="1" t="s">
        <v>81</v>
      </c>
      <c r="E4481" s="1" t="s">
        <v>4369</v>
      </c>
      <c r="F4481" s="13">
        <v>151.06696634562886</v>
      </c>
      <c r="G4481" s="13">
        <v>315.98626831129661</v>
      </c>
      <c r="H4481" s="13">
        <v>312.20968816308311</v>
      </c>
      <c r="I4481" s="13">
        <v>22.969733610307092</v>
      </c>
      <c r="J4481" s="13">
        <v>7.5327322091868183</v>
      </c>
      <c r="K4481" s="13">
        <v>139.23686209756647</v>
      </c>
      <c r="L4481" s="13">
        <v>3.3738135103872913</v>
      </c>
      <c r="M4481" s="13">
        <v>1.18065155355942</v>
      </c>
      <c r="N4481" s="13">
        <v>8.152093434914514</v>
      </c>
      <c r="O4481" s="13">
        <v>1.4710578696533363</v>
      </c>
      <c r="P4481" s="13">
        <v>48.177811695653176</v>
      </c>
    </row>
    <row r="4482" spans="1:16">
      <c r="A4482" s="1" t="s">
        <v>4365</v>
      </c>
      <c r="B4482" s="7" t="s">
        <v>4371</v>
      </c>
      <c r="C4482" s="1" t="s">
        <v>18</v>
      </c>
      <c r="D4482" s="1" t="s">
        <v>81</v>
      </c>
      <c r="E4482" s="1" t="s">
        <v>4369</v>
      </c>
      <c r="F4482" s="13">
        <v>156.01069179864169</v>
      </c>
      <c r="G4482" s="13">
        <v>319.32567608793335</v>
      </c>
      <c r="H4482" s="13">
        <v>295.52066955424272</v>
      </c>
      <c r="I4482" s="13">
        <v>22.851293306725911</v>
      </c>
      <c r="J4482" s="13">
        <v>4.9042187934074679</v>
      </c>
      <c r="K4482" s="13">
        <v>66.590713741845661</v>
      </c>
      <c r="L4482" s="13">
        <v>2.25741581650884</v>
      </c>
      <c r="M4482" s="13">
        <v>2.4032821984297463</v>
      </c>
      <c r="N4482" s="13">
        <v>5.808957579766445</v>
      </c>
      <c r="O4482" s="13">
        <v>1.1725509918839294</v>
      </c>
      <c r="P4482" s="13">
        <v>45.151660811175653</v>
      </c>
    </row>
    <row r="4483" spans="1:16">
      <c r="A4483" s="1" t="s">
        <v>4365</v>
      </c>
      <c r="B4483" s="7" t="s">
        <v>4372</v>
      </c>
      <c r="C4483" s="1" t="s">
        <v>18</v>
      </c>
      <c r="D4483" s="1" t="s">
        <v>81</v>
      </c>
      <c r="E4483" s="1" t="s">
        <v>4369</v>
      </c>
      <c r="F4483" s="13">
        <v>58.012735901034013</v>
      </c>
      <c r="G4483" s="13">
        <v>312.25130425945895</v>
      </c>
      <c r="H4483" s="13">
        <v>289.00531798090975</v>
      </c>
      <c r="I4483" s="13">
        <v>22.073607703869914</v>
      </c>
      <c r="J4483" s="13">
        <v>6.161569904770948</v>
      </c>
      <c r="K4483" s="13">
        <v>57.462324941670758</v>
      </c>
      <c r="L4483" s="13">
        <v>1.8364129716315505</v>
      </c>
      <c r="M4483" s="13">
        <v>1.18065155355942</v>
      </c>
      <c r="N4483" s="13">
        <v>4.3535968420091784</v>
      </c>
      <c r="O4483" s="13">
        <v>1.4209766364428531</v>
      </c>
      <c r="P4483" s="13">
        <v>39.447266460571171</v>
      </c>
    </row>
    <row r="4484" spans="1:16">
      <c r="A4484" s="1" t="s">
        <v>4365</v>
      </c>
      <c r="B4484" s="7" t="s">
        <v>4373</v>
      </c>
      <c r="C4484" s="1" t="s">
        <v>18</v>
      </c>
      <c r="D4484" s="1" t="s">
        <v>81</v>
      </c>
      <c r="E4484" s="1" t="s">
        <v>4369</v>
      </c>
      <c r="F4484" s="13">
        <v>111.36296060668874</v>
      </c>
      <c r="G4484" s="13">
        <v>314.24131627894639</v>
      </c>
      <c r="H4484" s="13">
        <v>276.35705422352925</v>
      </c>
      <c r="I4484" s="13">
        <v>22.49286461983397</v>
      </c>
      <c r="J4484" s="13">
        <v>3.9342785749194511</v>
      </c>
      <c r="K4484" s="13">
        <v>69.434432130586046</v>
      </c>
      <c r="L4484" s="13">
        <v>4.5437286826777026</v>
      </c>
      <c r="M4484" s="13">
        <v>1.18065155355942</v>
      </c>
      <c r="N4484" s="13">
        <v>8.0119262986439104</v>
      </c>
      <c r="O4484" s="13">
        <v>1.263945745977372</v>
      </c>
      <c r="P4484" s="13">
        <v>50.643064295384562</v>
      </c>
    </row>
    <row r="4485" spans="1:16">
      <c r="A4485" s="1" t="s">
        <v>4365</v>
      </c>
      <c r="B4485" s="7" t="s">
        <v>4374</v>
      </c>
      <c r="C4485" s="1" t="s">
        <v>18</v>
      </c>
      <c r="D4485" s="1" t="s">
        <v>81</v>
      </c>
      <c r="E4485" s="1" t="s">
        <v>4369</v>
      </c>
      <c r="F4485" s="13">
        <v>61.242852184267925</v>
      </c>
      <c r="G4485" s="13">
        <v>317.37855281766724</v>
      </c>
      <c r="H4485" s="13">
        <v>290.72777117088742</v>
      </c>
      <c r="I4485" s="13">
        <v>22.053654156308024</v>
      </c>
      <c r="J4485" s="13">
        <v>4.9643275237640907</v>
      </c>
      <c r="K4485" s="13">
        <v>54.851514775211122</v>
      </c>
      <c r="L4485" s="13">
        <v>1.9802724321635903</v>
      </c>
      <c r="M4485" s="13">
        <v>1.18065155355942</v>
      </c>
      <c r="N4485" s="13">
        <v>8.8812946526461243</v>
      </c>
      <c r="O4485" s="13">
        <v>0.97417115749284577</v>
      </c>
      <c r="P4485" s="13">
        <v>46.434864439294614</v>
      </c>
    </row>
    <row r="4486" spans="1:16">
      <c r="A4486" s="1" t="s">
        <v>4365</v>
      </c>
      <c r="B4486" s="7" t="s">
        <v>4375</v>
      </c>
      <c r="C4486" s="1" t="s">
        <v>18</v>
      </c>
      <c r="D4486" s="1" t="s">
        <v>81</v>
      </c>
      <c r="E4486" s="1" t="s">
        <v>4369</v>
      </c>
      <c r="F4486" s="13">
        <v>175.57931813301283</v>
      </c>
      <c r="G4486" s="13">
        <v>330.08183479375344</v>
      </c>
      <c r="H4486" s="13">
        <v>273.81369234803645</v>
      </c>
      <c r="I4486" s="13">
        <v>22.417053899244916</v>
      </c>
      <c r="J4486" s="13">
        <v>1.162815432022025</v>
      </c>
      <c r="K4486" s="13">
        <v>139.68044415374078</v>
      </c>
      <c r="L4486" s="13">
        <v>1.8948470582080856</v>
      </c>
      <c r="M4486" s="13">
        <v>1.18065155355942</v>
      </c>
      <c r="N4486" s="13">
        <v>6.6634894235692963</v>
      </c>
      <c r="O4486" s="13">
        <v>0.99257302378331369</v>
      </c>
      <c r="P4486" s="13">
        <v>43.388146455852173</v>
      </c>
    </row>
    <row r="4487" spans="1:16">
      <c r="A4487" s="1" t="s">
        <v>4365</v>
      </c>
      <c r="B4487" s="7" t="s">
        <v>4376</v>
      </c>
      <c r="C4487" s="1" t="s">
        <v>18</v>
      </c>
      <c r="D4487" s="1" t="s">
        <v>81</v>
      </c>
      <c r="E4487" s="1" t="s">
        <v>4369</v>
      </c>
      <c r="F4487" s="13">
        <v>136.79421016395844</v>
      </c>
      <c r="G4487" s="13">
        <v>325.23151147079096</v>
      </c>
      <c r="H4487" s="13">
        <v>282.39261904975996</v>
      </c>
      <c r="I4487" s="13">
        <v>22.822526956573011</v>
      </c>
      <c r="J4487" s="13">
        <v>4.172358941975145</v>
      </c>
      <c r="K4487" s="13">
        <v>158.59702500760645</v>
      </c>
      <c r="L4487" s="13">
        <v>2.0370571106830533</v>
      </c>
      <c r="M4487" s="13">
        <v>1.18065155355942</v>
      </c>
      <c r="N4487" s="13">
        <v>8.7724703293017718</v>
      </c>
      <c r="O4487" s="13">
        <v>1.2937201622583248</v>
      </c>
      <c r="P4487" s="13">
        <v>44.475850742717519</v>
      </c>
    </row>
    <row r="4488" spans="1:16">
      <c r="A4488" s="1" t="s">
        <v>4365</v>
      </c>
      <c r="B4488" s="7" t="s">
        <v>4377</v>
      </c>
      <c r="C4488" s="1" t="s">
        <v>18</v>
      </c>
      <c r="D4488" s="1" t="s">
        <v>81</v>
      </c>
      <c r="E4488" s="1" t="s">
        <v>4369</v>
      </c>
      <c r="F4488" s="13">
        <v>190.85799719800781</v>
      </c>
      <c r="G4488" s="13">
        <v>309.88742695550195</v>
      </c>
      <c r="H4488" s="13">
        <v>279.02123086510562</v>
      </c>
      <c r="I4488" s="13">
        <v>21.959769984079852</v>
      </c>
      <c r="J4488" s="13">
        <v>6.2313387747568925</v>
      </c>
      <c r="K4488" s="13">
        <v>76.720694309180089</v>
      </c>
      <c r="L4488" s="13">
        <v>2.4686838508305202</v>
      </c>
      <c r="M4488" s="13">
        <v>1.18065155355942</v>
      </c>
      <c r="N4488" s="13">
        <v>7.2736263320311467</v>
      </c>
      <c r="O4488" s="13">
        <v>1.0533883067858949</v>
      </c>
      <c r="P4488" s="13">
        <v>51.123235728695064</v>
      </c>
    </row>
    <row r="4489" spans="1:16">
      <c r="A4489" s="1" t="s">
        <v>4365</v>
      </c>
      <c r="B4489" s="7" t="s">
        <v>4378</v>
      </c>
      <c r="C4489" s="1" t="s">
        <v>18</v>
      </c>
      <c r="D4489" s="1" t="s">
        <v>81</v>
      </c>
      <c r="E4489" s="1" t="s">
        <v>4369</v>
      </c>
      <c r="F4489" s="13">
        <v>123.64228475026177</v>
      </c>
      <c r="G4489" s="13">
        <v>316.03815014015663</v>
      </c>
      <c r="H4489" s="13">
        <v>336.30751629307429</v>
      </c>
      <c r="I4489" s="13">
        <v>23.490471252053474</v>
      </c>
      <c r="J4489" s="13">
        <v>5.6578843714392226</v>
      </c>
      <c r="K4489" s="13">
        <v>156.28132732039154</v>
      </c>
      <c r="L4489" s="13">
        <v>3.0176398358874263</v>
      </c>
      <c r="M4489" s="13">
        <v>1.18065155355942</v>
      </c>
      <c r="N4489" s="13">
        <v>7.0124471136494098</v>
      </c>
      <c r="O4489" s="13">
        <v>1.2842152660205066</v>
      </c>
      <c r="P4489" s="13">
        <v>45.473686121123485</v>
      </c>
    </row>
    <row r="4490" spans="1:16">
      <c r="A4490" s="1" t="s">
        <v>4365</v>
      </c>
      <c r="B4490" s="7" t="s">
        <v>4379</v>
      </c>
      <c r="C4490" s="1" t="s">
        <v>18</v>
      </c>
      <c r="D4490" s="1" t="s">
        <v>81</v>
      </c>
      <c r="E4490" s="1" t="s">
        <v>4369</v>
      </c>
      <c r="F4490" s="13">
        <v>186.98802640444472</v>
      </c>
      <c r="G4490" s="13">
        <v>323.01912110143252</v>
      </c>
      <c r="H4490" s="13">
        <v>281.88876358731881</v>
      </c>
      <c r="I4490" s="13">
        <v>22.871319821689976</v>
      </c>
      <c r="J4490" s="13">
        <v>8.051768892949557</v>
      </c>
      <c r="K4490" s="13">
        <v>97.674629730917601</v>
      </c>
      <c r="L4490" s="13">
        <v>16.377427619635871</v>
      </c>
      <c r="M4490" s="13">
        <v>1.18065155355942</v>
      </c>
      <c r="N4490" s="13">
        <v>7.4551626418447761</v>
      </c>
      <c r="O4490" s="13">
        <v>1.4758469954540276</v>
      </c>
      <c r="P4490" s="13">
        <v>44.750335822399421</v>
      </c>
    </row>
    <row r="4491" spans="1:16">
      <c r="A4491" s="1" t="s">
        <v>4365</v>
      </c>
      <c r="B4491" s="7" t="s">
        <v>4380</v>
      </c>
      <c r="C4491" s="1" t="s">
        <v>18</v>
      </c>
      <c r="D4491" s="1" t="s">
        <v>81</v>
      </c>
      <c r="E4491" s="1" t="s">
        <v>4369</v>
      </c>
      <c r="F4491" s="13">
        <v>102.57322131327908</v>
      </c>
      <c r="G4491" s="13">
        <v>311.4287815258503</v>
      </c>
      <c r="H4491" s="13">
        <v>284.26052457164138</v>
      </c>
      <c r="I4491" s="13">
        <v>22.340866512856795</v>
      </c>
      <c r="J4491" s="13">
        <v>5.8924776361957942</v>
      </c>
      <c r="K4491" s="13">
        <v>108.5804288780285</v>
      </c>
      <c r="L4491" s="13">
        <v>1.8721696972314299</v>
      </c>
      <c r="M4491" s="13">
        <v>1.18065155355942</v>
      </c>
      <c r="N4491" s="13">
        <v>5.7966226784117874</v>
      </c>
      <c r="O4491" s="13">
        <v>1.3321725133168352</v>
      </c>
      <c r="P4491" s="13">
        <v>40.241600817553802</v>
      </c>
    </row>
    <row r="4492" spans="1:16">
      <c r="A4492" s="1" t="s">
        <v>4365</v>
      </c>
      <c r="B4492" s="7" t="s">
        <v>4381</v>
      </c>
      <c r="C4492" s="1" t="s">
        <v>18</v>
      </c>
      <c r="D4492" s="1" t="s">
        <v>81</v>
      </c>
      <c r="E4492" s="1" t="s">
        <v>4369</v>
      </c>
      <c r="F4492" s="13">
        <v>142.36899313975633</v>
      </c>
      <c r="G4492" s="13">
        <v>307.93696291043881</v>
      </c>
      <c r="H4492" s="13">
        <v>290.32062273157811</v>
      </c>
      <c r="I4492" s="13">
        <v>21.627995142082792</v>
      </c>
      <c r="J4492" s="13">
        <v>4.1101649218790914</v>
      </c>
      <c r="K4492" s="13">
        <v>219.68145068111335</v>
      </c>
      <c r="L4492" s="13">
        <v>2.8301760501925464</v>
      </c>
      <c r="M4492" s="13">
        <v>1.18065155355942</v>
      </c>
      <c r="N4492" s="13">
        <v>8.0793620647403728</v>
      </c>
      <c r="O4492" s="13">
        <v>1.1244302664432317</v>
      </c>
      <c r="P4492" s="13">
        <v>46.572297079097446</v>
      </c>
    </row>
    <row r="4493" spans="1:16">
      <c r="A4493" s="1" t="s">
        <v>4365</v>
      </c>
      <c r="B4493" s="7" t="s">
        <v>4382</v>
      </c>
      <c r="C4493" s="1" t="s">
        <v>18</v>
      </c>
      <c r="D4493" s="1" t="s">
        <v>81</v>
      </c>
      <c r="E4493" s="1" t="s">
        <v>4369</v>
      </c>
      <c r="F4493" s="13">
        <v>99.853342073312902</v>
      </c>
      <c r="G4493" s="13">
        <v>326.69066785323702</v>
      </c>
      <c r="H4493" s="13">
        <v>273.64625907918958</v>
      </c>
      <c r="I4493" s="13">
        <v>22.148273296310737</v>
      </c>
      <c r="J4493" s="13">
        <v>4.7030232944158623</v>
      </c>
      <c r="K4493" s="13">
        <v>66.914078137449906</v>
      </c>
      <c r="L4493" s="13">
        <v>2.6866609340669463</v>
      </c>
      <c r="M4493" s="13">
        <v>1.18065155355942</v>
      </c>
      <c r="N4493" s="13">
        <v>6.3629146452645431</v>
      </c>
      <c r="O4493" s="13">
        <v>1.449094032997627</v>
      </c>
      <c r="P4493" s="13">
        <v>46.419312054074844</v>
      </c>
    </row>
    <row r="4494" spans="1:16">
      <c r="A4494" s="1" t="s">
        <v>4365</v>
      </c>
      <c r="B4494" s="7" t="s">
        <v>4383</v>
      </c>
      <c r="C4494" s="1" t="s">
        <v>18</v>
      </c>
      <c r="D4494" s="1" t="s">
        <v>81</v>
      </c>
      <c r="E4494" s="1" t="s">
        <v>4369</v>
      </c>
      <c r="F4494" s="13">
        <v>3.9240211255157602</v>
      </c>
      <c r="G4494" s="13">
        <v>312.26060576437288</v>
      </c>
      <c r="H4494" s="13">
        <v>290.64992787298121</v>
      </c>
      <c r="I4494" s="13">
        <v>22.454837679046623</v>
      </c>
      <c r="J4494" s="13">
        <v>3.9519620878746746</v>
      </c>
      <c r="K4494" s="13">
        <v>44.112072372352479</v>
      </c>
      <c r="L4494" s="13">
        <v>2.280201666941347</v>
      </c>
      <c r="M4494" s="13">
        <v>1.18065155355942</v>
      </c>
      <c r="N4494" s="13">
        <v>5.0934361883848753</v>
      </c>
      <c r="O4494" s="13">
        <v>0.99238981614631916</v>
      </c>
      <c r="P4494" s="13">
        <v>46.586733239556331</v>
      </c>
    </row>
    <row r="4495" spans="1:16">
      <c r="A4495" s="1" t="s">
        <v>4365</v>
      </c>
      <c r="B4495" s="7" t="s">
        <v>4384</v>
      </c>
      <c r="C4495" s="1" t="s">
        <v>18</v>
      </c>
      <c r="D4495" s="1" t="s">
        <v>81</v>
      </c>
      <c r="E4495" s="1" t="s">
        <v>4369</v>
      </c>
      <c r="F4495" s="13">
        <v>118.78157761707409</v>
      </c>
      <c r="G4495" s="13">
        <v>284.26150077899121</v>
      </c>
      <c r="H4495" s="13">
        <v>279.32103192546208</v>
      </c>
      <c r="I4495" s="13">
        <v>22.148330741862924</v>
      </c>
      <c r="J4495" s="13">
        <v>6.596179963286251</v>
      </c>
      <c r="K4495" s="13">
        <v>35.255568719844049</v>
      </c>
      <c r="L4495" s="13">
        <v>1.1903862197656707</v>
      </c>
      <c r="M4495" s="13">
        <v>1.18065155355942</v>
      </c>
      <c r="N4495" s="13">
        <v>4.0105975110362317</v>
      </c>
      <c r="O4495" s="13">
        <v>1.1866842904072639</v>
      </c>
      <c r="P4495" s="13">
        <v>28.853688923407855</v>
      </c>
    </row>
    <row r="4496" spans="1:16">
      <c r="A4496" s="1" t="s">
        <v>4365</v>
      </c>
      <c r="B4496" s="7" t="s">
        <v>4385</v>
      </c>
      <c r="C4496" s="1" t="s">
        <v>18</v>
      </c>
      <c r="D4496" s="1" t="s">
        <v>81</v>
      </c>
      <c r="E4496" s="1" t="s">
        <v>4369</v>
      </c>
      <c r="F4496" s="13">
        <v>86.386604216556194</v>
      </c>
      <c r="G4496" s="13">
        <v>330.89101711275606</v>
      </c>
      <c r="H4496" s="13">
        <v>301.99664366317785</v>
      </c>
      <c r="I4496" s="13">
        <v>22.477030356298048</v>
      </c>
      <c r="J4496" s="13">
        <v>1.162815432022025</v>
      </c>
      <c r="K4496" s="13">
        <v>116.44179172060852</v>
      </c>
      <c r="L4496" s="13">
        <v>2.7155150232894334</v>
      </c>
      <c r="M4496" s="13">
        <v>1.18065155355942</v>
      </c>
      <c r="N4496" s="13">
        <v>7.9542250736684821</v>
      </c>
      <c r="O4496" s="13">
        <v>1.2824048693210339</v>
      </c>
      <c r="P4496" s="13">
        <v>50.88194711428018</v>
      </c>
    </row>
    <row r="4497" spans="1:16">
      <c r="A4497" s="1" t="s">
        <v>4365</v>
      </c>
      <c r="B4497" s="7" t="s">
        <v>4386</v>
      </c>
      <c r="C4497" s="1" t="s">
        <v>18</v>
      </c>
      <c r="D4497" s="1" t="s">
        <v>81</v>
      </c>
      <c r="E4497" s="1" t="s">
        <v>4369</v>
      </c>
      <c r="F4497" s="13">
        <v>112.5674709616593</v>
      </c>
      <c r="G4497" s="13">
        <v>298.09224365026915</v>
      </c>
      <c r="H4497" s="13">
        <v>286.51711561386497</v>
      </c>
      <c r="I4497" s="13">
        <v>22.839463604549021</v>
      </c>
      <c r="J4497" s="13">
        <v>4.0289198186870134</v>
      </c>
      <c r="K4497" s="13">
        <v>113.13407952791968</v>
      </c>
      <c r="L4497" s="13">
        <v>7.2547959399076305</v>
      </c>
      <c r="M4497" s="13">
        <v>1.18065155355942</v>
      </c>
      <c r="N4497" s="13">
        <v>5.2958530403142854</v>
      </c>
      <c r="O4497" s="13">
        <v>1.3308555012943857</v>
      </c>
      <c r="P4497" s="13">
        <v>51.351652960565083</v>
      </c>
    </row>
    <row r="4498" spans="1:16">
      <c r="A4498" s="1" t="s">
        <v>4365</v>
      </c>
      <c r="B4498" s="7" t="s">
        <v>4387</v>
      </c>
      <c r="C4498" s="1" t="s">
        <v>18</v>
      </c>
      <c r="D4498" s="1" t="s">
        <v>81</v>
      </c>
      <c r="E4498" s="1" t="s">
        <v>4369</v>
      </c>
      <c r="F4498" s="13">
        <v>209.82062181153299</v>
      </c>
      <c r="G4498" s="13">
        <v>323.45743714113542</v>
      </c>
      <c r="H4498" s="13">
        <v>276.12053858646976</v>
      </c>
      <c r="I4498" s="13">
        <v>22.418644975918269</v>
      </c>
      <c r="J4498" s="13">
        <v>6.7330291005067586</v>
      </c>
      <c r="K4498" s="13">
        <v>324.05460645752885</v>
      </c>
      <c r="L4498" s="13">
        <v>2.5776083610042075</v>
      </c>
      <c r="M4498" s="13">
        <v>1.18065155355942</v>
      </c>
      <c r="N4498" s="13">
        <v>8.3678921211093797</v>
      </c>
      <c r="O4498" s="13">
        <v>1.2480035989944813</v>
      </c>
      <c r="P4498" s="13">
        <v>46.798339466329061</v>
      </c>
    </row>
    <row r="4499" spans="1:16">
      <c r="A4499" s="1" t="s">
        <v>4365</v>
      </c>
      <c r="B4499" s="7" t="s">
        <v>4388</v>
      </c>
      <c r="C4499" s="1" t="s">
        <v>18</v>
      </c>
      <c r="D4499" s="1" t="s">
        <v>81</v>
      </c>
      <c r="E4499" s="1" t="s">
        <v>4369</v>
      </c>
      <c r="F4499" s="13">
        <v>123.90231741582019</v>
      </c>
      <c r="G4499" s="13">
        <v>317.97833925160194</v>
      </c>
      <c r="H4499" s="13">
        <v>290.216206441623</v>
      </c>
      <c r="I4499" s="13">
        <v>22.348540370616405</v>
      </c>
      <c r="J4499" s="13">
        <v>5.1855438770510434</v>
      </c>
      <c r="K4499" s="13">
        <v>109.3222153074408</v>
      </c>
      <c r="L4499" s="13">
        <v>3.2841218183373488</v>
      </c>
      <c r="M4499" s="13">
        <v>1.18065155355942</v>
      </c>
      <c r="N4499" s="13">
        <v>7.091797747575181</v>
      </c>
      <c r="O4499" s="13">
        <v>1.2345484501684016</v>
      </c>
      <c r="P4499" s="13">
        <v>45.082845480109974</v>
      </c>
    </row>
    <row r="4500" spans="1:16">
      <c r="A4500" s="1" t="s">
        <v>4389</v>
      </c>
      <c r="B4500" s="1" t="s">
        <v>4390</v>
      </c>
      <c r="C4500" s="1" t="s">
        <v>105</v>
      </c>
      <c r="D4500" s="1" t="s">
        <v>106</v>
      </c>
      <c r="E4500" s="1" t="s">
        <v>4391</v>
      </c>
      <c r="F4500">
        <v>1047</v>
      </c>
      <c r="G4500">
        <v>744</v>
      </c>
      <c r="H4500">
        <v>620</v>
      </c>
      <c r="I4500">
        <v>73.3</v>
      </c>
      <c r="J4500">
        <v>6.3</v>
      </c>
      <c r="K4500">
        <v>97.2</v>
      </c>
      <c r="L4500">
        <v>1.96</v>
      </c>
      <c r="M4500">
        <v>4.5</v>
      </c>
      <c r="N4500">
        <v>8.1999999999999993</v>
      </c>
      <c r="O4500">
        <v>24.8</v>
      </c>
      <c r="P4500">
        <v>0.5</v>
      </c>
    </row>
    <row r="4501" spans="1:16">
      <c r="A4501" s="1" t="s">
        <v>4389</v>
      </c>
      <c r="B4501" s="1" t="s">
        <v>4392</v>
      </c>
      <c r="C4501" s="1" t="s">
        <v>105</v>
      </c>
      <c r="D4501" s="1" t="s">
        <v>106</v>
      </c>
      <c r="E4501" s="1" t="s">
        <v>4391</v>
      </c>
      <c r="F4501">
        <v>1040</v>
      </c>
      <c r="G4501">
        <v>674</v>
      </c>
      <c r="H4501">
        <v>964</v>
      </c>
      <c r="I4501">
        <v>77.2</v>
      </c>
      <c r="J4501">
        <v>4.2</v>
      </c>
      <c r="K4501">
        <v>106.4</v>
      </c>
      <c r="L4501">
        <v>2.4</v>
      </c>
      <c r="M4501">
        <v>4.4000000000000004</v>
      </c>
      <c r="N4501">
        <v>10.4</v>
      </c>
      <c r="O4501">
        <v>27.4</v>
      </c>
      <c r="P4501">
        <v>1.1000000000000001</v>
      </c>
    </row>
    <row r="4502" spans="1:16">
      <c r="A4502" s="1" t="s">
        <v>4389</v>
      </c>
      <c r="B4502" s="1" t="s">
        <v>4393</v>
      </c>
      <c r="C4502" s="1" t="s">
        <v>105</v>
      </c>
      <c r="D4502" s="1" t="s">
        <v>106</v>
      </c>
      <c r="E4502" s="1" t="s">
        <v>4394</v>
      </c>
      <c r="F4502">
        <v>700</v>
      </c>
      <c r="G4502">
        <v>451</v>
      </c>
      <c r="H4502">
        <v>404</v>
      </c>
      <c r="I4502">
        <v>74.400000000000006</v>
      </c>
      <c r="J4502">
        <v>7.2</v>
      </c>
      <c r="K4502">
        <v>84.3</v>
      </c>
      <c r="L4502">
        <v>2.09</v>
      </c>
      <c r="M4502">
        <v>3.8</v>
      </c>
      <c r="N4502">
        <v>7</v>
      </c>
      <c r="O4502">
        <v>24.6</v>
      </c>
      <c r="P4502">
        <v>0.4</v>
      </c>
    </row>
    <row r="4503" spans="1:16">
      <c r="A4503" s="1" t="s">
        <v>4389</v>
      </c>
      <c r="B4503" s="1" t="s">
        <v>4395</v>
      </c>
      <c r="C4503" s="1" t="s">
        <v>105</v>
      </c>
      <c r="D4503" s="1" t="s">
        <v>106</v>
      </c>
      <c r="E4503" s="1" t="s">
        <v>4394</v>
      </c>
      <c r="F4503">
        <v>1550</v>
      </c>
      <c r="G4503">
        <v>1530</v>
      </c>
      <c r="H4503">
        <v>2800</v>
      </c>
      <c r="I4503">
        <v>78.3</v>
      </c>
      <c r="J4503">
        <v>7.4</v>
      </c>
      <c r="K4503">
        <v>80.8</v>
      </c>
      <c r="L4503">
        <v>1.97</v>
      </c>
      <c r="M4503">
        <v>4.2</v>
      </c>
      <c r="N4503">
        <v>5.8</v>
      </c>
      <c r="O4503">
        <v>25.9</v>
      </c>
      <c r="P4503">
        <v>0.9</v>
      </c>
    </row>
    <row r="4504" spans="1:16">
      <c r="A4504" s="1" t="s">
        <v>4389</v>
      </c>
      <c r="B4504" s="1" t="s">
        <v>4396</v>
      </c>
      <c r="C4504" s="1" t="s">
        <v>105</v>
      </c>
      <c r="D4504" s="1" t="s">
        <v>106</v>
      </c>
      <c r="E4504" s="1" t="s">
        <v>4394</v>
      </c>
      <c r="F4504">
        <v>1530</v>
      </c>
      <c r="G4504">
        <v>1080</v>
      </c>
      <c r="H4504">
        <v>239</v>
      </c>
      <c r="I4504">
        <v>76.7</v>
      </c>
      <c r="J4504">
        <v>5.3</v>
      </c>
      <c r="K4504">
        <v>93.5</v>
      </c>
      <c r="L4504">
        <v>2.16</v>
      </c>
      <c r="M4504">
        <v>3.9</v>
      </c>
      <c r="N4504">
        <v>7.9</v>
      </c>
      <c r="O4504">
        <v>26.5</v>
      </c>
      <c r="P4504">
        <v>0.4</v>
      </c>
    </row>
    <row r="4505" spans="1:16">
      <c r="A4505" s="1" t="s">
        <v>4389</v>
      </c>
      <c r="B4505" s="1" t="s">
        <v>4397</v>
      </c>
      <c r="C4505" s="1" t="s">
        <v>105</v>
      </c>
      <c r="D4505" s="1" t="s">
        <v>106</v>
      </c>
      <c r="E4505" s="1" t="s">
        <v>4394</v>
      </c>
      <c r="F4505">
        <v>1743</v>
      </c>
      <c r="G4505">
        <v>986</v>
      </c>
      <c r="H4505">
        <v>930</v>
      </c>
      <c r="I4505">
        <v>77.900000000000006</v>
      </c>
      <c r="J4505">
        <v>5.9</v>
      </c>
      <c r="K4505">
        <v>110</v>
      </c>
      <c r="L4505">
        <v>2.7</v>
      </c>
      <c r="M4505">
        <v>4.8</v>
      </c>
      <c r="N4505">
        <v>10.6</v>
      </c>
      <c r="O4505">
        <v>27.6</v>
      </c>
      <c r="P4505">
        <v>1</v>
      </c>
    </row>
    <row r="4506" spans="1:16">
      <c r="A4506" s="1" t="s">
        <v>4389</v>
      </c>
      <c r="B4506" s="1" t="s">
        <v>4398</v>
      </c>
      <c r="C4506" s="1" t="s">
        <v>105</v>
      </c>
      <c r="D4506" s="1" t="s">
        <v>106</v>
      </c>
      <c r="E4506" s="1" t="s">
        <v>4394</v>
      </c>
      <c r="F4506">
        <v>1580</v>
      </c>
      <c r="G4506">
        <v>866</v>
      </c>
      <c r="H4506">
        <v>1630</v>
      </c>
      <c r="I4506">
        <v>79.900000000000006</v>
      </c>
      <c r="J4506">
        <v>28.4</v>
      </c>
      <c r="K4506">
        <v>123</v>
      </c>
      <c r="L4506">
        <v>0.88</v>
      </c>
      <c r="M4506">
        <v>4.2</v>
      </c>
      <c r="N4506">
        <v>7.1</v>
      </c>
      <c r="O4506">
        <v>27.3</v>
      </c>
      <c r="P4506">
        <v>0.8</v>
      </c>
    </row>
    <row r="4507" spans="1:16">
      <c r="A4507" s="1" t="s">
        <v>4389</v>
      </c>
      <c r="B4507" s="1" t="s">
        <v>4399</v>
      </c>
      <c r="C4507" s="1" t="s">
        <v>105</v>
      </c>
      <c r="D4507" s="1" t="s">
        <v>106</v>
      </c>
      <c r="E4507" s="1" t="s">
        <v>4394</v>
      </c>
      <c r="F4507">
        <v>2940</v>
      </c>
      <c r="G4507">
        <v>1550</v>
      </c>
      <c r="H4507">
        <v>2860</v>
      </c>
      <c r="I4507">
        <v>80.8</v>
      </c>
      <c r="J4507">
        <v>5</v>
      </c>
      <c r="K4507">
        <v>124.6</v>
      </c>
      <c r="L4507">
        <v>1.6</v>
      </c>
      <c r="M4507">
        <v>4.7</v>
      </c>
      <c r="N4507">
        <v>9.6</v>
      </c>
      <c r="O4507">
        <v>27.8</v>
      </c>
      <c r="P4507">
        <v>1.2</v>
      </c>
    </row>
    <row r="4508" spans="1:16">
      <c r="A4508" s="1" t="s">
        <v>4389</v>
      </c>
      <c r="B4508" s="1" t="s">
        <v>4400</v>
      </c>
      <c r="C4508" s="1" t="s">
        <v>105</v>
      </c>
      <c r="D4508" s="1" t="s">
        <v>106</v>
      </c>
      <c r="E4508" s="1" t="s">
        <v>4394</v>
      </c>
      <c r="F4508">
        <v>1302</v>
      </c>
      <c r="G4508">
        <v>853</v>
      </c>
      <c r="H4508">
        <v>669</v>
      </c>
      <c r="I4508">
        <v>74.7</v>
      </c>
      <c r="J4508">
        <v>9.6</v>
      </c>
      <c r="K4508">
        <v>119.7</v>
      </c>
      <c r="L4508">
        <v>1.24</v>
      </c>
      <c r="M4508">
        <v>4.3</v>
      </c>
      <c r="N4508">
        <v>8</v>
      </c>
      <c r="O4508">
        <v>26</v>
      </c>
      <c r="P4508">
        <v>0.3</v>
      </c>
    </row>
    <row r="4509" spans="1:16">
      <c r="A4509" s="1" t="s">
        <v>4389</v>
      </c>
      <c r="B4509" s="1" t="s">
        <v>4401</v>
      </c>
      <c r="C4509" s="1" t="s">
        <v>105</v>
      </c>
      <c r="D4509" s="1" t="s">
        <v>106</v>
      </c>
      <c r="E4509" s="1" t="s">
        <v>4394</v>
      </c>
      <c r="F4509">
        <v>472</v>
      </c>
      <c r="G4509">
        <v>510</v>
      </c>
      <c r="H4509">
        <v>239</v>
      </c>
      <c r="I4509">
        <v>75.900000000000006</v>
      </c>
      <c r="J4509">
        <v>8.6</v>
      </c>
      <c r="K4509">
        <v>75.7</v>
      </c>
      <c r="L4509">
        <v>0.59</v>
      </c>
      <c r="M4509">
        <v>4.9000000000000004</v>
      </c>
      <c r="N4509">
        <v>7</v>
      </c>
      <c r="O4509">
        <v>23.6</v>
      </c>
      <c r="P4509">
        <v>0.3</v>
      </c>
    </row>
    <row r="4510" spans="1:16">
      <c r="A4510" s="1" t="s">
        <v>4389</v>
      </c>
      <c r="B4510" s="1" t="s">
        <v>4402</v>
      </c>
      <c r="C4510" s="1" t="s">
        <v>105</v>
      </c>
      <c r="D4510" s="1" t="s">
        <v>106</v>
      </c>
      <c r="E4510" s="1" t="s">
        <v>4394</v>
      </c>
      <c r="F4510">
        <v>2000</v>
      </c>
      <c r="G4510">
        <v>1920</v>
      </c>
      <c r="H4510">
        <v>629</v>
      </c>
      <c r="I4510">
        <v>78.5</v>
      </c>
      <c r="J4510">
        <v>6.8</v>
      </c>
      <c r="K4510">
        <v>70.3</v>
      </c>
      <c r="L4510">
        <v>0.88</v>
      </c>
      <c r="M4510">
        <v>4.2</v>
      </c>
      <c r="N4510">
        <v>9</v>
      </c>
      <c r="O4510">
        <v>26</v>
      </c>
      <c r="P4510">
        <v>0.6</v>
      </c>
    </row>
    <row r="4511" spans="1:16">
      <c r="A4511" s="1" t="s">
        <v>4389</v>
      </c>
      <c r="B4511" s="1" t="s">
        <v>4403</v>
      </c>
      <c r="C4511" s="1" t="s">
        <v>105</v>
      </c>
      <c r="D4511" s="1" t="s">
        <v>106</v>
      </c>
      <c r="E4511" s="1" t="s">
        <v>4394</v>
      </c>
      <c r="F4511">
        <v>3470</v>
      </c>
      <c r="G4511">
        <v>4680</v>
      </c>
      <c r="H4511">
        <v>626</v>
      </c>
      <c r="I4511">
        <v>77.599999999999994</v>
      </c>
      <c r="J4511">
        <v>7.2</v>
      </c>
      <c r="K4511">
        <v>64.5</v>
      </c>
      <c r="L4511">
        <v>1.2</v>
      </c>
      <c r="M4511">
        <v>4.9000000000000004</v>
      </c>
      <c r="N4511">
        <v>13.2</v>
      </c>
      <c r="O4511">
        <v>30.2</v>
      </c>
      <c r="P4511">
        <v>0.4</v>
      </c>
    </row>
    <row r="4512" spans="1:16">
      <c r="A4512" s="1" t="s">
        <v>4389</v>
      </c>
      <c r="B4512" s="1" t="s">
        <v>4404</v>
      </c>
      <c r="C4512" s="1" t="s">
        <v>105</v>
      </c>
      <c r="D4512" s="1" t="s">
        <v>106</v>
      </c>
      <c r="E4512" s="1" t="s">
        <v>4394</v>
      </c>
      <c r="F4512">
        <v>2104</v>
      </c>
      <c r="G4512">
        <v>1362</v>
      </c>
      <c r="H4512">
        <v>871</v>
      </c>
      <c r="I4512">
        <v>79.599999999999994</v>
      </c>
      <c r="J4512">
        <v>0.8</v>
      </c>
      <c r="K4512">
        <v>100</v>
      </c>
      <c r="L4512">
        <v>1.1499999999999999</v>
      </c>
      <c r="M4512">
        <v>4.8</v>
      </c>
      <c r="N4512">
        <v>5.5</v>
      </c>
      <c r="O4512">
        <v>27.5</v>
      </c>
      <c r="P4512">
        <v>0.3</v>
      </c>
    </row>
    <row r="4513" spans="1:16">
      <c r="A4513" s="1" t="s">
        <v>4389</v>
      </c>
      <c r="B4513" s="1" t="s">
        <v>4405</v>
      </c>
      <c r="C4513" s="1" t="s">
        <v>105</v>
      </c>
      <c r="D4513" s="1" t="s">
        <v>106</v>
      </c>
      <c r="E4513" s="1" t="s">
        <v>4394</v>
      </c>
      <c r="F4513">
        <v>1800</v>
      </c>
      <c r="G4513">
        <v>2370</v>
      </c>
      <c r="H4513">
        <v>155</v>
      </c>
      <c r="I4513">
        <v>73.8</v>
      </c>
      <c r="J4513">
        <v>14.4</v>
      </c>
      <c r="K4513">
        <v>51.1</v>
      </c>
      <c r="L4513">
        <v>0.34</v>
      </c>
      <c r="M4513">
        <v>4.5</v>
      </c>
      <c r="N4513">
        <v>4.5</v>
      </c>
      <c r="O4513">
        <v>24.3</v>
      </c>
      <c r="P4513">
        <v>0.2</v>
      </c>
    </row>
    <row r="4514" spans="1:16">
      <c r="A4514" s="1" t="s">
        <v>4389</v>
      </c>
      <c r="B4514" s="1" t="s">
        <v>4406</v>
      </c>
      <c r="C4514" s="1" t="s">
        <v>105</v>
      </c>
      <c r="D4514" s="1" t="s">
        <v>106</v>
      </c>
      <c r="E4514" s="1" t="s">
        <v>4394</v>
      </c>
      <c r="F4514">
        <v>1430</v>
      </c>
      <c r="G4514">
        <v>2940</v>
      </c>
      <c r="H4514">
        <v>254</v>
      </c>
      <c r="I4514">
        <v>74.8</v>
      </c>
      <c r="J4514">
        <v>48.4</v>
      </c>
      <c r="K4514">
        <v>75</v>
      </c>
      <c r="L4514">
        <v>1.49</v>
      </c>
      <c r="M4514">
        <v>4</v>
      </c>
      <c r="N4514">
        <v>3.6</v>
      </c>
      <c r="O4514">
        <v>24.8</v>
      </c>
      <c r="P4514">
        <v>0.5</v>
      </c>
    </row>
    <row r="4515" spans="1:16">
      <c r="A4515" s="1" t="s">
        <v>4389</v>
      </c>
      <c r="B4515" s="1" t="s">
        <v>4407</v>
      </c>
      <c r="C4515" s="1" t="s">
        <v>105</v>
      </c>
      <c r="D4515" s="1" t="s">
        <v>106</v>
      </c>
      <c r="E4515" s="1" t="s">
        <v>4394</v>
      </c>
      <c r="F4515">
        <v>800</v>
      </c>
      <c r="G4515">
        <v>1170</v>
      </c>
      <c r="H4515">
        <v>204</v>
      </c>
      <c r="I4515">
        <v>76.099999999999994</v>
      </c>
      <c r="J4515">
        <v>16.100000000000001</v>
      </c>
      <c r="K4515">
        <v>75.5</v>
      </c>
      <c r="L4515">
        <v>0.72</v>
      </c>
      <c r="M4515">
        <v>3.8</v>
      </c>
      <c r="N4515">
        <v>7.1</v>
      </c>
      <c r="O4515">
        <v>26.3</v>
      </c>
      <c r="P4515">
        <v>0.2</v>
      </c>
    </row>
    <row r="4516" spans="1:16">
      <c r="A4516" s="1" t="s">
        <v>4389</v>
      </c>
      <c r="B4516" s="1" t="s">
        <v>4408</v>
      </c>
      <c r="C4516" s="1" t="s">
        <v>105</v>
      </c>
      <c r="D4516" s="1" t="s">
        <v>106</v>
      </c>
      <c r="E4516" s="1" t="s">
        <v>4394</v>
      </c>
      <c r="F4516">
        <v>7920</v>
      </c>
      <c r="G4516">
        <v>9020</v>
      </c>
      <c r="H4516">
        <v>107</v>
      </c>
      <c r="I4516">
        <v>78.3</v>
      </c>
      <c r="J4516">
        <v>32</v>
      </c>
      <c r="K4516">
        <v>96.7</v>
      </c>
      <c r="L4516">
        <v>0.31</v>
      </c>
      <c r="M4516">
        <v>5.2</v>
      </c>
      <c r="N4516">
        <v>9.4</v>
      </c>
      <c r="O4516">
        <v>34.799999999999997</v>
      </c>
      <c r="P4516">
        <v>0.6</v>
      </c>
    </row>
    <row r="4517" spans="1:16">
      <c r="A4517" s="1" t="s">
        <v>4389</v>
      </c>
      <c r="B4517" s="1" t="s">
        <v>4409</v>
      </c>
      <c r="C4517" s="1" t="s">
        <v>105</v>
      </c>
      <c r="D4517" s="1" t="s">
        <v>106</v>
      </c>
      <c r="E4517" s="1" t="s">
        <v>4394</v>
      </c>
      <c r="F4517">
        <v>2630</v>
      </c>
      <c r="G4517">
        <v>2700</v>
      </c>
      <c r="H4517">
        <v>244</v>
      </c>
      <c r="I4517">
        <v>73.7</v>
      </c>
      <c r="J4517">
        <v>9.1999999999999993</v>
      </c>
      <c r="K4517">
        <v>63.7</v>
      </c>
      <c r="L4517">
        <v>0.72</v>
      </c>
      <c r="M4517">
        <v>4.8</v>
      </c>
      <c r="N4517">
        <v>5.4</v>
      </c>
      <c r="O4517">
        <v>22.2</v>
      </c>
      <c r="P4517">
        <v>0.09</v>
      </c>
    </row>
    <row r="4518" spans="1:16">
      <c r="A4518" s="1" t="s">
        <v>4389</v>
      </c>
      <c r="B4518" s="1" t="s">
        <v>4410</v>
      </c>
      <c r="C4518" s="1" t="s">
        <v>105</v>
      </c>
      <c r="D4518" s="1" t="s">
        <v>106</v>
      </c>
      <c r="E4518" s="1" t="s">
        <v>4394</v>
      </c>
      <c r="F4518">
        <v>3430</v>
      </c>
      <c r="G4518">
        <v>4580</v>
      </c>
      <c r="H4518">
        <v>162</v>
      </c>
      <c r="I4518">
        <v>77.599999999999994</v>
      </c>
      <c r="J4518">
        <v>9.9</v>
      </c>
      <c r="K4518">
        <v>62.5</v>
      </c>
      <c r="L4518">
        <v>1.71</v>
      </c>
      <c r="M4518">
        <v>3.9</v>
      </c>
      <c r="N4518">
        <v>8.6999999999999993</v>
      </c>
      <c r="O4518">
        <v>28.4</v>
      </c>
      <c r="P4518">
        <v>0.4</v>
      </c>
    </row>
    <row r="4519" spans="1:16">
      <c r="A4519" s="1" t="s">
        <v>4389</v>
      </c>
      <c r="B4519" s="1" t="s">
        <v>4411</v>
      </c>
      <c r="C4519" s="1" t="s">
        <v>105</v>
      </c>
      <c r="D4519" s="1" t="s">
        <v>106</v>
      </c>
      <c r="E4519" s="1" t="s">
        <v>4394</v>
      </c>
      <c r="F4519">
        <v>1107</v>
      </c>
      <c r="G4519">
        <v>2340</v>
      </c>
      <c r="H4519">
        <v>506</v>
      </c>
      <c r="I4519">
        <v>81</v>
      </c>
      <c r="J4519">
        <v>18.3</v>
      </c>
      <c r="K4519">
        <v>58.5</v>
      </c>
      <c r="L4519">
        <v>1.78</v>
      </c>
      <c r="M4519">
        <v>4.2</v>
      </c>
      <c r="N4519">
        <v>7.3</v>
      </c>
      <c r="O4519">
        <v>26.1</v>
      </c>
      <c r="P4519">
        <v>0.6</v>
      </c>
    </row>
    <row r="4520" spans="1:16">
      <c r="A4520" s="1" t="s">
        <v>4389</v>
      </c>
      <c r="B4520" s="1" t="s">
        <v>4412</v>
      </c>
      <c r="C4520" s="1" t="s">
        <v>105</v>
      </c>
      <c r="D4520" s="1" t="s">
        <v>106</v>
      </c>
      <c r="E4520" s="1" t="s">
        <v>4394</v>
      </c>
      <c r="F4520">
        <v>3580</v>
      </c>
      <c r="G4520">
        <v>5380</v>
      </c>
      <c r="H4520">
        <v>1370</v>
      </c>
      <c r="I4520">
        <v>80</v>
      </c>
      <c r="J4520">
        <v>9</v>
      </c>
      <c r="K4520">
        <v>82.7</v>
      </c>
      <c r="L4520">
        <v>1.93</v>
      </c>
      <c r="M4520">
        <v>4.2</v>
      </c>
      <c r="N4520">
        <v>14.2</v>
      </c>
      <c r="O4520">
        <v>34.9</v>
      </c>
      <c r="P4520">
        <v>0.3</v>
      </c>
    </row>
    <row r="4521" spans="1:16">
      <c r="A4521" s="1" t="s">
        <v>4389</v>
      </c>
      <c r="B4521" s="1" t="s">
        <v>4413</v>
      </c>
      <c r="C4521" s="1" t="s">
        <v>105</v>
      </c>
      <c r="D4521" s="1" t="s">
        <v>106</v>
      </c>
      <c r="E4521" s="1" t="s">
        <v>4394</v>
      </c>
      <c r="F4521">
        <v>759</v>
      </c>
      <c r="G4521">
        <v>622</v>
      </c>
      <c r="H4521">
        <v>204</v>
      </c>
      <c r="I4521">
        <v>80.900000000000006</v>
      </c>
      <c r="J4521">
        <v>23.6</v>
      </c>
      <c r="K4521">
        <v>124</v>
      </c>
      <c r="L4521">
        <v>2.5</v>
      </c>
      <c r="M4521">
        <v>3.9</v>
      </c>
      <c r="N4521">
        <v>9.5</v>
      </c>
      <c r="O4521">
        <v>26.3</v>
      </c>
      <c r="P4521">
        <v>0.4</v>
      </c>
    </row>
    <row r="4522" spans="1:16">
      <c r="A4522" s="1" t="s">
        <v>4389</v>
      </c>
      <c r="B4522" s="1" t="s">
        <v>4414</v>
      </c>
      <c r="C4522" s="1" t="s">
        <v>105</v>
      </c>
      <c r="D4522" s="1" t="s">
        <v>106</v>
      </c>
      <c r="E4522" s="1" t="s">
        <v>4394</v>
      </c>
      <c r="F4522">
        <v>1460</v>
      </c>
      <c r="G4522">
        <v>2430</v>
      </c>
      <c r="H4522">
        <v>500</v>
      </c>
      <c r="I4522">
        <v>81.3</v>
      </c>
      <c r="J4522">
        <v>12.1</v>
      </c>
      <c r="K4522">
        <v>72.8</v>
      </c>
      <c r="L4522">
        <v>2.06</v>
      </c>
      <c r="M4522">
        <v>4.0999999999999996</v>
      </c>
      <c r="N4522">
        <v>9.1</v>
      </c>
      <c r="O4522">
        <v>29.5</v>
      </c>
      <c r="P4522">
        <v>0.5</v>
      </c>
    </row>
    <row r="4523" spans="1:16">
      <c r="A4523" s="1" t="s">
        <v>4389</v>
      </c>
      <c r="B4523" s="1" t="s">
        <v>4415</v>
      </c>
      <c r="C4523" s="1" t="s">
        <v>105</v>
      </c>
      <c r="D4523" s="1" t="s">
        <v>106</v>
      </c>
      <c r="E4523" s="1" t="s">
        <v>4394</v>
      </c>
      <c r="F4523">
        <v>338</v>
      </c>
      <c r="G4523">
        <v>792</v>
      </c>
      <c r="H4523">
        <v>142</v>
      </c>
      <c r="I4523">
        <v>84.3</v>
      </c>
      <c r="J4523">
        <v>21.1</v>
      </c>
      <c r="K4523">
        <v>81.5</v>
      </c>
      <c r="L4523">
        <v>2.12</v>
      </c>
      <c r="M4523">
        <v>3.5</v>
      </c>
      <c r="N4523">
        <v>7.3</v>
      </c>
      <c r="O4523">
        <v>24.6</v>
      </c>
      <c r="P4523">
        <v>0.3</v>
      </c>
    </row>
    <row r="4524" spans="1:16">
      <c r="A4524" s="1" t="s">
        <v>4389</v>
      </c>
      <c r="B4524" s="1" t="s">
        <v>4416</v>
      </c>
      <c r="C4524" s="1" t="s">
        <v>105</v>
      </c>
      <c r="D4524" s="1" t="s">
        <v>106</v>
      </c>
      <c r="E4524" s="1" t="s">
        <v>4394</v>
      </c>
      <c r="F4524">
        <v>760</v>
      </c>
      <c r="G4524">
        <v>1870</v>
      </c>
      <c r="H4524">
        <v>163</v>
      </c>
      <c r="I4524">
        <v>80</v>
      </c>
      <c r="J4524">
        <v>9.6</v>
      </c>
      <c r="K4524">
        <v>74.7</v>
      </c>
      <c r="L4524">
        <v>7.5</v>
      </c>
      <c r="M4524">
        <v>5</v>
      </c>
      <c r="N4524">
        <v>21.2</v>
      </c>
      <c r="O4524">
        <v>25</v>
      </c>
      <c r="P4524">
        <v>0.5</v>
      </c>
    </row>
    <row r="4525" spans="1:16">
      <c r="A4525" s="1" t="s">
        <v>4389</v>
      </c>
      <c r="B4525" s="1" t="s">
        <v>4417</v>
      </c>
      <c r="C4525" s="1" t="s">
        <v>105</v>
      </c>
      <c r="D4525" s="1" t="s">
        <v>106</v>
      </c>
      <c r="E4525" s="1" t="s">
        <v>4394</v>
      </c>
      <c r="F4525">
        <v>3500</v>
      </c>
      <c r="G4525">
        <v>3730</v>
      </c>
      <c r="H4525">
        <v>114</v>
      </c>
      <c r="I4525">
        <v>79.2</v>
      </c>
      <c r="J4525">
        <v>10.199999999999999</v>
      </c>
      <c r="K4525">
        <v>61.6</v>
      </c>
      <c r="L4525">
        <v>1.82</v>
      </c>
      <c r="M4525">
        <v>3.9</v>
      </c>
      <c r="N4525">
        <v>7.3</v>
      </c>
      <c r="O4525">
        <v>25.3</v>
      </c>
      <c r="P4525">
        <v>0.4</v>
      </c>
    </row>
    <row r="4526" spans="1:16">
      <c r="A4526" s="1" t="s">
        <v>4389</v>
      </c>
      <c r="B4526" s="1" t="s">
        <v>4418</v>
      </c>
      <c r="C4526" s="1" t="s">
        <v>105</v>
      </c>
      <c r="D4526" s="1" t="s">
        <v>106</v>
      </c>
      <c r="E4526" s="1" t="s">
        <v>4394</v>
      </c>
      <c r="F4526">
        <v>850</v>
      </c>
      <c r="G4526">
        <v>559</v>
      </c>
      <c r="H4526">
        <v>330</v>
      </c>
      <c r="I4526">
        <v>78.099999999999994</v>
      </c>
      <c r="J4526">
        <v>10.8</v>
      </c>
      <c r="K4526">
        <v>72.099999999999994</v>
      </c>
      <c r="L4526">
        <v>2.5299999999999998</v>
      </c>
      <c r="M4526">
        <v>3.7</v>
      </c>
      <c r="N4526">
        <v>7.6</v>
      </c>
      <c r="O4526">
        <v>24.9</v>
      </c>
      <c r="P4526">
        <v>0.5</v>
      </c>
    </row>
    <row r="4527" spans="1:16">
      <c r="A4527" s="1" t="s">
        <v>4389</v>
      </c>
      <c r="B4527" s="1" t="s">
        <v>4419</v>
      </c>
      <c r="C4527" s="1" t="s">
        <v>105</v>
      </c>
      <c r="D4527" s="1" t="s">
        <v>106</v>
      </c>
      <c r="E4527" s="1" t="s">
        <v>4394</v>
      </c>
      <c r="F4527">
        <v>1570</v>
      </c>
      <c r="G4527">
        <v>1660</v>
      </c>
      <c r="H4527">
        <v>254</v>
      </c>
      <c r="I4527">
        <v>79.099999999999994</v>
      </c>
      <c r="J4527">
        <v>6.5</v>
      </c>
      <c r="K4527">
        <v>57.6</v>
      </c>
      <c r="L4527">
        <v>1.96</v>
      </c>
      <c r="M4527">
        <v>3.9</v>
      </c>
      <c r="N4527">
        <v>6.4</v>
      </c>
      <c r="O4527">
        <v>24.7</v>
      </c>
      <c r="P4527">
        <v>0.4</v>
      </c>
    </row>
    <row r="4528" spans="1:16">
      <c r="A4528" s="1" t="s">
        <v>4389</v>
      </c>
      <c r="B4528" s="1" t="s">
        <v>4420</v>
      </c>
      <c r="C4528" s="1" t="s">
        <v>105</v>
      </c>
      <c r="D4528" s="1" t="s">
        <v>106</v>
      </c>
      <c r="E4528" s="1" t="s">
        <v>4394</v>
      </c>
      <c r="F4528">
        <v>1380</v>
      </c>
      <c r="G4528">
        <v>2230</v>
      </c>
      <c r="H4528">
        <v>107</v>
      </c>
      <c r="I4528">
        <v>78.400000000000006</v>
      </c>
      <c r="J4528">
        <v>4.8</v>
      </c>
      <c r="K4528">
        <v>52.9</v>
      </c>
      <c r="L4528">
        <v>1.9</v>
      </c>
      <c r="M4528">
        <v>3.9</v>
      </c>
      <c r="N4528">
        <v>6.7</v>
      </c>
      <c r="O4528">
        <v>26</v>
      </c>
      <c r="P4528">
        <v>0.4</v>
      </c>
    </row>
    <row r="4529" spans="1:16">
      <c r="A4529" s="1" t="s">
        <v>4389</v>
      </c>
      <c r="B4529" s="1" t="s">
        <v>4421</v>
      </c>
      <c r="C4529" s="1" t="s">
        <v>105</v>
      </c>
      <c r="D4529" s="1" t="s">
        <v>106</v>
      </c>
      <c r="E4529" s="1" t="s">
        <v>4394</v>
      </c>
      <c r="F4529">
        <v>980</v>
      </c>
      <c r="G4529">
        <v>1700</v>
      </c>
      <c r="H4529">
        <v>174</v>
      </c>
      <c r="I4529">
        <v>77.5</v>
      </c>
      <c r="J4529">
        <v>8.5</v>
      </c>
      <c r="K4529">
        <v>54.4</v>
      </c>
      <c r="L4529">
        <v>1.7</v>
      </c>
      <c r="M4529">
        <v>3.7</v>
      </c>
      <c r="N4529">
        <v>8.4</v>
      </c>
      <c r="O4529">
        <v>24</v>
      </c>
      <c r="P4529">
        <v>0.4</v>
      </c>
    </row>
    <row r="4530" spans="1:16">
      <c r="A4530" s="1" t="s">
        <v>4389</v>
      </c>
      <c r="B4530" s="1" t="s">
        <v>4422</v>
      </c>
      <c r="C4530" s="1" t="s">
        <v>105</v>
      </c>
      <c r="D4530" s="1" t="s">
        <v>106</v>
      </c>
      <c r="E4530" s="1" t="s">
        <v>4394</v>
      </c>
      <c r="F4530">
        <v>423</v>
      </c>
      <c r="G4530">
        <v>630</v>
      </c>
      <c r="H4530">
        <v>126</v>
      </c>
      <c r="I4530">
        <v>77</v>
      </c>
      <c r="J4530">
        <v>10.6</v>
      </c>
      <c r="K4530">
        <v>47.7</v>
      </c>
      <c r="L4530">
        <v>1.35</v>
      </c>
      <c r="M4530">
        <v>3.9</v>
      </c>
      <c r="N4530">
        <v>7.8</v>
      </c>
      <c r="O4530">
        <v>24.2</v>
      </c>
      <c r="P4530">
        <v>0.3</v>
      </c>
    </row>
    <row r="4531" spans="1:16">
      <c r="A4531" s="1" t="s">
        <v>4389</v>
      </c>
      <c r="B4531" s="1" t="s">
        <v>4423</v>
      </c>
      <c r="C4531" s="1" t="s">
        <v>105</v>
      </c>
      <c r="D4531" s="1" t="s">
        <v>106</v>
      </c>
      <c r="E4531" s="1" t="s">
        <v>4394</v>
      </c>
      <c r="F4531">
        <v>522</v>
      </c>
      <c r="G4531">
        <v>1450</v>
      </c>
      <c r="H4531">
        <v>247</v>
      </c>
      <c r="I4531">
        <v>76.5</v>
      </c>
      <c r="J4531">
        <v>8.1</v>
      </c>
      <c r="K4531">
        <v>62.9</v>
      </c>
      <c r="L4531">
        <v>1.75</v>
      </c>
      <c r="M4531">
        <v>4.3</v>
      </c>
      <c r="N4531">
        <v>12.8</v>
      </c>
      <c r="O4531">
        <v>25.1</v>
      </c>
      <c r="P4531">
        <v>0.5</v>
      </c>
    </row>
    <row r="4532" spans="1:16">
      <c r="A4532" s="1" t="s">
        <v>4389</v>
      </c>
      <c r="B4532" s="1" t="s">
        <v>4424</v>
      </c>
      <c r="C4532" s="1" t="s">
        <v>105</v>
      </c>
      <c r="D4532" s="1" t="s">
        <v>106</v>
      </c>
      <c r="E4532" s="1" t="s">
        <v>4394</v>
      </c>
      <c r="F4532">
        <v>2000</v>
      </c>
      <c r="G4532">
        <v>4610</v>
      </c>
      <c r="H4532">
        <v>380</v>
      </c>
      <c r="I4532">
        <v>78.5</v>
      </c>
      <c r="J4532">
        <v>8</v>
      </c>
      <c r="K4532">
        <v>46.2</v>
      </c>
      <c r="L4532">
        <v>1.53</v>
      </c>
      <c r="M4532">
        <v>4.4000000000000004</v>
      </c>
      <c r="N4532">
        <v>13.4</v>
      </c>
      <c r="O4532">
        <v>28.7</v>
      </c>
      <c r="P4532">
        <v>0.5</v>
      </c>
    </row>
    <row r="4533" spans="1:16">
      <c r="A4533" s="1" t="s">
        <v>4389</v>
      </c>
      <c r="B4533" s="1" t="s">
        <v>4425</v>
      </c>
      <c r="C4533" s="1" t="s">
        <v>105</v>
      </c>
      <c r="D4533" s="1" t="s">
        <v>106</v>
      </c>
      <c r="E4533" s="1" t="s">
        <v>4394</v>
      </c>
      <c r="F4533">
        <v>1650</v>
      </c>
      <c r="G4533">
        <v>3290</v>
      </c>
      <c r="H4533">
        <v>155</v>
      </c>
      <c r="I4533">
        <v>81.400000000000006</v>
      </c>
      <c r="J4533">
        <v>4.7</v>
      </c>
      <c r="K4533">
        <v>74.3</v>
      </c>
      <c r="L4533">
        <v>1.57</v>
      </c>
      <c r="M4533">
        <v>4.2</v>
      </c>
      <c r="N4533">
        <v>11.9</v>
      </c>
      <c r="O4533">
        <v>30</v>
      </c>
      <c r="P4533">
        <v>0.5</v>
      </c>
    </row>
    <row r="4534" spans="1:16">
      <c r="A4534" s="1" t="s">
        <v>4389</v>
      </c>
      <c r="B4534" s="1" t="s">
        <v>4426</v>
      </c>
      <c r="C4534" s="1" t="s">
        <v>105</v>
      </c>
      <c r="D4534" s="1" t="s">
        <v>106</v>
      </c>
      <c r="E4534" s="1" t="s">
        <v>4394</v>
      </c>
      <c r="F4534">
        <v>1360</v>
      </c>
      <c r="G4534">
        <v>2850</v>
      </c>
      <c r="H4534">
        <v>1030</v>
      </c>
      <c r="I4534">
        <v>81.099999999999994</v>
      </c>
      <c r="J4534">
        <v>12.8</v>
      </c>
      <c r="K4534">
        <v>101.9</v>
      </c>
      <c r="L4534">
        <v>1.88</v>
      </c>
      <c r="M4534">
        <v>3.7</v>
      </c>
      <c r="N4534">
        <v>8</v>
      </c>
      <c r="O4534">
        <v>29.6</v>
      </c>
      <c r="P4534">
        <v>0.7</v>
      </c>
    </row>
    <row r="4535" spans="1:16">
      <c r="A4535" s="1" t="s">
        <v>4389</v>
      </c>
      <c r="B4535" s="1" t="s">
        <v>4427</v>
      </c>
      <c r="C4535" s="1" t="s">
        <v>105</v>
      </c>
      <c r="D4535" s="1" t="s">
        <v>106</v>
      </c>
      <c r="E4535" s="1" t="s">
        <v>4394</v>
      </c>
      <c r="F4535">
        <v>433</v>
      </c>
      <c r="G4535">
        <v>1730</v>
      </c>
      <c r="H4535">
        <v>3100</v>
      </c>
      <c r="I4535">
        <v>77.3</v>
      </c>
      <c r="J4535">
        <v>12.6</v>
      </c>
      <c r="K4535">
        <v>91.7</v>
      </c>
      <c r="L4535">
        <v>14.8</v>
      </c>
      <c r="M4535">
        <v>6.8</v>
      </c>
      <c r="N4535">
        <v>15.9</v>
      </c>
      <c r="O4535">
        <v>25.3</v>
      </c>
      <c r="P4535">
        <v>2.1</v>
      </c>
    </row>
    <row r="4536" spans="1:16">
      <c r="A4536" s="1" t="s">
        <v>4389</v>
      </c>
      <c r="B4536" s="1" t="s">
        <v>4428</v>
      </c>
      <c r="C4536" s="1" t="s">
        <v>105</v>
      </c>
      <c r="D4536" s="1" t="s">
        <v>106</v>
      </c>
      <c r="E4536" s="1" t="s">
        <v>4394</v>
      </c>
      <c r="F4536">
        <v>889</v>
      </c>
      <c r="G4536">
        <v>1640</v>
      </c>
      <c r="H4536">
        <v>116</v>
      </c>
      <c r="I4536">
        <v>75.5</v>
      </c>
      <c r="J4536">
        <v>3.5</v>
      </c>
      <c r="K4536">
        <v>77.2</v>
      </c>
      <c r="L4536">
        <v>2.14</v>
      </c>
      <c r="M4536">
        <v>3.8</v>
      </c>
      <c r="N4536">
        <v>7.6</v>
      </c>
      <c r="O4536">
        <v>23.6</v>
      </c>
      <c r="P4536">
        <v>0.3</v>
      </c>
    </row>
    <row r="4537" spans="1:16">
      <c r="A4537" s="1" t="s">
        <v>4389</v>
      </c>
      <c r="B4537" s="1" t="s">
        <v>4429</v>
      </c>
      <c r="C4537" s="1" t="s">
        <v>105</v>
      </c>
      <c r="D4537" s="1" t="s">
        <v>106</v>
      </c>
      <c r="E4537" s="1" t="s">
        <v>4394</v>
      </c>
      <c r="F4537">
        <v>2340</v>
      </c>
      <c r="G4537">
        <v>3290</v>
      </c>
      <c r="H4537">
        <v>337</v>
      </c>
      <c r="I4537">
        <v>77.400000000000006</v>
      </c>
      <c r="J4537">
        <v>1.2</v>
      </c>
      <c r="K4537">
        <v>82.1</v>
      </c>
      <c r="L4537">
        <v>0.68</v>
      </c>
      <c r="M4537">
        <v>3.3</v>
      </c>
      <c r="N4537">
        <v>10.7</v>
      </c>
      <c r="O4537">
        <v>27.4</v>
      </c>
      <c r="P4537">
        <v>0.6</v>
      </c>
    </row>
    <row r="4538" spans="1:16">
      <c r="A4538" s="1" t="s">
        <v>4389</v>
      </c>
      <c r="B4538" s="1" t="s">
        <v>4430</v>
      </c>
      <c r="C4538" s="1" t="s">
        <v>105</v>
      </c>
      <c r="D4538" s="1" t="s">
        <v>106</v>
      </c>
      <c r="E4538" s="1" t="s">
        <v>4394</v>
      </c>
      <c r="F4538">
        <v>310</v>
      </c>
      <c r="G4538">
        <v>2360</v>
      </c>
      <c r="H4538">
        <v>293</v>
      </c>
      <c r="I4538">
        <v>77.900000000000006</v>
      </c>
      <c r="J4538">
        <v>2.2999999999999998</v>
      </c>
      <c r="K4538">
        <v>53.3</v>
      </c>
      <c r="L4538">
        <v>0.38</v>
      </c>
      <c r="M4538">
        <v>3.7</v>
      </c>
      <c r="N4538">
        <v>5.4</v>
      </c>
      <c r="O4538">
        <v>23.8</v>
      </c>
      <c r="P4538">
        <v>0.5</v>
      </c>
    </row>
    <row r="4539" spans="1:16">
      <c r="A4539" s="1" t="s">
        <v>4389</v>
      </c>
      <c r="B4539" s="1" t="s">
        <v>4431</v>
      </c>
      <c r="C4539" s="1" t="s">
        <v>105</v>
      </c>
      <c r="D4539" s="1" t="s">
        <v>106</v>
      </c>
      <c r="E4539" s="1" t="s">
        <v>4394</v>
      </c>
      <c r="F4539">
        <v>1350</v>
      </c>
      <c r="G4539">
        <v>3720</v>
      </c>
      <c r="H4539">
        <v>88</v>
      </c>
      <c r="I4539">
        <v>81.8</v>
      </c>
      <c r="J4539">
        <v>4.0999999999999996</v>
      </c>
      <c r="K4539">
        <v>58.9</v>
      </c>
      <c r="L4539">
        <v>0.88</v>
      </c>
      <c r="M4539">
        <v>4</v>
      </c>
      <c r="N4539">
        <v>10.6</v>
      </c>
      <c r="O4539">
        <v>25.9</v>
      </c>
      <c r="P4539">
        <v>0.6</v>
      </c>
    </row>
    <row r="4540" spans="1:16">
      <c r="A4540" s="1" t="s">
        <v>4389</v>
      </c>
      <c r="B4540" s="1" t="s">
        <v>4432</v>
      </c>
      <c r="C4540" s="1" t="s">
        <v>105</v>
      </c>
      <c r="D4540" s="1" t="s">
        <v>106</v>
      </c>
      <c r="E4540" s="1" t="s">
        <v>4394</v>
      </c>
      <c r="F4540">
        <v>1580</v>
      </c>
      <c r="G4540">
        <v>2620</v>
      </c>
      <c r="H4540">
        <v>940</v>
      </c>
      <c r="I4540">
        <v>82.1</v>
      </c>
      <c r="J4540">
        <v>7.4</v>
      </c>
      <c r="K4540">
        <v>85.7</v>
      </c>
      <c r="L4540">
        <v>1.78</v>
      </c>
      <c r="M4540">
        <v>3.9</v>
      </c>
      <c r="N4540">
        <v>10.9</v>
      </c>
      <c r="O4540">
        <v>28</v>
      </c>
      <c r="P4540">
        <v>0.6</v>
      </c>
    </row>
    <row r="4541" spans="1:16">
      <c r="A4541" s="1" t="s">
        <v>4389</v>
      </c>
      <c r="B4541" s="1" t="s">
        <v>4433</v>
      </c>
      <c r="C4541" s="1" t="s">
        <v>105</v>
      </c>
      <c r="D4541" s="1" t="s">
        <v>106</v>
      </c>
      <c r="E4541" s="1" t="s">
        <v>4394</v>
      </c>
      <c r="F4541">
        <v>5250</v>
      </c>
      <c r="G4541">
        <v>6670</v>
      </c>
      <c r="H4541">
        <v>70</v>
      </c>
      <c r="I4541">
        <v>75.3</v>
      </c>
      <c r="J4541">
        <v>2.2000000000000002</v>
      </c>
      <c r="K4541">
        <v>75.400000000000006</v>
      </c>
      <c r="L4541">
        <v>1.93</v>
      </c>
      <c r="M4541">
        <v>4</v>
      </c>
      <c r="N4541">
        <v>12</v>
      </c>
      <c r="O4541">
        <v>30.1</v>
      </c>
      <c r="P4541">
        <v>0.5</v>
      </c>
    </row>
    <row r="4542" spans="1:16">
      <c r="A4542" s="1" t="s">
        <v>4389</v>
      </c>
      <c r="B4542" s="1" t="s">
        <v>4434</v>
      </c>
      <c r="C4542" s="1" t="s">
        <v>105</v>
      </c>
      <c r="D4542" s="1" t="s">
        <v>106</v>
      </c>
      <c r="E4542" s="1" t="s">
        <v>4394</v>
      </c>
      <c r="F4542">
        <v>1420</v>
      </c>
      <c r="G4542">
        <v>1770</v>
      </c>
      <c r="H4542">
        <v>188</v>
      </c>
      <c r="I4542">
        <v>80.599999999999994</v>
      </c>
      <c r="J4542">
        <v>4.7</v>
      </c>
      <c r="K4542">
        <v>64.2</v>
      </c>
      <c r="L4542">
        <v>1.67</v>
      </c>
      <c r="M4542">
        <v>3.7</v>
      </c>
      <c r="N4542">
        <v>4.8</v>
      </c>
      <c r="O4542">
        <v>26.7</v>
      </c>
      <c r="P4542">
        <v>0.6</v>
      </c>
    </row>
    <row r="4543" spans="1:16">
      <c r="A4543" s="1" t="s">
        <v>4389</v>
      </c>
      <c r="B4543" s="1" t="s">
        <v>4435</v>
      </c>
      <c r="C4543" s="1" t="s">
        <v>105</v>
      </c>
      <c r="D4543" s="1" t="s">
        <v>106</v>
      </c>
      <c r="E4543" s="1" t="s">
        <v>4394</v>
      </c>
      <c r="F4543">
        <v>109</v>
      </c>
      <c r="G4543">
        <v>184</v>
      </c>
      <c r="H4543">
        <v>203</v>
      </c>
      <c r="I4543">
        <v>72.2</v>
      </c>
      <c r="J4543">
        <v>2</v>
      </c>
      <c r="K4543">
        <v>81.3</v>
      </c>
      <c r="L4543">
        <v>1.9</v>
      </c>
      <c r="M4543">
        <v>4.2</v>
      </c>
      <c r="N4543">
        <v>4.4000000000000004</v>
      </c>
      <c r="O4543">
        <v>23.2</v>
      </c>
      <c r="P4543">
        <v>0.3</v>
      </c>
    </row>
    <row r="4544" spans="1:16">
      <c r="A4544" s="1" t="s">
        <v>4389</v>
      </c>
      <c r="B4544" s="1" t="s">
        <v>4436</v>
      </c>
      <c r="C4544" s="1" t="s">
        <v>105</v>
      </c>
      <c r="D4544" s="1" t="s">
        <v>106</v>
      </c>
      <c r="E4544" s="1" t="s">
        <v>4394</v>
      </c>
      <c r="F4544">
        <v>142</v>
      </c>
      <c r="G4544">
        <v>214</v>
      </c>
      <c r="H4544">
        <v>277</v>
      </c>
      <c r="I4544">
        <v>72.8</v>
      </c>
      <c r="J4544">
        <v>0.7</v>
      </c>
      <c r="K4544">
        <v>76</v>
      </c>
      <c r="L4544">
        <v>1.89</v>
      </c>
      <c r="M4544">
        <v>4.0999999999999996</v>
      </c>
      <c r="N4544">
        <v>8.1999999999999993</v>
      </c>
      <c r="O4544">
        <v>22.5</v>
      </c>
      <c r="P4544">
        <v>0.8</v>
      </c>
    </row>
    <row r="4545" spans="1:16">
      <c r="A4545" s="1" t="s">
        <v>4389</v>
      </c>
      <c r="B4545" s="1" t="s">
        <v>4437</v>
      </c>
      <c r="C4545" s="1" t="s">
        <v>105</v>
      </c>
      <c r="D4545" s="1" t="s">
        <v>106</v>
      </c>
      <c r="E4545" s="1" t="s">
        <v>4394</v>
      </c>
      <c r="F4545">
        <v>79</v>
      </c>
      <c r="G4545">
        <v>159</v>
      </c>
      <c r="H4545">
        <v>327</v>
      </c>
      <c r="I4545">
        <v>77.400000000000006</v>
      </c>
      <c r="J4545">
        <v>4.3</v>
      </c>
      <c r="K4545">
        <v>93.2</v>
      </c>
      <c r="L4545">
        <v>2.25</v>
      </c>
      <c r="M4545">
        <v>3.3</v>
      </c>
      <c r="N4545">
        <v>5.2</v>
      </c>
      <c r="O4545">
        <v>23.6</v>
      </c>
      <c r="P4545">
        <v>0.3</v>
      </c>
    </row>
    <row r="4546" spans="1:16">
      <c r="A4546" s="1" t="s">
        <v>4389</v>
      </c>
      <c r="B4546" s="1" t="s">
        <v>4438</v>
      </c>
      <c r="C4546" s="1" t="s">
        <v>105</v>
      </c>
      <c r="D4546" s="1" t="s">
        <v>106</v>
      </c>
      <c r="E4546" s="1" t="s">
        <v>4394</v>
      </c>
      <c r="F4546">
        <v>69</v>
      </c>
      <c r="G4546">
        <v>169</v>
      </c>
      <c r="H4546">
        <v>123</v>
      </c>
      <c r="I4546">
        <v>73.599999999999994</v>
      </c>
      <c r="J4546">
        <v>1.4</v>
      </c>
      <c r="K4546">
        <v>78.7</v>
      </c>
      <c r="L4546">
        <v>1.91</v>
      </c>
      <c r="M4546">
        <v>4.5</v>
      </c>
      <c r="N4546">
        <v>8.8000000000000007</v>
      </c>
      <c r="O4546">
        <v>21.3</v>
      </c>
      <c r="P4546">
        <v>0.3</v>
      </c>
    </row>
    <row r="4547" spans="1:16">
      <c r="A4547" s="1" t="s">
        <v>4389</v>
      </c>
      <c r="B4547" s="1" t="s">
        <v>4439</v>
      </c>
      <c r="C4547" s="1" t="s">
        <v>105</v>
      </c>
      <c r="D4547" s="1" t="s">
        <v>106</v>
      </c>
      <c r="E4547" s="1" t="s">
        <v>4394</v>
      </c>
      <c r="F4547">
        <v>133</v>
      </c>
      <c r="G4547">
        <v>178</v>
      </c>
      <c r="H4547">
        <v>924</v>
      </c>
      <c r="I4547">
        <v>76.7</v>
      </c>
      <c r="J4547">
        <v>0.6</v>
      </c>
      <c r="K4547">
        <v>95.7</v>
      </c>
      <c r="L4547">
        <v>0.96</v>
      </c>
      <c r="M4547">
        <v>4</v>
      </c>
      <c r="N4547">
        <v>7.1</v>
      </c>
      <c r="O4547">
        <v>22.3</v>
      </c>
      <c r="P4547">
        <v>0.6</v>
      </c>
    </row>
    <row r="4548" spans="1:16">
      <c r="A4548" s="1" t="s">
        <v>4389</v>
      </c>
      <c r="B4548" s="1" t="s">
        <v>4440</v>
      </c>
      <c r="C4548" s="1" t="s">
        <v>105</v>
      </c>
      <c r="D4548" s="1" t="s">
        <v>106</v>
      </c>
      <c r="E4548" s="1" t="s">
        <v>4394</v>
      </c>
      <c r="F4548">
        <v>82</v>
      </c>
      <c r="G4548">
        <v>164</v>
      </c>
      <c r="H4548">
        <v>501</v>
      </c>
      <c r="I4548">
        <v>73.5</v>
      </c>
      <c r="J4548">
        <v>11.1</v>
      </c>
      <c r="K4548">
        <v>90.4</v>
      </c>
      <c r="L4548">
        <v>0.56999999999999995</v>
      </c>
      <c r="M4548">
        <v>3.7</v>
      </c>
      <c r="N4548">
        <v>7.1</v>
      </c>
      <c r="O4548">
        <v>23.2</v>
      </c>
      <c r="P4548">
        <v>0.5</v>
      </c>
    </row>
    <row r="4549" spans="1:16">
      <c r="A4549" s="1" t="s">
        <v>4389</v>
      </c>
      <c r="B4549" s="1" t="s">
        <v>4441</v>
      </c>
      <c r="C4549" s="1" t="s">
        <v>105</v>
      </c>
      <c r="D4549" s="1" t="s">
        <v>106</v>
      </c>
      <c r="E4549" s="1" t="s">
        <v>4394</v>
      </c>
      <c r="F4549">
        <v>99</v>
      </c>
      <c r="G4549">
        <v>161</v>
      </c>
      <c r="H4549">
        <v>820</v>
      </c>
      <c r="I4549">
        <v>73.3</v>
      </c>
      <c r="J4549">
        <v>0.6</v>
      </c>
      <c r="K4549">
        <v>86.9</v>
      </c>
      <c r="L4549">
        <v>0.71</v>
      </c>
      <c r="M4549">
        <v>3.6</v>
      </c>
      <c r="N4549">
        <v>7.5</v>
      </c>
      <c r="O4549">
        <v>22</v>
      </c>
      <c r="P4549">
        <v>0.2</v>
      </c>
    </row>
    <row r="4550" spans="1:16">
      <c r="A4550" s="1" t="s">
        <v>4389</v>
      </c>
      <c r="B4550" s="1" t="s">
        <v>4442</v>
      </c>
      <c r="C4550" s="1" t="s">
        <v>105</v>
      </c>
      <c r="D4550" s="1" t="s">
        <v>106</v>
      </c>
      <c r="E4550" s="1" t="s">
        <v>4394</v>
      </c>
      <c r="F4550">
        <v>188</v>
      </c>
      <c r="G4550">
        <v>243</v>
      </c>
      <c r="H4550">
        <v>864</v>
      </c>
      <c r="I4550">
        <v>73</v>
      </c>
      <c r="J4550">
        <v>3.8</v>
      </c>
      <c r="K4550">
        <v>88.8</v>
      </c>
      <c r="L4550">
        <v>1.06</v>
      </c>
      <c r="M4550">
        <v>4.5999999999999996</v>
      </c>
      <c r="N4550">
        <v>8.3000000000000007</v>
      </c>
      <c r="O4550">
        <v>22.8</v>
      </c>
      <c r="P4550">
        <v>0.8</v>
      </c>
    </row>
    <row r="4551" spans="1:16">
      <c r="A4551" s="1" t="s">
        <v>4389</v>
      </c>
      <c r="B4551" s="1" t="s">
        <v>4443</v>
      </c>
      <c r="C4551" s="1" t="s">
        <v>105</v>
      </c>
      <c r="D4551" s="1" t="s">
        <v>106</v>
      </c>
      <c r="E4551" s="1" t="s">
        <v>4394</v>
      </c>
      <c r="F4551">
        <v>81</v>
      </c>
      <c r="G4551">
        <v>147</v>
      </c>
      <c r="H4551">
        <v>189</v>
      </c>
      <c r="I4551">
        <v>75</v>
      </c>
      <c r="J4551">
        <v>8.1</v>
      </c>
      <c r="K4551">
        <v>92.6</v>
      </c>
      <c r="L4551">
        <v>0.95</v>
      </c>
      <c r="M4551">
        <v>3.6</v>
      </c>
      <c r="N4551">
        <v>7.3</v>
      </c>
      <c r="O4551">
        <v>22.2</v>
      </c>
      <c r="P4551">
        <v>0.4</v>
      </c>
    </row>
    <row r="4552" spans="1:16">
      <c r="A4552" s="1" t="s">
        <v>4389</v>
      </c>
      <c r="B4552" s="1" t="s">
        <v>4444</v>
      </c>
      <c r="C4552" s="1" t="s">
        <v>105</v>
      </c>
      <c r="D4552" s="1" t="s">
        <v>106</v>
      </c>
      <c r="E4552" s="1" t="s">
        <v>4394</v>
      </c>
      <c r="F4552">
        <v>70</v>
      </c>
      <c r="G4552">
        <v>160</v>
      </c>
      <c r="H4552">
        <v>73</v>
      </c>
      <c r="I4552">
        <v>76</v>
      </c>
      <c r="J4552">
        <v>7.4</v>
      </c>
      <c r="K4552">
        <v>82.7</v>
      </c>
      <c r="L4552">
        <v>1.02</v>
      </c>
      <c r="M4552">
        <v>4.5999999999999996</v>
      </c>
      <c r="N4552">
        <v>7</v>
      </c>
      <c r="O4552">
        <v>21.4</v>
      </c>
      <c r="P4552">
        <v>0.3</v>
      </c>
    </row>
    <row r="4553" spans="1:16">
      <c r="A4553" s="1" t="s">
        <v>4389</v>
      </c>
      <c r="B4553" s="1" t="s">
        <v>4445</v>
      </c>
      <c r="C4553" s="1" t="s">
        <v>105</v>
      </c>
      <c r="D4553" s="1" t="s">
        <v>106</v>
      </c>
      <c r="E4553" s="1" t="s">
        <v>4394</v>
      </c>
      <c r="F4553">
        <v>114</v>
      </c>
      <c r="G4553">
        <v>215</v>
      </c>
      <c r="H4553">
        <v>74</v>
      </c>
      <c r="I4553">
        <v>81</v>
      </c>
      <c r="J4553">
        <v>8</v>
      </c>
      <c r="K4553">
        <v>66.900000000000006</v>
      </c>
      <c r="L4553">
        <v>2.76</v>
      </c>
      <c r="M4553">
        <v>4.5999999999999996</v>
      </c>
      <c r="N4553">
        <v>11.8</v>
      </c>
      <c r="O4553">
        <v>23.3</v>
      </c>
      <c r="P4553">
        <v>0.4</v>
      </c>
    </row>
    <row r="4554" spans="1:16">
      <c r="A4554" s="1" t="s">
        <v>4389</v>
      </c>
      <c r="B4554" s="1" t="s">
        <v>4446</v>
      </c>
      <c r="C4554" s="1" t="s">
        <v>105</v>
      </c>
      <c r="D4554" s="1" t="s">
        <v>106</v>
      </c>
      <c r="E4554" s="1" t="s">
        <v>4394</v>
      </c>
      <c r="F4554">
        <v>170</v>
      </c>
      <c r="G4554">
        <v>261</v>
      </c>
      <c r="H4554">
        <v>104</v>
      </c>
      <c r="I4554">
        <v>80.2</v>
      </c>
      <c r="J4554">
        <v>6.3</v>
      </c>
      <c r="K4554">
        <v>66.099999999999994</v>
      </c>
      <c r="L4554">
        <v>2.0099999999999998</v>
      </c>
      <c r="M4554">
        <v>4.0999999999999996</v>
      </c>
      <c r="N4554">
        <v>5.9</v>
      </c>
      <c r="O4554">
        <v>24.6</v>
      </c>
      <c r="P4554">
        <v>0.3</v>
      </c>
    </row>
    <row r="4555" spans="1:16">
      <c r="A4555" s="1" t="s">
        <v>4389</v>
      </c>
      <c r="B4555" s="1" t="s">
        <v>4447</v>
      </c>
      <c r="C4555" s="1" t="s">
        <v>105</v>
      </c>
      <c r="D4555" s="1" t="s">
        <v>106</v>
      </c>
      <c r="E4555" s="1" t="s">
        <v>4394</v>
      </c>
      <c r="F4555">
        <v>254</v>
      </c>
      <c r="G4555">
        <v>190</v>
      </c>
      <c r="H4555">
        <v>652</v>
      </c>
      <c r="I4555">
        <v>84.2</v>
      </c>
      <c r="J4555">
        <v>6.7</v>
      </c>
      <c r="K4555">
        <v>64.2</v>
      </c>
      <c r="L4555">
        <v>3.79</v>
      </c>
      <c r="M4555">
        <v>4.4000000000000004</v>
      </c>
      <c r="N4555">
        <v>11.2</v>
      </c>
      <c r="O4555">
        <v>24.2</v>
      </c>
      <c r="P4555">
        <v>0.5</v>
      </c>
    </row>
    <row r="4556" spans="1:16">
      <c r="A4556" s="1" t="s">
        <v>4389</v>
      </c>
      <c r="B4556" s="1" t="s">
        <v>4448</v>
      </c>
      <c r="C4556" s="1" t="s">
        <v>105</v>
      </c>
      <c r="D4556" s="1" t="s">
        <v>106</v>
      </c>
      <c r="E4556" s="1" t="s">
        <v>4394</v>
      </c>
      <c r="F4556">
        <v>124</v>
      </c>
      <c r="G4556">
        <v>140</v>
      </c>
      <c r="H4556">
        <v>79</v>
      </c>
      <c r="I4556">
        <v>75.3</v>
      </c>
      <c r="J4556">
        <v>7.3</v>
      </c>
      <c r="K4556">
        <v>83.4</v>
      </c>
      <c r="L4556">
        <v>6.4</v>
      </c>
      <c r="M4556">
        <v>5.2</v>
      </c>
      <c r="N4556">
        <v>11.8</v>
      </c>
      <c r="O4556">
        <v>22.8</v>
      </c>
      <c r="P4556">
        <v>0.7</v>
      </c>
    </row>
    <row r="4557" spans="1:16">
      <c r="A4557" s="1" t="s">
        <v>4389</v>
      </c>
      <c r="B4557" s="1" t="s">
        <v>4449</v>
      </c>
      <c r="C4557" s="1" t="s">
        <v>105</v>
      </c>
      <c r="D4557" s="1" t="s">
        <v>106</v>
      </c>
      <c r="E4557" s="1" t="s">
        <v>4394</v>
      </c>
      <c r="F4557">
        <v>104</v>
      </c>
      <c r="G4557">
        <v>178</v>
      </c>
      <c r="H4557">
        <v>600</v>
      </c>
      <c r="I4557">
        <v>76.5</v>
      </c>
      <c r="J4557">
        <v>1.9</v>
      </c>
      <c r="K4557">
        <v>83.4</v>
      </c>
      <c r="L4557">
        <v>1.1200000000000001</v>
      </c>
      <c r="M4557">
        <v>3.5</v>
      </c>
      <c r="N4557">
        <v>7.1</v>
      </c>
      <c r="O4557">
        <v>22.8</v>
      </c>
      <c r="P4557">
        <v>0.4</v>
      </c>
    </row>
    <row r="4558" spans="1:16">
      <c r="A4558" s="1" t="s">
        <v>4389</v>
      </c>
      <c r="B4558" s="1" t="s">
        <v>4450</v>
      </c>
      <c r="C4558" s="1" t="s">
        <v>105</v>
      </c>
      <c r="D4558" s="1" t="s">
        <v>106</v>
      </c>
      <c r="E4558" s="1" t="s">
        <v>4394</v>
      </c>
      <c r="F4558">
        <v>57</v>
      </c>
      <c r="G4558">
        <v>175</v>
      </c>
      <c r="H4558">
        <v>460</v>
      </c>
      <c r="I4558">
        <v>74.2</v>
      </c>
      <c r="J4558">
        <v>2.5</v>
      </c>
      <c r="K4558">
        <v>60.8</v>
      </c>
      <c r="L4558">
        <v>0.72</v>
      </c>
      <c r="M4558">
        <v>3.8</v>
      </c>
      <c r="N4558">
        <v>5.6</v>
      </c>
      <c r="O4558">
        <v>22.2</v>
      </c>
      <c r="P4558">
        <v>0.4</v>
      </c>
    </row>
    <row r="4559" spans="1:16">
      <c r="A4559" s="1" t="s">
        <v>4389</v>
      </c>
      <c r="B4559" s="1" t="s">
        <v>4451</v>
      </c>
      <c r="C4559" s="1" t="s">
        <v>105</v>
      </c>
      <c r="D4559" s="1" t="s">
        <v>106</v>
      </c>
      <c r="E4559" s="1" t="s">
        <v>4394</v>
      </c>
      <c r="F4559">
        <v>78</v>
      </c>
      <c r="G4559">
        <v>183</v>
      </c>
      <c r="H4559">
        <v>252</v>
      </c>
      <c r="I4559">
        <v>78.7</v>
      </c>
      <c r="J4559">
        <v>2.1</v>
      </c>
      <c r="K4559">
        <v>84</v>
      </c>
      <c r="L4559">
        <v>0.91</v>
      </c>
      <c r="M4559">
        <v>3.9</v>
      </c>
      <c r="N4559">
        <v>9.6999999999999993</v>
      </c>
      <c r="O4559">
        <v>22</v>
      </c>
      <c r="P4559">
        <v>0.4</v>
      </c>
    </row>
    <row r="4560" spans="1:16">
      <c r="A4560" s="1" t="s">
        <v>4389</v>
      </c>
      <c r="B4560" s="1" t="s">
        <v>4452</v>
      </c>
      <c r="C4560" s="1" t="s">
        <v>105</v>
      </c>
      <c r="D4560" s="1" t="s">
        <v>106</v>
      </c>
      <c r="E4560" s="1" t="s">
        <v>4394</v>
      </c>
      <c r="F4560">
        <v>79</v>
      </c>
      <c r="G4560">
        <v>206</v>
      </c>
      <c r="H4560">
        <v>815</v>
      </c>
      <c r="I4560">
        <v>76.5</v>
      </c>
      <c r="J4560">
        <v>2</v>
      </c>
      <c r="K4560">
        <v>86.2</v>
      </c>
      <c r="L4560">
        <v>1.1499999999999999</v>
      </c>
      <c r="M4560">
        <v>3.9</v>
      </c>
      <c r="N4560">
        <v>11.5</v>
      </c>
      <c r="O4560">
        <v>24.6</v>
      </c>
      <c r="P4560">
        <v>0.6</v>
      </c>
    </row>
    <row r="4561" spans="1:16">
      <c r="A4561" s="1" t="s">
        <v>4389</v>
      </c>
      <c r="B4561" s="1" t="s">
        <v>4453</v>
      </c>
      <c r="C4561" s="1" t="s">
        <v>105</v>
      </c>
      <c r="D4561" s="1" t="s">
        <v>106</v>
      </c>
      <c r="E4561" s="1" t="s">
        <v>4394</v>
      </c>
      <c r="F4561">
        <v>65</v>
      </c>
      <c r="G4561">
        <v>136</v>
      </c>
      <c r="H4561">
        <v>90</v>
      </c>
      <c r="I4561">
        <v>78.099999999999994</v>
      </c>
      <c r="J4561">
        <v>1.8</v>
      </c>
      <c r="K4561">
        <v>96.3</v>
      </c>
      <c r="L4561">
        <v>0.44</v>
      </c>
      <c r="M4561">
        <v>3.7</v>
      </c>
      <c r="N4561">
        <v>6.1</v>
      </c>
      <c r="O4561">
        <v>24.5</v>
      </c>
      <c r="P4561">
        <v>0.3</v>
      </c>
    </row>
    <row r="4562" spans="1:16">
      <c r="A4562" s="1" t="s">
        <v>4389</v>
      </c>
      <c r="B4562" s="1" t="s">
        <v>4454</v>
      </c>
      <c r="C4562" s="1" t="s">
        <v>105</v>
      </c>
      <c r="D4562" s="1" t="s">
        <v>106</v>
      </c>
      <c r="E4562" s="1" t="s">
        <v>4394</v>
      </c>
      <c r="F4562">
        <v>115</v>
      </c>
      <c r="G4562">
        <v>164</v>
      </c>
      <c r="H4562">
        <v>754</v>
      </c>
      <c r="I4562">
        <v>79.8</v>
      </c>
      <c r="J4562">
        <v>4.9000000000000004</v>
      </c>
      <c r="K4562">
        <v>91.1</v>
      </c>
      <c r="L4562">
        <v>0.56000000000000005</v>
      </c>
      <c r="M4562">
        <v>3.3</v>
      </c>
      <c r="N4562">
        <v>6.7</v>
      </c>
      <c r="O4562">
        <v>22.9</v>
      </c>
      <c r="P4562">
        <v>0.5</v>
      </c>
    </row>
    <row r="4563" spans="1:16">
      <c r="A4563" s="1" t="s">
        <v>4389</v>
      </c>
      <c r="B4563" s="1" t="s">
        <v>4455</v>
      </c>
      <c r="C4563" s="1" t="s">
        <v>105</v>
      </c>
      <c r="D4563" s="1" t="s">
        <v>106</v>
      </c>
      <c r="E4563" s="1" t="s">
        <v>4394</v>
      </c>
      <c r="F4563">
        <v>119</v>
      </c>
      <c r="G4563">
        <v>152</v>
      </c>
      <c r="H4563">
        <v>140</v>
      </c>
      <c r="I4563">
        <v>79.8</v>
      </c>
      <c r="J4563">
        <v>1.6</v>
      </c>
      <c r="K4563">
        <v>81.7</v>
      </c>
      <c r="L4563">
        <v>0.49</v>
      </c>
      <c r="M4563">
        <v>3.7</v>
      </c>
      <c r="N4563">
        <v>6.5</v>
      </c>
      <c r="O4563">
        <v>22.8</v>
      </c>
      <c r="P4563">
        <v>0.3</v>
      </c>
    </row>
    <row r="4564" spans="1:16">
      <c r="A4564" s="1" t="s">
        <v>4389</v>
      </c>
      <c r="B4564" s="1" t="s">
        <v>4456</v>
      </c>
      <c r="C4564" s="1" t="s">
        <v>105</v>
      </c>
      <c r="D4564" s="1" t="s">
        <v>106</v>
      </c>
      <c r="E4564" s="1" t="s">
        <v>4394</v>
      </c>
      <c r="F4564">
        <v>96</v>
      </c>
      <c r="G4564">
        <v>155</v>
      </c>
      <c r="H4564">
        <v>456</v>
      </c>
      <c r="I4564">
        <v>80.8</v>
      </c>
      <c r="J4564">
        <v>0.6</v>
      </c>
      <c r="K4564">
        <v>97.5</v>
      </c>
      <c r="L4564">
        <v>2.4300000000000002</v>
      </c>
      <c r="M4564">
        <v>3.2</v>
      </c>
      <c r="N4564">
        <v>5.5</v>
      </c>
      <c r="O4564">
        <v>23.2</v>
      </c>
      <c r="P4564">
        <v>0.6</v>
      </c>
    </row>
    <row r="4565" spans="1:16">
      <c r="A4565" s="1" t="s">
        <v>4389</v>
      </c>
      <c r="B4565" s="1" t="s">
        <v>4457</v>
      </c>
      <c r="C4565" s="1" t="s">
        <v>105</v>
      </c>
      <c r="D4565" s="1" t="s">
        <v>106</v>
      </c>
      <c r="E4565" s="1" t="s">
        <v>4394</v>
      </c>
      <c r="F4565">
        <v>134</v>
      </c>
      <c r="G4565">
        <v>172</v>
      </c>
      <c r="H4565">
        <v>86</v>
      </c>
      <c r="I4565">
        <v>76.599999999999994</v>
      </c>
      <c r="J4565">
        <v>3.9</v>
      </c>
      <c r="K4565">
        <v>45.9</v>
      </c>
      <c r="L4565">
        <v>1.64</v>
      </c>
      <c r="M4565">
        <v>3.8</v>
      </c>
      <c r="N4565">
        <v>4.9000000000000004</v>
      </c>
      <c r="O4565">
        <v>24</v>
      </c>
      <c r="P4565">
        <v>0.5</v>
      </c>
    </row>
    <row r="4566" spans="1:16">
      <c r="A4566" s="1" t="s">
        <v>4458</v>
      </c>
      <c r="B4566" s="1" t="s">
        <v>4459</v>
      </c>
      <c r="C4566" s="1" t="s">
        <v>18</v>
      </c>
      <c r="D4566" s="1" t="s">
        <v>2646</v>
      </c>
      <c r="E4566" s="1" t="s">
        <v>4460</v>
      </c>
      <c r="F4566">
        <v>2330</v>
      </c>
      <c r="G4566">
        <v>22.6</v>
      </c>
      <c r="H4566">
        <v>2.44</v>
      </c>
      <c r="I4566">
        <v>263</v>
      </c>
      <c r="J4566">
        <v>122</v>
      </c>
      <c r="K4566">
        <f>1.025/2</f>
        <v>0.51249999999999996</v>
      </c>
      <c r="L4566">
        <v>1.69</v>
      </c>
      <c r="M4566">
        <v>0.15</v>
      </c>
      <c r="N4566">
        <v>21.5</v>
      </c>
      <c r="O4566">
        <v>0.92</v>
      </c>
      <c r="P4566">
        <v>11.1</v>
      </c>
    </row>
    <row r="4567" spans="1:16">
      <c r="A4567" s="1" t="s">
        <v>4458</v>
      </c>
      <c r="B4567" s="1" t="s">
        <v>4461</v>
      </c>
      <c r="C4567" s="1" t="s">
        <v>1764</v>
      </c>
      <c r="D4567" s="1" t="s">
        <v>2646</v>
      </c>
      <c r="E4567" s="1" t="s">
        <v>4460</v>
      </c>
      <c r="F4567">
        <v>416</v>
      </c>
      <c r="G4567">
        <v>43.9</v>
      </c>
      <c r="H4567">
        <v>0.72</v>
      </c>
      <c r="I4567">
        <v>31.7</v>
      </c>
      <c r="J4567">
        <v>135</v>
      </c>
      <c r="K4567">
        <v>0.12</v>
      </c>
      <c r="L4567">
        <v>0.3</v>
      </c>
      <c r="M4567">
        <v>0.92</v>
      </c>
      <c r="N4567">
        <v>15.8</v>
      </c>
      <c r="O4567">
        <v>1.01</v>
      </c>
      <c r="P4567">
        <v>17.899999999999999</v>
      </c>
    </row>
    <row r="4568" spans="1:16">
      <c r="A4568" s="1" t="s">
        <v>4458</v>
      </c>
      <c r="B4568" s="1" t="s">
        <v>4462</v>
      </c>
      <c r="C4568" s="1" t="s">
        <v>1764</v>
      </c>
      <c r="D4568" s="1" t="s">
        <v>2646</v>
      </c>
      <c r="E4568" s="1" t="s">
        <v>4463</v>
      </c>
      <c r="F4568">
        <v>3189</v>
      </c>
      <c r="G4568">
        <v>73.900000000000006</v>
      </c>
      <c r="H4568">
        <v>0.47</v>
      </c>
      <c r="I4568">
        <v>41.1</v>
      </c>
      <c r="J4568">
        <v>180</v>
      </c>
      <c r="K4568">
        <v>1.31</v>
      </c>
      <c r="L4568">
        <v>6.73</v>
      </c>
      <c r="M4568">
        <v>0.62</v>
      </c>
      <c r="N4568">
        <v>80</v>
      </c>
      <c r="O4568">
        <v>0.42</v>
      </c>
      <c r="P4568">
        <v>10.7</v>
      </c>
    </row>
    <row r="4569" spans="1:16">
      <c r="A4569" s="1" t="s">
        <v>4458</v>
      </c>
      <c r="B4569" s="1" t="s">
        <v>4464</v>
      </c>
      <c r="C4569" s="1" t="s">
        <v>1764</v>
      </c>
      <c r="D4569" s="1" t="s">
        <v>2646</v>
      </c>
      <c r="E4569" s="1" t="s">
        <v>4463</v>
      </c>
      <c r="F4569">
        <v>812</v>
      </c>
      <c r="G4569">
        <v>46.3</v>
      </c>
      <c r="H4569">
        <v>0.68</v>
      </c>
      <c r="I4569">
        <v>26.3</v>
      </c>
      <c r="J4569">
        <v>157</v>
      </c>
      <c r="K4569" s="11">
        <f t="shared" ref="K4569:K4572" si="173">1.025/2</f>
        <v>0.51249999999999996</v>
      </c>
      <c r="L4569">
        <v>0.33</v>
      </c>
      <c r="M4569">
        <v>0.44</v>
      </c>
      <c r="N4569">
        <v>13.8</v>
      </c>
      <c r="O4569">
        <v>0.85</v>
      </c>
      <c r="P4569">
        <v>17.100000000000001</v>
      </c>
    </row>
    <row r="4570" spans="1:16">
      <c r="A4570" s="1" t="s">
        <v>4458</v>
      </c>
      <c r="B4570" s="1" t="s">
        <v>4465</v>
      </c>
      <c r="C4570" s="1" t="s">
        <v>1764</v>
      </c>
      <c r="D4570" s="1" t="s">
        <v>2646</v>
      </c>
      <c r="E4570" s="1" t="s">
        <v>4463</v>
      </c>
      <c r="F4570">
        <v>2783</v>
      </c>
      <c r="G4570">
        <v>37.6</v>
      </c>
      <c r="H4570">
        <v>0.97</v>
      </c>
      <c r="I4570">
        <v>14.6</v>
      </c>
      <c r="J4570">
        <v>276</v>
      </c>
      <c r="K4570" s="11">
        <f t="shared" si="173"/>
        <v>0.51249999999999996</v>
      </c>
      <c r="L4570">
        <v>3.01</v>
      </c>
      <c r="M4570">
        <v>0.08</v>
      </c>
      <c r="N4570">
        <v>26.4</v>
      </c>
      <c r="O4570">
        <v>0.9</v>
      </c>
      <c r="P4570">
        <v>15.4</v>
      </c>
    </row>
    <row r="4571" spans="1:16">
      <c r="A4571" s="1" t="s">
        <v>4458</v>
      </c>
      <c r="B4571" s="1" t="s">
        <v>4466</v>
      </c>
      <c r="C4571" s="1" t="s">
        <v>1764</v>
      </c>
      <c r="D4571" s="1" t="s">
        <v>2646</v>
      </c>
      <c r="E4571" s="1" t="s">
        <v>4463</v>
      </c>
      <c r="F4571">
        <v>7158</v>
      </c>
      <c r="G4571">
        <v>26.1</v>
      </c>
      <c r="H4571">
        <f>0.747/2</f>
        <v>0.3735</v>
      </c>
      <c r="I4571">
        <v>21</v>
      </c>
      <c r="J4571">
        <v>254</v>
      </c>
      <c r="K4571" s="11">
        <f t="shared" si="173"/>
        <v>0.51249999999999996</v>
      </c>
      <c r="L4571">
        <v>4.3600000000000003</v>
      </c>
      <c r="M4571">
        <v>0.01</v>
      </c>
      <c r="N4571">
        <v>57.5</v>
      </c>
      <c r="O4571">
        <v>0.55000000000000004</v>
      </c>
      <c r="P4571">
        <v>13.4</v>
      </c>
    </row>
    <row r="4572" spans="1:16">
      <c r="A4572" s="1" t="s">
        <v>4458</v>
      </c>
      <c r="B4572" s="1" t="s">
        <v>4467</v>
      </c>
      <c r="C4572" s="1" t="s">
        <v>1764</v>
      </c>
      <c r="D4572" s="1" t="s">
        <v>2646</v>
      </c>
      <c r="E4572" s="1" t="s">
        <v>4463</v>
      </c>
      <c r="F4572">
        <v>5283</v>
      </c>
      <c r="G4572">
        <v>14.3</v>
      </c>
      <c r="H4572" s="11">
        <f>0.747/2</f>
        <v>0.3735</v>
      </c>
      <c r="I4572">
        <v>9.4</v>
      </c>
      <c r="J4572">
        <v>195</v>
      </c>
      <c r="K4572" s="11">
        <f t="shared" si="173"/>
        <v>0.51249999999999996</v>
      </c>
      <c r="L4572">
        <v>1.81</v>
      </c>
      <c r="M4572">
        <v>0.04</v>
      </c>
      <c r="N4572">
        <v>35.9</v>
      </c>
      <c r="O4572">
        <v>0.82</v>
      </c>
      <c r="P4572">
        <v>13.4</v>
      </c>
    </row>
    <row r="4573" spans="1:16">
      <c r="A4573" s="1" t="s">
        <v>4458</v>
      </c>
      <c r="B4573" s="1" t="s">
        <v>4468</v>
      </c>
      <c r="C4573" s="1" t="s">
        <v>1764</v>
      </c>
      <c r="D4573" s="1" t="s">
        <v>2646</v>
      </c>
      <c r="E4573" s="1" t="s">
        <v>4463</v>
      </c>
      <c r="F4573">
        <v>39.4</v>
      </c>
      <c r="G4573">
        <v>39.5</v>
      </c>
      <c r="H4573">
        <v>2.44</v>
      </c>
      <c r="I4573">
        <v>118</v>
      </c>
      <c r="J4573">
        <v>0.43</v>
      </c>
      <c r="K4573">
        <v>14.5</v>
      </c>
      <c r="L4573">
        <v>36.299999999999997</v>
      </c>
      <c r="M4573">
        <f>0.537/2</f>
        <v>0.26850000000000002</v>
      </c>
      <c r="N4573">
        <v>85.4</v>
      </c>
      <c r="O4573">
        <v>0.39</v>
      </c>
      <c r="P4573">
        <v>14.8</v>
      </c>
    </row>
    <row r="4574" spans="1:16">
      <c r="A4574" s="1" t="s">
        <v>4458</v>
      </c>
      <c r="B4574" s="1" t="s">
        <v>4469</v>
      </c>
      <c r="C4574" s="1" t="s">
        <v>1764</v>
      </c>
      <c r="D4574" s="1" t="s">
        <v>2646</v>
      </c>
      <c r="E4574" s="1" t="s">
        <v>4463</v>
      </c>
      <c r="F4574">
        <v>975</v>
      </c>
      <c r="G4574">
        <v>89.3</v>
      </c>
      <c r="H4574">
        <v>0.12</v>
      </c>
      <c r="I4574">
        <v>326</v>
      </c>
      <c r="J4574">
        <f>2.468/2</f>
        <v>1.234</v>
      </c>
      <c r="K4574">
        <v>47.4</v>
      </c>
      <c r="L4574">
        <v>37.5</v>
      </c>
      <c r="M4574">
        <v>0.85</v>
      </c>
      <c r="N4574">
        <v>107</v>
      </c>
      <c r="O4574">
        <v>0.7</v>
      </c>
      <c r="P4574">
        <v>29.7</v>
      </c>
    </row>
    <row r="4575" spans="1:16">
      <c r="A4575" s="1" t="s">
        <v>4458</v>
      </c>
      <c r="B4575" s="1" t="s">
        <v>4470</v>
      </c>
      <c r="C4575" s="1" t="s">
        <v>1764</v>
      </c>
      <c r="D4575" s="1" t="s">
        <v>2646</v>
      </c>
      <c r="E4575" s="1" t="s">
        <v>4463</v>
      </c>
      <c r="F4575">
        <v>623</v>
      </c>
      <c r="G4575">
        <v>41.2</v>
      </c>
      <c r="H4575">
        <v>11.9</v>
      </c>
      <c r="I4575">
        <v>309</v>
      </c>
      <c r="J4575">
        <v>0.15</v>
      </c>
      <c r="K4575">
        <v>38.4</v>
      </c>
      <c r="L4575">
        <v>38.1</v>
      </c>
      <c r="M4575">
        <v>2.85</v>
      </c>
      <c r="N4575">
        <v>94.7</v>
      </c>
      <c r="O4575">
        <v>0.33</v>
      </c>
      <c r="P4575">
        <v>27.4</v>
      </c>
    </row>
    <row r="4576" spans="1:16">
      <c r="A4576" s="1" t="s">
        <v>4458</v>
      </c>
      <c r="B4576" s="1" t="s">
        <v>4471</v>
      </c>
      <c r="C4576" s="1" t="s">
        <v>1764</v>
      </c>
      <c r="D4576" s="1" t="s">
        <v>2646</v>
      </c>
      <c r="E4576" s="1" t="s">
        <v>4463</v>
      </c>
      <c r="F4576">
        <v>9.16</v>
      </c>
      <c r="G4576">
        <v>24.8</v>
      </c>
      <c r="H4576">
        <v>0.54</v>
      </c>
      <c r="I4576">
        <v>184</v>
      </c>
      <c r="J4576">
        <v>0.46</v>
      </c>
      <c r="K4576">
        <v>13.2</v>
      </c>
      <c r="L4576">
        <v>37.4</v>
      </c>
      <c r="M4576">
        <v>0.18</v>
      </c>
      <c r="N4576">
        <v>72.900000000000006</v>
      </c>
      <c r="O4576">
        <v>0.59</v>
      </c>
      <c r="P4576">
        <v>12.8</v>
      </c>
    </row>
    <row r="4577" spans="1:16">
      <c r="A4577" s="1" t="s">
        <v>4458</v>
      </c>
      <c r="B4577" s="1" t="s">
        <v>4472</v>
      </c>
      <c r="C4577" s="1" t="s">
        <v>1764</v>
      </c>
      <c r="D4577" s="1" t="s">
        <v>2646</v>
      </c>
      <c r="E4577" s="1" t="s">
        <v>4463</v>
      </c>
      <c r="F4577">
        <v>4.66</v>
      </c>
      <c r="G4577">
        <v>13.9</v>
      </c>
      <c r="H4577">
        <v>3.22</v>
      </c>
      <c r="I4577">
        <v>288</v>
      </c>
      <c r="J4577">
        <v>5.83</v>
      </c>
      <c r="K4577">
        <v>9.19</v>
      </c>
      <c r="L4577">
        <v>37.6</v>
      </c>
      <c r="M4577">
        <v>1.88</v>
      </c>
      <c r="N4577">
        <v>64.7</v>
      </c>
      <c r="O4577">
        <v>0.33</v>
      </c>
      <c r="P4577">
        <v>14.5</v>
      </c>
    </row>
    <row r="4578" spans="1:16">
      <c r="A4578" s="1" t="s">
        <v>4458</v>
      </c>
      <c r="B4578" s="1" t="s">
        <v>4473</v>
      </c>
      <c r="C4578" s="1" t="s">
        <v>1764</v>
      </c>
      <c r="D4578" s="1" t="s">
        <v>2646</v>
      </c>
      <c r="E4578" s="1" t="s">
        <v>4463</v>
      </c>
      <c r="F4578">
        <v>459</v>
      </c>
      <c r="G4578">
        <v>17.100000000000001</v>
      </c>
      <c r="H4578">
        <v>3.62</v>
      </c>
      <c r="I4578">
        <v>195</v>
      </c>
      <c r="J4578">
        <v>1.75</v>
      </c>
      <c r="K4578">
        <v>27.4</v>
      </c>
      <c r="L4578">
        <v>38.5</v>
      </c>
      <c r="M4578">
        <v>0.39</v>
      </c>
      <c r="N4578">
        <v>76.7</v>
      </c>
      <c r="O4578">
        <v>0.6</v>
      </c>
      <c r="P4578">
        <v>29.5</v>
      </c>
    </row>
    <row r="4579" spans="1:16">
      <c r="A4579" s="1" t="s">
        <v>4458</v>
      </c>
      <c r="B4579" s="1" t="s">
        <v>4474</v>
      </c>
      <c r="C4579" s="1" t="s">
        <v>1764</v>
      </c>
      <c r="D4579" s="1" t="s">
        <v>2646</v>
      </c>
      <c r="E4579" s="1" t="s">
        <v>4463</v>
      </c>
      <c r="F4579">
        <v>7.42</v>
      </c>
      <c r="G4579">
        <v>12</v>
      </c>
      <c r="H4579">
        <v>1.08</v>
      </c>
      <c r="I4579">
        <v>119</v>
      </c>
      <c r="J4579" s="11">
        <f>2.468/2</f>
        <v>1.234</v>
      </c>
      <c r="K4579">
        <v>14</v>
      </c>
      <c r="L4579">
        <v>37.299999999999997</v>
      </c>
      <c r="M4579">
        <v>0.25</v>
      </c>
      <c r="N4579">
        <v>82.2</v>
      </c>
      <c r="O4579">
        <v>0.51</v>
      </c>
      <c r="P4579">
        <v>17</v>
      </c>
    </row>
    <row r="4580" spans="1:16">
      <c r="A4580" s="1" t="s">
        <v>4458</v>
      </c>
      <c r="B4580" s="1" t="s">
        <v>4475</v>
      </c>
      <c r="C4580" s="1" t="s">
        <v>1764</v>
      </c>
      <c r="D4580" s="1" t="s">
        <v>2646</v>
      </c>
      <c r="E4580" s="1" t="s">
        <v>4463</v>
      </c>
      <c r="F4580">
        <v>35.700000000000003</v>
      </c>
      <c r="G4580">
        <v>12.6</v>
      </c>
      <c r="H4580">
        <v>4.37</v>
      </c>
      <c r="I4580">
        <v>276</v>
      </c>
      <c r="J4580">
        <v>0.95</v>
      </c>
      <c r="K4580">
        <v>12.4</v>
      </c>
      <c r="L4580">
        <v>36.5</v>
      </c>
      <c r="M4580">
        <v>0.22</v>
      </c>
      <c r="N4580">
        <v>82.6</v>
      </c>
      <c r="O4580">
        <v>0.44</v>
      </c>
      <c r="P4580">
        <v>21.8</v>
      </c>
    </row>
    <row r="4581" spans="1:16">
      <c r="A4581" s="1" t="s">
        <v>4458</v>
      </c>
      <c r="B4581" s="1" t="s">
        <v>4476</v>
      </c>
      <c r="C4581" s="1" t="s">
        <v>1764</v>
      </c>
      <c r="D4581" s="1" t="s">
        <v>2646</v>
      </c>
      <c r="E4581" s="1" t="s">
        <v>4463</v>
      </c>
      <c r="F4581">
        <v>1184</v>
      </c>
      <c r="G4581">
        <v>19.7</v>
      </c>
      <c r="H4581">
        <v>6.21</v>
      </c>
      <c r="I4581">
        <v>322</v>
      </c>
      <c r="J4581">
        <v>199</v>
      </c>
      <c r="K4581" s="11">
        <f>1.025/2</f>
        <v>0.51249999999999996</v>
      </c>
      <c r="L4581">
        <v>13.3</v>
      </c>
      <c r="M4581">
        <v>0.66</v>
      </c>
      <c r="N4581">
        <v>73.7</v>
      </c>
      <c r="O4581">
        <v>0.28999999999999998</v>
      </c>
      <c r="P4581">
        <v>21.1</v>
      </c>
    </row>
    <row r="4582" spans="1:16">
      <c r="A4582" s="1" t="s">
        <v>4458</v>
      </c>
      <c r="B4582" s="1" t="s">
        <v>4477</v>
      </c>
      <c r="C4582" s="1" t="s">
        <v>1764</v>
      </c>
      <c r="D4582" s="1" t="s">
        <v>2646</v>
      </c>
      <c r="E4582" s="1" t="s">
        <v>4463</v>
      </c>
      <c r="F4582">
        <v>62.4</v>
      </c>
      <c r="G4582">
        <v>37.6</v>
      </c>
      <c r="H4582" s="11">
        <f>0.747/2</f>
        <v>0.3735</v>
      </c>
      <c r="I4582">
        <v>11.7</v>
      </c>
      <c r="J4582">
        <v>335</v>
      </c>
      <c r="K4582">
        <v>0.02</v>
      </c>
      <c r="L4582">
        <v>7.61</v>
      </c>
      <c r="M4582">
        <v>0.14000000000000001</v>
      </c>
      <c r="N4582">
        <v>79.099999999999994</v>
      </c>
      <c r="O4582">
        <v>0.21</v>
      </c>
      <c r="P4582">
        <v>17</v>
      </c>
    </row>
    <row r="4583" spans="1:16">
      <c r="A4583" s="1" t="s">
        <v>4458</v>
      </c>
      <c r="B4583" s="1" t="s">
        <v>4478</v>
      </c>
      <c r="C4583" s="1" t="s">
        <v>1764</v>
      </c>
      <c r="D4583" s="1" t="s">
        <v>2646</v>
      </c>
      <c r="E4583" s="1" t="s">
        <v>4463</v>
      </c>
      <c r="F4583">
        <v>705</v>
      </c>
      <c r="G4583">
        <v>92.1</v>
      </c>
      <c r="H4583">
        <v>0.16</v>
      </c>
      <c r="I4583">
        <v>37.4</v>
      </c>
      <c r="J4583">
        <v>370</v>
      </c>
      <c r="K4583">
        <v>0.86</v>
      </c>
      <c r="L4583">
        <v>8.32</v>
      </c>
      <c r="M4583">
        <v>0.89</v>
      </c>
      <c r="N4583">
        <v>81</v>
      </c>
      <c r="O4583">
        <v>0.36</v>
      </c>
      <c r="P4583">
        <v>25.7</v>
      </c>
    </row>
    <row r="4584" spans="1:16">
      <c r="A4584" s="1" t="s">
        <v>4458</v>
      </c>
      <c r="B4584" s="1" t="s">
        <v>4479</v>
      </c>
      <c r="C4584" s="1" t="s">
        <v>1764</v>
      </c>
      <c r="D4584" s="1" t="s">
        <v>2646</v>
      </c>
      <c r="E4584" s="1" t="s">
        <v>4463</v>
      </c>
      <c r="F4584">
        <v>744</v>
      </c>
      <c r="G4584">
        <v>97.4</v>
      </c>
      <c r="H4584">
        <v>0.69</v>
      </c>
      <c r="I4584">
        <v>41.7</v>
      </c>
      <c r="J4584">
        <v>370</v>
      </c>
      <c r="K4584">
        <v>0.57999999999999996</v>
      </c>
      <c r="L4584">
        <v>9.68</v>
      </c>
      <c r="M4584">
        <v>0.54</v>
      </c>
      <c r="N4584">
        <v>85.1</v>
      </c>
      <c r="O4584">
        <v>0.42</v>
      </c>
      <c r="P4584">
        <v>25.6</v>
      </c>
    </row>
    <row r="4585" spans="1:16">
      <c r="A4585" s="1" t="s">
        <v>4458</v>
      </c>
      <c r="B4585" s="1" t="s">
        <v>4480</v>
      </c>
      <c r="C4585" s="1" t="s">
        <v>1764</v>
      </c>
      <c r="D4585" s="1" t="s">
        <v>2646</v>
      </c>
      <c r="E4585" s="1" t="s">
        <v>4463</v>
      </c>
      <c r="F4585">
        <v>694</v>
      </c>
      <c r="G4585">
        <v>85.9</v>
      </c>
      <c r="H4585" s="11">
        <f>0.747/2</f>
        <v>0.3735</v>
      </c>
      <c r="I4585">
        <v>35.299999999999997</v>
      </c>
      <c r="J4585">
        <v>375</v>
      </c>
      <c r="K4585">
        <v>0.18</v>
      </c>
      <c r="L4585">
        <v>8.6</v>
      </c>
      <c r="M4585">
        <v>0.92</v>
      </c>
      <c r="N4585">
        <v>87</v>
      </c>
      <c r="O4585">
        <v>0.39</v>
      </c>
      <c r="P4585">
        <v>25.3</v>
      </c>
    </row>
    <row r="4586" spans="1:16">
      <c r="A4586" s="1" t="s">
        <v>4458</v>
      </c>
      <c r="B4586" s="1" t="s">
        <v>4481</v>
      </c>
      <c r="C4586" s="1" t="s">
        <v>1764</v>
      </c>
      <c r="D4586" s="1" t="s">
        <v>2646</v>
      </c>
      <c r="E4586" s="1" t="s">
        <v>4463</v>
      </c>
      <c r="F4586">
        <v>584</v>
      </c>
      <c r="G4586">
        <v>68.599999999999994</v>
      </c>
      <c r="H4586">
        <v>10.35</v>
      </c>
      <c r="I4586">
        <v>35.1</v>
      </c>
      <c r="J4586">
        <v>346</v>
      </c>
      <c r="K4586">
        <v>1.01</v>
      </c>
      <c r="L4586">
        <v>8.01</v>
      </c>
      <c r="M4586">
        <v>0.36</v>
      </c>
      <c r="N4586">
        <v>85.1</v>
      </c>
      <c r="O4586">
        <v>0.36</v>
      </c>
      <c r="P4586">
        <v>26.4</v>
      </c>
    </row>
    <row r="4587" spans="1:16">
      <c r="A4587" s="1" t="s">
        <v>4458</v>
      </c>
      <c r="B4587" s="1" t="s">
        <v>4482</v>
      </c>
      <c r="C4587" s="1" t="s">
        <v>1764</v>
      </c>
      <c r="D4587" s="1" t="s">
        <v>2646</v>
      </c>
      <c r="E4587" s="1" t="s">
        <v>4463</v>
      </c>
      <c r="F4587">
        <v>491</v>
      </c>
      <c r="G4587">
        <v>37.299999999999997</v>
      </c>
      <c r="H4587">
        <v>5.99</v>
      </c>
      <c r="I4587">
        <v>26.3</v>
      </c>
      <c r="J4587">
        <v>292</v>
      </c>
      <c r="K4587" s="11">
        <f>1.025/2</f>
        <v>0.51249999999999996</v>
      </c>
      <c r="L4587">
        <v>7.33</v>
      </c>
      <c r="M4587">
        <v>0.42</v>
      </c>
      <c r="N4587">
        <v>75.3</v>
      </c>
      <c r="O4587">
        <v>0.36</v>
      </c>
      <c r="P4587">
        <v>28.8</v>
      </c>
    </row>
    <row r="4588" spans="1:16">
      <c r="A4588" s="1" t="s">
        <v>4458</v>
      </c>
      <c r="B4588" s="1" t="s">
        <v>4483</v>
      </c>
      <c r="C4588" s="1" t="s">
        <v>1764</v>
      </c>
      <c r="D4588" s="1" t="s">
        <v>2646</v>
      </c>
      <c r="E4588" s="1" t="s">
        <v>4463</v>
      </c>
      <c r="F4588">
        <v>809</v>
      </c>
      <c r="G4588">
        <v>42.2</v>
      </c>
      <c r="H4588" s="11">
        <f t="shared" ref="H4588:H4589" si="174">0.747/2</f>
        <v>0.3735</v>
      </c>
      <c r="I4588">
        <v>41.1</v>
      </c>
      <c r="J4588">
        <v>288</v>
      </c>
      <c r="K4588">
        <v>0.38</v>
      </c>
      <c r="L4588">
        <v>7.08</v>
      </c>
      <c r="M4588">
        <v>0.03</v>
      </c>
      <c r="N4588">
        <v>97.4</v>
      </c>
      <c r="O4588">
        <v>0.39</v>
      </c>
      <c r="P4588">
        <v>34.5</v>
      </c>
    </row>
    <row r="4589" spans="1:16">
      <c r="A4589" s="1" t="s">
        <v>4458</v>
      </c>
      <c r="B4589" s="1" t="s">
        <v>4484</v>
      </c>
      <c r="C4589" s="1" t="s">
        <v>1764</v>
      </c>
      <c r="D4589" s="1" t="s">
        <v>2646</v>
      </c>
      <c r="E4589" s="1" t="s">
        <v>4463</v>
      </c>
      <c r="F4589">
        <v>1428</v>
      </c>
      <c r="G4589">
        <v>88.4</v>
      </c>
      <c r="H4589" s="11">
        <f t="shared" si="174"/>
        <v>0.3735</v>
      </c>
      <c r="I4589">
        <v>475</v>
      </c>
      <c r="J4589">
        <v>1.71</v>
      </c>
      <c r="K4589">
        <v>60.5</v>
      </c>
      <c r="L4589">
        <v>23</v>
      </c>
      <c r="M4589">
        <v>0.86</v>
      </c>
      <c r="N4589">
        <v>112</v>
      </c>
      <c r="O4589">
        <v>0.89</v>
      </c>
      <c r="P4589">
        <v>34.9</v>
      </c>
    </row>
    <row r="4590" spans="1:16">
      <c r="A4590" s="1" t="s">
        <v>4458</v>
      </c>
      <c r="B4590" s="1" t="s">
        <v>4485</v>
      </c>
      <c r="C4590" s="1" t="s">
        <v>1764</v>
      </c>
      <c r="D4590" s="1" t="s">
        <v>2646</v>
      </c>
      <c r="E4590" s="1" t="s">
        <v>4463</v>
      </c>
      <c r="F4590">
        <v>1751</v>
      </c>
      <c r="G4590">
        <v>118</v>
      </c>
      <c r="H4590">
        <v>17.600000000000001</v>
      </c>
      <c r="I4590">
        <v>522</v>
      </c>
      <c r="J4590" s="11">
        <f>2.468/2</f>
        <v>1.234</v>
      </c>
      <c r="K4590">
        <v>67.599999999999994</v>
      </c>
      <c r="L4590">
        <v>22.4</v>
      </c>
      <c r="M4590">
        <v>0.26</v>
      </c>
      <c r="N4590">
        <v>121</v>
      </c>
      <c r="O4590">
        <v>1.05</v>
      </c>
      <c r="P4590">
        <v>38.200000000000003</v>
      </c>
    </row>
    <row r="4591" spans="1:16">
      <c r="A4591" s="1" t="s">
        <v>4458</v>
      </c>
      <c r="B4591" s="1" t="s">
        <v>4486</v>
      </c>
      <c r="C4591" s="1" t="s">
        <v>1764</v>
      </c>
      <c r="D4591" s="1" t="s">
        <v>2646</v>
      </c>
      <c r="E4591" s="1" t="s">
        <v>4463</v>
      </c>
      <c r="F4591">
        <v>1210</v>
      </c>
      <c r="G4591">
        <v>98.5</v>
      </c>
      <c r="H4591">
        <v>30.3</v>
      </c>
      <c r="I4591">
        <v>365</v>
      </c>
      <c r="J4591">
        <v>0.71</v>
      </c>
      <c r="K4591">
        <v>57.9</v>
      </c>
      <c r="L4591">
        <v>22.7</v>
      </c>
      <c r="M4591">
        <v>1.2</v>
      </c>
      <c r="N4591">
        <v>134</v>
      </c>
      <c r="O4591">
        <v>0.98</v>
      </c>
      <c r="P4591">
        <v>25.4</v>
      </c>
    </row>
    <row r="4592" spans="1:16">
      <c r="A4592" s="1" t="s">
        <v>4458</v>
      </c>
      <c r="B4592" s="1" t="s">
        <v>4487</v>
      </c>
      <c r="C4592" s="1" t="s">
        <v>1764</v>
      </c>
      <c r="D4592" s="1" t="s">
        <v>2646</v>
      </c>
      <c r="E4592" s="1" t="s">
        <v>4463</v>
      </c>
      <c r="F4592">
        <v>1137</v>
      </c>
      <c r="G4592">
        <v>129</v>
      </c>
      <c r="H4592">
        <v>67.5</v>
      </c>
      <c r="I4592">
        <v>371</v>
      </c>
      <c r="J4592">
        <v>0.16</v>
      </c>
      <c r="K4592">
        <v>59.3</v>
      </c>
      <c r="L4592">
        <v>21.8</v>
      </c>
      <c r="M4592">
        <v>0.52</v>
      </c>
      <c r="N4592">
        <v>116</v>
      </c>
      <c r="O4592">
        <v>0.72</v>
      </c>
      <c r="P4592">
        <v>28.3</v>
      </c>
    </row>
    <row r="4593" spans="1:16">
      <c r="A4593" s="1" t="s">
        <v>4458</v>
      </c>
      <c r="B4593" s="1" t="s">
        <v>4488</v>
      </c>
      <c r="C4593" s="1" t="s">
        <v>1764</v>
      </c>
      <c r="D4593" s="1" t="s">
        <v>2646</v>
      </c>
      <c r="E4593" s="1" t="s">
        <v>4463</v>
      </c>
      <c r="F4593">
        <v>756</v>
      </c>
      <c r="G4593">
        <v>31.3</v>
      </c>
      <c r="H4593">
        <v>32</v>
      </c>
      <c r="I4593">
        <v>355</v>
      </c>
      <c r="J4593" s="11">
        <f>2.468/2</f>
        <v>1.234</v>
      </c>
      <c r="K4593">
        <v>33.799999999999997</v>
      </c>
      <c r="L4593">
        <v>21.5</v>
      </c>
      <c r="M4593">
        <v>0.85</v>
      </c>
      <c r="N4593">
        <v>97.3</v>
      </c>
      <c r="O4593">
        <v>0.26</v>
      </c>
      <c r="P4593">
        <v>29.8</v>
      </c>
    </row>
    <row r="4594" spans="1:16">
      <c r="A4594" s="1" t="s">
        <v>4458</v>
      </c>
      <c r="B4594" s="1" t="s">
        <v>4489</v>
      </c>
      <c r="C4594" s="1" t="s">
        <v>1764</v>
      </c>
      <c r="D4594" s="1" t="s">
        <v>2646</v>
      </c>
      <c r="E4594" s="1" t="s">
        <v>4463</v>
      </c>
      <c r="F4594">
        <v>819</v>
      </c>
      <c r="G4594">
        <v>20.7</v>
      </c>
      <c r="H4594">
        <v>7.4</v>
      </c>
      <c r="I4594">
        <v>118</v>
      </c>
      <c r="J4594">
        <v>1.02</v>
      </c>
      <c r="K4594">
        <v>29.2</v>
      </c>
      <c r="L4594">
        <v>21.7</v>
      </c>
      <c r="M4594">
        <v>0.38</v>
      </c>
      <c r="N4594">
        <v>107</v>
      </c>
      <c r="O4594">
        <v>0.46</v>
      </c>
      <c r="P4594">
        <v>36</v>
      </c>
    </row>
    <row r="4595" spans="1:16">
      <c r="A4595" s="1" t="s">
        <v>4458</v>
      </c>
      <c r="B4595" s="1" t="s">
        <v>4490</v>
      </c>
      <c r="C4595" s="1" t="s">
        <v>1764</v>
      </c>
      <c r="D4595" s="1" t="s">
        <v>2646</v>
      </c>
      <c r="E4595" s="1" t="s">
        <v>4463</v>
      </c>
      <c r="F4595">
        <v>493</v>
      </c>
      <c r="G4595">
        <v>27.8</v>
      </c>
      <c r="H4595">
        <v>15.1</v>
      </c>
      <c r="I4595">
        <v>389</v>
      </c>
      <c r="J4595">
        <v>0.8</v>
      </c>
      <c r="K4595">
        <v>25.3</v>
      </c>
      <c r="L4595">
        <v>20.6</v>
      </c>
      <c r="M4595">
        <v>0.81</v>
      </c>
      <c r="N4595">
        <v>79.5</v>
      </c>
      <c r="O4595">
        <v>0.38</v>
      </c>
      <c r="P4595">
        <v>25.2</v>
      </c>
    </row>
    <row r="4596" spans="1:16">
      <c r="A4596" s="1" t="s">
        <v>4458</v>
      </c>
      <c r="B4596" s="1" t="s">
        <v>4491</v>
      </c>
      <c r="C4596" s="1" t="s">
        <v>1764</v>
      </c>
      <c r="D4596" s="1" t="s">
        <v>2646</v>
      </c>
      <c r="E4596" s="1" t="s">
        <v>4463</v>
      </c>
      <c r="F4596">
        <v>1002</v>
      </c>
      <c r="G4596">
        <v>44.5</v>
      </c>
      <c r="H4596">
        <v>4.47</v>
      </c>
      <c r="I4596">
        <v>373</v>
      </c>
      <c r="J4596">
        <v>0.66</v>
      </c>
      <c r="K4596">
        <v>37.1</v>
      </c>
      <c r="L4596">
        <v>20.8</v>
      </c>
      <c r="M4596">
        <v>1.02</v>
      </c>
      <c r="N4596">
        <v>95.4</v>
      </c>
      <c r="O4596">
        <v>1.01</v>
      </c>
      <c r="P4596">
        <v>28.7</v>
      </c>
    </row>
    <row r="4597" spans="1:16">
      <c r="A4597" s="1" t="s">
        <v>4458</v>
      </c>
      <c r="B4597" s="1" t="s">
        <v>4492</v>
      </c>
      <c r="C4597" s="1" t="s">
        <v>1764</v>
      </c>
      <c r="D4597" s="1" t="s">
        <v>2646</v>
      </c>
      <c r="E4597" s="1" t="s">
        <v>4463</v>
      </c>
      <c r="F4597">
        <v>2421</v>
      </c>
      <c r="G4597">
        <v>19.600000000000001</v>
      </c>
      <c r="H4597">
        <v>19.899999999999999</v>
      </c>
      <c r="I4597">
        <v>184</v>
      </c>
      <c r="J4597" s="11">
        <f>2.468/2</f>
        <v>1.234</v>
      </c>
      <c r="K4597">
        <v>149</v>
      </c>
      <c r="L4597">
        <v>25.9</v>
      </c>
      <c r="M4597">
        <v>6.21</v>
      </c>
      <c r="N4597">
        <v>137</v>
      </c>
      <c r="O4597">
        <v>0.12</v>
      </c>
      <c r="P4597">
        <v>20.9</v>
      </c>
    </row>
    <row r="4598" spans="1:16">
      <c r="A4598" s="1" t="s">
        <v>4458</v>
      </c>
      <c r="B4598" s="1" t="s">
        <v>4493</v>
      </c>
      <c r="C4598" s="1" t="s">
        <v>1764</v>
      </c>
      <c r="D4598" s="1" t="s">
        <v>2646</v>
      </c>
      <c r="E4598" s="1" t="s">
        <v>4463</v>
      </c>
      <c r="F4598">
        <v>6251</v>
      </c>
      <c r="G4598">
        <v>22.7</v>
      </c>
      <c r="H4598">
        <v>0.61</v>
      </c>
      <c r="I4598">
        <v>235</v>
      </c>
      <c r="J4598">
        <v>1.1100000000000001</v>
      </c>
      <c r="K4598">
        <v>871</v>
      </c>
      <c r="L4598">
        <v>47.7</v>
      </c>
      <c r="M4598">
        <v>0.44</v>
      </c>
      <c r="N4598">
        <v>184</v>
      </c>
      <c r="O4598">
        <v>0.11</v>
      </c>
      <c r="P4598">
        <v>14.5</v>
      </c>
    </row>
    <row r="4599" spans="1:16">
      <c r="A4599" s="1" t="s">
        <v>4458</v>
      </c>
      <c r="B4599" s="1" t="s">
        <v>4494</v>
      </c>
      <c r="C4599" s="1" t="s">
        <v>1764</v>
      </c>
      <c r="D4599" s="1" t="s">
        <v>2646</v>
      </c>
      <c r="E4599" s="1" t="s">
        <v>4463</v>
      </c>
      <c r="F4599">
        <v>1841</v>
      </c>
      <c r="G4599">
        <v>34.5</v>
      </c>
      <c r="H4599">
        <v>0.96</v>
      </c>
      <c r="I4599">
        <v>141</v>
      </c>
      <c r="J4599">
        <v>0.62</v>
      </c>
      <c r="K4599">
        <v>192</v>
      </c>
      <c r="L4599">
        <v>24</v>
      </c>
      <c r="M4599">
        <v>0.7</v>
      </c>
      <c r="N4599">
        <v>110</v>
      </c>
      <c r="O4599">
        <v>0.04</v>
      </c>
      <c r="P4599">
        <v>8.32</v>
      </c>
    </row>
    <row r="4600" spans="1:16">
      <c r="A4600" s="1" t="s">
        <v>4458</v>
      </c>
      <c r="B4600" s="1" t="s">
        <v>4495</v>
      </c>
      <c r="C4600" s="1" t="s">
        <v>1764</v>
      </c>
      <c r="D4600" s="1" t="s">
        <v>2646</v>
      </c>
      <c r="E4600" s="1" t="s">
        <v>4463</v>
      </c>
      <c r="F4600">
        <v>5722</v>
      </c>
      <c r="G4600">
        <v>100</v>
      </c>
      <c r="H4600">
        <v>0.2</v>
      </c>
      <c r="I4600">
        <v>759</v>
      </c>
      <c r="J4600">
        <v>93.6</v>
      </c>
      <c r="K4600" s="11">
        <f>1.025/2</f>
        <v>0.51249999999999996</v>
      </c>
      <c r="L4600">
        <v>28.1</v>
      </c>
      <c r="M4600">
        <v>0.02</v>
      </c>
      <c r="N4600">
        <v>440</v>
      </c>
      <c r="O4600">
        <v>0.15</v>
      </c>
      <c r="P4600">
        <v>69.7</v>
      </c>
    </row>
    <row r="4601" spans="1:16">
      <c r="A4601" s="1" t="s">
        <v>4458</v>
      </c>
      <c r="B4601" s="1" t="s">
        <v>4496</v>
      </c>
      <c r="C4601" s="1" t="s">
        <v>1764</v>
      </c>
      <c r="D4601" s="1" t="s">
        <v>2646</v>
      </c>
      <c r="E4601" s="1" t="s">
        <v>4463</v>
      </c>
      <c r="F4601">
        <v>1392</v>
      </c>
      <c r="G4601">
        <v>49.1</v>
      </c>
      <c r="H4601">
        <v>0.16</v>
      </c>
      <c r="I4601">
        <v>39.799999999999997</v>
      </c>
      <c r="J4601">
        <v>238</v>
      </c>
      <c r="K4601">
        <v>0.91</v>
      </c>
      <c r="L4601">
        <v>12.5</v>
      </c>
      <c r="M4601">
        <v>1.1599999999999999</v>
      </c>
      <c r="N4601">
        <v>51.6</v>
      </c>
      <c r="O4601">
        <v>0.24</v>
      </c>
      <c r="P4601">
        <v>12.2</v>
      </c>
    </row>
    <row r="4602" spans="1:16">
      <c r="A4602" s="1" t="s">
        <v>4458</v>
      </c>
      <c r="B4602" s="1" t="s">
        <v>4497</v>
      </c>
      <c r="C4602" s="1" t="s">
        <v>1764</v>
      </c>
      <c r="D4602" s="1" t="s">
        <v>2646</v>
      </c>
      <c r="E4602" s="1" t="s">
        <v>4463</v>
      </c>
      <c r="F4602">
        <v>2496</v>
      </c>
      <c r="G4602">
        <v>22</v>
      </c>
      <c r="H4602">
        <v>1.95</v>
      </c>
      <c r="I4602">
        <v>219</v>
      </c>
      <c r="J4602">
        <v>112</v>
      </c>
      <c r="K4602" s="11">
        <f>1.025/2</f>
        <v>0.51249999999999996</v>
      </c>
      <c r="L4602">
        <v>17.8</v>
      </c>
      <c r="M4602">
        <v>0.44</v>
      </c>
      <c r="N4602">
        <v>143</v>
      </c>
      <c r="O4602">
        <v>0.25</v>
      </c>
      <c r="P4602">
        <v>12.6</v>
      </c>
    </row>
    <row r="4603" spans="1:16">
      <c r="A4603" s="1" t="s">
        <v>4458</v>
      </c>
      <c r="B4603" s="1" t="s">
        <v>4498</v>
      </c>
      <c r="C4603" s="1" t="s">
        <v>1764</v>
      </c>
      <c r="D4603" s="1" t="s">
        <v>2646</v>
      </c>
      <c r="E4603" s="1" t="s">
        <v>4463</v>
      </c>
      <c r="F4603">
        <v>209</v>
      </c>
      <c r="G4603">
        <v>53.9</v>
      </c>
      <c r="H4603" s="11">
        <f>0.747/2</f>
        <v>0.3735</v>
      </c>
      <c r="I4603">
        <v>16.3</v>
      </c>
      <c r="J4603">
        <v>174</v>
      </c>
      <c r="K4603">
        <v>0.35</v>
      </c>
      <c r="L4603">
        <v>12</v>
      </c>
      <c r="M4603">
        <v>0.37</v>
      </c>
      <c r="N4603">
        <v>229</v>
      </c>
      <c r="O4603">
        <v>0.28000000000000003</v>
      </c>
      <c r="P4603">
        <v>10.5</v>
      </c>
    </row>
    <row r="4604" spans="1:16">
      <c r="A4604" s="1" t="s">
        <v>4458</v>
      </c>
      <c r="B4604" s="1" t="s">
        <v>4499</v>
      </c>
      <c r="C4604" s="1" t="s">
        <v>1764</v>
      </c>
      <c r="D4604" s="1" t="s">
        <v>2646</v>
      </c>
      <c r="E4604" s="1" t="s">
        <v>4463</v>
      </c>
      <c r="F4604">
        <v>2161</v>
      </c>
      <c r="G4604">
        <v>80</v>
      </c>
      <c r="H4604">
        <v>0.18</v>
      </c>
      <c r="I4604">
        <v>55.6</v>
      </c>
      <c r="J4604">
        <v>305</v>
      </c>
      <c r="K4604">
        <v>0.05</v>
      </c>
      <c r="L4604">
        <v>14</v>
      </c>
      <c r="M4604">
        <v>0.72</v>
      </c>
      <c r="N4604">
        <v>52.9</v>
      </c>
      <c r="O4604">
        <v>0.19</v>
      </c>
      <c r="P4604">
        <v>18</v>
      </c>
    </row>
    <row r="4605" spans="1:16">
      <c r="A4605" s="1" t="s">
        <v>4458</v>
      </c>
      <c r="B4605" s="1" t="s">
        <v>4500</v>
      </c>
      <c r="C4605" s="1" t="s">
        <v>1764</v>
      </c>
      <c r="D4605" s="1" t="s">
        <v>2646</v>
      </c>
      <c r="E4605" s="1" t="s">
        <v>4463</v>
      </c>
      <c r="F4605">
        <v>68.900000000000006</v>
      </c>
      <c r="G4605">
        <v>28.7</v>
      </c>
      <c r="H4605">
        <v>0.14000000000000001</v>
      </c>
      <c r="I4605">
        <v>16.600000000000001</v>
      </c>
      <c r="J4605">
        <v>115</v>
      </c>
      <c r="K4605">
        <v>1.66</v>
      </c>
      <c r="L4605">
        <v>12.4</v>
      </c>
      <c r="M4605">
        <v>0.13</v>
      </c>
      <c r="N4605">
        <v>27.5</v>
      </c>
      <c r="O4605">
        <v>0.35</v>
      </c>
      <c r="P4605">
        <v>10.7</v>
      </c>
    </row>
    <row r="4606" spans="1:16">
      <c r="A4606" s="1" t="s">
        <v>4458</v>
      </c>
      <c r="B4606" s="1" t="s">
        <v>4501</v>
      </c>
      <c r="C4606" s="1" t="s">
        <v>1764</v>
      </c>
      <c r="D4606" s="1" t="s">
        <v>2646</v>
      </c>
      <c r="E4606" s="1" t="s">
        <v>4463</v>
      </c>
      <c r="F4606">
        <v>3652</v>
      </c>
      <c r="G4606">
        <v>19.3</v>
      </c>
      <c r="H4606" s="11">
        <f>0.747/2</f>
        <v>0.3735</v>
      </c>
      <c r="I4606">
        <v>105</v>
      </c>
      <c r="J4606">
        <v>157</v>
      </c>
      <c r="K4606" s="11">
        <f t="shared" ref="K4606:K4607" si="175">1.025/2</f>
        <v>0.51249999999999996</v>
      </c>
      <c r="L4606">
        <v>13.7</v>
      </c>
      <c r="M4606">
        <v>0.45</v>
      </c>
      <c r="N4606">
        <v>155</v>
      </c>
      <c r="O4606">
        <v>0.11</v>
      </c>
      <c r="P4606">
        <v>20.5</v>
      </c>
    </row>
    <row r="4607" spans="1:16">
      <c r="A4607" s="1" t="s">
        <v>4458</v>
      </c>
      <c r="B4607" s="1" t="s">
        <v>4502</v>
      </c>
      <c r="C4607" s="1" t="s">
        <v>1764</v>
      </c>
      <c r="D4607" s="1" t="s">
        <v>2646</v>
      </c>
      <c r="E4607" s="1" t="s">
        <v>4463</v>
      </c>
      <c r="F4607">
        <v>1223</v>
      </c>
      <c r="G4607">
        <v>257</v>
      </c>
      <c r="H4607">
        <v>0.42</v>
      </c>
      <c r="I4607">
        <v>72.7</v>
      </c>
      <c r="J4607">
        <v>363</v>
      </c>
      <c r="K4607" s="11">
        <f t="shared" si="175"/>
        <v>0.51249999999999996</v>
      </c>
      <c r="L4607">
        <v>11.5</v>
      </c>
      <c r="M4607">
        <v>0.98</v>
      </c>
      <c r="N4607">
        <v>17.2</v>
      </c>
      <c r="O4607">
        <v>0.59</v>
      </c>
      <c r="P4607">
        <v>20.3</v>
      </c>
    </row>
    <row r="4608" spans="1:16">
      <c r="A4608" s="1" t="s">
        <v>4458</v>
      </c>
      <c r="B4608" s="1" t="s">
        <v>4503</v>
      </c>
      <c r="C4608" s="1" t="s">
        <v>1764</v>
      </c>
      <c r="D4608" s="1" t="s">
        <v>2646</v>
      </c>
      <c r="E4608" s="1" t="s">
        <v>4463</v>
      </c>
      <c r="F4608">
        <v>5165</v>
      </c>
      <c r="G4608">
        <v>212</v>
      </c>
      <c r="H4608">
        <v>3.58</v>
      </c>
      <c r="I4608">
        <v>269</v>
      </c>
      <c r="J4608">
        <v>160</v>
      </c>
      <c r="K4608">
        <v>1.21</v>
      </c>
      <c r="L4608">
        <v>7.51</v>
      </c>
      <c r="M4608" s="11">
        <f>0.537/2</f>
        <v>0.26850000000000002</v>
      </c>
      <c r="N4608">
        <v>85.9</v>
      </c>
      <c r="O4608">
        <v>0.28000000000000003</v>
      </c>
      <c r="P4608">
        <v>27.8</v>
      </c>
    </row>
    <row r="4609" spans="1:16">
      <c r="A4609" s="1" t="s">
        <v>4458</v>
      </c>
      <c r="B4609" s="1" t="s">
        <v>4504</v>
      </c>
      <c r="C4609" s="1" t="s">
        <v>1764</v>
      </c>
      <c r="D4609" s="1" t="s">
        <v>2646</v>
      </c>
      <c r="E4609" s="1" t="s">
        <v>4463</v>
      </c>
      <c r="F4609">
        <v>896</v>
      </c>
      <c r="G4609">
        <v>252</v>
      </c>
      <c r="H4609">
        <v>6.52</v>
      </c>
      <c r="I4609">
        <v>151</v>
      </c>
      <c r="J4609">
        <v>232</v>
      </c>
      <c r="K4609">
        <v>0.96</v>
      </c>
      <c r="L4609">
        <v>1.83</v>
      </c>
      <c r="M4609">
        <v>1.61</v>
      </c>
      <c r="N4609">
        <v>108</v>
      </c>
      <c r="O4609">
        <v>0.44</v>
      </c>
      <c r="P4609">
        <v>18.5</v>
      </c>
    </row>
    <row r="4610" spans="1:16">
      <c r="A4610" s="1" t="s">
        <v>4458</v>
      </c>
      <c r="B4610" s="1" t="s">
        <v>4505</v>
      </c>
      <c r="C4610" s="1" t="s">
        <v>1764</v>
      </c>
      <c r="D4610" s="1" t="s">
        <v>2646</v>
      </c>
      <c r="E4610" s="1" t="s">
        <v>4463</v>
      </c>
      <c r="F4610">
        <v>6998</v>
      </c>
      <c r="G4610">
        <v>179</v>
      </c>
      <c r="H4610">
        <v>1.1000000000000001</v>
      </c>
      <c r="I4610">
        <v>530</v>
      </c>
      <c r="J4610">
        <v>191</v>
      </c>
      <c r="K4610">
        <v>0.91</v>
      </c>
      <c r="L4610">
        <v>15.6</v>
      </c>
      <c r="M4610">
        <v>0.53</v>
      </c>
      <c r="N4610">
        <v>90.2</v>
      </c>
      <c r="O4610">
        <v>0.47</v>
      </c>
      <c r="P4610">
        <v>26.9</v>
      </c>
    </row>
    <row r="4611" spans="1:16">
      <c r="A4611" s="1" t="s">
        <v>4458</v>
      </c>
      <c r="B4611" s="1" t="s">
        <v>4506</v>
      </c>
      <c r="C4611" s="1" t="s">
        <v>1764</v>
      </c>
      <c r="D4611" s="1" t="s">
        <v>2646</v>
      </c>
      <c r="E4611" s="1" t="s">
        <v>4463</v>
      </c>
      <c r="F4611">
        <v>5208</v>
      </c>
      <c r="G4611">
        <v>83.2</v>
      </c>
      <c r="H4611">
        <v>1.28</v>
      </c>
      <c r="I4611">
        <v>521</v>
      </c>
      <c r="J4611">
        <v>265</v>
      </c>
      <c r="K4611">
        <v>0.44</v>
      </c>
      <c r="L4611">
        <v>30.3</v>
      </c>
      <c r="M4611">
        <v>0.02</v>
      </c>
      <c r="N4611">
        <v>163</v>
      </c>
      <c r="O4611">
        <v>0.17</v>
      </c>
      <c r="P4611">
        <v>21.7</v>
      </c>
    </row>
    <row r="4612" spans="1:16">
      <c r="A4612" s="1" t="s">
        <v>4458</v>
      </c>
      <c r="B4612" s="1" t="s">
        <v>4507</v>
      </c>
      <c r="C4612" s="1" t="s">
        <v>1764</v>
      </c>
      <c r="D4612" s="1" t="s">
        <v>2646</v>
      </c>
      <c r="E4612" s="1" t="s">
        <v>4463</v>
      </c>
      <c r="F4612">
        <v>998</v>
      </c>
      <c r="G4612">
        <v>165</v>
      </c>
      <c r="H4612">
        <v>5.28</v>
      </c>
      <c r="I4612">
        <v>146</v>
      </c>
      <c r="J4612">
        <v>168</v>
      </c>
      <c r="K4612">
        <v>0.14000000000000001</v>
      </c>
      <c r="L4612">
        <v>4.16</v>
      </c>
      <c r="M4612">
        <v>0.21</v>
      </c>
      <c r="N4612">
        <v>39.299999999999997</v>
      </c>
      <c r="O4612">
        <v>0.32</v>
      </c>
      <c r="P4612">
        <v>19.100000000000001</v>
      </c>
    </row>
    <row r="4613" spans="1:16">
      <c r="A4613" s="1" t="s">
        <v>4508</v>
      </c>
      <c r="B4613" s="1" t="s">
        <v>4509</v>
      </c>
      <c r="C4613" s="1" t="s">
        <v>5591</v>
      </c>
      <c r="D4613" s="1" t="s">
        <v>1683</v>
      </c>
      <c r="E4613" s="1" t="s">
        <v>4510</v>
      </c>
      <c r="F4613">
        <v>4813.0083917776137</v>
      </c>
      <c r="G4613">
        <v>40394.354760602459</v>
      </c>
      <c r="H4613">
        <v>7998</v>
      </c>
      <c r="I4613">
        <v>1068</v>
      </c>
      <c r="J4613">
        <v>106223</v>
      </c>
      <c r="K4613">
        <v>20075</v>
      </c>
      <c r="L4613">
        <v>54.412923186547893</v>
      </c>
      <c r="M4613">
        <v>1446.9773241022879</v>
      </c>
      <c r="N4613">
        <v>2675.9190214812575</v>
      </c>
      <c r="O4613">
        <v>12.062518342925605</v>
      </c>
      <c r="P4613">
        <v>4.22297691935273</v>
      </c>
    </row>
    <row r="4614" spans="1:16">
      <c r="A4614" s="1" t="s">
        <v>4508</v>
      </c>
      <c r="B4614" s="1" t="s">
        <v>4511</v>
      </c>
      <c r="C4614" s="1" t="s">
        <v>5591</v>
      </c>
      <c r="D4614" s="1" t="s">
        <v>1683</v>
      </c>
      <c r="E4614" s="1" t="s">
        <v>4510</v>
      </c>
      <c r="F4614">
        <v>6082.8839766046758</v>
      </c>
      <c r="G4614">
        <v>40204.257937522503</v>
      </c>
      <c r="H4614">
        <v>13288</v>
      </c>
      <c r="I4614">
        <v>576</v>
      </c>
      <c r="J4614">
        <v>81491</v>
      </c>
      <c r="K4614">
        <v>16066</v>
      </c>
      <c r="L4614">
        <v>44.826845127875906</v>
      </c>
      <c r="M4614">
        <v>1874.1389551332857</v>
      </c>
      <c r="N4614">
        <v>2884.3034896508102</v>
      </c>
      <c r="O4614">
        <v>27.852650141150175</v>
      </c>
      <c r="P4614">
        <v>8.24690164531407</v>
      </c>
    </row>
    <row r="4615" spans="1:16">
      <c r="A4615" s="1" t="s">
        <v>4508</v>
      </c>
      <c r="B4615" s="1" t="s">
        <v>4512</v>
      </c>
      <c r="C4615" s="1" t="s">
        <v>5591</v>
      </c>
      <c r="D4615" s="1" t="s">
        <v>1683</v>
      </c>
      <c r="E4615" s="1" t="s">
        <v>4513</v>
      </c>
      <c r="F4615">
        <v>5483.2355007150227</v>
      </c>
      <c r="G4615">
        <v>39346.595125483807</v>
      </c>
      <c r="H4615">
        <v>11668</v>
      </c>
      <c r="I4615">
        <v>544</v>
      </c>
      <c r="J4615">
        <v>81046</v>
      </c>
      <c r="K4615">
        <v>15529</v>
      </c>
      <c r="L4615">
        <v>45.023781136741853</v>
      </c>
      <c r="M4615">
        <v>1613.2923943562507</v>
      </c>
      <c r="N4615">
        <v>3289.1590773890666</v>
      </c>
      <c r="O4615">
        <v>24.017644891425277</v>
      </c>
      <c r="P4615">
        <v>9.2728978411771035</v>
      </c>
    </row>
    <row r="4616" spans="1:16">
      <c r="A4616" s="1" t="s">
        <v>4508</v>
      </c>
      <c r="B4616" s="1" t="s">
        <v>4514</v>
      </c>
      <c r="C4616" s="1" t="s">
        <v>5591</v>
      </c>
      <c r="D4616" s="1" t="s">
        <v>1683</v>
      </c>
      <c r="E4616" s="1" t="s">
        <v>4513</v>
      </c>
      <c r="F4616">
        <v>5264.1963716781338</v>
      </c>
      <c r="G4616">
        <v>29155.863216060832</v>
      </c>
      <c r="H4616">
        <v>13715</v>
      </c>
      <c r="I4616">
        <v>911</v>
      </c>
      <c r="J4616">
        <v>32154</v>
      </c>
      <c r="K4616">
        <v>9825</v>
      </c>
      <c r="L4616">
        <v>30.184821435093642</v>
      </c>
      <c r="M4616">
        <v>1258.9687081208094</v>
      </c>
      <c r="N4616">
        <v>1960.1767573733111</v>
      </c>
      <c r="O4616">
        <v>9.9005029865384859</v>
      </c>
      <c r="P4616">
        <v>15.529034725385152</v>
      </c>
    </row>
    <row r="4617" spans="1:16">
      <c r="A4617" s="1" t="s">
        <v>4508</v>
      </c>
      <c r="B4617" s="1" t="s">
        <v>4515</v>
      </c>
      <c r="C4617" s="1" t="s">
        <v>5591</v>
      </c>
      <c r="D4617" s="1" t="s">
        <v>1683</v>
      </c>
      <c r="E4617" s="1" t="s">
        <v>4513</v>
      </c>
      <c r="F4617">
        <v>5468.2812939759515</v>
      </c>
      <c r="G4617">
        <v>20135.409056820514</v>
      </c>
      <c r="H4617">
        <v>14700</v>
      </c>
      <c r="I4617">
        <v>553</v>
      </c>
      <c r="J4617">
        <v>16692</v>
      </c>
      <c r="K4617">
        <v>6011</v>
      </c>
      <c r="L4617">
        <v>18.218398904868145</v>
      </c>
      <c r="M4617">
        <v>1667.2394627357435</v>
      </c>
      <c r="N4617">
        <v>907.73278081776084</v>
      </c>
      <c r="O4617">
        <v>24.10624865359933</v>
      </c>
      <c r="P4617">
        <v>22.046526177075989</v>
      </c>
    </row>
    <row r="4618" spans="1:16">
      <c r="A4618" s="1" t="s">
        <v>4508</v>
      </c>
      <c r="B4618" s="1" t="s">
        <v>4516</v>
      </c>
      <c r="C4618" s="1" t="s">
        <v>5591</v>
      </c>
      <c r="D4618" s="1" t="s">
        <v>1683</v>
      </c>
      <c r="E4618" s="1" t="s">
        <v>4513</v>
      </c>
      <c r="F4618">
        <v>6923.1752681659009</v>
      </c>
      <c r="G4618">
        <v>22986.470397999361</v>
      </c>
      <c r="H4618">
        <v>11956</v>
      </c>
      <c r="I4618">
        <v>861</v>
      </c>
      <c r="J4618">
        <v>5364</v>
      </c>
      <c r="K4618">
        <v>4842</v>
      </c>
      <c r="L4618">
        <v>21.451640084220209</v>
      </c>
      <c r="M4618">
        <v>1473.1066246874141</v>
      </c>
      <c r="N4618">
        <v>713.10625622805753</v>
      </c>
      <c r="O4618">
        <v>13.090445589274406</v>
      </c>
      <c r="P4618">
        <v>16.026005074903694</v>
      </c>
    </row>
    <row r="4619" spans="1:16">
      <c r="A4619" s="1" t="s">
        <v>4508</v>
      </c>
      <c r="B4619" s="1" t="s">
        <v>4517</v>
      </c>
      <c r="C4619" s="1" t="s">
        <v>5591</v>
      </c>
      <c r="D4619" s="1" t="s">
        <v>1683</v>
      </c>
      <c r="E4619" s="1" t="s">
        <v>4513</v>
      </c>
      <c r="F4619">
        <v>5972.6678846860814</v>
      </c>
      <c r="G4619">
        <v>46984.091437100258</v>
      </c>
      <c r="H4619">
        <v>16089</v>
      </c>
      <c r="I4619">
        <v>1511</v>
      </c>
      <c r="J4619">
        <v>70994</v>
      </c>
      <c r="K4619">
        <v>17657</v>
      </c>
      <c r="L4619">
        <v>52.400984174591706</v>
      </c>
      <c r="M4619">
        <v>1862.4618023951678</v>
      </c>
      <c r="N4619">
        <v>2278.6723901753835</v>
      </c>
      <c r="O4619">
        <v>20.458139184530197</v>
      </c>
      <c r="P4619">
        <v>6.6463241929743182</v>
      </c>
    </row>
    <row r="4620" spans="1:16">
      <c r="A4620" s="1" t="s">
        <v>4508</v>
      </c>
      <c r="B4620" s="1" t="s">
        <v>4518</v>
      </c>
      <c r="C4620" s="1" t="s">
        <v>5591</v>
      </c>
      <c r="D4620" s="1" t="s">
        <v>1683</v>
      </c>
      <c r="E4620" s="1" t="s">
        <v>4513</v>
      </c>
      <c r="F4620">
        <v>4496.9859428160844</v>
      </c>
      <c r="G4620">
        <v>28350.854372433481</v>
      </c>
      <c r="H4620">
        <v>13978</v>
      </c>
      <c r="I4620">
        <v>575</v>
      </c>
      <c r="J4620">
        <v>65887</v>
      </c>
      <c r="K4620">
        <v>13255</v>
      </c>
      <c r="L4620">
        <v>29.3461107601413</v>
      </c>
      <c r="M4620">
        <v>1915.5442227268634</v>
      </c>
      <c r="N4620">
        <v>1968.5304466653422</v>
      </c>
      <c r="O4620">
        <v>19.655932014988014</v>
      </c>
      <c r="P4620">
        <v>12.469360237083443</v>
      </c>
    </row>
    <row r="4621" spans="1:16">
      <c r="A4621" s="1" t="s">
        <v>4508</v>
      </c>
      <c r="B4621" s="1" t="s">
        <v>4519</v>
      </c>
      <c r="C4621" s="1" t="s">
        <v>5591</v>
      </c>
      <c r="D4621" s="1" t="s">
        <v>1683</v>
      </c>
      <c r="E4621" s="1" t="s">
        <v>4513</v>
      </c>
      <c r="F4621">
        <v>6164.0738182925006</v>
      </c>
      <c r="G4621">
        <v>42240.113984089963</v>
      </c>
      <c r="H4621">
        <v>15970</v>
      </c>
      <c r="I4621">
        <v>1133</v>
      </c>
      <c r="J4621">
        <v>56148</v>
      </c>
      <c r="K4621">
        <v>14735</v>
      </c>
      <c r="L4621">
        <v>46.594179179528808</v>
      </c>
      <c r="M4621">
        <v>1874.8736551924005</v>
      </c>
      <c r="N4621">
        <v>1936.0769515203185</v>
      </c>
      <c r="O4621">
        <v>19.777010313566649</v>
      </c>
      <c r="P4621">
        <v>17.060232136442995</v>
      </c>
    </row>
    <row r="4622" spans="1:16">
      <c r="A4622" s="1" t="s">
        <v>4508</v>
      </c>
      <c r="B4622" s="1" t="s">
        <v>4520</v>
      </c>
      <c r="C4622" s="1" t="s">
        <v>5591</v>
      </c>
      <c r="D4622" s="1" t="s">
        <v>1683</v>
      </c>
      <c r="E4622" s="1" t="s">
        <v>4513</v>
      </c>
      <c r="F4622">
        <v>4789.7927867249055</v>
      </c>
      <c r="G4622">
        <v>27621.349641478479</v>
      </c>
      <c r="H4622">
        <v>15113</v>
      </c>
      <c r="I4622">
        <v>581</v>
      </c>
      <c r="J4622">
        <v>43884</v>
      </c>
      <c r="K4622">
        <v>10847</v>
      </c>
      <c r="L4622">
        <v>25.253284257031723</v>
      </c>
      <c r="M4622">
        <v>1587.0652113099279</v>
      </c>
      <c r="N4622">
        <v>3559.4679977476103</v>
      </c>
      <c r="O4622">
        <v>16.156417570772131</v>
      </c>
      <c r="P4622">
        <v>14.312946479814189</v>
      </c>
    </row>
    <row r="4623" spans="1:16">
      <c r="A4623" s="1" t="s">
        <v>4508</v>
      </c>
      <c r="B4623" s="1" t="s">
        <v>4521</v>
      </c>
      <c r="C4623" s="1" t="s">
        <v>5591</v>
      </c>
      <c r="D4623" s="1" t="s">
        <v>1683</v>
      </c>
      <c r="E4623" s="1" t="s">
        <v>4513</v>
      </c>
      <c r="F4623">
        <v>3886.1142723184334</v>
      </c>
      <c r="G4623">
        <v>17638.717377277673</v>
      </c>
      <c r="H4623">
        <v>16850</v>
      </c>
      <c r="I4623">
        <v>582</v>
      </c>
      <c r="J4623">
        <v>36473</v>
      </c>
      <c r="K4623">
        <v>10005</v>
      </c>
      <c r="L4623">
        <v>18.419887119025294</v>
      </c>
      <c r="M4623">
        <v>1574.2136380798884</v>
      </c>
      <c r="N4623">
        <v>2317.7003281177431</v>
      </c>
      <c r="O4623">
        <v>11.926864391427722</v>
      </c>
      <c r="P4623">
        <v>25.905368445508913</v>
      </c>
    </row>
    <row r="4624" spans="1:16">
      <c r="A4624" s="1" t="s">
        <v>4508</v>
      </c>
      <c r="B4624" s="1" t="s">
        <v>4522</v>
      </c>
      <c r="C4624" s="1" t="s">
        <v>5591</v>
      </c>
      <c r="D4624" s="1" t="s">
        <v>1683</v>
      </c>
      <c r="E4624" s="1" t="s">
        <v>4513</v>
      </c>
      <c r="F4624">
        <v>7292.6734310761613</v>
      </c>
      <c r="G4624">
        <v>31278.607579868403</v>
      </c>
      <c r="H4624">
        <v>13973</v>
      </c>
      <c r="I4624">
        <v>1262</v>
      </c>
      <c r="J4624">
        <v>23634</v>
      </c>
      <c r="K4624">
        <v>7675</v>
      </c>
      <c r="L4624">
        <v>30.945909035186002</v>
      </c>
      <c r="M4624">
        <v>1933.9488515680396</v>
      </c>
      <c r="N4624">
        <v>1122.4745486380855</v>
      </c>
      <c r="O4624">
        <v>20.5224393682441</v>
      </c>
      <c r="P4624">
        <v>11.244670390101648</v>
      </c>
    </row>
    <row r="4625" spans="1:16">
      <c r="A4625" s="1" t="s">
        <v>4508</v>
      </c>
      <c r="B4625" s="1" t="s">
        <v>4523</v>
      </c>
      <c r="C4625" s="1" t="s">
        <v>5591</v>
      </c>
      <c r="D4625" s="1" t="s">
        <v>1683</v>
      </c>
      <c r="E4625" s="1" t="s">
        <v>4513</v>
      </c>
      <c r="F4625">
        <v>5102.162346188531</v>
      </c>
      <c r="G4625">
        <v>20021.331072153545</v>
      </c>
      <c r="H4625">
        <v>20007</v>
      </c>
      <c r="I4625">
        <v>630</v>
      </c>
      <c r="J4625">
        <v>18720</v>
      </c>
      <c r="K4625">
        <v>7642</v>
      </c>
      <c r="L4625">
        <v>18.671390930329352</v>
      </c>
      <c r="M4625">
        <v>1719.1318888441645</v>
      </c>
      <c r="N4625">
        <v>1648.4739390624043</v>
      </c>
      <c r="O4625">
        <v>19.543837472178883</v>
      </c>
      <c r="P4625">
        <v>20.225591520956883</v>
      </c>
    </row>
    <row r="4626" spans="1:16">
      <c r="A4626" s="1" t="s">
        <v>4508</v>
      </c>
      <c r="B4626" s="1" t="s">
        <v>4524</v>
      </c>
      <c r="C4626" s="1" t="s">
        <v>5591</v>
      </c>
      <c r="D4626" s="1" t="s">
        <v>1683</v>
      </c>
      <c r="E4626" s="1" t="s">
        <v>4513</v>
      </c>
      <c r="F4626">
        <v>8393.4712449849267</v>
      </c>
      <c r="G4626">
        <v>29028.413626915102</v>
      </c>
      <c r="H4626">
        <v>14052</v>
      </c>
      <c r="I4626">
        <v>1108</v>
      </c>
      <c r="J4626">
        <v>10250</v>
      </c>
      <c r="K4626">
        <v>5870</v>
      </c>
      <c r="L4626">
        <v>27.389897866055662</v>
      </c>
      <c r="M4626">
        <v>1747.9643046991646</v>
      </c>
      <c r="N4626">
        <v>846.89291371966897</v>
      </c>
      <c r="O4626">
        <v>20.711490253371746</v>
      </c>
      <c r="P4626">
        <v>9.6817433196150979</v>
      </c>
    </row>
    <row r="4627" spans="1:16">
      <c r="A4627" s="1" t="s">
        <v>4508</v>
      </c>
      <c r="B4627" s="1" t="s">
        <v>4525</v>
      </c>
      <c r="C4627" s="1" t="s">
        <v>5591</v>
      </c>
      <c r="D4627" s="1" t="s">
        <v>1683</v>
      </c>
      <c r="E4627" s="1" t="s">
        <v>4513</v>
      </c>
      <c r="F4627">
        <v>5797.8030984422958</v>
      </c>
      <c r="G4627">
        <v>17623.854832646379</v>
      </c>
      <c r="H4627">
        <v>14211</v>
      </c>
      <c r="I4627">
        <v>987</v>
      </c>
      <c r="J4627">
        <v>1368</v>
      </c>
      <c r="K4627">
        <v>5196</v>
      </c>
      <c r="L4627">
        <v>19.60097282094863</v>
      </c>
      <c r="M4627">
        <v>1490.9463395367868</v>
      </c>
      <c r="N4627">
        <v>710.76053182150088</v>
      </c>
      <c r="O4627">
        <v>10.987169994433536</v>
      </c>
      <c r="P4627">
        <v>14.311362117131608</v>
      </c>
    </row>
    <row r="4628" spans="1:16">
      <c r="A4628" s="1" t="s">
        <v>4508</v>
      </c>
      <c r="B4628" s="1" t="s">
        <v>4526</v>
      </c>
      <c r="C4628" s="1" t="s">
        <v>5591</v>
      </c>
      <c r="D4628" s="1" t="s">
        <v>1683</v>
      </c>
      <c r="E4628" s="1" t="s">
        <v>4513</v>
      </c>
      <c r="F4628">
        <v>10292.563435298949</v>
      </c>
      <c r="G4628">
        <v>60571.56119311761</v>
      </c>
      <c r="H4628">
        <v>12597</v>
      </c>
      <c r="I4628">
        <v>1419</v>
      </c>
      <c r="J4628">
        <v>111305</v>
      </c>
      <c r="K4628">
        <v>20007</v>
      </c>
      <c r="L4628">
        <v>69.843498482779736</v>
      </c>
      <c r="M4628">
        <v>2628.7415221446149</v>
      </c>
      <c r="N4628">
        <v>2533.8000461255824</v>
      </c>
      <c r="O4628">
        <v>35.014297629951614</v>
      </c>
      <c r="P4628">
        <v>7.1196929557833686</v>
      </c>
    </row>
    <row r="4629" spans="1:16">
      <c r="A4629" s="1" t="s">
        <v>4508</v>
      </c>
      <c r="B4629" s="1" t="s">
        <v>4527</v>
      </c>
      <c r="C4629" s="1" t="s">
        <v>5591</v>
      </c>
      <c r="D4629" s="1" t="s">
        <v>1683</v>
      </c>
      <c r="E4629" s="1" t="s">
        <v>4513</v>
      </c>
      <c r="F4629">
        <v>5580.8004593987644</v>
      </c>
      <c r="G4629">
        <v>24424.859802901105</v>
      </c>
      <c r="H4629">
        <v>18657</v>
      </c>
      <c r="I4629">
        <v>669</v>
      </c>
      <c r="J4629">
        <v>24433</v>
      </c>
      <c r="K4629">
        <v>8261</v>
      </c>
      <c r="L4629">
        <v>22.972715992206897</v>
      </c>
      <c r="M4629">
        <v>2006.9309957607807</v>
      </c>
      <c r="N4629">
        <v>1698.8854712440404</v>
      </c>
      <c r="O4629">
        <v>23.889420108977724</v>
      </c>
      <c r="P4629">
        <v>25.578281274534891</v>
      </c>
    </row>
    <row r="4630" spans="1:16">
      <c r="A4630" s="1" t="s">
        <v>4508</v>
      </c>
      <c r="B4630" s="1" t="s">
        <v>4528</v>
      </c>
      <c r="C4630" s="1" t="s">
        <v>5591</v>
      </c>
      <c r="D4630" s="1" t="s">
        <v>1683</v>
      </c>
      <c r="E4630" s="1" t="s">
        <v>4513</v>
      </c>
      <c r="F4630">
        <v>4080.7194312272404</v>
      </c>
      <c r="G4630">
        <v>16533.737569436296</v>
      </c>
      <c r="H4630">
        <v>21326</v>
      </c>
      <c r="I4630">
        <v>679</v>
      </c>
      <c r="J4630">
        <v>17440</v>
      </c>
      <c r="K4630">
        <v>7958</v>
      </c>
      <c r="L4630">
        <v>17.486808776613749</v>
      </c>
      <c r="M4630">
        <v>1846.7596412856883</v>
      </c>
      <c r="N4630">
        <v>1344.0503108666949</v>
      </c>
      <c r="O4630">
        <v>13.45458826570162</v>
      </c>
      <c r="P4630">
        <v>33.49890816563051</v>
      </c>
    </row>
    <row r="4631" spans="1:16">
      <c r="A4631" s="1" t="s">
        <v>4508</v>
      </c>
      <c r="B4631" s="1" t="s">
        <v>4529</v>
      </c>
      <c r="C4631" s="1" t="s">
        <v>5591</v>
      </c>
      <c r="D4631" s="1" t="s">
        <v>1683</v>
      </c>
      <c r="E4631" s="1" t="s">
        <v>4513</v>
      </c>
      <c r="F4631">
        <v>6992.7090122293748</v>
      </c>
      <c r="G4631">
        <v>29304.500072747382</v>
      </c>
      <c r="H4631">
        <v>23503</v>
      </c>
      <c r="I4631">
        <v>1320</v>
      </c>
      <c r="J4631">
        <v>14303</v>
      </c>
      <c r="K4631">
        <v>9909</v>
      </c>
      <c r="L4631">
        <v>38.770960037887157</v>
      </c>
      <c r="M4631">
        <v>1828.442912920287</v>
      </c>
      <c r="N4631">
        <v>1335.9212930115514</v>
      </c>
      <c r="O4631">
        <v>12.078753209495334</v>
      </c>
      <c r="P4631">
        <v>32.259300525827491</v>
      </c>
    </row>
    <row r="4632" spans="1:16">
      <c r="A4632" s="1" t="s">
        <v>4508</v>
      </c>
      <c r="B4632" s="1" t="s">
        <v>4530</v>
      </c>
      <c r="C4632" s="1" t="s">
        <v>5591</v>
      </c>
      <c r="D4632" s="1" t="s">
        <v>1683</v>
      </c>
      <c r="E4632" s="1" t="s">
        <v>4513</v>
      </c>
      <c r="F4632">
        <v>5774.9024670419503</v>
      </c>
      <c r="G4632">
        <v>20550.923224061247</v>
      </c>
      <c r="H4632">
        <v>19203</v>
      </c>
      <c r="I4632">
        <v>693</v>
      </c>
      <c r="J4632">
        <v>10594</v>
      </c>
      <c r="K4632">
        <v>6650</v>
      </c>
      <c r="L4632">
        <v>18.903000468394662</v>
      </c>
      <c r="M4632">
        <v>1929.0217922927573</v>
      </c>
      <c r="N4632">
        <v>1287.0393195085178</v>
      </c>
      <c r="O4632">
        <v>17.222303025903983</v>
      </c>
      <c r="P4632">
        <v>38.955437595369709</v>
      </c>
    </row>
    <row r="4633" spans="1:16">
      <c r="A4633" s="1" t="s">
        <v>4508</v>
      </c>
      <c r="B4633" s="1" t="s">
        <v>4531</v>
      </c>
      <c r="C4633" s="1" t="s">
        <v>5591</v>
      </c>
      <c r="D4633" s="1" t="s">
        <v>1683</v>
      </c>
      <c r="E4633" s="1" t="s">
        <v>4513</v>
      </c>
      <c r="F4633">
        <v>8753.2786483149175</v>
      </c>
      <c r="G4633">
        <v>24650.523145487088</v>
      </c>
      <c r="H4633">
        <v>15362</v>
      </c>
      <c r="I4633">
        <v>1171</v>
      </c>
      <c r="J4633">
        <v>6748</v>
      </c>
      <c r="K4633">
        <v>6784</v>
      </c>
      <c r="L4633">
        <v>26.139313561195141</v>
      </c>
      <c r="M4633">
        <v>1839.2137681463005</v>
      </c>
      <c r="N4633">
        <v>774.19863930847782</v>
      </c>
      <c r="O4633">
        <v>8.9790555548255284</v>
      </c>
      <c r="P4633">
        <v>23.25270577784573</v>
      </c>
    </row>
    <row r="4634" spans="1:16">
      <c r="A4634" s="1" t="s">
        <v>4508</v>
      </c>
      <c r="B4634" s="1" t="s">
        <v>4532</v>
      </c>
      <c r="C4634" s="1" t="s">
        <v>5591</v>
      </c>
      <c r="D4634" s="1" t="s">
        <v>1683</v>
      </c>
      <c r="E4634" s="1" t="s">
        <v>4513</v>
      </c>
      <c r="F4634">
        <v>8314.2516156270831</v>
      </c>
      <c r="G4634">
        <v>26687.971004740491</v>
      </c>
      <c r="H4634">
        <v>15813</v>
      </c>
      <c r="I4634">
        <v>1155</v>
      </c>
      <c r="J4634">
        <v>2325</v>
      </c>
      <c r="K4634">
        <v>5897</v>
      </c>
      <c r="L4634">
        <v>25.321980190823908</v>
      </c>
      <c r="M4634">
        <v>1881.5309440306853</v>
      </c>
      <c r="N4634">
        <v>749.97221643795433</v>
      </c>
      <c r="O4634">
        <v>12.12997213098827</v>
      </c>
      <c r="P4634">
        <v>28.867686094357605</v>
      </c>
    </row>
    <row r="4635" spans="1:16">
      <c r="A4635" s="1" t="s">
        <v>4508</v>
      </c>
      <c r="B4635" s="1" t="s">
        <v>4533</v>
      </c>
      <c r="C4635" s="1" t="s">
        <v>5591</v>
      </c>
      <c r="D4635" s="1" t="s">
        <v>1683</v>
      </c>
      <c r="E4635" s="1" t="s">
        <v>4513</v>
      </c>
      <c r="F4635">
        <v>10218.46803553358</v>
      </c>
      <c r="G4635">
        <v>29052.801368521134</v>
      </c>
      <c r="H4635">
        <v>17311</v>
      </c>
      <c r="I4635">
        <v>1086</v>
      </c>
      <c r="J4635">
        <v>1310</v>
      </c>
      <c r="K4635">
        <v>6112</v>
      </c>
      <c r="L4635">
        <v>25.679972811998606</v>
      </c>
      <c r="M4635">
        <v>1795.3868062715921</v>
      </c>
      <c r="N4635">
        <v>804.25575363044379</v>
      </c>
      <c r="O4635">
        <v>11.250389817072605</v>
      </c>
      <c r="P4635">
        <v>26.995034032570413</v>
      </c>
    </row>
    <row r="4636" spans="1:16">
      <c r="A4636" s="1" t="s">
        <v>4508</v>
      </c>
      <c r="B4636" s="1" t="s">
        <v>4534</v>
      </c>
      <c r="C4636" s="1" t="s">
        <v>5591</v>
      </c>
      <c r="D4636" s="1" t="s">
        <v>1683</v>
      </c>
      <c r="E4636" s="1" t="s">
        <v>4513</v>
      </c>
      <c r="F4636">
        <v>6208.202251607876</v>
      </c>
      <c r="G4636">
        <v>20233.790566141997</v>
      </c>
      <c r="H4636">
        <v>18415</v>
      </c>
      <c r="I4636">
        <v>1207</v>
      </c>
      <c r="J4636">
        <v>1019</v>
      </c>
      <c r="K4636">
        <v>6644</v>
      </c>
      <c r="L4636">
        <v>22.368042609169876</v>
      </c>
      <c r="M4636">
        <v>1889.4804241725781</v>
      </c>
      <c r="N4636">
        <v>845.69470973660043</v>
      </c>
      <c r="O4636">
        <v>14.428969912656019</v>
      </c>
      <c r="P4636">
        <v>22.362603640644135</v>
      </c>
    </row>
    <row r="4637" spans="1:16">
      <c r="A4637" s="1" t="s">
        <v>4508</v>
      </c>
      <c r="B4637" s="1" t="s">
        <v>4535</v>
      </c>
      <c r="C4637" s="1" t="s">
        <v>5591</v>
      </c>
      <c r="D4637" s="1" t="s">
        <v>1683</v>
      </c>
      <c r="E4637" s="1" t="s">
        <v>4513</v>
      </c>
      <c r="F4637">
        <v>10984.237477151695</v>
      </c>
      <c r="G4637">
        <v>52593.715004568898</v>
      </c>
      <c r="H4637">
        <v>9748</v>
      </c>
      <c r="I4637">
        <v>564</v>
      </c>
      <c r="J4637">
        <v>135450</v>
      </c>
      <c r="K4637">
        <v>17815</v>
      </c>
      <c r="L4637">
        <v>82.112893907898183</v>
      </c>
      <c r="M4637">
        <v>1744.047614509896</v>
      </c>
      <c r="N4637">
        <v>4825.1854511339452</v>
      </c>
      <c r="O4637">
        <v>21.764283237132258</v>
      </c>
      <c r="P4637">
        <v>5.6831408327807544</v>
      </c>
    </row>
    <row r="4638" spans="1:16">
      <c r="A4638" s="1" t="s">
        <v>4508</v>
      </c>
      <c r="B4638" s="1" t="s">
        <v>4536</v>
      </c>
      <c r="C4638" s="1" t="s">
        <v>5591</v>
      </c>
      <c r="D4638" s="1" t="s">
        <v>1683</v>
      </c>
      <c r="E4638" s="1" t="s">
        <v>4513</v>
      </c>
      <c r="F4638">
        <v>10011.728758912237</v>
      </c>
      <c r="G4638">
        <v>63481.000175403395</v>
      </c>
      <c r="H4638">
        <v>17364</v>
      </c>
      <c r="I4638">
        <v>804</v>
      </c>
      <c r="J4638">
        <v>105961</v>
      </c>
      <c r="K4638">
        <v>19557</v>
      </c>
      <c r="L4638">
        <v>70.908971774081806</v>
      </c>
      <c r="M4638">
        <v>2125.892146964984</v>
      </c>
      <c r="N4638">
        <v>1866.7291529951435</v>
      </c>
      <c r="O4638">
        <v>41.457908209633842</v>
      </c>
      <c r="P4638">
        <v>5.7248183257219303</v>
      </c>
    </row>
    <row r="4639" spans="1:16">
      <c r="A4639" s="1" t="s">
        <v>4508</v>
      </c>
      <c r="B4639" s="1" t="s">
        <v>4537</v>
      </c>
      <c r="C4639" s="1" t="s">
        <v>5591</v>
      </c>
      <c r="D4639" s="1" t="s">
        <v>1683</v>
      </c>
      <c r="E4639" s="1" t="s">
        <v>4513</v>
      </c>
      <c r="F4639">
        <v>5883.2580664543711</v>
      </c>
      <c r="G4639">
        <v>46017.708570202667</v>
      </c>
      <c r="H4639">
        <v>14651</v>
      </c>
      <c r="I4639">
        <v>687</v>
      </c>
      <c r="J4639">
        <v>83771</v>
      </c>
      <c r="K4639">
        <v>16028</v>
      </c>
      <c r="L4639">
        <v>41.656651256233324</v>
      </c>
      <c r="M4639">
        <v>1693.6651880186625</v>
      </c>
      <c r="N4639">
        <v>2810.9130591781109</v>
      </c>
      <c r="O4639">
        <v>27.683171999830488</v>
      </c>
      <c r="P4639">
        <v>6.7033212840405039</v>
      </c>
    </row>
    <row r="4640" spans="1:16">
      <c r="A4640" s="1" t="s">
        <v>4508</v>
      </c>
      <c r="B4640" s="1" t="s">
        <v>4538</v>
      </c>
      <c r="C4640" s="1" t="s">
        <v>5591</v>
      </c>
      <c r="D4640" s="1" t="s">
        <v>1683</v>
      </c>
      <c r="E4640" s="1" t="s">
        <v>4513</v>
      </c>
      <c r="F4640">
        <v>5774.6915051369961</v>
      </c>
      <c r="G4640">
        <v>39148.316244182963</v>
      </c>
      <c r="H4640">
        <v>15476</v>
      </c>
      <c r="I4640">
        <v>602</v>
      </c>
      <c r="J4640">
        <v>56420</v>
      </c>
      <c r="K4640">
        <v>13853</v>
      </c>
      <c r="L4640">
        <v>36.472982681660916</v>
      </c>
      <c r="M4640">
        <v>1735.8648282452041</v>
      </c>
      <c r="N4640">
        <v>3258.0621782664384</v>
      </c>
      <c r="O4640">
        <v>22.672543676462624</v>
      </c>
      <c r="P4640">
        <v>8.4529783685834161</v>
      </c>
    </row>
    <row r="4641" spans="1:16">
      <c r="A4641" s="1" t="s">
        <v>4508</v>
      </c>
      <c r="B4641" s="1" t="s">
        <v>4539</v>
      </c>
      <c r="C4641" s="1" t="s">
        <v>5591</v>
      </c>
      <c r="D4641" s="1" t="s">
        <v>1683</v>
      </c>
      <c r="E4641" s="1" t="s">
        <v>4513</v>
      </c>
      <c r="F4641">
        <v>5234.5671782881855</v>
      </c>
      <c r="G4641">
        <v>22706.676718280203</v>
      </c>
      <c r="H4641">
        <v>8720</v>
      </c>
      <c r="I4641">
        <v>414</v>
      </c>
      <c r="J4641">
        <v>54733</v>
      </c>
      <c r="K4641">
        <v>11068</v>
      </c>
      <c r="L4641">
        <v>18.49033177414843</v>
      </c>
      <c r="M4641">
        <v>1016.9911884012375</v>
      </c>
      <c r="N4641">
        <v>3210.9150318151187</v>
      </c>
      <c r="O4641">
        <v>4.755307128202789</v>
      </c>
      <c r="P4641">
        <v>5.1476346150541961</v>
      </c>
    </row>
    <row r="4642" spans="1:16">
      <c r="A4642" s="1" t="s">
        <v>4508</v>
      </c>
      <c r="B4642" s="1" t="s">
        <v>4540</v>
      </c>
      <c r="C4642" s="1" t="s">
        <v>5591</v>
      </c>
      <c r="D4642" s="1" t="s">
        <v>1683</v>
      </c>
      <c r="E4642" s="1" t="s">
        <v>4513</v>
      </c>
      <c r="F4642">
        <v>3452.193093792021</v>
      </c>
      <c r="G4642">
        <v>28324.966205590361</v>
      </c>
      <c r="H4642">
        <v>16554</v>
      </c>
      <c r="I4642">
        <v>539</v>
      </c>
      <c r="J4642">
        <v>54091</v>
      </c>
      <c r="K4642">
        <v>13055</v>
      </c>
      <c r="L4642">
        <v>28.955102753317</v>
      </c>
      <c r="M4642">
        <v>1935.4569467544734</v>
      </c>
      <c r="N4642">
        <v>2341.8145250029324</v>
      </c>
      <c r="O4642">
        <v>17.587313271185238</v>
      </c>
      <c r="P4642">
        <v>11.308913206033697</v>
      </c>
    </row>
    <row r="4643" spans="1:16">
      <c r="A4643" s="1" t="s">
        <v>4508</v>
      </c>
      <c r="B4643" s="1" t="s">
        <v>4541</v>
      </c>
      <c r="C4643" s="1" t="s">
        <v>5591</v>
      </c>
      <c r="D4643" s="1" t="s">
        <v>1683</v>
      </c>
      <c r="E4643" s="1" t="s">
        <v>4513</v>
      </c>
      <c r="F4643">
        <v>3214.5912176489251</v>
      </c>
      <c r="G4643">
        <v>23796.372842307734</v>
      </c>
      <c r="H4643">
        <v>13933</v>
      </c>
      <c r="I4643">
        <v>580</v>
      </c>
      <c r="J4643">
        <v>49398</v>
      </c>
      <c r="K4643">
        <v>11144</v>
      </c>
      <c r="L4643">
        <v>25.326537706972317</v>
      </c>
      <c r="M4643">
        <v>1881.4739958420544</v>
      </c>
      <c r="N4643">
        <v>1584.4993677340262</v>
      </c>
      <c r="O4643">
        <v>20.190866061857271</v>
      </c>
      <c r="P4643">
        <v>22.473102219749368</v>
      </c>
    </row>
    <row r="4644" spans="1:16">
      <c r="A4644" s="1" t="s">
        <v>4508</v>
      </c>
      <c r="B4644" s="1" t="s">
        <v>4542</v>
      </c>
      <c r="C4644" s="1" t="s">
        <v>5591</v>
      </c>
      <c r="D4644" s="1" t="s">
        <v>1683</v>
      </c>
      <c r="E4644" s="1" t="s">
        <v>4513</v>
      </c>
      <c r="F4644">
        <v>2964.6151352419806</v>
      </c>
      <c r="G4644">
        <v>23245.084515792885</v>
      </c>
      <c r="H4644">
        <v>11143</v>
      </c>
      <c r="I4644">
        <v>436</v>
      </c>
      <c r="J4644">
        <v>46369</v>
      </c>
      <c r="K4644">
        <v>10581</v>
      </c>
      <c r="L4644">
        <v>24.331747237681892</v>
      </c>
      <c r="M4644">
        <v>1407.8824762235979</v>
      </c>
      <c r="N4644">
        <v>1539.5995752496592</v>
      </c>
      <c r="O4644">
        <v>20.471002973584064</v>
      </c>
      <c r="P4644">
        <v>10.019146839057109</v>
      </c>
    </row>
    <row r="4645" spans="1:16">
      <c r="A4645" s="1" t="s">
        <v>4508</v>
      </c>
      <c r="B4645" s="1" t="s">
        <v>4543</v>
      </c>
      <c r="C4645" s="1" t="s">
        <v>5591</v>
      </c>
      <c r="D4645" s="1" t="s">
        <v>1683</v>
      </c>
      <c r="E4645" s="1" t="s">
        <v>4513</v>
      </c>
      <c r="F4645">
        <v>4954.6464247160447</v>
      </c>
      <c r="G4645">
        <v>30611.495549349005</v>
      </c>
      <c r="H4645">
        <v>14716</v>
      </c>
      <c r="I4645">
        <v>599</v>
      </c>
      <c r="J4645">
        <v>40516</v>
      </c>
      <c r="K4645">
        <v>10363</v>
      </c>
      <c r="L4645">
        <v>28.816952900425903</v>
      </c>
      <c r="M4645">
        <v>1811.0320786396253</v>
      </c>
      <c r="N4645">
        <v>2623.4899572102927</v>
      </c>
      <c r="O4645">
        <v>20.408014823379698</v>
      </c>
      <c r="P4645">
        <v>14.81486276607434</v>
      </c>
    </row>
    <row r="4646" spans="1:16">
      <c r="A4646" s="1" t="s">
        <v>4508</v>
      </c>
      <c r="B4646" s="1" t="s">
        <v>4544</v>
      </c>
      <c r="C4646" s="1" t="s">
        <v>5591</v>
      </c>
      <c r="D4646" s="1" t="s">
        <v>1683</v>
      </c>
      <c r="E4646" s="1" t="s">
        <v>4513</v>
      </c>
      <c r="F4646">
        <v>5050.1838062274737</v>
      </c>
      <c r="G4646">
        <v>27922.839508171506</v>
      </c>
      <c r="H4646">
        <v>12097</v>
      </c>
      <c r="I4646">
        <v>1108</v>
      </c>
      <c r="J4646">
        <v>30428</v>
      </c>
      <c r="K4646">
        <v>8815</v>
      </c>
      <c r="L4646">
        <v>28.114910957665664</v>
      </c>
      <c r="M4646">
        <v>1365.2641419601853</v>
      </c>
      <c r="N4646">
        <v>2547.0105359572713</v>
      </c>
      <c r="O4646">
        <v>13.545492933552607</v>
      </c>
      <c r="P4646">
        <v>5.964482842446043</v>
      </c>
    </row>
    <row r="4647" spans="1:16">
      <c r="A4647" s="1" t="s">
        <v>4508</v>
      </c>
      <c r="B4647" s="1" t="s">
        <v>4545</v>
      </c>
      <c r="C4647" s="1" t="s">
        <v>5591</v>
      </c>
      <c r="D4647" s="1" t="s">
        <v>1683</v>
      </c>
      <c r="E4647" s="1" t="s">
        <v>4513</v>
      </c>
      <c r="F4647">
        <v>6229.5014013397849</v>
      </c>
      <c r="G4647">
        <v>26502.854158460304</v>
      </c>
      <c r="H4647">
        <v>10900</v>
      </c>
      <c r="I4647">
        <v>932</v>
      </c>
      <c r="J4647">
        <v>18197</v>
      </c>
      <c r="K4647">
        <v>6183</v>
      </c>
      <c r="L4647">
        <v>25.175151223568353</v>
      </c>
      <c r="M4647">
        <v>1421.7015949892836</v>
      </c>
      <c r="N4647">
        <v>925.81093598791801</v>
      </c>
      <c r="O4647">
        <v>16.982263730220296</v>
      </c>
      <c r="P4647">
        <v>5.8583025307691239</v>
      </c>
    </row>
    <row r="4648" spans="1:16">
      <c r="A4648" s="1" t="s">
        <v>4508</v>
      </c>
      <c r="B4648" s="1" t="s">
        <v>4546</v>
      </c>
      <c r="C4648" s="1" t="s">
        <v>5591</v>
      </c>
      <c r="D4648" s="1" t="s">
        <v>1683</v>
      </c>
      <c r="E4648" s="1" t="s">
        <v>4513</v>
      </c>
      <c r="F4648">
        <v>6989.1499550993221</v>
      </c>
      <c r="G4648">
        <v>26810.694222859976</v>
      </c>
      <c r="H4648">
        <v>14554</v>
      </c>
      <c r="I4648">
        <v>1097</v>
      </c>
      <c r="J4648">
        <v>18113</v>
      </c>
      <c r="K4648">
        <v>6727</v>
      </c>
      <c r="L4648">
        <v>25.9376901797662</v>
      </c>
      <c r="M4648">
        <v>1818.6392802739786</v>
      </c>
      <c r="N4648">
        <v>918.23941935172024</v>
      </c>
      <c r="O4648">
        <v>15.362663468854819</v>
      </c>
      <c r="P4648">
        <v>14.187011722938344</v>
      </c>
    </row>
    <row r="4649" spans="1:16">
      <c r="A4649" s="1" t="s">
        <v>4508</v>
      </c>
      <c r="B4649" s="1" t="s">
        <v>4547</v>
      </c>
      <c r="C4649" s="1" t="s">
        <v>5591</v>
      </c>
      <c r="D4649" s="1" t="s">
        <v>1683</v>
      </c>
      <c r="E4649" s="1" t="s">
        <v>4513</v>
      </c>
      <c r="F4649">
        <v>9672.8882605738236</v>
      </c>
      <c r="G4649">
        <v>31271.930926645447</v>
      </c>
      <c r="H4649">
        <v>16344</v>
      </c>
      <c r="I4649">
        <v>1157</v>
      </c>
      <c r="J4649">
        <v>2411</v>
      </c>
      <c r="K4649">
        <v>6026</v>
      </c>
      <c r="L4649">
        <v>29.333000616314497</v>
      </c>
      <c r="M4649">
        <v>1900.0697010144738</v>
      </c>
      <c r="N4649">
        <v>987.08520404303761</v>
      </c>
      <c r="O4649">
        <v>19.784673109596987</v>
      </c>
      <c r="P4649">
        <v>15.26004441815185</v>
      </c>
    </row>
    <row r="4650" spans="1:16">
      <c r="A4650" s="1" t="s">
        <v>4508</v>
      </c>
      <c r="B4650" s="1" t="s">
        <v>4548</v>
      </c>
      <c r="C4650" s="1" t="s">
        <v>5591</v>
      </c>
      <c r="D4650" s="1" t="s">
        <v>1683</v>
      </c>
      <c r="E4650" s="1" t="s">
        <v>4513</v>
      </c>
      <c r="F4650">
        <v>7641.7235964122428</v>
      </c>
      <c r="G4650">
        <v>54852.569183714659</v>
      </c>
      <c r="H4650">
        <v>9923</v>
      </c>
      <c r="I4650">
        <v>576</v>
      </c>
      <c r="J4650">
        <v>126446</v>
      </c>
      <c r="K4650">
        <v>21807</v>
      </c>
      <c r="L4650">
        <v>59.971176215185849</v>
      </c>
      <c r="M4650">
        <v>1775.6609834738856</v>
      </c>
      <c r="N4650">
        <v>5164.081400555594</v>
      </c>
      <c r="O4650">
        <v>20.838275680717771</v>
      </c>
      <c r="P4650">
        <v>8.6791619760942371</v>
      </c>
    </row>
    <row r="4651" spans="1:16">
      <c r="A4651" s="1" t="s">
        <v>4508</v>
      </c>
      <c r="B4651" s="1" t="s">
        <v>4549</v>
      </c>
      <c r="C4651" s="1" t="s">
        <v>5591</v>
      </c>
      <c r="D4651" s="1" t="s">
        <v>1683</v>
      </c>
      <c r="E4651" s="1" t="s">
        <v>4513</v>
      </c>
      <c r="F4651">
        <v>12693.637969020352</v>
      </c>
      <c r="G4651">
        <v>70972.156519570315</v>
      </c>
      <c r="H4651">
        <v>18386</v>
      </c>
      <c r="I4651">
        <v>927</v>
      </c>
      <c r="J4651">
        <v>122358</v>
      </c>
      <c r="K4651">
        <v>21110</v>
      </c>
      <c r="L4651">
        <v>81.870833327861732</v>
      </c>
      <c r="M4651">
        <v>2218.8279520092478</v>
      </c>
      <c r="N4651">
        <v>2634.8331784859715</v>
      </c>
      <c r="O4651">
        <v>45.977233535457742</v>
      </c>
      <c r="P4651">
        <v>5.2208740276036734</v>
      </c>
    </row>
    <row r="4652" spans="1:16">
      <c r="A4652" s="1" t="s">
        <v>4508</v>
      </c>
      <c r="B4652" s="1" t="s">
        <v>4550</v>
      </c>
      <c r="C4652" s="1" t="s">
        <v>5591</v>
      </c>
      <c r="D4652" s="1" t="s">
        <v>1683</v>
      </c>
      <c r="E4652" s="1" t="s">
        <v>4513</v>
      </c>
      <c r="F4652">
        <v>5361.3015240263749</v>
      </c>
      <c r="G4652">
        <v>38403.325210679344</v>
      </c>
      <c r="H4652">
        <v>17520</v>
      </c>
      <c r="I4652">
        <v>714</v>
      </c>
      <c r="J4652">
        <v>59988</v>
      </c>
      <c r="K4652">
        <v>14036</v>
      </c>
      <c r="L4652">
        <v>35.74014199943619</v>
      </c>
      <c r="M4652">
        <v>1711.8893245631086</v>
      </c>
      <c r="N4652">
        <v>2952.4720909916564</v>
      </c>
      <c r="O4652">
        <v>23.042139543663676</v>
      </c>
      <c r="P4652">
        <v>9.3794673460468978</v>
      </c>
    </row>
    <row r="4653" spans="1:16">
      <c r="A4653" s="1" t="s">
        <v>4508</v>
      </c>
      <c r="B4653" s="1" t="s">
        <v>4551</v>
      </c>
      <c r="C4653" s="1" t="s">
        <v>5591</v>
      </c>
      <c r="D4653" s="1" t="s">
        <v>1683</v>
      </c>
      <c r="E4653" s="1" t="s">
        <v>4513</v>
      </c>
      <c r="F4653">
        <v>2760.4741363440435</v>
      </c>
      <c r="G4653">
        <v>17398.380688382567</v>
      </c>
      <c r="H4653">
        <v>15217</v>
      </c>
      <c r="I4653">
        <v>591</v>
      </c>
      <c r="J4653">
        <v>39396</v>
      </c>
      <c r="K4653">
        <v>9605</v>
      </c>
      <c r="L4653">
        <v>19.728721940088484</v>
      </c>
      <c r="M4653">
        <v>1884.9399475111159</v>
      </c>
      <c r="N4653">
        <v>1344.5314222358083</v>
      </c>
      <c r="O4653">
        <v>16.217654132435129</v>
      </c>
      <c r="P4653">
        <v>31.274627447037883</v>
      </c>
    </row>
    <row r="4654" spans="1:16">
      <c r="A4654" s="1" t="s">
        <v>4508</v>
      </c>
      <c r="B4654" s="1" t="s">
        <v>4552</v>
      </c>
      <c r="C4654" s="1" t="s">
        <v>5591</v>
      </c>
      <c r="D4654" s="1" t="s">
        <v>1683</v>
      </c>
      <c r="E4654" s="1" t="s">
        <v>4513</v>
      </c>
      <c r="F4654">
        <v>3294.9005907443011</v>
      </c>
      <c r="G4654">
        <v>15481.560609874283</v>
      </c>
      <c r="H4654">
        <v>20973</v>
      </c>
      <c r="I4654">
        <v>603</v>
      </c>
      <c r="J4654">
        <v>20463</v>
      </c>
      <c r="K4654">
        <v>8401</v>
      </c>
      <c r="L4654">
        <v>14.941817917834479</v>
      </c>
      <c r="M4654">
        <v>1539.1681096339632</v>
      </c>
      <c r="N4654">
        <v>1838.4142255442509</v>
      </c>
      <c r="O4654">
        <v>11.907463762897544</v>
      </c>
      <c r="P4654">
        <v>30.323281275720703</v>
      </c>
    </row>
    <row r="4655" spans="1:16">
      <c r="A4655" s="1" t="s">
        <v>4508</v>
      </c>
      <c r="B4655" s="1" t="s">
        <v>4553</v>
      </c>
      <c r="C4655" s="1" t="s">
        <v>5591</v>
      </c>
      <c r="D4655" s="1" t="s">
        <v>1683</v>
      </c>
      <c r="E4655" s="1" t="s">
        <v>4513</v>
      </c>
      <c r="F4655">
        <v>10646.617999138114</v>
      </c>
      <c r="G4655">
        <v>34530.768894706314</v>
      </c>
      <c r="H4655">
        <v>18425</v>
      </c>
      <c r="I4655">
        <v>1275</v>
      </c>
      <c r="J4655">
        <v>4085</v>
      </c>
      <c r="K4655">
        <v>6662</v>
      </c>
      <c r="L4655">
        <v>32.124697801508454</v>
      </c>
      <c r="M4655">
        <v>2171.5551299315421</v>
      </c>
      <c r="N4655">
        <v>1040.9099230637164</v>
      </c>
      <c r="O4655">
        <v>24.183252341007091</v>
      </c>
      <c r="P4655">
        <v>13.432118359137347</v>
      </c>
    </row>
    <row r="4656" spans="1:16">
      <c r="A4656" s="1" t="s">
        <v>4508</v>
      </c>
      <c r="B4656" s="1" t="s">
        <v>4554</v>
      </c>
      <c r="C4656" s="1" t="s">
        <v>5591</v>
      </c>
      <c r="D4656" s="1" t="s">
        <v>1683</v>
      </c>
      <c r="E4656" s="1" t="s">
        <v>4513</v>
      </c>
      <c r="F4656">
        <v>8610.6226239277621</v>
      </c>
      <c r="G4656">
        <v>26755.615554298416</v>
      </c>
      <c r="H4656">
        <v>14645</v>
      </c>
      <c r="I4656">
        <v>1095</v>
      </c>
      <c r="J4656">
        <v>2959</v>
      </c>
      <c r="K4656">
        <v>5365</v>
      </c>
      <c r="L4656">
        <v>24.99390203185445</v>
      </c>
      <c r="M4656">
        <v>1722.7812246784654</v>
      </c>
      <c r="N4656">
        <v>762.93465982198165</v>
      </c>
      <c r="O4656">
        <v>17.366540682335597</v>
      </c>
      <c r="P4656">
        <v>14.342105681021025</v>
      </c>
    </row>
    <row r="4657" spans="1:16">
      <c r="A4657" s="1" t="s">
        <v>4508</v>
      </c>
      <c r="B4657" s="1" t="s">
        <v>4555</v>
      </c>
      <c r="C4657" s="1" t="s">
        <v>5591</v>
      </c>
      <c r="D4657" s="1" t="s">
        <v>1683</v>
      </c>
      <c r="E4657" s="1" t="s">
        <v>4513</v>
      </c>
      <c r="F4657">
        <v>6758.2163476610476</v>
      </c>
      <c r="G4657">
        <v>22529.502039070787</v>
      </c>
      <c r="H4657">
        <v>16942</v>
      </c>
      <c r="I4657">
        <v>1105</v>
      </c>
      <c r="J4657">
        <v>2924</v>
      </c>
      <c r="K4657">
        <v>6091</v>
      </c>
      <c r="L4657">
        <v>22.341647502223164</v>
      </c>
      <c r="M4657">
        <v>1761.986382654967</v>
      </c>
      <c r="N4657">
        <v>743.43585187918939</v>
      </c>
      <c r="O4657">
        <v>10.244659408326484</v>
      </c>
      <c r="P4657">
        <v>24.242223564391246</v>
      </c>
    </row>
    <row r="4658" spans="1:16">
      <c r="A4658" s="1" t="s">
        <v>4508</v>
      </c>
      <c r="B4658" s="1" t="s">
        <v>4556</v>
      </c>
      <c r="C4658" s="1" t="s">
        <v>5591</v>
      </c>
      <c r="D4658" s="1" t="s">
        <v>1683</v>
      </c>
      <c r="E4658" s="1" t="s">
        <v>4513</v>
      </c>
      <c r="F4658">
        <v>3797.4919471908015</v>
      </c>
      <c r="G4658">
        <v>31314.081095148464</v>
      </c>
      <c r="H4658">
        <v>17352</v>
      </c>
      <c r="I4658">
        <v>670</v>
      </c>
      <c r="J4658">
        <v>67059</v>
      </c>
      <c r="K4658">
        <v>16531</v>
      </c>
      <c r="L4658">
        <v>31.625849393708648</v>
      </c>
      <c r="M4658">
        <v>1876.8367069296678</v>
      </c>
      <c r="N4658">
        <v>3212.9872671812518</v>
      </c>
      <c r="O4658">
        <v>17.439495210681173</v>
      </c>
      <c r="P4658">
        <v>11.544016073051301</v>
      </c>
    </row>
    <row r="4659" spans="1:16">
      <c r="A4659" s="1" t="s">
        <v>4508</v>
      </c>
      <c r="B4659" s="1" t="s">
        <v>4557</v>
      </c>
      <c r="C4659" s="1" t="s">
        <v>5591</v>
      </c>
      <c r="D4659" s="1" t="s">
        <v>1683</v>
      </c>
      <c r="E4659" s="1" t="s">
        <v>4513</v>
      </c>
      <c r="F4659">
        <v>4812.8991441687504</v>
      </c>
      <c r="G4659">
        <v>31988.777874827203</v>
      </c>
      <c r="H4659">
        <v>15494</v>
      </c>
      <c r="I4659">
        <v>588</v>
      </c>
      <c r="J4659">
        <v>61030</v>
      </c>
      <c r="K4659">
        <v>14307</v>
      </c>
      <c r="L4659">
        <v>31.391587958219798</v>
      </c>
      <c r="M4659">
        <v>1836.5979986308062</v>
      </c>
      <c r="N4659">
        <v>2891.8866212478724</v>
      </c>
      <c r="O4659">
        <v>12.602446732866275</v>
      </c>
      <c r="P4659">
        <v>9.2525231445848313</v>
      </c>
    </row>
    <row r="4660" spans="1:16">
      <c r="A4660" s="1" t="s">
        <v>4508</v>
      </c>
      <c r="B4660" s="1" t="s">
        <v>4558</v>
      </c>
      <c r="C4660" s="1" t="s">
        <v>5591</v>
      </c>
      <c r="D4660" s="1" t="s">
        <v>1683</v>
      </c>
      <c r="E4660" s="1" t="s">
        <v>4513</v>
      </c>
      <c r="F4660">
        <v>4339.3501566149071</v>
      </c>
      <c r="G4660">
        <v>29489.084307939222</v>
      </c>
      <c r="H4660">
        <v>18939</v>
      </c>
      <c r="I4660">
        <v>629</v>
      </c>
      <c r="J4660">
        <v>50349</v>
      </c>
      <c r="K4660">
        <v>13226</v>
      </c>
      <c r="L4660">
        <v>29.464222438411721</v>
      </c>
      <c r="M4660">
        <v>1964.5323201783749</v>
      </c>
      <c r="N4660">
        <v>2598.7246388452031</v>
      </c>
      <c r="O4660">
        <v>23.566147025731471</v>
      </c>
      <c r="P4660">
        <v>20.048354766691233</v>
      </c>
    </row>
    <row r="4661" spans="1:16">
      <c r="A4661" s="1" t="s">
        <v>4508</v>
      </c>
      <c r="B4661" s="1" t="s">
        <v>4559</v>
      </c>
      <c r="C4661" s="1" t="s">
        <v>5591</v>
      </c>
      <c r="D4661" s="1" t="s">
        <v>1683</v>
      </c>
      <c r="E4661" s="1" t="s">
        <v>4513</v>
      </c>
      <c r="F4661">
        <v>5346.4948652161402</v>
      </c>
      <c r="G4661">
        <v>33684.811955158162</v>
      </c>
      <c r="H4661">
        <v>21533</v>
      </c>
      <c r="I4661">
        <v>854</v>
      </c>
      <c r="J4661">
        <v>48299</v>
      </c>
      <c r="K4661">
        <v>13763</v>
      </c>
      <c r="L4661">
        <v>28.518265575158321</v>
      </c>
      <c r="M4661">
        <v>1661.0971202480505</v>
      </c>
      <c r="N4661">
        <v>3089.2767594509201</v>
      </c>
      <c r="O4661">
        <v>15.827496952752591</v>
      </c>
      <c r="P4661">
        <v>9.2105289740537053</v>
      </c>
    </row>
    <row r="4662" spans="1:16">
      <c r="A4662" s="1" t="s">
        <v>4508</v>
      </c>
      <c r="B4662" s="1" t="s">
        <v>4560</v>
      </c>
      <c r="C4662" s="1" t="s">
        <v>5591</v>
      </c>
      <c r="D4662" s="1" t="s">
        <v>1683</v>
      </c>
      <c r="E4662" s="1" t="s">
        <v>4513</v>
      </c>
      <c r="F4662">
        <v>3542.5990020432487</v>
      </c>
      <c r="G4662">
        <v>23474.696301664611</v>
      </c>
      <c r="H4662">
        <v>16368</v>
      </c>
      <c r="I4662">
        <v>600</v>
      </c>
      <c r="J4662">
        <v>48284</v>
      </c>
      <c r="K4662">
        <v>11915</v>
      </c>
      <c r="L4662">
        <v>20.624730890621969</v>
      </c>
      <c r="M4662">
        <v>1686.5366323357289</v>
      </c>
      <c r="N4662">
        <v>3868.1942787170346</v>
      </c>
      <c r="O4662">
        <v>13.251957568219433</v>
      </c>
      <c r="P4662">
        <v>13.501373012058879</v>
      </c>
    </row>
    <row r="4663" spans="1:16">
      <c r="A4663" s="1" t="s">
        <v>4508</v>
      </c>
      <c r="B4663" s="1" t="s">
        <v>4561</v>
      </c>
      <c r="C4663" s="1" t="s">
        <v>5591</v>
      </c>
      <c r="D4663" s="1" t="s">
        <v>1683</v>
      </c>
      <c r="E4663" s="1" t="s">
        <v>4513</v>
      </c>
      <c r="F4663">
        <v>4798.6495891608874</v>
      </c>
      <c r="G4663">
        <v>28767.793248572987</v>
      </c>
      <c r="H4663">
        <v>17193</v>
      </c>
      <c r="I4663">
        <v>655</v>
      </c>
      <c r="J4663">
        <v>36746</v>
      </c>
      <c r="K4663">
        <v>10279</v>
      </c>
      <c r="L4663">
        <v>25.417130484766879</v>
      </c>
      <c r="M4663">
        <v>1896.2660350197521</v>
      </c>
      <c r="N4663">
        <v>2603.3743949386699</v>
      </c>
      <c r="O4663">
        <v>11.374644758822699</v>
      </c>
      <c r="P4663">
        <v>18.378466882241781</v>
      </c>
    </row>
    <row r="4664" spans="1:16">
      <c r="A4664" s="1" t="s">
        <v>4508</v>
      </c>
      <c r="B4664" s="1" t="s">
        <v>4562</v>
      </c>
      <c r="C4664" s="1" t="s">
        <v>5591</v>
      </c>
      <c r="D4664" s="1" t="s">
        <v>1683</v>
      </c>
      <c r="E4664" s="1" t="s">
        <v>4513</v>
      </c>
      <c r="F4664">
        <v>2825.7806686583986</v>
      </c>
      <c r="G4664">
        <v>15299.562578097408</v>
      </c>
      <c r="H4664">
        <v>17747</v>
      </c>
      <c r="I4664">
        <v>646</v>
      </c>
      <c r="J4664">
        <v>34334</v>
      </c>
      <c r="K4664">
        <v>9317</v>
      </c>
      <c r="L4664">
        <v>17.327123903584276</v>
      </c>
      <c r="M4664">
        <v>2095.9322674307664</v>
      </c>
      <c r="N4664">
        <v>1367.8063472972656</v>
      </c>
      <c r="O4664">
        <v>11.156962982574774</v>
      </c>
      <c r="P4664">
        <v>40.752692216724988</v>
      </c>
    </row>
    <row r="4665" spans="1:16">
      <c r="A4665" s="1" t="s">
        <v>4508</v>
      </c>
      <c r="B4665" s="1" t="s">
        <v>4563</v>
      </c>
      <c r="C4665" s="1" t="s">
        <v>5591</v>
      </c>
      <c r="D4665" s="1" t="s">
        <v>1683</v>
      </c>
      <c r="E4665" s="1" t="s">
        <v>4513</v>
      </c>
      <c r="F4665">
        <v>5183.1840690425515</v>
      </c>
      <c r="G4665">
        <v>27155.056329773917</v>
      </c>
      <c r="H4665">
        <v>24310</v>
      </c>
      <c r="I4665">
        <v>720</v>
      </c>
      <c r="J4665">
        <v>30308</v>
      </c>
      <c r="K4665">
        <v>10969</v>
      </c>
      <c r="L4665">
        <v>24.623054818295664</v>
      </c>
      <c r="M4665">
        <v>1836.2926266705583</v>
      </c>
      <c r="N4665">
        <v>3693.6476663621784</v>
      </c>
      <c r="O4665">
        <v>10.832083006715106</v>
      </c>
      <c r="P4665">
        <v>15.636265723732336</v>
      </c>
    </row>
    <row r="4666" spans="1:16">
      <c r="A4666" s="1" t="s">
        <v>4508</v>
      </c>
      <c r="B4666" s="1" t="s">
        <v>4564</v>
      </c>
      <c r="C4666" s="1" t="s">
        <v>5591</v>
      </c>
      <c r="D4666" s="1" t="s">
        <v>1683</v>
      </c>
      <c r="E4666" s="1" t="s">
        <v>4513</v>
      </c>
      <c r="F4666">
        <v>5620.8172667397748</v>
      </c>
      <c r="G4666">
        <v>30242.546033722079</v>
      </c>
      <c r="H4666">
        <v>19617</v>
      </c>
      <c r="I4666">
        <v>1513</v>
      </c>
      <c r="J4666">
        <v>29750</v>
      </c>
      <c r="K4666">
        <v>11060</v>
      </c>
      <c r="L4666">
        <v>32.496995694412924</v>
      </c>
      <c r="M4666">
        <v>2319.6356541636919</v>
      </c>
      <c r="N4666">
        <v>1839.4710217668892</v>
      </c>
      <c r="O4666">
        <v>21.102264609213229</v>
      </c>
      <c r="P4666">
        <v>15.506493389662323</v>
      </c>
    </row>
    <row r="4667" spans="1:16">
      <c r="A4667" s="1" t="s">
        <v>4508</v>
      </c>
      <c r="B4667" s="1" t="s">
        <v>4565</v>
      </c>
      <c r="C4667" s="1" t="s">
        <v>5591</v>
      </c>
      <c r="D4667" s="1" t="s">
        <v>1683</v>
      </c>
      <c r="E4667" s="1" t="s">
        <v>4513</v>
      </c>
      <c r="F4667">
        <v>6892.1940942939809</v>
      </c>
      <c r="G4667">
        <v>24807.743052384063</v>
      </c>
      <c r="H4667">
        <v>17495</v>
      </c>
      <c r="I4667">
        <v>629</v>
      </c>
      <c r="J4667">
        <v>23645</v>
      </c>
      <c r="K4667">
        <v>7904</v>
      </c>
      <c r="L4667">
        <v>23.227694476703299</v>
      </c>
      <c r="M4667">
        <v>1915.3174253186937</v>
      </c>
      <c r="N4667">
        <v>2037.5199833924087</v>
      </c>
      <c r="O4667">
        <v>17.331635478071281</v>
      </c>
      <c r="P4667">
        <v>31.295568589244965</v>
      </c>
    </row>
    <row r="4668" spans="1:16">
      <c r="A4668" s="1" t="s">
        <v>4508</v>
      </c>
      <c r="B4668" s="1" t="s">
        <v>4566</v>
      </c>
      <c r="C4668" s="1" t="s">
        <v>5591</v>
      </c>
      <c r="D4668" s="1" t="s">
        <v>1683</v>
      </c>
      <c r="E4668" s="1" t="s">
        <v>4513</v>
      </c>
      <c r="F4668">
        <v>8283.4281462684103</v>
      </c>
      <c r="G4668">
        <v>26801.667732736969</v>
      </c>
      <c r="H4668">
        <v>15012</v>
      </c>
      <c r="I4668">
        <v>1136</v>
      </c>
      <c r="J4668">
        <v>14651</v>
      </c>
      <c r="K4668">
        <v>6976</v>
      </c>
      <c r="L4668">
        <v>38.073408297294137</v>
      </c>
      <c r="M4668">
        <v>2197.6360122075871</v>
      </c>
      <c r="N4668">
        <v>1502.8867972101386</v>
      </c>
      <c r="O4668">
        <v>11.66551002569674</v>
      </c>
      <c r="P4668">
        <v>25.679602211078784</v>
      </c>
    </row>
    <row r="4669" spans="1:16">
      <c r="A4669" s="1" t="s">
        <v>4508</v>
      </c>
      <c r="B4669" s="1" t="s">
        <v>4567</v>
      </c>
      <c r="C4669" s="1" t="s">
        <v>5591</v>
      </c>
      <c r="D4669" s="1" t="s">
        <v>1683</v>
      </c>
      <c r="E4669" s="1" t="s">
        <v>4513</v>
      </c>
      <c r="F4669">
        <v>7208.1967989325531</v>
      </c>
      <c r="G4669">
        <v>17275.471355982081</v>
      </c>
      <c r="H4669">
        <v>17336</v>
      </c>
      <c r="I4669">
        <v>1124</v>
      </c>
      <c r="J4669">
        <v>479</v>
      </c>
      <c r="K4669">
        <v>6118</v>
      </c>
      <c r="L4669">
        <v>17.99866031298545</v>
      </c>
      <c r="M4669">
        <v>1590.0200731033656</v>
      </c>
      <c r="N4669">
        <v>631.07677914006513</v>
      </c>
      <c r="O4669">
        <v>4.3598026397281568</v>
      </c>
      <c r="P4669">
        <v>37.132392523119599</v>
      </c>
    </row>
    <row r="4670" spans="1:16">
      <c r="A4670" s="1" t="s">
        <v>4508</v>
      </c>
      <c r="B4670" s="1" t="s">
        <v>4568</v>
      </c>
      <c r="C4670" s="1" t="s">
        <v>5591</v>
      </c>
      <c r="D4670" s="1" t="s">
        <v>1683</v>
      </c>
      <c r="E4670" s="1" t="s">
        <v>4513</v>
      </c>
      <c r="F4670">
        <v>5047.1730213063993</v>
      </c>
      <c r="G4670">
        <v>16375.253475244413</v>
      </c>
      <c r="H4670">
        <v>9701</v>
      </c>
      <c r="I4670">
        <v>610</v>
      </c>
      <c r="J4670">
        <v>310</v>
      </c>
      <c r="K4670">
        <v>3444</v>
      </c>
      <c r="L4670">
        <v>15.208505098832322</v>
      </c>
      <c r="M4670">
        <v>1062.8446070543125</v>
      </c>
      <c r="N4670">
        <v>479.85147953357171</v>
      </c>
      <c r="O4670">
        <v>6.9318244108497096</v>
      </c>
      <c r="P4670">
        <v>16.715117018991538</v>
      </c>
    </row>
    <row r="4671" spans="1:16">
      <c r="A4671" s="1" t="s">
        <v>4508</v>
      </c>
      <c r="B4671" s="1" t="s">
        <v>4569</v>
      </c>
      <c r="C4671" s="1" t="s">
        <v>5591</v>
      </c>
      <c r="D4671" s="1" t="s">
        <v>1683</v>
      </c>
      <c r="E4671" s="1" t="s">
        <v>4513</v>
      </c>
      <c r="F4671">
        <v>1202.1122656755497</v>
      </c>
      <c r="G4671">
        <v>4456.0174084946266</v>
      </c>
      <c r="H4671">
        <v>10812</v>
      </c>
      <c r="I4671">
        <v>2810</v>
      </c>
      <c r="J4671">
        <v>186966</v>
      </c>
      <c r="K4671">
        <v>13130</v>
      </c>
      <c r="L4671">
        <v>77.544416575089087</v>
      </c>
      <c r="M4671">
        <v>1717.1239467149865</v>
      </c>
      <c r="N4671">
        <v>2697.8279266506543</v>
      </c>
      <c r="O4671">
        <v>39.098464895359726</v>
      </c>
      <c r="P4671">
        <v>4.7003090723905583</v>
      </c>
    </row>
    <row r="4672" spans="1:16">
      <c r="A4672" s="1" t="s">
        <v>4508</v>
      </c>
      <c r="B4672" s="1" t="s">
        <v>4570</v>
      </c>
      <c r="C4672" s="1" t="s">
        <v>5591</v>
      </c>
      <c r="D4672" s="1" t="s">
        <v>1683</v>
      </c>
      <c r="E4672" s="1" t="s">
        <v>4513</v>
      </c>
      <c r="F4672">
        <v>692.84472733581015</v>
      </c>
      <c r="G4672">
        <v>2962.000111925996</v>
      </c>
      <c r="H4672">
        <v>12007</v>
      </c>
      <c r="I4672">
        <v>3013</v>
      </c>
      <c r="J4672">
        <v>169864</v>
      </c>
      <c r="K4672">
        <v>8118</v>
      </c>
      <c r="L4672">
        <v>61.992563231539599</v>
      </c>
      <c r="M4672">
        <v>1757.0324132658618</v>
      </c>
      <c r="N4672">
        <v>3171.0154450866758</v>
      </c>
      <c r="O4672">
        <v>31.348692019901748</v>
      </c>
      <c r="P4672">
        <v>4.222951725122976</v>
      </c>
    </row>
    <row r="4673" spans="1:16">
      <c r="A4673" s="1" t="s">
        <v>4508</v>
      </c>
      <c r="B4673" s="1" t="s">
        <v>4571</v>
      </c>
      <c r="C4673" s="1" t="s">
        <v>5591</v>
      </c>
      <c r="D4673" s="1" t="s">
        <v>1683</v>
      </c>
      <c r="E4673" s="1" t="s">
        <v>4513</v>
      </c>
      <c r="F4673">
        <v>1321.5914730239836</v>
      </c>
      <c r="G4673">
        <v>6721.0912899129535</v>
      </c>
      <c r="H4673">
        <v>10788</v>
      </c>
      <c r="I4673">
        <v>2033</v>
      </c>
      <c r="J4673">
        <v>157524</v>
      </c>
      <c r="K4673">
        <v>6687</v>
      </c>
      <c r="L4673">
        <v>86.268624855156276</v>
      </c>
      <c r="M4673">
        <v>1395.0112656099063</v>
      </c>
      <c r="N4673">
        <v>2223.7238675807412</v>
      </c>
      <c r="O4673">
        <v>24.429975438219405</v>
      </c>
      <c r="P4673">
        <v>2.7532217061526065</v>
      </c>
    </row>
    <row r="4674" spans="1:16">
      <c r="A4674" s="1" t="s">
        <v>4508</v>
      </c>
      <c r="B4674" s="1" t="s">
        <v>4572</v>
      </c>
      <c r="C4674" s="1" t="s">
        <v>5591</v>
      </c>
      <c r="D4674" s="1" t="s">
        <v>1683</v>
      </c>
      <c r="E4674" s="1" t="s">
        <v>4513</v>
      </c>
      <c r="F4674">
        <v>496.72024347993545</v>
      </c>
      <c r="G4674">
        <v>4706.1533070701826</v>
      </c>
      <c r="H4674">
        <v>32743</v>
      </c>
      <c r="I4674">
        <v>4008</v>
      </c>
      <c r="J4674">
        <v>136080</v>
      </c>
      <c r="K4674">
        <v>17021</v>
      </c>
      <c r="L4674">
        <v>38.979075831707739</v>
      </c>
      <c r="M4674">
        <v>1515.6498515581475</v>
      </c>
      <c r="N4674">
        <v>3378.5887915036342</v>
      </c>
      <c r="O4674">
        <v>45.727531174956461</v>
      </c>
      <c r="P4674">
        <v>9.8446602478571279</v>
      </c>
    </row>
    <row r="4675" spans="1:16">
      <c r="A4675" s="1" t="s">
        <v>4508</v>
      </c>
      <c r="B4675" s="1" t="s">
        <v>4573</v>
      </c>
      <c r="C4675" s="1" t="s">
        <v>5591</v>
      </c>
      <c r="D4675" s="1" t="s">
        <v>1683</v>
      </c>
      <c r="E4675" s="1" t="s">
        <v>4513</v>
      </c>
      <c r="F4675">
        <v>485.61661643275676</v>
      </c>
      <c r="G4675">
        <v>3200.6015850131021</v>
      </c>
      <c r="H4675">
        <v>11810</v>
      </c>
      <c r="I4675">
        <v>1732</v>
      </c>
      <c r="J4675">
        <v>134206</v>
      </c>
      <c r="K4675">
        <v>11440</v>
      </c>
      <c r="L4675">
        <v>39.854236368630254</v>
      </c>
      <c r="M4675">
        <v>1359.8388965079171</v>
      </c>
      <c r="N4675">
        <v>2998.0958957135863</v>
      </c>
      <c r="O4675">
        <v>29.28740896175238</v>
      </c>
      <c r="P4675">
        <v>12.073827046638462</v>
      </c>
    </row>
    <row r="4676" spans="1:16">
      <c r="A4676" s="1" t="s">
        <v>4508</v>
      </c>
      <c r="B4676" s="1" t="s">
        <v>4574</v>
      </c>
      <c r="C4676" s="1" t="s">
        <v>5591</v>
      </c>
      <c r="D4676" s="1" t="s">
        <v>1683</v>
      </c>
      <c r="E4676" s="1" t="s">
        <v>4513</v>
      </c>
      <c r="F4676">
        <v>335.80076920107388</v>
      </c>
      <c r="G4676">
        <v>3063.8761879259309</v>
      </c>
      <c r="H4676">
        <v>23660</v>
      </c>
      <c r="I4676">
        <v>3130</v>
      </c>
      <c r="J4676">
        <v>120051</v>
      </c>
      <c r="K4676">
        <v>13728</v>
      </c>
      <c r="L4676">
        <v>33.131123798770815</v>
      </c>
      <c r="M4676">
        <v>1412.0582405793373</v>
      </c>
      <c r="N4676">
        <v>3059.4339686094945</v>
      </c>
      <c r="O4676">
        <v>36.759992642667619</v>
      </c>
      <c r="P4676">
        <v>8.1561843516712145</v>
      </c>
    </row>
    <row r="4677" spans="1:16">
      <c r="A4677" s="1" t="s">
        <v>4508</v>
      </c>
      <c r="B4677" s="1" t="s">
        <v>4575</v>
      </c>
      <c r="C4677" s="1" t="s">
        <v>5591</v>
      </c>
      <c r="D4677" s="1" t="s">
        <v>1683</v>
      </c>
      <c r="E4677" s="1" t="s">
        <v>4513</v>
      </c>
      <c r="F4677">
        <v>333.5972577355073</v>
      </c>
      <c r="G4677">
        <v>2987.3954272911601</v>
      </c>
      <c r="H4677">
        <v>19479</v>
      </c>
      <c r="I4677">
        <v>2926</v>
      </c>
      <c r="J4677">
        <v>117405</v>
      </c>
      <c r="K4677">
        <v>12824</v>
      </c>
      <c r="L4677">
        <v>29.60372999576656</v>
      </c>
      <c r="M4677">
        <v>1097.5233591979297</v>
      </c>
      <c r="N4677">
        <v>3227.2859055732738</v>
      </c>
      <c r="O4677">
        <v>30.613739181930615</v>
      </c>
      <c r="P4677">
        <v>7.5995405858971647</v>
      </c>
    </row>
    <row r="4678" spans="1:16">
      <c r="A4678" s="1" t="s">
        <v>4508</v>
      </c>
      <c r="B4678" s="1" t="s">
        <v>4576</v>
      </c>
      <c r="C4678" s="1" t="s">
        <v>5591</v>
      </c>
      <c r="D4678" s="1" t="s">
        <v>1683</v>
      </c>
      <c r="E4678" s="1" t="s">
        <v>4513</v>
      </c>
      <c r="F4678">
        <v>378.15002517726339</v>
      </c>
      <c r="G4678">
        <v>3226.3096421345317</v>
      </c>
      <c r="H4678">
        <v>21925</v>
      </c>
      <c r="I4678">
        <v>2937</v>
      </c>
      <c r="J4678">
        <v>117386</v>
      </c>
      <c r="K4678">
        <v>13152</v>
      </c>
      <c r="L4678">
        <v>31.060279673437147</v>
      </c>
      <c r="M4678">
        <v>1191.3377308356726</v>
      </c>
      <c r="N4678">
        <v>2902.2351518228816</v>
      </c>
      <c r="O4678">
        <v>36.830485497688393</v>
      </c>
      <c r="P4678">
        <v>7.0541045757889504</v>
      </c>
    </row>
    <row r="4679" spans="1:16">
      <c r="A4679" s="1" t="s">
        <v>4508</v>
      </c>
      <c r="B4679" s="1" t="s">
        <v>4577</v>
      </c>
      <c r="C4679" s="1" t="s">
        <v>5591</v>
      </c>
      <c r="D4679" s="1" t="s">
        <v>1683</v>
      </c>
      <c r="E4679" s="1" t="s">
        <v>4513</v>
      </c>
      <c r="F4679">
        <v>426.20951919415097</v>
      </c>
      <c r="G4679">
        <v>1421.7052922058272</v>
      </c>
      <c r="H4679">
        <v>15528</v>
      </c>
      <c r="I4679">
        <v>2704</v>
      </c>
      <c r="J4679">
        <v>105020</v>
      </c>
      <c r="K4679">
        <v>10178</v>
      </c>
      <c r="L4679">
        <v>31.413609465382525</v>
      </c>
      <c r="M4679">
        <v>1613.1864986622079</v>
      </c>
      <c r="N4679">
        <v>2117.6137309416126</v>
      </c>
      <c r="O4679">
        <v>42.890678274860164</v>
      </c>
      <c r="P4679">
        <v>7.3482723805617534</v>
      </c>
    </row>
    <row r="4680" spans="1:16">
      <c r="A4680" s="1" t="s">
        <v>4508</v>
      </c>
      <c r="B4680" s="1" t="s">
        <v>4578</v>
      </c>
      <c r="C4680" s="1" t="s">
        <v>5591</v>
      </c>
      <c r="D4680" s="1" t="s">
        <v>1683</v>
      </c>
      <c r="E4680" s="1" t="s">
        <v>4513</v>
      </c>
      <c r="F4680">
        <v>682.59398722245976</v>
      </c>
      <c r="G4680">
        <v>2718.8972730558912</v>
      </c>
      <c r="H4680">
        <v>43480</v>
      </c>
      <c r="I4680">
        <v>4475</v>
      </c>
      <c r="J4680">
        <v>99196</v>
      </c>
      <c r="K4680">
        <v>8159</v>
      </c>
      <c r="L4680">
        <v>57.508838499709135</v>
      </c>
      <c r="M4680">
        <v>2065.5422979149771</v>
      </c>
      <c r="N4680">
        <v>1675.1797785888991</v>
      </c>
      <c r="O4680">
        <v>32.691056121206657</v>
      </c>
      <c r="P4680">
        <v>1.8020099761456825</v>
      </c>
    </row>
    <row r="4681" spans="1:16">
      <c r="A4681" s="1" t="s">
        <v>4508</v>
      </c>
      <c r="B4681" s="1" t="s">
        <v>4579</v>
      </c>
      <c r="C4681" s="1" t="s">
        <v>5591</v>
      </c>
      <c r="D4681" s="1" t="s">
        <v>1683</v>
      </c>
      <c r="E4681" s="1" t="s">
        <v>4513</v>
      </c>
      <c r="F4681">
        <v>356.6947158821402</v>
      </c>
      <c r="G4681">
        <v>2047.4990610678226</v>
      </c>
      <c r="H4681">
        <v>10261</v>
      </c>
      <c r="I4681">
        <v>1855</v>
      </c>
      <c r="J4681">
        <v>92988</v>
      </c>
      <c r="K4681">
        <v>7762</v>
      </c>
      <c r="L4681">
        <v>28.219934595910509</v>
      </c>
      <c r="M4681">
        <v>1332.8196296973761</v>
      </c>
      <c r="N4681">
        <v>1761.7844886069215</v>
      </c>
      <c r="O4681">
        <v>23.060984101312371</v>
      </c>
      <c r="P4681">
        <v>12.374355888673218</v>
      </c>
    </row>
    <row r="4682" spans="1:16">
      <c r="A4682" s="1" t="s">
        <v>4508</v>
      </c>
      <c r="B4682" s="1" t="s">
        <v>4580</v>
      </c>
      <c r="C4682" s="1" t="s">
        <v>5591</v>
      </c>
      <c r="D4682" s="1" t="s">
        <v>1683</v>
      </c>
      <c r="E4682" s="1" t="s">
        <v>4513</v>
      </c>
      <c r="F4682">
        <v>506.63491508680698</v>
      </c>
      <c r="G4682">
        <v>1589.1841112230845</v>
      </c>
      <c r="H4682">
        <v>9714</v>
      </c>
      <c r="I4682">
        <v>1815</v>
      </c>
      <c r="J4682">
        <v>92673</v>
      </c>
      <c r="K4682">
        <v>7313</v>
      </c>
      <c r="L4682">
        <v>29.171797479374838</v>
      </c>
      <c r="M4682">
        <v>1616.6589740807851</v>
      </c>
      <c r="N4682">
        <v>2385.9811626941578</v>
      </c>
      <c r="O4682">
        <v>27.925266785775229</v>
      </c>
      <c r="P4682">
        <v>13.57886370122597</v>
      </c>
    </row>
    <row r="4683" spans="1:16">
      <c r="A4683" s="1" t="s">
        <v>4508</v>
      </c>
      <c r="B4683" s="1" t="s">
        <v>4581</v>
      </c>
      <c r="C4683" s="1" t="s">
        <v>5591</v>
      </c>
      <c r="D4683" s="1" t="s">
        <v>1683</v>
      </c>
      <c r="E4683" s="1" t="s">
        <v>4513</v>
      </c>
      <c r="F4683">
        <v>1671.9267359473083</v>
      </c>
      <c r="G4683">
        <v>2213.6577267750886</v>
      </c>
      <c r="H4683">
        <v>11378</v>
      </c>
      <c r="I4683">
        <v>2310</v>
      </c>
      <c r="J4683">
        <v>92089</v>
      </c>
      <c r="K4683">
        <v>6362</v>
      </c>
      <c r="L4683">
        <v>63.618471700894411</v>
      </c>
      <c r="M4683">
        <v>1538.1712064301175</v>
      </c>
      <c r="N4683">
        <v>1562.9224069034703</v>
      </c>
      <c r="O4683">
        <v>28.696454046736129</v>
      </c>
      <c r="P4683">
        <v>5.2813163566368821</v>
      </c>
    </row>
    <row r="4684" spans="1:16">
      <c r="A4684" s="1" t="s">
        <v>4508</v>
      </c>
      <c r="B4684" s="1" t="s">
        <v>4582</v>
      </c>
      <c r="C4684" s="1" t="s">
        <v>5591</v>
      </c>
      <c r="D4684" s="1" t="s">
        <v>1683</v>
      </c>
      <c r="E4684" s="1" t="s">
        <v>4513</v>
      </c>
      <c r="F4684">
        <v>294.719527062059</v>
      </c>
      <c r="G4684">
        <v>3655.6023027809774</v>
      </c>
      <c r="H4684">
        <v>19530</v>
      </c>
      <c r="I4684">
        <v>2124</v>
      </c>
      <c r="J4684">
        <v>88846</v>
      </c>
      <c r="K4684">
        <v>12330</v>
      </c>
      <c r="L4684">
        <v>28.308925114756104</v>
      </c>
      <c r="M4684">
        <v>919.7497391033196</v>
      </c>
      <c r="N4684">
        <v>1839.715728083256</v>
      </c>
      <c r="O4684">
        <v>20.468082051949434</v>
      </c>
      <c r="P4684">
        <v>9.3444162689860448</v>
      </c>
    </row>
    <row r="4685" spans="1:16">
      <c r="A4685" s="1" t="s">
        <v>4508</v>
      </c>
      <c r="B4685" s="1" t="s">
        <v>4583</v>
      </c>
      <c r="C4685" s="1" t="s">
        <v>5591</v>
      </c>
      <c r="D4685" s="1" t="s">
        <v>1683</v>
      </c>
      <c r="E4685" s="1" t="s">
        <v>4513</v>
      </c>
      <c r="F4685">
        <v>880.31302704696918</v>
      </c>
      <c r="G4685">
        <v>2476.5540444061639</v>
      </c>
      <c r="H4685">
        <v>11507</v>
      </c>
      <c r="I4685">
        <v>2423</v>
      </c>
      <c r="J4685">
        <v>84992</v>
      </c>
      <c r="K4685">
        <v>7730</v>
      </c>
      <c r="L4685">
        <v>38.110633487482346</v>
      </c>
      <c r="M4685">
        <v>1816.1603547571538</v>
      </c>
      <c r="N4685">
        <v>3105.1581084461354</v>
      </c>
      <c r="O4685">
        <v>12.459575019323818</v>
      </c>
      <c r="P4685">
        <v>7.5524693835860353</v>
      </c>
    </row>
    <row r="4686" spans="1:16">
      <c r="A4686" s="1" t="s">
        <v>4508</v>
      </c>
      <c r="B4686" s="1" t="s">
        <v>4584</v>
      </c>
      <c r="C4686" s="1" t="s">
        <v>5591</v>
      </c>
      <c r="D4686" s="1" t="s">
        <v>1683</v>
      </c>
      <c r="E4686" s="1" t="s">
        <v>4513</v>
      </c>
      <c r="F4686">
        <v>287.34063842394522</v>
      </c>
      <c r="G4686">
        <v>943.97761910697682</v>
      </c>
      <c r="H4686">
        <v>19203</v>
      </c>
      <c r="I4686">
        <v>2892</v>
      </c>
      <c r="J4686">
        <v>83610</v>
      </c>
      <c r="K4686">
        <v>8816</v>
      </c>
      <c r="L4686">
        <v>25.971447261273209</v>
      </c>
      <c r="M4686">
        <v>1738.0900534785083</v>
      </c>
      <c r="N4686">
        <v>3941.6781717675594</v>
      </c>
      <c r="O4686">
        <v>10.654055252938205</v>
      </c>
      <c r="P4686">
        <v>10.11428845363055</v>
      </c>
    </row>
    <row r="4687" spans="1:16">
      <c r="A4687" s="1" t="s">
        <v>4508</v>
      </c>
      <c r="B4687" s="1" t="s">
        <v>4585</v>
      </c>
      <c r="C4687" s="1" t="s">
        <v>5591</v>
      </c>
      <c r="D4687" s="1" t="s">
        <v>1683</v>
      </c>
      <c r="E4687" s="1" t="s">
        <v>4513</v>
      </c>
      <c r="F4687">
        <v>1940.7125733652897</v>
      </c>
      <c r="G4687">
        <v>1929.1746275838218</v>
      </c>
      <c r="H4687">
        <v>7766</v>
      </c>
      <c r="I4687">
        <v>1708</v>
      </c>
      <c r="J4687">
        <v>81169</v>
      </c>
      <c r="K4687">
        <v>6865</v>
      </c>
      <c r="L4687">
        <v>29.212088871177162</v>
      </c>
      <c r="M4687">
        <v>1638.0235433077428</v>
      </c>
      <c r="N4687">
        <v>2592.8719246349356</v>
      </c>
      <c r="O4687">
        <v>13.130160154595272</v>
      </c>
      <c r="P4687">
        <v>8.6265121977907118</v>
      </c>
    </row>
    <row r="4688" spans="1:16">
      <c r="A4688" s="1" t="s">
        <v>4508</v>
      </c>
      <c r="B4688" s="1" t="s">
        <v>4586</v>
      </c>
      <c r="C4688" s="1" t="s">
        <v>5591</v>
      </c>
      <c r="D4688" s="1" t="s">
        <v>1683</v>
      </c>
      <c r="E4688" s="1" t="s">
        <v>4513</v>
      </c>
      <c r="F4688">
        <v>433.47995067547748</v>
      </c>
      <c r="G4688">
        <v>1415.2402644217946</v>
      </c>
      <c r="H4688">
        <v>15648</v>
      </c>
      <c r="I4688">
        <v>2810</v>
      </c>
      <c r="J4688">
        <v>80166</v>
      </c>
      <c r="K4688">
        <v>8455</v>
      </c>
      <c r="L4688">
        <v>24.375898666000879</v>
      </c>
      <c r="M4688">
        <v>1461.5187370484134</v>
      </c>
      <c r="N4688">
        <v>1579.8775829314704</v>
      </c>
      <c r="O4688">
        <v>37.19499419997711</v>
      </c>
      <c r="P4688">
        <v>7.2627742473204675</v>
      </c>
    </row>
    <row r="4689" spans="1:16">
      <c r="A4689" s="1" t="s">
        <v>4508</v>
      </c>
      <c r="B4689" s="1" t="s">
        <v>4587</v>
      </c>
      <c r="C4689" s="1" t="s">
        <v>5591</v>
      </c>
      <c r="D4689" s="1" t="s">
        <v>1683</v>
      </c>
      <c r="E4689" s="1" t="s">
        <v>4513</v>
      </c>
      <c r="F4689">
        <v>1134.3465015342817</v>
      </c>
      <c r="G4689">
        <v>2442.7845539667937</v>
      </c>
      <c r="H4689">
        <v>10827</v>
      </c>
      <c r="I4689">
        <v>1976</v>
      </c>
      <c r="J4689">
        <v>78361</v>
      </c>
      <c r="K4689">
        <v>6618</v>
      </c>
      <c r="L4689">
        <v>31.594835861874095</v>
      </c>
      <c r="M4689">
        <v>1819.2610177637393</v>
      </c>
      <c r="N4689">
        <v>2266.539603097749</v>
      </c>
      <c r="O4689">
        <v>10.967790208656726</v>
      </c>
      <c r="P4689">
        <v>8.7866015534171922</v>
      </c>
    </row>
    <row r="4690" spans="1:16">
      <c r="A4690" s="1" t="s">
        <v>4508</v>
      </c>
      <c r="B4690" s="1" t="s">
        <v>4588</v>
      </c>
      <c r="C4690" s="1" t="s">
        <v>5591</v>
      </c>
      <c r="D4690" s="1" t="s">
        <v>1683</v>
      </c>
      <c r="E4690" s="1" t="s">
        <v>4513</v>
      </c>
      <c r="F4690">
        <v>644.52496708428305</v>
      </c>
      <c r="G4690">
        <v>740.7833967071391</v>
      </c>
      <c r="H4690">
        <v>13653</v>
      </c>
      <c r="I4690">
        <v>3117</v>
      </c>
      <c r="J4690">
        <v>78208</v>
      </c>
      <c r="K4690">
        <v>9578</v>
      </c>
      <c r="L4690">
        <v>26.446771294496102</v>
      </c>
      <c r="M4690">
        <v>1811.3080174703528</v>
      </c>
      <c r="N4690">
        <v>2086.0451192536793</v>
      </c>
      <c r="O4690">
        <v>29.476604872445371</v>
      </c>
      <c r="P4690">
        <v>8.1921974617850655</v>
      </c>
    </row>
    <row r="4691" spans="1:16">
      <c r="A4691" s="1" t="s">
        <v>4508</v>
      </c>
      <c r="B4691" s="1" t="s">
        <v>4589</v>
      </c>
      <c r="C4691" s="1" t="s">
        <v>5591</v>
      </c>
      <c r="D4691" s="1" t="s">
        <v>1683</v>
      </c>
      <c r="E4691" s="1" t="s">
        <v>4513</v>
      </c>
      <c r="F4691">
        <v>204.86531168378644</v>
      </c>
      <c r="G4691">
        <v>489.76177349387785</v>
      </c>
      <c r="H4691">
        <v>12691</v>
      </c>
      <c r="I4691">
        <v>2812</v>
      </c>
      <c r="J4691">
        <v>74115</v>
      </c>
      <c r="K4691">
        <v>8448</v>
      </c>
      <c r="L4691">
        <v>25.665627588445929</v>
      </c>
      <c r="M4691">
        <v>1775.8760706594408</v>
      </c>
      <c r="N4691">
        <v>3117.5628847316279</v>
      </c>
      <c r="O4691">
        <v>12.095875692756302</v>
      </c>
      <c r="P4691">
        <v>6.0267636847876735</v>
      </c>
    </row>
    <row r="4692" spans="1:16">
      <c r="A4692" s="1" t="s">
        <v>4508</v>
      </c>
      <c r="B4692" s="1" t="s">
        <v>4590</v>
      </c>
      <c r="C4692" s="1" t="s">
        <v>5591</v>
      </c>
      <c r="D4692" s="1" t="s">
        <v>1683</v>
      </c>
      <c r="E4692" s="1" t="s">
        <v>4513</v>
      </c>
      <c r="F4692">
        <v>448.6334370185391</v>
      </c>
      <c r="G4692">
        <v>1606.6868514416535</v>
      </c>
      <c r="H4692">
        <v>11756</v>
      </c>
      <c r="I4692">
        <v>2070</v>
      </c>
      <c r="J4692">
        <v>71230</v>
      </c>
      <c r="K4692">
        <v>6445</v>
      </c>
      <c r="L4692">
        <v>23.700514327663278</v>
      </c>
      <c r="M4692">
        <v>1529.6168099974484</v>
      </c>
      <c r="N4692">
        <v>1790.0577899960826</v>
      </c>
      <c r="O4692">
        <v>23.933937908812879</v>
      </c>
      <c r="P4692">
        <v>14.487569362149239</v>
      </c>
    </row>
    <row r="4693" spans="1:16">
      <c r="A4693" s="1" t="s">
        <v>4508</v>
      </c>
      <c r="B4693" s="1" t="s">
        <v>4591</v>
      </c>
      <c r="C4693" s="1" t="s">
        <v>5591</v>
      </c>
      <c r="D4693" s="1" t="s">
        <v>1683</v>
      </c>
      <c r="E4693" s="1" t="s">
        <v>4513</v>
      </c>
      <c r="F4693">
        <v>165.13567833889078</v>
      </c>
      <c r="G4693">
        <v>804.96773652254137</v>
      </c>
      <c r="H4693">
        <v>9970</v>
      </c>
      <c r="I4693">
        <v>2951</v>
      </c>
      <c r="J4693">
        <v>63856</v>
      </c>
      <c r="K4693">
        <v>7036</v>
      </c>
      <c r="L4693">
        <v>21.421224995256708</v>
      </c>
      <c r="M4693">
        <v>2102.1184967926743</v>
      </c>
      <c r="N4693">
        <v>3890.3078093635381</v>
      </c>
      <c r="O4693">
        <v>17.267075488937202</v>
      </c>
      <c r="P4693">
        <v>10.991405447515733</v>
      </c>
    </row>
    <row r="4694" spans="1:16">
      <c r="A4694" s="1" t="s">
        <v>4508</v>
      </c>
      <c r="B4694" s="1" t="s">
        <v>4592</v>
      </c>
      <c r="C4694" s="1" t="s">
        <v>5591</v>
      </c>
      <c r="D4694" s="1" t="s">
        <v>1683</v>
      </c>
      <c r="E4694" s="1" t="s">
        <v>4513</v>
      </c>
      <c r="F4694">
        <v>266.33812146593311</v>
      </c>
      <c r="G4694">
        <v>4721.6371826723898</v>
      </c>
      <c r="H4694">
        <v>26590</v>
      </c>
      <c r="I4694">
        <v>3462</v>
      </c>
      <c r="J4694">
        <v>115075</v>
      </c>
      <c r="K4694">
        <v>12563</v>
      </c>
      <c r="L4694">
        <v>29.573607743861086</v>
      </c>
      <c r="M4694">
        <v>1075.0779340099539</v>
      </c>
      <c r="N4694">
        <v>1702.0985143109278</v>
      </c>
      <c r="O4694">
        <v>25.486513163625137</v>
      </c>
      <c r="P4694">
        <v>18.326742438431065</v>
      </c>
    </row>
    <row r="4695" spans="1:16">
      <c r="A4695" s="1" t="s">
        <v>4508</v>
      </c>
      <c r="B4695" s="1" t="s">
        <v>4593</v>
      </c>
      <c r="C4695" s="1" t="s">
        <v>5591</v>
      </c>
      <c r="D4695" s="1" t="s">
        <v>1683</v>
      </c>
      <c r="E4695" s="1" t="s">
        <v>4513</v>
      </c>
      <c r="F4695">
        <v>1058.8449398961145</v>
      </c>
      <c r="G4695">
        <v>1897.9496082020135</v>
      </c>
      <c r="H4695">
        <v>12718</v>
      </c>
      <c r="I4695">
        <v>2028</v>
      </c>
      <c r="J4695">
        <v>62138</v>
      </c>
      <c r="K4695">
        <v>5062</v>
      </c>
      <c r="L4695">
        <v>36.914796783286789</v>
      </c>
      <c r="M4695">
        <v>1615.7470732764275</v>
      </c>
      <c r="N4695">
        <v>1636.8972914998185</v>
      </c>
      <c r="O4695">
        <v>30.030451059871861</v>
      </c>
      <c r="P4695">
        <v>12.059889750133445</v>
      </c>
    </row>
    <row r="4696" spans="1:16">
      <c r="A4696" s="1" t="s">
        <v>4508</v>
      </c>
      <c r="B4696" s="1" t="s">
        <v>4594</v>
      </c>
      <c r="C4696" s="1" t="s">
        <v>5591</v>
      </c>
      <c r="D4696" s="1" t="s">
        <v>1683</v>
      </c>
      <c r="E4696" s="1" t="s">
        <v>4513</v>
      </c>
      <c r="F4696">
        <v>544.10764994407918</v>
      </c>
      <c r="G4696">
        <v>1167.5622269376831</v>
      </c>
      <c r="H4696">
        <v>22032</v>
      </c>
      <c r="I4696">
        <v>3295</v>
      </c>
      <c r="J4696">
        <v>61844</v>
      </c>
      <c r="K4696">
        <v>3916</v>
      </c>
      <c r="L4696">
        <v>36.55296339432816</v>
      </c>
      <c r="M4696">
        <v>1971.9695992915758</v>
      </c>
      <c r="N4696">
        <v>1154.6660016623437</v>
      </c>
      <c r="O4696">
        <v>24.874782850677128</v>
      </c>
      <c r="P4696">
        <v>4.1174993184200677</v>
      </c>
    </row>
    <row r="4697" spans="1:16">
      <c r="A4697" s="1" t="s">
        <v>4508</v>
      </c>
      <c r="B4697" s="1" t="s">
        <v>4595</v>
      </c>
      <c r="C4697" s="1" t="s">
        <v>5591</v>
      </c>
      <c r="D4697" s="1" t="s">
        <v>1683</v>
      </c>
      <c r="E4697" s="1" t="s">
        <v>4513</v>
      </c>
      <c r="F4697">
        <v>214.80875450278592</v>
      </c>
      <c r="G4697">
        <v>1521.3449410451349</v>
      </c>
      <c r="H4697">
        <v>19491</v>
      </c>
      <c r="I4697">
        <v>3631</v>
      </c>
      <c r="J4697">
        <v>58515</v>
      </c>
      <c r="K4697">
        <v>7379</v>
      </c>
      <c r="L4697">
        <v>15.387692362667005</v>
      </c>
      <c r="M4697">
        <v>1336.3896561835127</v>
      </c>
      <c r="N4697">
        <v>1067.4906447823209</v>
      </c>
      <c r="O4697">
        <v>29.17490915675041</v>
      </c>
      <c r="P4697">
        <v>11.472475794587814</v>
      </c>
    </row>
    <row r="4698" spans="1:16">
      <c r="A4698" s="1" t="s">
        <v>4508</v>
      </c>
      <c r="B4698" s="1" t="s">
        <v>4596</v>
      </c>
      <c r="C4698" s="1" t="s">
        <v>5591</v>
      </c>
      <c r="D4698" s="1" t="s">
        <v>1683</v>
      </c>
      <c r="E4698" s="1" t="s">
        <v>4513</v>
      </c>
      <c r="F4698">
        <v>284.90505790820532</v>
      </c>
      <c r="G4698">
        <v>1515.3900132394951</v>
      </c>
      <c r="H4698">
        <v>8896</v>
      </c>
      <c r="I4698">
        <v>1748</v>
      </c>
      <c r="J4698">
        <v>50722</v>
      </c>
      <c r="K4698">
        <v>2539</v>
      </c>
      <c r="L4698">
        <v>19.497937710376014</v>
      </c>
      <c r="M4698">
        <v>1643.0603331859663</v>
      </c>
      <c r="N4698">
        <v>1032.2263345747365</v>
      </c>
      <c r="O4698">
        <v>21.551418458069659</v>
      </c>
      <c r="P4698">
        <v>15.968423365990722</v>
      </c>
    </row>
    <row r="4699" spans="1:16">
      <c r="A4699" s="1" t="s">
        <v>4508</v>
      </c>
      <c r="B4699" s="1" t="s">
        <v>4597</v>
      </c>
      <c r="C4699" s="1" t="s">
        <v>5591</v>
      </c>
      <c r="D4699" s="1" t="s">
        <v>1683</v>
      </c>
      <c r="E4699" s="1" t="s">
        <v>4513</v>
      </c>
      <c r="F4699">
        <v>321.73893447428418</v>
      </c>
      <c r="G4699">
        <v>1911.1990549418065</v>
      </c>
      <c r="H4699">
        <v>15537</v>
      </c>
      <c r="I4699">
        <v>2195</v>
      </c>
      <c r="J4699">
        <v>49684</v>
      </c>
      <c r="K4699">
        <v>5181</v>
      </c>
      <c r="L4699">
        <v>17.148776997553121</v>
      </c>
      <c r="M4699">
        <v>1597.1802266344996</v>
      </c>
      <c r="N4699">
        <v>1120.9480178779606</v>
      </c>
      <c r="O4699">
        <v>20.505897978729394</v>
      </c>
      <c r="P4699">
        <v>24.029728829181757</v>
      </c>
    </row>
    <row r="4700" spans="1:16">
      <c r="A4700" s="1" t="s">
        <v>4508</v>
      </c>
      <c r="B4700" s="1" t="s">
        <v>4598</v>
      </c>
      <c r="C4700" s="1" t="s">
        <v>5591</v>
      </c>
      <c r="D4700" s="1" t="s">
        <v>1683</v>
      </c>
      <c r="E4700" s="1" t="s">
        <v>4513</v>
      </c>
      <c r="F4700">
        <v>424.52813220000803</v>
      </c>
      <c r="G4700">
        <v>1531.2460268815548</v>
      </c>
      <c r="H4700">
        <v>13707</v>
      </c>
      <c r="I4700">
        <v>1947</v>
      </c>
      <c r="J4700">
        <v>43751</v>
      </c>
      <c r="K4700">
        <v>4495</v>
      </c>
      <c r="L4700">
        <v>15.026068722481112</v>
      </c>
      <c r="M4700">
        <v>1661.2294265718797</v>
      </c>
      <c r="N4700">
        <v>1368.5739678330706</v>
      </c>
      <c r="O4700">
        <v>19.780704929610124</v>
      </c>
      <c r="P4700">
        <v>27.81597654615123</v>
      </c>
    </row>
    <row r="4701" spans="1:16">
      <c r="A4701" s="1" t="s">
        <v>4508</v>
      </c>
      <c r="B4701" s="1" t="s">
        <v>4599</v>
      </c>
      <c r="C4701" s="1" t="s">
        <v>5591</v>
      </c>
      <c r="D4701" s="1" t="s">
        <v>1683</v>
      </c>
      <c r="E4701" s="1" t="s">
        <v>4513</v>
      </c>
      <c r="F4701">
        <v>684.76673231266614</v>
      </c>
      <c r="G4701">
        <v>727.44121216315307</v>
      </c>
      <c r="H4701">
        <v>13701</v>
      </c>
      <c r="I4701">
        <v>3849</v>
      </c>
      <c r="J4701">
        <v>38262</v>
      </c>
      <c r="K4701">
        <v>5307</v>
      </c>
      <c r="L4701">
        <v>13.863979169839729</v>
      </c>
      <c r="M4701">
        <v>1819.9492023679165</v>
      </c>
      <c r="N4701">
        <v>608.75460177381126</v>
      </c>
      <c r="O4701">
        <v>24.280596802256628</v>
      </c>
      <c r="P4701">
        <v>17.758070550152905</v>
      </c>
    </row>
    <row r="4702" spans="1:16">
      <c r="A4702" s="1" t="s">
        <v>4508</v>
      </c>
      <c r="B4702" s="1" t="s">
        <v>4600</v>
      </c>
      <c r="C4702" s="1" t="s">
        <v>5591</v>
      </c>
      <c r="D4702" s="1" t="s">
        <v>1683</v>
      </c>
      <c r="E4702" s="1" t="s">
        <v>4513</v>
      </c>
      <c r="F4702">
        <v>471.01013846431169</v>
      </c>
      <c r="G4702">
        <v>1062.9622670204656</v>
      </c>
      <c r="H4702">
        <v>22434</v>
      </c>
      <c r="I4702">
        <v>3455</v>
      </c>
      <c r="J4702">
        <v>31056</v>
      </c>
      <c r="K4702">
        <v>6126</v>
      </c>
      <c r="L4702">
        <v>9.9777529836353445</v>
      </c>
      <c r="M4702">
        <v>1236.1048077735127</v>
      </c>
      <c r="N4702">
        <v>364.71104982605493</v>
      </c>
      <c r="O4702">
        <v>25.707284237439218</v>
      </c>
      <c r="P4702">
        <v>13.785510589688537</v>
      </c>
    </row>
    <row r="4703" spans="1:16">
      <c r="A4703" s="1" t="s">
        <v>4508</v>
      </c>
      <c r="B4703" s="1" t="s">
        <v>4601</v>
      </c>
      <c r="C4703" s="1" t="s">
        <v>5591</v>
      </c>
      <c r="D4703" s="1" t="s">
        <v>1683</v>
      </c>
      <c r="E4703" s="1" t="s">
        <v>4513</v>
      </c>
      <c r="F4703">
        <v>874.97665504037911</v>
      </c>
      <c r="G4703">
        <v>2010.8201738845794</v>
      </c>
      <c r="H4703">
        <v>20543</v>
      </c>
      <c r="I4703">
        <v>2069</v>
      </c>
      <c r="J4703">
        <v>25852</v>
      </c>
      <c r="K4703">
        <v>4464</v>
      </c>
      <c r="L4703">
        <v>18.447307503998601</v>
      </c>
      <c r="M4703">
        <v>1701.4559815679022</v>
      </c>
      <c r="N4703">
        <v>595.44849758402847</v>
      </c>
      <c r="O4703">
        <v>13.673558975103777</v>
      </c>
      <c r="P4703">
        <v>30.853864605503798</v>
      </c>
    </row>
    <row r="4704" spans="1:16">
      <c r="A4704" s="1" t="s">
        <v>4508</v>
      </c>
      <c r="B4704" s="1" t="s">
        <v>4602</v>
      </c>
      <c r="C4704" s="1" t="s">
        <v>5591</v>
      </c>
      <c r="D4704" s="1" t="s">
        <v>1683</v>
      </c>
      <c r="E4704" s="1" t="s">
        <v>4513</v>
      </c>
      <c r="F4704">
        <v>895.55355089450745</v>
      </c>
      <c r="G4704">
        <v>1217.7845969540163</v>
      </c>
      <c r="H4704">
        <v>25705</v>
      </c>
      <c r="I4704">
        <v>3139</v>
      </c>
      <c r="J4704">
        <v>25060</v>
      </c>
      <c r="K4704">
        <v>5527</v>
      </c>
      <c r="L4704">
        <v>17.977495236507199</v>
      </c>
      <c r="M4704">
        <v>1262.6406584010717</v>
      </c>
      <c r="N4704">
        <v>240.41560793201162</v>
      </c>
      <c r="O4704">
        <v>21.728574409609838</v>
      </c>
      <c r="P4704">
        <v>12.724268501239846</v>
      </c>
    </row>
    <row r="4705" spans="1:16">
      <c r="A4705" s="1" t="s">
        <v>4508</v>
      </c>
      <c r="B4705" s="1" t="s">
        <v>4603</v>
      </c>
      <c r="C4705" s="1" t="s">
        <v>5591</v>
      </c>
      <c r="D4705" s="1" t="s">
        <v>1683</v>
      </c>
      <c r="E4705" s="1" t="s">
        <v>4513</v>
      </c>
      <c r="F4705">
        <v>427.72346854801503</v>
      </c>
      <c r="G4705">
        <v>1346.4881360868808</v>
      </c>
      <c r="H4705">
        <v>16522</v>
      </c>
      <c r="I4705">
        <v>2471</v>
      </c>
      <c r="J4705">
        <v>17790</v>
      </c>
      <c r="K4705">
        <v>3202</v>
      </c>
      <c r="L4705">
        <v>8.3921127010369378</v>
      </c>
      <c r="M4705">
        <v>1441.2059439672237</v>
      </c>
      <c r="N4705">
        <v>136.60805709149292</v>
      </c>
      <c r="O4705">
        <v>16.734470456106063</v>
      </c>
      <c r="P4705">
        <v>30.261003725575705</v>
      </c>
    </row>
    <row r="4706" spans="1:16">
      <c r="A4706" s="1" t="s">
        <v>4508</v>
      </c>
      <c r="B4706" s="1" t="s">
        <v>4604</v>
      </c>
      <c r="C4706" s="1" t="s">
        <v>5591</v>
      </c>
      <c r="D4706" s="1" t="s">
        <v>1683</v>
      </c>
      <c r="E4706" s="1" t="s">
        <v>4513</v>
      </c>
      <c r="F4706">
        <v>393.47709528721117</v>
      </c>
      <c r="G4706">
        <v>795.19167895724729</v>
      </c>
      <c r="H4706">
        <v>26767</v>
      </c>
      <c r="I4706">
        <v>3104</v>
      </c>
      <c r="J4706">
        <v>17358</v>
      </c>
      <c r="K4706">
        <v>4921</v>
      </c>
      <c r="L4706">
        <v>8.9982219287778111</v>
      </c>
      <c r="M4706">
        <v>1595.3116365228093</v>
      </c>
      <c r="N4706">
        <v>190.54455902480373</v>
      </c>
      <c r="O4706">
        <v>6.7827133282262757</v>
      </c>
      <c r="P4706">
        <v>18.167218063183284</v>
      </c>
    </row>
    <row r="4707" spans="1:16">
      <c r="A4707" s="1" t="s">
        <v>4508</v>
      </c>
      <c r="B4707" s="1" t="s">
        <v>4605</v>
      </c>
      <c r="C4707" s="1" t="s">
        <v>5591</v>
      </c>
      <c r="D4707" s="1" t="s">
        <v>1683</v>
      </c>
      <c r="E4707" s="1" t="s">
        <v>4513</v>
      </c>
      <c r="F4707">
        <v>405.85456451615903</v>
      </c>
      <c r="G4707">
        <v>1200.031530016802</v>
      </c>
      <c r="H4707">
        <v>15983</v>
      </c>
      <c r="I4707">
        <v>1952</v>
      </c>
      <c r="J4707">
        <v>8663</v>
      </c>
      <c r="K4707">
        <v>2861</v>
      </c>
      <c r="L4707">
        <v>8.8265582891192551</v>
      </c>
      <c r="M4707">
        <v>1355.3230219998909</v>
      </c>
      <c r="N4707">
        <v>245.87289186721827</v>
      </c>
      <c r="O4707">
        <v>12.229877494493154</v>
      </c>
      <c r="P4707">
        <v>32.062025892051707</v>
      </c>
    </row>
    <row r="4708" spans="1:16">
      <c r="A4708" s="1" t="s">
        <v>4508</v>
      </c>
      <c r="B4708" s="1" t="s">
        <v>4606</v>
      </c>
      <c r="C4708" s="1" t="s">
        <v>5591</v>
      </c>
      <c r="D4708" s="1" t="s">
        <v>1683</v>
      </c>
      <c r="E4708" s="1" t="s">
        <v>4513</v>
      </c>
      <c r="F4708">
        <v>582.37177540518019</v>
      </c>
      <c r="G4708">
        <v>1373.5113646747129</v>
      </c>
      <c r="H4708">
        <v>16975</v>
      </c>
      <c r="I4708">
        <v>2096</v>
      </c>
      <c r="J4708">
        <v>6268</v>
      </c>
      <c r="K4708">
        <v>2820</v>
      </c>
      <c r="L4708">
        <v>9.9806231699226675</v>
      </c>
      <c r="M4708">
        <v>1397.1495910833519</v>
      </c>
      <c r="N4708">
        <v>300.78633031145034</v>
      </c>
      <c r="O4708">
        <v>13.910360040906356</v>
      </c>
      <c r="P4708">
        <v>25.947512662592018</v>
      </c>
    </row>
    <row r="4709" spans="1:16">
      <c r="A4709" s="1" t="s">
        <v>4508</v>
      </c>
      <c r="B4709" s="1" t="s">
        <v>4607</v>
      </c>
      <c r="C4709" s="1" t="s">
        <v>5591</v>
      </c>
      <c r="D4709" s="1" t="s">
        <v>1683</v>
      </c>
      <c r="E4709" s="1" t="s">
        <v>4513</v>
      </c>
      <c r="F4709">
        <v>320.25248057586685</v>
      </c>
      <c r="G4709">
        <v>333.94692319541332</v>
      </c>
      <c r="H4709">
        <v>15305</v>
      </c>
      <c r="I4709">
        <v>2435</v>
      </c>
      <c r="J4709">
        <v>3197</v>
      </c>
      <c r="K4709">
        <v>3457</v>
      </c>
      <c r="L4709">
        <v>7.7303355211695006</v>
      </c>
      <c r="M4709">
        <v>1722.4040980259631</v>
      </c>
      <c r="N4709">
        <v>40.488491670796876</v>
      </c>
      <c r="O4709">
        <v>7.0347894643135334</v>
      </c>
      <c r="P4709">
        <v>19.531997452462544</v>
      </c>
    </row>
    <row r="4710" spans="1:16">
      <c r="A4710" s="1" t="s">
        <v>4508</v>
      </c>
      <c r="B4710" s="1" t="s">
        <v>4608</v>
      </c>
      <c r="C4710" s="1" t="s">
        <v>5591</v>
      </c>
      <c r="D4710" s="1" t="s">
        <v>1683</v>
      </c>
      <c r="E4710" s="1" t="s">
        <v>4513</v>
      </c>
      <c r="F4710">
        <v>590.97803258089584</v>
      </c>
      <c r="G4710">
        <v>1426.6796038828174</v>
      </c>
      <c r="H4710">
        <v>15283</v>
      </c>
      <c r="I4710">
        <v>1839</v>
      </c>
      <c r="J4710">
        <v>2121</v>
      </c>
      <c r="K4710">
        <v>2326</v>
      </c>
      <c r="L4710">
        <v>9.9646601976073992</v>
      </c>
      <c r="M4710">
        <v>1522.0795703723122</v>
      </c>
      <c r="N4710">
        <v>257.75358847184094</v>
      </c>
      <c r="O4710">
        <v>17.606876518644345</v>
      </c>
      <c r="P4710">
        <v>24.788658617377443</v>
      </c>
    </row>
    <row r="4711" spans="1:16">
      <c r="A4711" s="1" t="s">
        <v>4508</v>
      </c>
      <c r="B4711" s="1" t="s">
        <v>4609</v>
      </c>
      <c r="C4711" s="1" t="s">
        <v>5591</v>
      </c>
      <c r="D4711" s="1" t="s">
        <v>1683</v>
      </c>
      <c r="E4711" s="1" t="s">
        <v>4513</v>
      </c>
      <c r="F4711">
        <v>210.03705417241571</v>
      </c>
      <c r="G4711">
        <v>405.73999253878588</v>
      </c>
      <c r="H4711">
        <v>11907</v>
      </c>
      <c r="I4711">
        <v>2148</v>
      </c>
      <c r="J4711">
        <v>1554</v>
      </c>
      <c r="K4711">
        <v>2739</v>
      </c>
      <c r="L4711">
        <v>10.013732773073789</v>
      </c>
      <c r="M4711">
        <v>2001.585726511395</v>
      </c>
      <c r="N4711">
        <v>31.540931617760343</v>
      </c>
      <c r="O4711">
        <v>12.117082166924941</v>
      </c>
      <c r="P4711">
        <v>11.04177248477988</v>
      </c>
    </row>
    <row r="4712" spans="1:16">
      <c r="A4712" s="1" t="s">
        <v>4508</v>
      </c>
      <c r="B4712" s="1" t="s">
        <v>4610</v>
      </c>
      <c r="C4712" s="1" t="s">
        <v>5591</v>
      </c>
      <c r="D4712" s="1" t="s">
        <v>1683</v>
      </c>
      <c r="E4712" s="1" t="s">
        <v>4513</v>
      </c>
      <c r="F4712">
        <v>223.7988009132101</v>
      </c>
      <c r="G4712">
        <v>390.56897051361824</v>
      </c>
      <c r="H4712">
        <v>12141</v>
      </c>
      <c r="I4712">
        <v>1993</v>
      </c>
      <c r="J4712">
        <v>675</v>
      </c>
      <c r="K4712">
        <v>2832</v>
      </c>
      <c r="L4712">
        <v>9.0503214998857278</v>
      </c>
      <c r="M4712">
        <v>1691.6935855686629</v>
      </c>
      <c r="N4712">
        <v>25.648142480245482</v>
      </c>
      <c r="O4712">
        <v>7.4022546795961244</v>
      </c>
      <c r="P4712">
        <v>16.121562747332071</v>
      </c>
    </row>
    <row r="4713" spans="1:16">
      <c r="A4713" s="1" t="s">
        <v>4508</v>
      </c>
      <c r="B4713" s="1" t="s">
        <v>4611</v>
      </c>
      <c r="C4713" s="1" t="s">
        <v>5591</v>
      </c>
      <c r="D4713" s="1" t="s">
        <v>1683</v>
      </c>
      <c r="E4713" s="1" t="s">
        <v>4513</v>
      </c>
      <c r="F4713">
        <v>1195.7105129385534</v>
      </c>
      <c r="G4713">
        <v>2229.3526707698038</v>
      </c>
      <c r="H4713">
        <v>31922</v>
      </c>
      <c r="I4713">
        <v>3942</v>
      </c>
      <c r="J4713">
        <v>57841</v>
      </c>
      <c r="K4713">
        <v>10121</v>
      </c>
      <c r="L4713">
        <v>21.206447288636173</v>
      </c>
      <c r="M4713">
        <v>1427.0804338852408</v>
      </c>
      <c r="N4713">
        <v>1091.7722994718445</v>
      </c>
      <c r="O4713">
        <v>24.707269964644389</v>
      </c>
      <c r="P4713">
        <v>5.9407575407281303</v>
      </c>
    </row>
    <row r="4714" spans="1:16">
      <c r="A4714" s="1" t="s">
        <v>4508</v>
      </c>
      <c r="B4714" s="1" t="s">
        <v>4612</v>
      </c>
      <c r="C4714" s="1" t="s">
        <v>5591</v>
      </c>
      <c r="D4714" s="1" t="s">
        <v>1683</v>
      </c>
      <c r="E4714" s="1" t="s">
        <v>4513</v>
      </c>
      <c r="F4714">
        <v>252.06361638149104</v>
      </c>
      <c r="G4714">
        <v>1501.3660065643758</v>
      </c>
      <c r="H4714">
        <v>14005</v>
      </c>
      <c r="I4714">
        <v>2310</v>
      </c>
      <c r="J4714">
        <v>53726</v>
      </c>
      <c r="K4714">
        <v>6067</v>
      </c>
      <c r="L4714">
        <v>15.145280701575087</v>
      </c>
      <c r="M4714">
        <v>1549.1223812634544</v>
      </c>
      <c r="N4714">
        <v>875.65540605629508</v>
      </c>
      <c r="O4714">
        <v>28.389649499363919</v>
      </c>
      <c r="P4714">
        <v>12.29334732901787</v>
      </c>
    </row>
    <row r="4715" spans="1:16">
      <c r="A4715" s="1" t="s">
        <v>4508</v>
      </c>
      <c r="B4715" s="1" t="s">
        <v>4613</v>
      </c>
      <c r="C4715" s="1" t="s">
        <v>5591</v>
      </c>
      <c r="D4715" s="1" t="s">
        <v>1683</v>
      </c>
      <c r="E4715" s="1" t="s">
        <v>4513</v>
      </c>
      <c r="F4715">
        <v>433.60854624036909</v>
      </c>
      <c r="G4715">
        <v>801.12709694194689</v>
      </c>
      <c r="H4715">
        <v>15904</v>
      </c>
      <c r="I4715">
        <v>2483</v>
      </c>
      <c r="J4715">
        <v>16104</v>
      </c>
      <c r="K4715">
        <v>4158</v>
      </c>
      <c r="L4715">
        <v>5.9706451225150099</v>
      </c>
      <c r="M4715">
        <v>1161.3444440748858</v>
      </c>
      <c r="N4715">
        <v>128.56339930294402</v>
      </c>
      <c r="O4715">
        <v>18.107286216813471</v>
      </c>
      <c r="P4715">
        <v>14.10756485868777</v>
      </c>
    </row>
    <row r="4716" spans="1:16">
      <c r="A4716" s="1" t="s">
        <v>4508</v>
      </c>
      <c r="B4716" s="1" t="s">
        <v>4614</v>
      </c>
      <c r="C4716" s="1" t="s">
        <v>5591</v>
      </c>
      <c r="D4716" s="1" t="s">
        <v>1683</v>
      </c>
      <c r="E4716" s="1" t="s">
        <v>4513</v>
      </c>
      <c r="F4716">
        <v>120.88723297067493</v>
      </c>
      <c r="G4716">
        <v>936.3445552582707</v>
      </c>
      <c r="H4716">
        <v>14597</v>
      </c>
      <c r="I4716">
        <v>2228</v>
      </c>
      <c r="J4716">
        <v>12296</v>
      </c>
      <c r="K4716">
        <v>3699</v>
      </c>
      <c r="L4716">
        <v>4.9358086215485182</v>
      </c>
      <c r="M4716">
        <v>1035.057883359887</v>
      </c>
      <c r="N4716">
        <v>108.90030753193633</v>
      </c>
      <c r="O4716">
        <v>19.74038972811481</v>
      </c>
      <c r="P4716">
        <v>14.680299046710342</v>
      </c>
    </row>
    <row r="4717" spans="1:16">
      <c r="A4717" s="1" t="s">
        <v>4508</v>
      </c>
      <c r="B4717" s="1" t="s">
        <v>4615</v>
      </c>
      <c r="C4717" s="1" t="s">
        <v>5591</v>
      </c>
      <c r="D4717" s="1" t="s">
        <v>1683</v>
      </c>
      <c r="E4717" s="1" t="s">
        <v>4513</v>
      </c>
      <c r="F4717">
        <v>307.51628031220531</v>
      </c>
      <c r="G4717">
        <v>1095.8474711479851</v>
      </c>
      <c r="H4717">
        <v>16617</v>
      </c>
      <c r="I4717">
        <v>2469</v>
      </c>
      <c r="J4717">
        <v>10928</v>
      </c>
      <c r="K4717">
        <v>3608</v>
      </c>
      <c r="L4717">
        <v>8.2169855941409136</v>
      </c>
      <c r="M4717">
        <v>1515.4316279664663</v>
      </c>
      <c r="N4717">
        <v>121.67204659995382</v>
      </c>
      <c r="O4717">
        <v>21.582043160558875</v>
      </c>
      <c r="P4717">
        <v>13.717849340212922</v>
      </c>
    </row>
    <row r="4718" spans="1:16">
      <c r="A4718" s="1" t="s">
        <v>4508</v>
      </c>
      <c r="B4718" s="1" t="s">
        <v>4616</v>
      </c>
      <c r="C4718" s="1" t="s">
        <v>5591</v>
      </c>
      <c r="D4718" s="1" t="s">
        <v>1683</v>
      </c>
      <c r="E4718" s="1" t="s">
        <v>4513</v>
      </c>
      <c r="F4718">
        <v>546.41799295258227</v>
      </c>
      <c r="G4718">
        <v>1486.7918268861265</v>
      </c>
      <c r="H4718">
        <v>17169</v>
      </c>
      <c r="I4718">
        <v>1939</v>
      </c>
      <c r="J4718">
        <v>1836</v>
      </c>
      <c r="K4718">
        <v>2607</v>
      </c>
      <c r="L4718">
        <v>9.1342830193529991</v>
      </c>
      <c r="M4718">
        <v>1435.9601446949455</v>
      </c>
      <c r="N4718">
        <v>410.04805619954408</v>
      </c>
      <c r="O4718">
        <v>13.865311700088849</v>
      </c>
      <c r="P4718">
        <v>29.668770147455199</v>
      </c>
    </row>
    <row r="4719" spans="1:16">
      <c r="A4719" s="1" t="s">
        <v>4508</v>
      </c>
      <c r="B4719" s="1" t="s">
        <v>4617</v>
      </c>
      <c r="C4719" s="1" t="s">
        <v>5591</v>
      </c>
      <c r="D4719" s="1" t="s">
        <v>1683</v>
      </c>
      <c r="E4719" s="1" t="s">
        <v>4513</v>
      </c>
      <c r="F4719">
        <v>641.03478818021688</v>
      </c>
      <c r="G4719">
        <v>646.64804572820435</v>
      </c>
      <c r="H4719">
        <v>7964</v>
      </c>
      <c r="I4719">
        <v>1494</v>
      </c>
      <c r="J4719">
        <v>1104</v>
      </c>
      <c r="K4719">
        <v>987</v>
      </c>
      <c r="L4719">
        <v>6.5301969712141652</v>
      </c>
      <c r="M4719">
        <v>1705.3973250038616</v>
      </c>
      <c r="N4719">
        <v>18.335952771872339</v>
      </c>
      <c r="O4719">
        <v>12.868965311761702</v>
      </c>
      <c r="P4719">
        <v>16.781893129856861</v>
      </c>
    </row>
    <row r="4720" spans="1:16">
      <c r="A4720" s="1" t="s">
        <v>4508</v>
      </c>
      <c r="B4720" s="1" t="s">
        <v>4618</v>
      </c>
      <c r="C4720" s="1" t="s">
        <v>5591</v>
      </c>
      <c r="D4720" s="1" t="s">
        <v>1683</v>
      </c>
      <c r="E4720" s="1" t="s">
        <v>4513</v>
      </c>
      <c r="F4720">
        <v>38.268775783535816</v>
      </c>
      <c r="G4720">
        <v>102.42912487193061</v>
      </c>
      <c r="H4720">
        <v>3886</v>
      </c>
      <c r="I4720">
        <v>822</v>
      </c>
      <c r="J4720">
        <v>534</v>
      </c>
      <c r="K4720">
        <v>1313</v>
      </c>
      <c r="L4720">
        <v>9.2226442130002866</v>
      </c>
      <c r="M4720">
        <v>1883.7925257232173</v>
      </c>
      <c r="N4720">
        <v>40.62762332795635</v>
      </c>
      <c r="O4720">
        <v>13.383984238907503</v>
      </c>
      <c r="P4720">
        <v>15.210662516233748</v>
      </c>
    </row>
    <row r="4721" spans="1:16">
      <c r="A4721" s="1" t="s">
        <v>4619</v>
      </c>
      <c r="B4721" s="1" t="s">
        <v>4620</v>
      </c>
      <c r="C4721" s="1" t="s">
        <v>1764</v>
      </c>
      <c r="D4721" s="1" t="s">
        <v>2646</v>
      </c>
      <c r="E4721" s="1" t="s">
        <v>4621</v>
      </c>
      <c r="F4721">
        <v>1022</v>
      </c>
      <c r="G4721">
        <v>1198</v>
      </c>
      <c r="H4721">
        <v>1594</v>
      </c>
      <c r="I4721">
        <v>6997</v>
      </c>
      <c r="J4721">
        <v>2.2599999999999998</v>
      </c>
      <c r="K4721">
        <v>837</v>
      </c>
      <c r="L4721">
        <v>25.8</v>
      </c>
      <c r="M4721">
        <v>26.1</v>
      </c>
      <c r="N4721">
        <v>5.78</v>
      </c>
      <c r="O4721">
        <v>58.7</v>
      </c>
      <c r="P4721">
        <v>0.66200000000000003</v>
      </c>
    </row>
    <row r="4722" spans="1:16">
      <c r="A4722" s="1" t="s">
        <v>4619</v>
      </c>
      <c r="B4722" s="1" t="s">
        <v>4622</v>
      </c>
      <c r="C4722" s="1" t="s">
        <v>1764</v>
      </c>
      <c r="D4722" s="1" t="s">
        <v>2646</v>
      </c>
      <c r="E4722" s="1" t="s">
        <v>4621</v>
      </c>
      <c r="F4722">
        <v>1167</v>
      </c>
      <c r="G4722">
        <v>1199</v>
      </c>
      <c r="H4722">
        <v>1580</v>
      </c>
      <c r="I4722">
        <v>6912</v>
      </c>
      <c r="J4722">
        <v>9.59</v>
      </c>
      <c r="K4722">
        <v>856</v>
      </c>
      <c r="L4722">
        <v>24.8</v>
      </c>
      <c r="M4722">
        <v>27.1</v>
      </c>
      <c r="N4722">
        <v>6.1</v>
      </c>
      <c r="O4722">
        <v>60.2</v>
      </c>
      <c r="P4722">
        <v>0.90100000000000002</v>
      </c>
    </row>
    <row r="4723" spans="1:16">
      <c r="A4723" s="1" t="s">
        <v>4619</v>
      </c>
      <c r="B4723" s="1" t="s">
        <v>4623</v>
      </c>
      <c r="C4723" s="1" t="s">
        <v>1764</v>
      </c>
      <c r="D4723" s="1" t="s">
        <v>2646</v>
      </c>
      <c r="E4723" s="1" t="s">
        <v>4624</v>
      </c>
      <c r="F4723">
        <v>1031</v>
      </c>
      <c r="G4723">
        <v>1172</v>
      </c>
      <c r="H4723">
        <v>1669</v>
      </c>
      <c r="I4723">
        <v>6997</v>
      </c>
      <c r="J4723">
        <v>1.83</v>
      </c>
      <c r="K4723">
        <v>860</v>
      </c>
      <c r="L4723">
        <v>25.4</v>
      </c>
      <c r="M4723">
        <v>21.9</v>
      </c>
      <c r="N4723">
        <v>6.1</v>
      </c>
      <c r="O4723">
        <v>59.9</v>
      </c>
      <c r="P4723">
        <v>0.92100000000000004</v>
      </c>
    </row>
    <row r="4724" spans="1:16">
      <c r="A4724" s="1" t="s">
        <v>4619</v>
      </c>
      <c r="B4724" s="1" t="s">
        <v>4625</v>
      </c>
      <c r="C4724" s="1" t="s">
        <v>1764</v>
      </c>
      <c r="D4724" s="1" t="s">
        <v>2646</v>
      </c>
      <c r="E4724" s="1" t="s">
        <v>4624</v>
      </c>
      <c r="F4724">
        <v>1075</v>
      </c>
      <c r="G4724">
        <v>1184</v>
      </c>
      <c r="H4724">
        <v>1485</v>
      </c>
      <c r="I4724">
        <v>7071</v>
      </c>
      <c r="J4724">
        <v>4.43</v>
      </c>
      <c r="K4724">
        <v>860</v>
      </c>
      <c r="L4724">
        <v>26.1</v>
      </c>
      <c r="M4724">
        <v>23.5</v>
      </c>
      <c r="N4724">
        <v>4.7</v>
      </c>
      <c r="O4724">
        <v>56</v>
      </c>
      <c r="P4724">
        <v>0.88300000000000001</v>
      </c>
    </row>
    <row r="4725" spans="1:16">
      <c r="A4725" s="1" t="s">
        <v>4619</v>
      </c>
      <c r="B4725" s="1" t="s">
        <v>4626</v>
      </c>
      <c r="C4725" s="1" t="s">
        <v>1764</v>
      </c>
      <c r="D4725" s="1" t="s">
        <v>2646</v>
      </c>
      <c r="E4725" s="1" t="s">
        <v>4624</v>
      </c>
      <c r="F4725">
        <v>1160</v>
      </c>
      <c r="G4725">
        <v>1228</v>
      </c>
      <c r="H4725">
        <v>1677</v>
      </c>
      <c r="I4725">
        <v>7040</v>
      </c>
      <c r="J4725">
        <v>7.76</v>
      </c>
      <c r="K4725">
        <v>881</v>
      </c>
      <c r="L4725">
        <v>25.3</v>
      </c>
      <c r="M4725">
        <v>27.6</v>
      </c>
      <c r="N4725">
        <v>6.3</v>
      </c>
      <c r="O4725">
        <v>60</v>
      </c>
      <c r="P4725">
        <v>1.33</v>
      </c>
    </row>
    <row r="4726" spans="1:16">
      <c r="A4726" s="1" t="s">
        <v>4619</v>
      </c>
      <c r="B4726" s="1" t="s">
        <v>4627</v>
      </c>
      <c r="C4726" s="1" t="s">
        <v>1764</v>
      </c>
      <c r="D4726" s="1" t="s">
        <v>2646</v>
      </c>
      <c r="E4726" s="1" t="s">
        <v>4624</v>
      </c>
      <c r="F4726">
        <v>974</v>
      </c>
      <c r="G4726">
        <v>1182</v>
      </c>
      <c r="H4726">
        <v>1486</v>
      </c>
      <c r="I4726">
        <v>6948</v>
      </c>
      <c r="J4726">
        <v>4.21</v>
      </c>
      <c r="K4726">
        <v>821</v>
      </c>
      <c r="L4726">
        <v>26.3</v>
      </c>
      <c r="M4726">
        <v>21</v>
      </c>
      <c r="N4726">
        <v>5.7</v>
      </c>
      <c r="O4726">
        <v>62.1</v>
      </c>
      <c r="P4726">
        <v>1.1399999999999999</v>
      </c>
    </row>
    <row r="4727" spans="1:16">
      <c r="A4727" s="1" t="s">
        <v>4619</v>
      </c>
      <c r="B4727" s="1" t="s">
        <v>4628</v>
      </c>
      <c r="C4727" s="1" t="s">
        <v>1764</v>
      </c>
      <c r="D4727" s="1" t="s">
        <v>2646</v>
      </c>
      <c r="E4727" s="1" t="s">
        <v>4624</v>
      </c>
      <c r="F4727">
        <v>697</v>
      </c>
      <c r="G4727">
        <v>1130</v>
      </c>
      <c r="H4727">
        <v>1425</v>
      </c>
      <c r="I4727">
        <v>8374</v>
      </c>
      <c r="J4727">
        <f>1.53/2</f>
        <v>0.76500000000000001</v>
      </c>
      <c r="K4727">
        <v>4303</v>
      </c>
      <c r="L4727">
        <v>23.8</v>
      </c>
      <c r="M4727">
        <v>19.8</v>
      </c>
      <c r="N4727">
        <v>40</v>
      </c>
      <c r="O4727">
        <v>40.5</v>
      </c>
      <c r="P4727">
        <v>1.4</v>
      </c>
    </row>
    <row r="4728" spans="1:16">
      <c r="A4728" s="1" t="s">
        <v>4619</v>
      </c>
      <c r="B4728" s="1" t="s">
        <v>4629</v>
      </c>
      <c r="C4728" s="1" t="s">
        <v>1764</v>
      </c>
      <c r="D4728" s="1" t="s">
        <v>2646</v>
      </c>
      <c r="E4728" s="1" t="s">
        <v>4624</v>
      </c>
      <c r="F4728">
        <v>788</v>
      </c>
      <c r="G4728">
        <v>1297</v>
      </c>
      <c r="H4728">
        <v>1435</v>
      </c>
      <c r="I4728">
        <v>8353</v>
      </c>
      <c r="J4728">
        <v>1.66</v>
      </c>
      <c r="K4728">
        <v>4579</v>
      </c>
      <c r="L4728">
        <v>21.7</v>
      </c>
      <c r="M4728">
        <v>23.1</v>
      </c>
      <c r="N4728">
        <v>33</v>
      </c>
      <c r="O4728">
        <v>45.6</v>
      </c>
      <c r="P4728">
        <v>0.90500000000000003</v>
      </c>
    </row>
    <row r="4729" spans="1:16">
      <c r="A4729" s="1" t="s">
        <v>4619</v>
      </c>
      <c r="B4729" s="1" t="s">
        <v>4630</v>
      </c>
      <c r="C4729" s="1" t="s">
        <v>1764</v>
      </c>
      <c r="D4729" s="1" t="s">
        <v>2646</v>
      </c>
      <c r="E4729" s="1" t="s">
        <v>4624</v>
      </c>
      <c r="F4729">
        <v>705</v>
      </c>
      <c r="G4729">
        <v>1218</v>
      </c>
      <c r="H4729">
        <v>1423</v>
      </c>
      <c r="I4729">
        <v>8314</v>
      </c>
      <c r="J4729">
        <v>2.77</v>
      </c>
      <c r="K4729">
        <v>4695</v>
      </c>
      <c r="L4729">
        <v>24.3</v>
      </c>
      <c r="M4729">
        <v>18.3</v>
      </c>
      <c r="N4729">
        <v>33.799999999999997</v>
      </c>
      <c r="O4729">
        <v>41.4</v>
      </c>
      <c r="P4729">
        <v>0.86199999999999999</v>
      </c>
    </row>
    <row r="4730" spans="1:16">
      <c r="A4730" s="1" t="s">
        <v>4619</v>
      </c>
      <c r="B4730" s="1" t="s">
        <v>4631</v>
      </c>
      <c r="C4730" s="1" t="s">
        <v>1764</v>
      </c>
      <c r="D4730" s="1" t="s">
        <v>2646</v>
      </c>
      <c r="E4730" s="1" t="s">
        <v>4624</v>
      </c>
      <c r="F4730">
        <v>677</v>
      </c>
      <c r="G4730">
        <v>1199</v>
      </c>
      <c r="H4730">
        <v>1367</v>
      </c>
      <c r="I4730">
        <v>8337</v>
      </c>
      <c r="J4730">
        <v>2.09</v>
      </c>
      <c r="K4730">
        <v>4355</v>
      </c>
      <c r="L4730">
        <v>24.2</v>
      </c>
      <c r="M4730">
        <v>22.3</v>
      </c>
      <c r="N4730">
        <v>38.200000000000003</v>
      </c>
      <c r="O4730">
        <v>40.9</v>
      </c>
      <c r="P4730">
        <v>1.1499999999999999</v>
      </c>
    </row>
    <row r="4731" spans="1:16">
      <c r="A4731" s="1" t="s">
        <v>4619</v>
      </c>
      <c r="B4731" s="1" t="s">
        <v>4632</v>
      </c>
      <c r="C4731" s="1" t="s">
        <v>1764</v>
      </c>
      <c r="D4731" s="1" t="s">
        <v>2646</v>
      </c>
      <c r="E4731" s="1" t="s">
        <v>4624</v>
      </c>
      <c r="F4731">
        <v>639</v>
      </c>
      <c r="G4731">
        <v>1035</v>
      </c>
      <c r="H4731">
        <v>1293</v>
      </c>
      <c r="I4731">
        <v>8388</v>
      </c>
      <c r="J4731" s="11">
        <f t="shared" ref="J4731:J4732" si="176">1.53/2</f>
        <v>0.76500000000000001</v>
      </c>
      <c r="K4731">
        <v>4411</v>
      </c>
      <c r="L4731">
        <v>25.6</v>
      </c>
      <c r="M4731">
        <v>21</v>
      </c>
      <c r="N4731">
        <v>34</v>
      </c>
      <c r="O4731">
        <v>38.799999999999997</v>
      </c>
      <c r="P4731">
        <v>1.17</v>
      </c>
    </row>
    <row r="4732" spans="1:16">
      <c r="A4732" s="1" t="s">
        <v>4619</v>
      </c>
      <c r="B4732" s="1" t="s">
        <v>4633</v>
      </c>
      <c r="C4732" s="1" t="s">
        <v>1764</v>
      </c>
      <c r="D4732" s="1" t="s">
        <v>2646</v>
      </c>
      <c r="E4732" s="1" t="s">
        <v>4624</v>
      </c>
      <c r="F4732">
        <v>646</v>
      </c>
      <c r="G4732">
        <v>1112</v>
      </c>
      <c r="H4732">
        <v>1364</v>
      </c>
      <c r="I4732">
        <v>8420</v>
      </c>
      <c r="J4732" s="11">
        <f t="shared" si="176"/>
        <v>0.76500000000000001</v>
      </c>
      <c r="K4732">
        <v>4547</v>
      </c>
      <c r="L4732">
        <v>23.3</v>
      </c>
      <c r="M4732">
        <v>25.4</v>
      </c>
      <c r="N4732">
        <v>37.1</v>
      </c>
      <c r="O4732">
        <v>38.700000000000003</v>
      </c>
      <c r="P4732">
        <v>1.26</v>
      </c>
    </row>
    <row r="4733" spans="1:16">
      <c r="A4733" s="1" t="s">
        <v>4619</v>
      </c>
      <c r="B4733" s="1" t="s">
        <v>4634</v>
      </c>
      <c r="C4733" s="1" t="s">
        <v>1764</v>
      </c>
      <c r="D4733" s="1" t="s">
        <v>2646</v>
      </c>
      <c r="E4733" s="1" t="s">
        <v>4624</v>
      </c>
      <c r="F4733">
        <v>485</v>
      </c>
      <c r="G4733">
        <v>908</v>
      </c>
      <c r="H4733">
        <v>898</v>
      </c>
      <c r="I4733">
        <v>8425</v>
      </c>
      <c r="J4733">
        <v>6.18</v>
      </c>
      <c r="K4733">
        <v>3984</v>
      </c>
      <c r="L4733">
        <v>25.4</v>
      </c>
      <c r="M4733">
        <v>25.3</v>
      </c>
      <c r="N4733">
        <v>36.9</v>
      </c>
      <c r="O4733">
        <v>39.799999999999997</v>
      </c>
      <c r="P4733">
        <v>1.28</v>
      </c>
    </row>
    <row r="4734" spans="1:16">
      <c r="A4734" s="1" t="s">
        <v>4619</v>
      </c>
      <c r="B4734" s="1" t="s">
        <v>4635</v>
      </c>
      <c r="C4734" s="1" t="s">
        <v>1764</v>
      </c>
      <c r="D4734" s="1" t="s">
        <v>2646</v>
      </c>
      <c r="E4734" s="1" t="s">
        <v>4624</v>
      </c>
      <c r="F4734">
        <v>670</v>
      </c>
      <c r="G4734">
        <v>1057</v>
      </c>
      <c r="H4734">
        <v>1296</v>
      </c>
      <c r="I4734">
        <v>8468</v>
      </c>
      <c r="J4734" s="11">
        <f t="shared" ref="J4734:J4737" si="177">1.53/2</f>
        <v>0.76500000000000001</v>
      </c>
      <c r="K4734">
        <v>4400</v>
      </c>
      <c r="L4734">
        <v>22.1</v>
      </c>
      <c r="M4734">
        <v>22.4</v>
      </c>
      <c r="N4734">
        <v>39.299999999999997</v>
      </c>
      <c r="O4734">
        <v>42.9</v>
      </c>
      <c r="P4734">
        <v>0.84799999999999998</v>
      </c>
    </row>
    <row r="4735" spans="1:16">
      <c r="A4735" s="1" t="s">
        <v>4619</v>
      </c>
      <c r="B4735" s="1" t="s">
        <v>4636</v>
      </c>
      <c r="C4735" s="1" t="s">
        <v>1764</v>
      </c>
      <c r="D4735" s="1" t="s">
        <v>2646</v>
      </c>
      <c r="E4735" s="1" t="s">
        <v>4624</v>
      </c>
      <c r="F4735">
        <v>636</v>
      </c>
      <c r="G4735">
        <v>1127</v>
      </c>
      <c r="H4735">
        <v>907</v>
      </c>
      <c r="I4735">
        <v>8435</v>
      </c>
      <c r="J4735" s="11">
        <f t="shared" si="177"/>
        <v>0.76500000000000001</v>
      </c>
      <c r="K4735">
        <v>4114</v>
      </c>
      <c r="L4735">
        <v>23.7</v>
      </c>
      <c r="M4735">
        <v>23.7</v>
      </c>
      <c r="N4735">
        <v>37.299999999999997</v>
      </c>
      <c r="O4735">
        <v>41.1</v>
      </c>
      <c r="P4735">
        <v>1.19</v>
      </c>
    </row>
    <row r="4736" spans="1:16">
      <c r="A4736" s="1" t="s">
        <v>4619</v>
      </c>
      <c r="B4736" s="1" t="s">
        <v>4637</v>
      </c>
      <c r="C4736" s="1" t="s">
        <v>1764</v>
      </c>
      <c r="D4736" s="1" t="s">
        <v>2646</v>
      </c>
      <c r="E4736" s="1" t="s">
        <v>4624</v>
      </c>
      <c r="F4736">
        <v>774</v>
      </c>
      <c r="G4736">
        <v>1368</v>
      </c>
      <c r="H4736">
        <v>1028</v>
      </c>
      <c r="I4736">
        <v>8283</v>
      </c>
      <c r="J4736" s="11">
        <f t="shared" si="177"/>
        <v>0.76500000000000001</v>
      </c>
      <c r="K4736">
        <v>4343</v>
      </c>
      <c r="L4736">
        <v>26.2</v>
      </c>
      <c r="M4736">
        <v>21.5</v>
      </c>
      <c r="N4736">
        <v>38.4</v>
      </c>
      <c r="O4736">
        <v>42.5</v>
      </c>
      <c r="P4736">
        <v>1.1100000000000001</v>
      </c>
    </row>
    <row r="4737" spans="1:16">
      <c r="A4737" s="1" t="s">
        <v>4619</v>
      </c>
      <c r="B4737" s="1" t="s">
        <v>4638</v>
      </c>
      <c r="C4737" s="1" t="s">
        <v>1764</v>
      </c>
      <c r="D4737" s="1" t="s">
        <v>2646</v>
      </c>
      <c r="E4737" s="1" t="s">
        <v>4624</v>
      </c>
      <c r="F4737">
        <v>782</v>
      </c>
      <c r="G4737">
        <v>1301</v>
      </c>
      <c r="H4737">
        <v>1210</v>
      </c>
      <c r="I4737">
        <v>7644</v>
      </c>
      <c r="J4737" s="11">
        <f t="shared" si="177"/>
        <v>0.76500000000000001</v>
      </c>
      <c r="K4737">
        <v>4404</v>
      </c>
      <c r="L4737">
        <v>22</v>
      </c>
      <c r="M4737">
        <v>20.399999999999999</v>
      </c>
      <c r="N4737">
        <v>40.299999999999997</v>
      </c>
      <c r="O4737">
        <v>41.9</v>
      </c>
      <c r="P4737">
        <v>1.1599999999999999</v>
      </c>
    </row>
    <row r="4738" spans="1:16">
      <c r="A4738" s="1" t="s">
        <v>4619</v>
      </c>
      <c r="B4738" s="1" t="s">
        <v>4639</v>
      </c>
      <c r="C4738" s="1" t="s">
        <v>1764</v>
      </c>
      <c r="D4738" s="1" t="s">
        <v>2646</v>
      </c>
      <c r="E4738" s="1" t="s">
        <v>4624</v>
      </c>
      <c r="F4738">
        <v>1101</v>
      </c>
      <c r="G4738">
        <v>1565</v>
      </c>
      <c r="H4738">
        <v>1292</v>
      </c>
      <c r="I4738">
        <v>7788</v>
      </c>
      <c r="J4738">
        <v>2.2400000000000002</v>
      </c>
      <c r="K4738">
        <v>4242</v>
      </c>
      <c r="L4738">
        <v>22.2</v>
      </c>
      <c r="M4738">
        <v>27.6</v>
      </c>
      <c r="N4738">
        <v>34.700000000000003</v>
      </c>
      <c r="O4738">
        <v>39.700000000000003</v>
      </c>
      <c r="P4738">
        <v>1.37</v>
      </c>
    </row>
    <row r="4739" spans="1:16">
      <c r="A4739" s="1" t="s">
        <v>4619</v>
      </c>
      <c r="B4739" s="1" t="s">
        <v>4640</v>
      </c>
      <c r="C4739" s="1" t="s">
        <v>1764</v>
      </c>
      <c r="D4739" s="1" t="s">
        <v>2646</v>
      </c>
      <c r="E4739" s="1" t="s">
        <v>4624</v>
      </c>
      <c r="F4739">
        <v>242</v>
      </c>
      <c r="G4739">
        <v>2691</v>
      </c>
      <c r="H4739">
        <v>1435</v>
      </c>
      <c r="I4739">
        <v>246</v>
      </c>
      <c r="J4739">
        <v>52.7</v>
      </c>
      <c r="K4739">
        <v>2393</v>
      </c>
      <c r="L4739">
        <v>7.27</v>
      </c>
      <c r="M4739">
        <v>1.73</v>
      </c>
      <c r="N4739">
        <v>11.1</v>
      </c>
      <c r="O4739">
        <v>23.1</v>
      </c>
      <c r="P4739">
        <v>12.5</v>
      </c>
    </row>
    <row r="4740" spans="1:16">
      <c r="A4740" s="1" t="s">
        <v>4619</v>
      </c>
      <c r="B4740" s="1" t="s">
        <v>4641</v>
      </c>
      <c r="C4740" s="1" t="s">
        <v>1764</v>
      </c>
      <c r="D4740" s="1" t="s">
        <v>2646</v>
      </c>
      <c r="E4740" s="1" t="s">
        <v>4624</v>
      </c>
      <c r="F4740">
        <v>389</v>
      </c>
      <c r="G4740">
        <v>1648</v>
      </c>
      <c r="H4740">
        <v>1138</v>
      </c>
      <c r="I4740">
        <v>344</v>
      </c>
      <c r="J4740">
        <v>99.2</v>
      </c>
      <c r="K4740">
        <v>2094</v>
      </c>
      <c r="L4740">
        <v>7.93</v>
      </c>
      <c r="M4740">
        <v>1.79</v>
      </c>
      <c r="N4740">
        <v>8.8800000000000008</v>
      </c>
      <c r="O4740">
        <v>20.399999999999999</v>
      </c>
      <c r="P4740">
        <v>9.52</v>
      </c>
    </row>
    <row r="4741" spans="1:16">
      <c r="A4741" s="1" t="s">
        <v>4619</v>
      </c>
      <c r="B4741" s="1" t="s">
        <v>4642</v>
      </c>
      <c r="C4741" s="1" t="s">
        <v>1764</v>
      </c>
      <c r="D4741" s="1" t="s">
        <v>2646</v>
      </c>
      <c r="E4741" s="1" t="s">
        <v>4624</v>
      </c>
      <c r="F4741">
        <v>211</v>
      </c>
      <c r="G4741">
        <v>2546</v>
      </c>
      <c r="H4741">
        <v>1090</v>
      </c>
      <c r="I4741">
        <v>112</v>
      </c>
      <c r="J4741">
        <v>8.73</v>
      </c>
      <c r="K4741">
        <v>2090</v>
      </c>
      <c r="L4741">
        <v>6.82</v>
      </c>
      <c r="M4741">
        <v>1.18</v>
      </c>
      <c r="N4741">
        <v>11.5</v>
      </c>
      <c r="O4741">
        <v>21</v>
      </c>
      <c r="P4741">
        <v>11.7</v>
      </c>
    </row>
    <row r="4742" spans="1:16">
      <c r="A4742" s="1" t="s">
        <v>4619</v>
      </c>
      <c r="B4742" s="1" t="s">
        <v>4643</v>
      </c>
      <c r="C4742" s="1" t="s">
        <v>1764</v>
      </c>
      <c r="D4742" s="1" t="s">
        <v>2646</v>
      </c>
      <c r="E4742" s="1" t="s">
        <v>4624</v>
      </c>
      <c r="F4742">
        <v>182</v>
      </c>
      <c r="G4742">
        <v>198</v>
      </c>
      <c r="H4742">
        <v>957</v>
      </c>
      <c r="I4742">
        <v>3484</v>
      </c>
      <c r="J4742">
        <v>1.53</v>
      </c>
      <c r="K4742">
        <v>2209</v>
      </c>
      <c r="L4742">
        <v>9.2799999999999994</v>
      </c>
      <c r="M4742">
        <v>27.2</v>
      </c>
      <c r="N4742">
        <v>42.1</v>
      </c>
      <c r="O4742">
        <v>53.8</v>
      </c>
      <c r="P4742">
        <v>13</v>
      </c>
    </row>
    <row r="4743" spans="1:16">
      <c r="A4743" s="1" t="s">
        <v>4619</v>
      </c>
      <c r="B4743" s="1" t="s">
        <v>4644</v>
      </c>
      <c r="C4743" s="1" t="s">
        <v>1764</v>
      </c>
      <c r="D4743" s="1" t="s">
        <v>2646</v>
      </c>
      <c r="E4743" s="1" t="s">
        <v>4624</v>
      </c>
      <c r="F4743">
        <v>333</v>
      </c>
      <c r="G4743">
        <v>292</v>
      </c>
      <c r="H4743">
        <v>945</v>
      </c>
      <c r="I4743">
        <v>3466</v>
      </c>
      <c r="J4743">
        <v>5</v>
      </c>
      <c r="K4743">
        <v>2473</v>
      </c>
      <c r="L4743">
        <v>10</v>
      </c>
      <c r="M4743">
        <v>28.9</v>
      </c>
      <c r="N4743">
        <v>44.5</v>
      </c>
      <c r="O4743">
        <v>56.8</v>
      </c>
      <c r="P4743">
        <v>12.3</v>
      </c>
    </row>
    <row r="4744" spans="1:16">
      <c r="A4744" s="1" t="s">
        <v>4619</v>
      </c>
      <c r="B4744" s="1" t="s">
        <v>4645</v>
      </c>
      <c r="C4744" s="1" t="s">
        <v>1764</v>
      </c>
      <c r="D4744" s="1" t="s">
        <v>2646</v>
      </c>
      <c r="E4744" s="1" t="s">
        <v>4624</v>
      </c>
      <c r="F4744">
        <v>768</v>
      </c>
      <c r="G4744">
        <v>250</v>
      </c>
      <c r="H4744">
        <v>940</v>
      </c>
      <c r="I4744">
        <v>3521</v>
      </c>
      <c r="J4744" s="11">
        <f>1.53/2</f>
        <v>0.76500000000000001</v>
      </c>
      <c r="K4744">
        <v>2517</v>
      </c>
      <c r="L4744">
        <v>12.7</v>
      </c>
      <c r="M4744">
        <v>26.8</v>
      </c>
      <c r="N4744">
        <v>43.2</v>
      </c>
      <c r="O4744">
        <v>54.5</v>
      </c>
      <c r="P4744">
        <v>13.5</v>
      </c>
    </row>
    <row r="4745" spans="1:16">
      <c r="A4745" s="1" t="s">
        <v>4646</v>
      </c>
      <c r="B4745" s="1" t="s">
        <v>4647</v>
      </c>
      <c r="C4745" s="1" t="s">
        <v>5591</v>
      </c>
      <c r="D4745" s="1" t="s">
        <v>5787</v>
      </c>
      <c r="E4745" s="1" t="s">
        <v>4648</v>
      </c>
      <c r="F4745">
        <v>4523</v>
      </c>
      <c r="G4745">
        <v>15490</v>
      </c>
      <c r="H4745">
        <v>32521</v>
      </c>
      <c r="I4745">
        <v>5781</v>
      </c>
      <c r="J4745">
        <v>5364</v>
      </c>
      <c r="K4745">
        <v>1762</v>
      </c>
      <c r="L4745">
        <v>317</v>
      </c>
      <c r="M4745">
        <v>592</v>
      </c>
      <c r="N4745">
        <v>1243</v>
      </c>
      <c r="O4745">
        <v>106</v>
      </c>
      <c r="P4745">
        <v>9</v>
      </c>
    </row>
    <row r="4746" spans="1:16">
      <c r="A4746" s="1" t="s">
        <v>4646</v>
      </c>
      <c r="B4746" s="1" t="s">
        <v>4649</v>
      </c>
      <c r="C4746" s="1" t="s">
        <v>5591</v>
      </c>
      <c r="D4746" s="1" t="s">
        <v>5787</v>
      </c>
      <c r="E4746" s="1" t="s">
        <v>4648</v>
      </c>
      <c r="F4746">
        <v>3972</v>
      </c>
      <c r="G4746">
        <v>16216</v>
      </c>
      <c r="H4746">
        <v>37622</v>
      </c>
      <c r="I4746">
        <v>5647</v>
      </c>
      <c r="J4746">
        <v>5582</v>
      </c>
      <c r="K4746">
        <v>2047</v>
      </c>
      <c r="L4746">
        <v>344</v>
      </c>
      <c r="M4746">
        <v>588</v>
      </c>
      <c r="N4746">
        <v>1496</v>
      </c>
      <c r="O4746">
        <v>101</v>
      </c>
      <c r="P4746">
        <v>7</v>
      </c>
    </row>
    <row r="4747" spans="1:16">
      <c r="A4747" s="1" t="s">
        <v>4646</v>
      </c>
      <c r="B4747" s="1" t="s">
        <v>4650</v>
      </c>
      <c r="C4747" s="1" t="s">
        <v>5591</v>
      </c>
      <c r="D4747" s="1" t="s">
        <v>5787</v>
      </c>
      <c r="E4747" s="1" t="s">
        <v>4651</v>
      </c>
      <c r="F4747">
        <v>3439</v>
      </c>
      <c r="G4747">
        <v>14155</v>
      </c>
      <c r="H4747">
        <v>38845</v>
      </c>
      <c r="I4747">
        <v>7611</v>
      </c>
      <c r="J4747">
        <v>5229</v>
      </c>
      <c r="K4747">
        <v>2067</v>
      </c>
      <c r="L4747">
        <v>306</v>
      </c>
      <c r="M4747">
        <v>505</v>
      </c>
      <c r="N4747">
        <v>1644</v>
      </c>
      <c r="O4747">
        <v>134</v>
      </c>
      <c r="P4747">
        <v>9</v>
      </c>
    </row>
    <row r="4748" spans="1:16">
      <c r="A4748" s="1" t="s">
        <v>4646</v>
      </c>
      <c r="B4748" s="1" t="s">
        <v>4652</v>
      </c>
      <c r="C4748" s="1" t="s">
        <v>5591</v>
      </c>
      <c r="D4748" s="1" t="s">
        <v>5787</v>
      </c>
      <c r="E4748" s="1" t="s">
        <v>4651</v>
      </c>
      <c r="F4748">
        <v>4632</v>
      </c>
      <c r="G4748">
        <v>17889</v>
      </c>
      <c r="H4748">
        <v>30619</v>
      </c>
      <c r="I4748">
        <v>5590</v>
      </c>
      <c r="J4748">
        <v>3430</v>
      </c>
      <c r="K4748">
        <v>1840</v>
      </c>
      <c r="L4748">
        <v>248</v>
      </c>
      <c r="M4748">
        <v>371</v>
      </c>
      <c r="N4748">
        <v>1645</v>
      </c>
      <c r="O4748">
        <v>107</v>
      </c>
      <c r="P4748">
        <v>8</v>
      </c>
    </row>
    <row r="4749" spans="1:16">
      <c r="A4749" s="1" t="s">
        <v>4646</v>
      </c>
      <c r="B4749" s="1" t="s">
        <v>4653</v>
      </c>
      <c r="C4749" s="1" t="s">
        <v>5591</v>
      </c>
      <c r="D4749" s="1" t="s">
        <v>5787</v>
      </c>
      <c r="E4749" s="1" t="s">
        <v>4651</v>
      </c>
      <c r="F4749">
        <v>5401</v>
      </c>
      <c r="G4749">
        <v>18732</v>
      </c>
      <c r="H4749">
        <v>32744</v>
      </c>
      <c r="I4749">
        <v>7549</v>
      </c>
      <c r="J4749">
        <v>3848</v>
      </c>
      <c r="K4749">
        <v>2178</v>
      </c>
      <c r="L4749">
        <v>270</v>
      </c>
      <c r="M4749">
        <v>396</v>
      </c>
      <c r="N4749">
        <v>1345</v>
      </c>
      <c r="O4749">
        <v>148</v>
      </c>
      <c r="P4749">
        <v>8</v>
      </c>
    </row>
    <row r="4750" spans="1:16">
      <c r="A4750" s="1" t="s">
        <v>4646</v>
      </c>
      <c r="B4750" s="1" t="s">
        <v>4654</v>
      </c>
      <c r="C4750" s="1" t="s">
        <v>5591</v>
      </c>
      <c r="D4750" s="1" t="s">
        <v>5787</v>
      </c>
      <c r="E4750" s="1" t="s">
        <v>4651</v>
      </c>
      <c r="F4750">
        <v>6304</v>
      </c>
      <c r="G4750">
        <v>24420</v>
      </c>
      <c r="H4750">
        <v>45335</v>
      </c>
      <c r="I4750">
        <v>7122</v>
      </c>
      <c r="J4750">
        <v>2729</v>
      </c>
      <c r="K4750">
        <v>2418</v>
      </c>
      <c r="L4750">
        <v>261</v>
      </c>
      <c r="M4750">
        <v>412</v>
      </c>
      <c r="N4750">
        <v>1407</v>
      </c>
      <c r="O4750">
        <v>99</v>
      </c>
      <c r="P4750">
        <v>7</v>
      </c>
    </row>
    <row r="4751" spans="1:16">
      <c r="A4751" s="1" t="s">
        <v>4646</v>
      </c>
      <c r="B4751" s="1" t="s">
        <v>4655</v>
      </c>
      <c r="C4751" s="1" t="s">
        <v>5591</v>
      </c>
      <c r="D4751" s="1" t="s">
        <v>5787</v>
      </c>
      <c r="E4751" s="1" t="s">
        <v>4651</v>
      </c>
      <c r="F4751">
        <v>3880</v>
      </c>
      <c r="G4751">
        <v>17047</v>
      </c>
      <c r="H4751">
        <v>43243</v>
      </c>
      <c r="I4751">
        <v>7965</v>
      </c>
      <c r="J4751">
        <v>2709</v>
      </c>
      <c r="K4751">
        <v>2054</v>
      </c>
      <c r="L4751">
        <v>259</v>
      </c>
      <c r="M4751">
        <v>350</v>
      </c>
      <c r="N4751">
        <v>1687</v>
      </c>
      <c r="O4751">
        <v>120</v>
      </c>
      <c r="P4751">
        <v>9</v>
      </c>
    </row>
    <row r="4752" spans="1:16">
      <c r="A4752" s="1" t="s">
        <v>4646</v>
      </c>
      <c r="B4752" s="1" t="s">
        <v>4656</v>
      </c>
      <c r="C4752" s="1" t="s">
        <v>5591</v>
      </c>
      <c r="D4752" s="1" t="s">
        <v>5787</v>
      </c>
      <c r="E4752" s="1" t="s">
        <v>4651</v>
      </c>
      <c r="F4752">
        <v>5232</v>
      </c>
      <c r="G4752">
        <v>17668</v>
      </c>
      <c r="H4752">
        <v>48562</v>
      </c>
      <c r="I4752">
        <v>7059</v>
      </c>
      <c r="J4752">
        <v>2052</v>
      </c>
      <c r="K4752">
        <v>2263</v>
      </c>
      <c r="L4752">
        <v>248</v>
      </c>
      <c r="M4752">
        <v>288</v>
      </c>
      <c r="N4752">
        <v>1541</v>
      </c>
      <c r="O4752">
        <v>121</v>
      </c>
      <c r="P4752">
        <v>8</v>
      </c>
    </row>
    <row r="4753" spans="1:16">
      <c r="A4753" s="1" t="s">
        <v>4646</v>
      </c>
      <c r="B4753" s="1" t="s">
        <v>4657</v>
      </c>
      <c r="C4753" s="1" t="s">
        <v>5591</v>
      </c>
      <c r="D4753" s="1" t="s">
        <v>5787</v>
      </c>
      <c r="E4753" s="1" t="s">
        <v>4651</v>
      </c>
      <c r="F4753">
        <v>5483</v>
      </c>
      <c r="G4753">
        <v>16718</v>
      </c>
      <c r="H4753">
        <v>47720</v>
      </c>
      <c r="I4753">
        <v>10709</v>
      </c>
      <c r="J4753">
        <v>4904</v>
      </c>
      <c r="K4753">
        <v>2224</v>
      </c>
      <c r="L4753">
        <v>295</v>
      </c>
      <c r="M4753">
        <v>505</v>
      </c>
      <c r="N4753">
        <v>1679</v>
      </c>
      <c r="O4753">
        <v>117</v>
      </c>
      <c r="P4753">
        <v>7</v>
      </c>
    </row>
    <row r="4754" spans="1:16">
      <c r="A4754" s="1" t="s">
        <v>4646</v>
      </c>
      <c r="B4754" s="1" t="s">
        <v>4658</v>
      </c>
      <c r="C4754" s="1" t="s">
        <v>5591</v>
      </c>
      <c r="D4754" s="1" t="s">
        <v>5787</v>
      </c>
      <c r="E4754" s="1" t="s">
        <v>4651</v>
      </c>
      <c r="F4754">
        <v>3092</v>
      </c>
      <c r="G4754">
        <v>13049</v>
      </c>
      <c r="H4754">
        <v>56450</v>
      </c>
      <c r="I4754">
        <v>9169</v>
      </c>
      <c r="J4754">
        <v>4847</v>
      </c>
      <c r="K4754">
        <v>2420</v>
      </c>
      <c r="L4754">
        <v>272</v>
      </c>
      <c r="M4754">
        <v>364</v>
      </c>
      <c r="N4754">
        <v>1428</v>
      </c>
      <c r="O4754">
        <v>105</v>
      </c>
      <c r="P4754">
        <v>7</v>
      </c>
    </row>
    <row r="4755" spans="1:16">
      <c r="A4755" s="1" t="s">
        <v>4646</v>
      </c>
      <c r="B4755" s="1" t="s">
        <v>4659</v>
      </c>
      <c r="C4755" s="1" t="s">
        <v>5591</v>
      </c>
      <c r="D4755" s="1" t="s">
        <v>5787</v>
      </c>
      <c r="E4755" s="1" t="s">
        <v>4651</v>
      </c>
      <c r="F4755">
        <v>4337</v>
      </c>
      <c r="G4755">
        <v>13101</v>
      </c>
      <c r="H4755">
        <v>56858</v>
      </c>
      <c r="I4755">
        <v>10753</v>
      </c>
      <c r="J4755">
        <v>4667</v>
      </c>
      <c r="K4755">
        <v>2686</v>
      </c>
      <c r="L4755">
        <v>300</v>
      </c>
      <c r="M4755">
        <v>485</v>
      </c>
      <c r="N4755">
        <v>1807</v>
      </c>
      <c r="O4755">
        <v>121</v>
      </c>
      <c r="P4755">
        <v>6</v>
      </c>
    </row>
    <row r="4756" spans="1:16">
      <c r="A4756" s="1" t="s">
        <v>4646</v>
      </c>
      <c r="B4756" s="1" t="s">
        <v>4660</v>
      </c>
      <c r="C4756" s="1" t="s">
        <v>5591</v>
      </c>
      <c r="D4756" s="1" t="s">
        <v>5787</v>
      </c>
      <c r="E4756" s="1" t="s">
        <v>4651</v>
      </c>
      <c r="F4756">
        <v>237</v>
      </c>
      <c r="G4756">
        <v>3445</v>
      </c>
      <c r="H4756">
        <v>4108</v>
      </c>
      <c r="I4756">
        <v>5643</v>
      </c>
      <c r="J4756">
        <v>1958</v>
      </c>
      <c r="K4756">
        <v>1222</v>
      </c>
      <c r="L4756">
        <v>93</v>
      </c>
      <c r="M4756">
        <v>116</v>
      </c>
      <c r="N4756">
        <v>298</v>
      </c>
      <c r="O4756">
        <v>103</v>
      </c>
      <c r="P4756">
        <v>5</v>
      </c>
    </row>
    <row r="4757" spans="1:16">
      <c r="A4757" s="1" t="s">
        <v>4646</v>
      </c>
      <c r="B4757" s="1" t="s">
        <v>4661</v>
      </c>
      <c r="C4757" s="1" t="s">
        <v>5591</v>
      </c>
      <c r="D4757" s="1" t="s">
        <v>5787</v>
      </c>
      <c r="E4757" s="1" t="s">
        <v>4651</v>
      </c>
      <c r="F4757">
        <v>252</v>
      </c>
      <c r="G4757">
        <v>3570</v>
      </c>
      <c r="H4757">
        <v>2948</v>
      </c>
      <c r="I4757">
        <v>7116</v>
      </c>
      <c r="J4757">
        <v>2171</v>
      </c>
      <c r="K4757">
        <v>967</v>
      </c>
      <c r="L4757">
        <v>108</v>
      </c>
      <c r="M4757">
        <v>160</v>
      </c>
      <c r="N4757">
        <v>297</v>
      </c>
      <c r="O4757">
        <v>135</v>
      </c>
      <c r="P4757">
        <v>7</v>
      </c>
    </row>
    <row r="4758" spans="1:16">
      <c r="A4758" s="1" t="s">
        <v>4646</v>
      </c>
      <c r="B4758" s="1" t="s">
        <v>4662</v>
      </c>
      <c r="C4758" s="1" t="s">
        <v>5591</v>
      </c>
      <c r="D4758" s="1" t="s">
        <v>5787</v>
      </c>
      <c r="E4758" s="1" t="s">
        <v>4651</v>
      </c>
      <c r="F4758">
        <v>238</v>
      </c>
      <c r="G4758">
        <v>3279</v>
      </c>
      <c r="H4758">
        <v>2675</v>
      </c>
      <c r="I4758">
        <v>7437</v>
      </c>
      <c r="J4758">
        <v>2191</v>
      </c>
      <c r="K4758">
        <v>926</v>
      </c>
      <c r="L4758">
        <v>108</v>
      </c>
      <c r="M4758">
        <v>141</v>
      </c>
      <c r="N4758">
        <v>590</v>
      </c>
      <c r="O4758">
        <v>138</v>
      </c>
      <c r="P4758">
        <v>8</v>
      </c>
    </row>
    <row r="4759" spans="1:16">
      <c r="A4759" s="1" t="s">
        <v>4646</v>
      </c>
      <c r="B4759" s="1" t="s">
        <v>4663</v>
      </c>
      <c r="C4759" s="1" t="s">
        <v>5591</v>
      </c>
      <c r="D4759" s="1" t="s">
        <v>5787</v>
      </c>
      <c r="E4759" s="1" t="s">
        <v>4651</v>
      </c>
      <c r="F4759">
        <v>269</v>
      </c>
      <c r="G4759">
        <v>2227</v>
      </c>
      <c r="H4759">
        <v>3280</v>
      </c>
      <c r="I4759">
        <v>6969</v>
      </c>
      <c r="J4759">
        <v>364</v>
      </c>
      <c r="K4759">
        <v>673</v>
      </c>
      <c r="L4759">
        <v>116</v>
      </c>
      <c r="M4759">
        <v>184</v>
      </c>
      <c r="N4759">
        <v>831</v>
      </c>
      <c r="O4759">
        <v>128</v>
      </c>
      <c r="P4759">
        <v>7</v>
      </c>
    </row>
    <row r="4760" spans="1:16">
      <c r="A4760" s="1" t="s">
        <v>4646</v>
      </c>
      <c r="B4760" s="1" t="s">
        <v>4664</v>
      </c>
      <c r="C4760" s="1" t="s">
        <v>5591</v>
      </c>
      <c r="D4760" s="1" t="s">
        <v>5787</v>
      </c>
      <c r="E4760" s="1" t="s">
        <v>4651</v>
      </c>
      <c r="F4760">
        <v>224</v>
      </c>
      <c r="G4760">
        <v>1918</v>
      </c>
      <c r="H4760">
        <v>2450</v>
      </c>
      <c r="I4760">
        <v>7313</v>
      </c>
      <c r="J4760">
        <v>315</v>
      </c>
      <c r="K4760">
        <v>516</v>
      </c>
      <c r="L4760">
        <v>126</v>
      </c>
      <c r="M4760">
        <v>211</v>
      </c>
      <c r="N4760">
        <v>893</v>
      </c>
      <c r="O4760">
        <v>137</v>
      </c>
      <c r="P4760">
        <v>9</v>
      </c>
    </row>
    <row r="4761" spans="1:16" ht="11.75" customHeight="1">
      <c r="A4761" s="1" t="s">
        <v>4646</v>
      </c>
      <c r="B4761" s="9" t="s">
        <v>4665</v>
      </c>
      <c r="C4761" s="1" t="s">
        <v>5591</v>
      </c>
      <c r="D4761" s="1" t="s">
        <v>5787</v>
      </c>
      <c r="E4761" s="1" t="s">
        <v>4651</v>
      </c>
      <c r="F4761">
        <v>261</v>
      </c>
      <c r="G4761">
        <v>2030</v>
      </c>
      <c r="H4761">
        <v>9484</v>
      </c>
      <c r="I4761">
        <v>5345</v>
      </c>
      <c r="J4761">
        <v>1196</v>
      </c>
      <c r="K4761">
        <v>1851</v>
      </c>
      <c r="L4761">
        <v>74</v>
      </c>
      <c r="M4761">
        <v>54</v>
      </c>
      <c r="N4761">
        <v>717</v>
      </c>
      <c r="O4761">
        <v>102</v>
      </c>
      <c r="P4761">
        <v>4</v>
      </c>
    </row>
    <row r="4762" spans="1:16" ht="11.75" customHeight="1">
      <c r="A4762" s="1" t="s">
        <v>4646</v>
      </c>
      <c r="B4762" s="9" t="s">
        <v>4666</v>
      </c>
      <c r="C4762" s="1" t="s">
        <v>5591</v>
      </c>
      <c r="D4762" s="1" t="s">
        <v>5787</v>
      </c>
      <c r="E4762" s="1" t="s">
        <v>4651</v>
      </c>
      <c r="F4762">
        <v>148</v>
      </c>
      <c r="G4762">
        <v>2294</v>
      </c>
      <c r="H4762">
        <v>4613</v>
      </c>
      <c r="I4762">
        <v>6610</v>
      </c>
      <c r="J4762">
        <v>849</v>
      </c>
      <c r="K4762">
        <v>835</v>
      </c>
      <c r="L4762">
        <v>71</v>
      </c>
      <c r="M4762">
        <v>57</v>
      </c>
      <c r="N4762">
        <v>861</v>
      </c>
      <c r="O4762">
        <v>107</v>
      </c>
      <c r="P4762">
        <v>4</v>
      </c>
    </row>
    <row r="4763" spans="1:16" ht="11.75" customHeight="1">
      <c r="A4763" s="1" t="s">
        <v>4646</v>
      </c>
      <c r="B4763" s="9" t="s">
        <v>4667</v>
      </c>
      <c r="C4763" s="1" t="s">
        <v>5591</v>
      </c>
      <c r="D4763" s="1" t="s">
        <v>5787</v>
      </c>
      <c r="E4763" s="1" t="s">
        <v>4651</v>
      </c>
      <c r="F4763">
        <v>330</v>
      </c>
      <c r="G4763">
        <v>1322</v>
      </c>
      <c r="H4763">
        <v>53379</v>
      </c>
      <c r="I4763">
        <v>5639</v>
      </c>
      <c r="J4763">
        <v>1497</v>
      </c>
      <c r="K4763">
        <v>5788</v>
      </c>
      <c r="L4763">
        <v>68</v>
      </c>
      <c r="M4763">
        <v>25</v>
      </c>
      <c r="N4763">
        <v>445</v>
      </c>
      <c r="O4763">
        <v>93</v>
      </c>
      <c r="P4763">
        <v>1</v>
      </c>
    </row>
    <row r="4764" spans="1:16" ht="11.75" customHeight="1">
      <c r="A4764" s="1" t="s">
        <v>4646</v>
      </c>
      <c r="B4764" s="9" t="s">
        <v>4668</v>
      </c>
      <c r="C4764" s="1" t="s">
        <v>5591</v>
      </c>
      <c r="D4764" s="1" t="s">
        <v>5787</v>
      </c>
      <c r="E4764" s="1" t="s">
        <v>4651</v>
      </c>
      <c r="F4764">
        <v>523</v>
      </c>
      <c r="G4764">
        <v>4704</v>
      </c>
      <c r="H4764">
        <v>7970</v>
      </c>
      <c r="I4764">
        <v>5836</v>
      </c>
      <c r="J4764">
        <v>950</v>
      </c>
      <c r="K4764">
        <v>740</v>
      </c>
      <c r="L4764">
        <v>122</v>
      </c>
      <c r="M4764">
        <v>217</v>
      </c>
      <c r="N4764">
        <v>1369</v>
      </c>
      <c r="O4764">
        <v>149</v>
      </c>
      <c r="P4764">
        <v>8</v>
      </c>
    </row>
    <row r="4765" spans="1:16">
      <c r="A4765" s="1" t="s">
        <v>4646</v>
      </c>
      <c r="B4765" s="1" t="s">
        <v>4669</v>
      </c>
      <c r="C4765" s="1" t="s">
        <v>1764</v>
      </c>
      <c r="D4765" s="1" t="s">
        <v>44</v>
      </c>
      <c r="E4765" s="1" t="s">
        <v>4651</v>
      </c>
      <c r="F4765">
        <v>1000</v>
      </c>
      <c r="G4765">
        <v>3329</v>
      </c>
      <c r="H4765">
        <v>33122</v>
      </c>
      <c r="I4765">
        <v>8052</v>
      </c>
      <c r="J4765">
        <v>1924</v>
      </c>
      <c r="K4765">
        <v>1245</v>
      </c>
      <c r="L4765">
        <v>136</v>
      </c>
      <c r="M4765">
        <v>210</v>
      </c>
      <c r="N4765">
        <v>1331</v>
      </c>
      <c r="O4765">
        <v>144</v>
      </c>
      <c r="P4765">
        <v>9</v>
      </c>
    </row>
    <row r="4766" spans="1:16">
      <c r="A4766" s="1" t="s">
        <v>4646</v>
      </c>
      <c r="B4766" s="1" t="s">
        <v>4670</v>
      </c>
      <c r="C4766" s="1" t="s">
        <v>1764</v>
      </c>
      <c r="D4766" s="1" t="s">
        <v>44</v>
      </c>
      <c r="E4766" s="1" t="s">
        <v>4651</v>
      </c>
      <c r="F4766">
        <v>287</v>
      </c>
      <c r="G4766">
        <v>3103</v>
      </c>
      <c r="H4766">
        <v>4565</v>
      </c>
      <c r="I4766">
        <v>6260</v>
      </c>
      <c r="J4766">
        <v>1719</v>
      </c>
      <c r="K4766">
        <v>717</v>
      </c>
      <c r="L4766">
        <v>113</v>
      </c>
      <c r="M4766">
        <v>159</v>
      </c>
      <c r="N4766">
        <v>856</v>
      </c>
      <c r="O4766">
        <v>131</v>
      </c>
      <c r="P4766">
        <v>8</v>
      </c>
    </row>
    <row r="4767" spans="1:16">
      <c r="A4767" s="1" t="s">
        <v>4646</v>
      </c>
      <c r="B4767" s="1" t="s">
        <v>4671</v>
      </c>
      <c r="C4767" s="1" t="s">
        <v>1764</v>
      </c>
      <c r="D4767" s="1" t="s">
        <v>44</v>
      </c>
      <c r="E4767" s="1" t="s">
        <v>4651</v>
      </c>
      <c r="F4767">
        <v>1700</v>
      </c>
      <c r="G4767">
        <v>1422</v>
      </c>
      <c r="H4767">
        <v>737</v>
      </c>
      <c r="I4767">
        <v>580</v>
      </c>
      <c r="J4767">
        <v>13</v>
      </c>
      <c r="K4767">
        <v>225</v>
      </c>
      <c r="L4767">
        <v>30</v>
      </c>
      <c r="M4767">
        <v>326</v>
      </c>
      <c r="N4767">
        <v>42</v>
      </c>
      <c r="O4767">
        <v>43</v>
      </c>
      <c r="P4767">
        <v>1</v>
      </c>
    </row>
    <row r="4768" spans="1:16">
      <c r="A4768" s="1" t="s">
        <v>4646</v>
      </c>
      <c r="B4768" s="1" t="s">
        <v>4672</v>
      </c>
      <c r="C4768" s="1" t="s">
        <v>1764</v>
      </c>
      <c r="D4768" s="1" t="s">
        <v>44</v>
      </c>
      <c r="E4768" s="1" t="s">
        <v>4651</v>
      </c>
      <c r="F4768">
        <v>5280</v>
      </c>
      <c r="G4768">
        <v>4966</v>
      </c>
      <c r="H4768">
        <v>724</v>
      </c>
      <c r="I4768">
        <v>263</v>
      </c>
      <c r="J4768">
        <v>1</v>
      </c>
      <c r="K4768">
        <v>268</v>
      </c>
      <c r="L4768">
        <v>35</v>
      </c>
      <c r="M4768">
        <v>316</v>
      </c>
      <c r="N4768">
        <v>35</v>
      </c>
      <c r="O4768">
        <v>59</v>
      </c>
      <c r="P4768">
        <v>3</v>
      </c>
    </row>
    <row r="4769" spans="1:16">
      <c r="A4769" s="1" t="s">
        <v>4646</v>
      </c>
      <c r="B4769" s="1" t="s">
        <v>4673</v>
      </c>
      <c r="C4769" s="1" t="s">
        <v>1764</v>
      </c>
      <c r="D4769" s="1" t="s">
        <v>44</v>
      </c>
      <c r="E4769" s="1" t="s">
        <v>4651</v>
      </c>
      <c r="F4769">
        <v>4609</v>
      </c>
      <c r="G4769">
        <v>3907</v>
      </c>
      <c r="H4769">
        <v>1051</v>
      </c>
      <c r="I4769">
        <v>346</v>
      </c>
      <c r="J4769">
        <v>11</v>
      </c>
      <c r="K4769">
        <v>301</v>
      </c>
      <c r="L4769">
        <v>17</v>
      </c>
      <c r="M4769">
        <v>280</v>
      </c>
      <c r="N4769">
        <v>61</v>
      </c>
      <c r="O4769">
        <v>62</v>
      </c>
      <c r="P4769">
        <v>5</v>
      </c>
    </row>
    <row r="4770" spans="1:16">
      <c r="A4770" s="1" t="s">
        <v>4646</v>
      </c>
      <c r="B4770" s="1" t="s">
        <v>4674</v>
      </c>
      <c r="C4770" s="1" t="s">
        <v>1764</v>
      </c>
      <c r="D4770" s="1" t="s">
        <v>44</v>
      </c>
      <c r="E4770" s="1" t="s">
        <v>4651</v>
      </c>
      <c r="F4770">
        <v>877</v>
      </c>
      <c r="G4770">
        <v>758</v>
      </c>
      <c r="H4770">
        <v>117</v>
      </c>
      <c r="I4770">
        <v>44</v>
      </c>
      <c r="J4770">
        <v>4</v>
      </c>
      <c r="K4770">
        <v>243</v>
      </c>
      <c r="L4770">
        <v>76</v>
      </c>
      <c r="M4770">
        <v>29</v>
      </c>
      <c r="N4770">
        <v>22</v>
      </c>
      <c r="O4770">
        <v>33</v>
      </c>
      <c r="P4770">
        <v>3</v>
      </c>
    </row>
    <row r="4771" spans="1:16">
      <c r="A4771" s="1" t="s">
        <v>4646</v>
      </c>
      <c r="B4771" s="1" t="s">
        <v>4675</v>
      </c>
      <c r="C4771" s="1" t="s">
        <v>1764</v>
      </c>
      <c r="D4771" s="1" t="s">
        <v>44</v>
      </c>
      <c r="E4771" s="1" t="s">
        <v>4651</v>
      </c>
      <c r="F4771">
        <v>15864</v>
      </c>
      <c r="G4771">
        <v>7126</v>
      </c>
      <c r="H4771">
        <v>523</v>
      </c>
      <c r="I4771">
        <v>518</v>
      </c>
      <c r="J4771">
        <v>4</v>
      </c>
      <c r="K4771">
        <v>2067</v>
      </c>
      <c r="L4771">
        <v>115</v>
      </c>
      <c r="M4771">
        <v>14</v>
      </c>
      <c r="N4771">
        <v>794</v>
      </c>
      <c r="O4771">
        <v>11</v>
      </c>
      <c r="P4771">
        <v>3</v>
      </c>
    </row>
    <row r="4772" spans="1:16">
      <c r="A4772" s="1" t="s">
        <v>4646</v>
      </c>
      <c r="B4772" s="1" t="s">
        <v>4676</v>
      </c>
      <c r="C4772" s="1" t="s">
        <v>1764</v>
      </c>
      <c r="D4772" s="1" t="s">
        <v>44</v>
      </c>
      <c r="E4772" s="1" t="s">
        <v>4651</v>
      </c>
      <c r="F4772">
        <v>1477</v>
      </c>
      <c r="G4772">
        <v>1502</v>
      </c>
      <c r="H4772">
        <v>466</v>
      </c>
      <c r="I4772">
        <v>83</v>
      </c>
      <c r="J4772">
        <v>29</v>
      </c>
      <c r="K4772">
        <v>122</v>
      </c>
      <c r="L4772">
        <v>55</v>
      </c>
      <c r="M4772">
        <v>2</v>
      </c>
      <c r="N4772">
        <v>7</v>
      </c>
      <c r="O4772">
        <v>25</v>
      </c>
      <c r="P4772">
        <v>1</v>
      </c>
    </row>
    <row r="4773" spans="1:16">
      <c r="A4773" s="1" t="s">
        <v>4677</v>
      </c>
      <c r="B4773" s="1" t="s">
        <v>4678</v>
      </c>
      <c r="C4773" s="1" t="s">
        <v>5591</v>
      </c>
      <c r="D4773" s="1" t="s">
        <v>1683</v>
      </c>
      <c r="E4773" s="1" t="s">
        <v>4679</v>
      </c>
      <c r="F4773">
        <v>288</v>
      </c>
      <c r="G4773">
        <v>2798</v>
      </c>
      <c r="H4773">
        <v>722</v>
      </c>
      <c r="I4773">
        <v>5200</v>
      </c>
      <c r="J4773">
        <v>2683</v>
      </c>
      <c r="K4773">
        <v>335</v>
      </c>
      <c r="L4773">
        <v>22.3</v>
      </c>
      <c r="M4773">
        <v>535</v>
      </c>
      <c r="N4773">
        <v>48.3</v>
      </c>
      <c r="O4773">
        <v>52.5</v>
      </c>
      <c r="P4773">
        <v>0.155</v>
      </c>
    </row>
    <row r="4774" spans="1:16">
      <c r="A4774" s="1" t="s">
        <v>4677</v>
      </c>
      <c r="B4774" s="1" t="s">
        <v>4680</v>
      </c>
      <c r="C4774" s="1" t="s">
        <v>5591</v>
      </c>
      <c r="D4774" s="1" t="s">
        <v>1683</v>
      </c>
      <c r="E4774" s="1" t="s">
        <v>4679</v>
      </c>
      <c r="F4774">
        <v>395</v>
      </c>
      <c r="G4774">
        <v>1805</v>
      </c>
      <c r="H4774">
        <v>741</v>
      </c>
      <c r="I4774">
        <v>5509</v>
      </c>
      <c r="J4774">
        <v>2795</v>
      </c>
      <c r="K4774">
        <v>298</v>
      </c>
      <c r="L4774">
        <v>16.899999999999999</v>
      </c>
      <c r="M4774">
        <v>485</v>
      </c>
      <c r="N4774">
        <v>27.5</v>
      </c>
      <c r="O4774">
        <v>55.6</v>
      </c>
      <c r="P4774">
        <v>0.16500000000000001</v>
      </c>
    </row>
    <row r="4775" spans="1:16">
      <c r="A4775" s="1" t="s">
        <v>4677</v>
      </c>
      <c r="B4775" s="1" t="s">
        <v>4681</v>
      </c>
      <c r="C4775" s="1" t="s">
        <v>5591</v>
      </c>
      <c r="D4775" s="1" t="s">
        <v>1683</v>
      </c>
      <c r="E4775" s="1" t="s">
        <v>4682</v>
      </c>
      <c r="F4775">
        <v>813</v>
      </c>
      <c r="G4775">
        <v>3531</v>
      </c>
      <c r="H4775">
        <v>816</v>
      </c>
      <c r="I4775">
        <v>6703</v>
      </c>
      <c r="J4775">
        <v>2927</v>
      </c>
      <c r="K4775">
        <v>309</v>
      </c>
      <c r="L4775">
        <v>23</v>
      </c>
      <c r="M4775">
        <v>529</v>
      </c>
      <c r="N4775">
        <v>53.4</v>
      </c>
      <c r="O4775">
        <v>52.6</v>
      </c>
      <c r="P4775">
        <v>0.27800000000000002</v>
      </c>
    </row>
    <row r="4776" spans="1:16">
      <c r="A4776" s="1" t="s">
        <v>4677</v>
      </c>
      <c r="B4776" s="1" t="s">
        <v>4683</v>
      </c>
      <c r="C4776" s="1" t="s">
        <v>5591</v>
      </c>
      <c r="D4776" s="1" t="s">
        <v>1683</v>
      </c>
      <c r="E4776" s="1" t="s">
        <v>4682</v>
      </c>
      <c r="F4776">
        <v>103</v>
      </c>
      <c r="G4776">
        <v>883</v>
      </c>
      <c r="H4776">
        <v>436</v>
      </c>
      <c r="I4776">
        <v>5876</v>
      </c>
      <c r="J4776">
        <v>2956</v>
      </c>
      <c r="K4776">
        <v>2718</v>
      </c>
      <c r="L4776">
        <v>34.5</v>
      </c>
      <c r="M4776">
        <v>748</v>
      </c>
      <c r="N4776">
        <v>27.3</v>
      </c>
      <c r="O4776">
        <v>48.9</v>
      </c>
      <c r="P4776">
        <v>8.3000000000000004E-2</v>
      </c>
    </row>
    <row r="4777" spans="1:16">
      <c r="A4777" s="1" t="s">
        <v>4677</v>
      </c>
      <c r="B4777" s="1" t="s">
        <v>4684</v>
      </c>
      <c r="C4777" s="1" t="s">
        <v>5591</v>
      </c>
      <c r="D4777" s="1" t="s">
        <v>1683</v>
      </c>
      <c r="E4777" s="1" t="s">
        <v>4682</v>
      </c>
      <c r="F4777">
        <v>62.1</v>
      </c>
      <c r="G4777">
        <v>845</v>
      </c>
      <c r="H4777">
        <v>2208</v>
      </c>
      <c r="I4777">
        <v>6199</v>
      </c>
      <c r="J4777">
        <v>3092</v>
      </c>
      <c r="K4777">
        <v>2790</v>
      </c>
      <c r="L4777">
        <v>17.600000000000001</v>
      </c>
      <c r="M4777">
        <v>488</v>
      </c>
      <c r="N4777">
        <v>27.3</v>
      </c>
      <c r="O4777">
        <v>51.9</v>
      </c>
      <c r="P4777">
        <v>0.13500000000000001</v>
      </c>
    </row>
    <row r="4778" spans="1:16">
      <c r="A4778" s="1" t="s">
        <v>4677</v>
      </c>
      <c r="B4778" s="1" t="s">
        <v>4685</v>
      </c>
      <c r="C4778" s="1" t="s">
        <v>5591</v>
      </c>
      <c r="D4778" s="1" t="s">
        <v>1683</v>
      </c>
      <c r="E4778" s="1" t="s">
        <v>4682</v>
      </c>
      <c r="F4778">
        <v>148</v>
      </c>
      <c r="G4778">
        <v>2171</v>
      </c>
      <c r="H4778">
        <v>636</v>
      </c>
      <c r="I4778">
        <v>9754</v>
      </c>
      <c r="J4778">
        <v>1385</v>
      </c>
      <c r="K4778">
        <v>235</v>
      </c>
      <c r="L4778">
        <v>14.8</v>
      </c>
      <c r="M4778">
        <v>256</v>
      </c>
      <c r="N4778">
        <v>21.9</v>
      </c>
      <c r="O4778">
        <v>70.099999999999994</v>
      </c>
      <c r="P4778">
        <v>8.8999999999999996E-2</v>
      </c>
    </row>
    <row r="4779" spans="1:16">
      <c r="A4779" s="1" t="s">
        <v>4677</v>
      </c>
      <c r="B4779" s="1" t="s">
        <v>4686</v>
      </c>
      <c r="C4779" s="1" t="s">
        <v>5591</v>
      </c>
      <c r="D4779" s="1" t="s">
        <v>1683</v>
      </c>
      <c r="E4779" s="1" t="s">
        <v>4682</v>
      </c>
      <c r="F4779">
        <v>474</v>
      </c>
      <c r="G4779">
        <v>2713</v>
      </c>
      <c r="H4779">
        <v>590</v>
      </c>
      <c r="I4779">
        <v>9797</v>
      </c>
      <c r="J4779">
        <v>1374</v>
      </c>
      <c r="K4779">
        <v>223</v>
      </c>
      <c r="L4779">
        <v>12.3</v>
      </c>
      <c r="M4779">
        <v>279</v>
      </c>
      <c r="N4779">
        <v>53.1</v>
      </c>
      <c r="O4779">
        <v>68</v>
      </c>
      <c r="P4779">
        <v>0.112</v>
      </c>
    </row>
    <row r="4780" spans="1:16">
      <c r="A4780" s="1" t="s">
        <v>4677</v>
      </c>
      <c r="B4780" s="1" t="s">
        <v>4687</v>
      </c>
      <c r="C4780" s="1" t="s">
        <v>5591</v>
      </c>
      <c r="D4780" s="1" t="s">
        <v>1683</v>
      </c>
      <c r="E4780" s="1" t="s">
        <v>4682</v>
      </c>
      <c r="F4780">
        <v>106</v>
      </c>
      <c r="G4780">
        <v>1482</v>
      </c>
      <c r="H4780">
        <v>572</v>
      </c>
      <c r="I4780">
        <v>9393</v>
      </c>
      <c r="J4780">
        <v>1396</v>
      </c>
      <c r="K4780">
        <v>222</v>
      </c>
      <c r="L4780">
        <v>15.7</v>
      </c>
      <c r="M4780">
        <v>269</v>
      </c>
      <c r="N4780">
        <v>35.4</v>
      </c>
      <c r="O4780">
        <v>66.599999999999994</v>
      </c>
      <c r="P4780">
        <v>0.13700000000000001</v>
      </c>
    </row>
    <row r="4781" spans="1:16">
      <c r="A4781" s="1" t="s">
        <v>4677</v>
      </c>
      <c r="B4781" s="1" t="s">
        <v>4688</v>
      </c>
      <c r="C4781" s="1" t="s">
        <v>5591</v>
      </c>
      <c r="D4781" s="1" t="s">
        <v>1683</v>
      </c>
      <c r="E4781" s="1" t="s">
        <v>4682</v>
      </c>
      <c r="F4781">
        <v>227</v>
      </c>
      <c r="G4781">
        <v>3003</v>
      </c>
      <c r="H4781">
        <v>758</v>
      </c>
      <c r="I4781">
        <v>9209</v>
      </c>
      <c r="J4781">
        <v>1381</v>
      </c>
      <c r="K4781">
        <v>263</v>
      </c>
      <c r="L4781">
        <v>20.7</v>
      </c>
      <c r="M4781">
        <v>298</v>
      </c>
      <c r="N4781">
        <v>179</v>
      </c>
      <c r="O4781">
        <v>71.8</v>
      </c>
      <c r="P4781">
        <v>0.17599999999999999</v>
      </c>
    </row>
    <row r="4782" spans="1:16">
      <c r="A4782" s="1" t="s">
        <v>4677</v>
      </c>
      <c r="B4782" s="1" t="s">
        <v>4689</v>
      </c>
      <c r="C4782" s="1" t="s">
        <v>5591</v>
      </c>
      <c r="D4782" s="1" t="s">
        <v>1683</v>
      </c>
      <c r="E4782" s="1" t="s">
        <v>4682</v>
      </c>
      <c r="F4782">
        <v>189</v>
      </c>
      <c r="G4782">
        <v>2804</v>
      </c>
      <c r="H4782">
        <v>938</v>
      </c>
      <c r="I4782">
        <v>9832</v>
      </c>
      <c r="J4782">
        <v>1415</v>
      </c>
      <c r="K4782">
        <v>265</v>
      </c>
      <c r="L4782">
        <v>25.5</v>
      </c>
      <c r="M4782">
        <v>354</v>
      </c>
      <c r="N4782">
        <v>19.899999999999999</v>
      </c>
      <c r="O4782">
        <v>75.7</v>
      </c>
      <c r="P4782">
        <v>0.14699999999999999</v>
      </c>
    </row>
    <row r="4783" spans="1:16">
      <c r="A4783" s="1" t="s">
        <v>4677</v>
      </c>
      <c r="B4783" s="1" t="s">
        <v>4690</v>
      </c>
      <c r="C4783" s="1" t="s">
        <v>5591</v>
      </c>
      <c r="D4783" s="1" t="s">
        <v>1683</v>
      </c>
      <c r="E4783" s="1" t="s">
        <v>4682</v>
      </c>
      <c r="F4783">
        <v>79.3</v>
      </c>
      <c r="G4783">
        <v>2493</v>
      </c>
      <c r="H4783">
        <v>661</v>
      </c>
      <c r="I4783">
        <v>9563</v>
      </c>
      <c r="J4783">
        <v>1551</v>
      </c>
      <c r="K4783">
        <v>2543</v>
      </c>
      <c r="L4783">
        <v>18.5</v>
      </c>
      <c r="M4783">
        <v>281</v>
      </c>
      <c r="N4783">
        <v>12.8</v>
      </c>
      <c r="O4783">
        <v>72.599999999999994</v>
      </c>
      <c r="P4783">
        <v>0.48199999999999998</v>
      </c>
    </row>
    <row r="4784" spans="1:16">
      <c r="A4784" s="1" t="s">
        <v>4677</v>
      </c>
      <c r="B4784" s="1" t="s">
        <v>4691</v>
      </c>
      <c r="C4784" s="1" t="s">
        <v>5591</v>
      </c>
      <c r="D4784" s="1" t="s">
        <v>1683</v>
      </c>
      <c r="E4784" s="1" t="s">
        <v>4682</v>
      </c>
      <c r="F4784">
        <v>142</v>
      </c>
      <c r="G4784">
        <v>2543</v>
      </c>
      <c r="H4784">
        <v>1197</v>
      </c>
      <c r="I4784">
        <v>9606</v>
      </c>
      <c r="J4784">
        <v>1459</v>
      </c>
      <c r="K4784">
        <v>2727</v>
      </c>
      <c r="L4784">
        <v>135</v>
      </c>
      <c r="M4784">
        <v>322</v>
      </c>
      <c r="N4784">
        <v>34.700000000000003</v>
      </c>
      <c r="O4784">
        <v>71.599999999999994</v>
      </c>
      <c r="P4784">
        <v>2.2000000000000002</v>
      </c>
    </row>
    <row r="4785" spans="1:16">
      <c r="A4785" s="1" t="s">
        <v>4677</v>
      </c>
      <c r="B4785" s="1" t="s">
        <v>4692</v>
      </c>
      <c r="C4785" s="1" t="s">
        <v>5591</v>
      </c>
      <c r="D4785" s="1" t="s">
        <v>1683</v>
      </c>
      <c r="E4785" s="1" t="s">
        <v>4682</v>
      </c>
      <c r="F4785">
        <v>248</v>
      </c>
      <c r="G4785">
        <v>1941</v>
      </c>
      <c r="H4785">
        <v>506</v>
      </c>
      <c r="I4785">
        <v>9110</v>
      </c>
      <c r="J4785">
        <v>1332</v>
      </c>
      <c r="K4785">
        <v>2720</v>
      </c>
      <c r="L4785">
        <v>18.8</v>
      </c>
      <c r="M4785">
        <v>694</v>
      </c>
      <c r="N4785">
        <v>9.2799999999999994</v>
      </c>
      <c r="O4785">
        <v>79.3</v>
      </c>
      <c r="P4785">
        <v>0.77200000000000002</v>
      </c>
    </row>
    <row r="4786" spans="1:16">
      <c r="A4786" s="1" t="s">
        <v>4677</v>
      </c>
      <c r="B4786" s="1" t="s">
        <v>4693</v>
      </c>
      <c r="C4786" s="1" t="s">
        <v>5591</v>
      </c>
      <c r="D4786" s="1" t="s">
        <v>1683</v>
      </c>
      <c r="E4786" s="1" t="s">
        <v>4682</v>
      </c>
      <c r="F4786">
        <v>2338</v>
      </c>
      <c r="G4786">
        <v>5667</v>
      </c>
      <c r="H4786">
        <v>716</v>
      </c>
      <c r="I4786">
        <v>10420</v>
      </c>
      <c r="J4786">
        <v>1544</v>
      </c>
      <c r="K4786">
        <v>2706</v>
      </c>
      <c r="L4786">
        <v>27.6</v>
      </c>
      <c r="M4786">
        <v>295</v>
      </c>
      <c r="N4786">
        <v>46</v>
      </c>
      <c r="O4786">
        <v>77</v>
      </c>
      <c r="P4786">
        <v>2.5499999999999998</v>
      </c>
    </row>
    <row r="4787" spans="1:16">
      <c r="A4787" s="1" t="s">
        <v>4677</v>
      </c>
      <c r="B4787" s="1" t="s">
        <v>4694</v>
      </c>
      <c r="C4787" s="1" t="s">
        <v>5591</v>
      </c>
      <c r="D4787" s="1" t="s">
        <v>1683</v>
      </c>
      <c r="E4787" s="1" t="s">
        <v>4682</v>
      </c>
      <c r="F4787">
        <v>1169</v>
      </c>
      <c r="G4787">
        <v>6305</v>
      </c>
      <c r="H4787">
        <v>393</v>
      </c>
      <c r="I4787">
        <v>9868</v>
      </c>
      <c r="J4787">
        <v>1927</v>
      </c>
      <c r="K4787">
        <v>2578</v>
      </c>
      <c r="L4787">
        <v>15.7</v>
      </c>
      <c r="M4787">
        <v>237</v>
      </c>
      <c r="N4787">
        <v>170</v>
      </c>
      <c r="O4787">
        <v>82.8</v>
      </c>
      <c r="P4787">
        <v>8.5</v>
      </c>
    </row>
    <row r="4788" spans="1:16">
      <c r="A4788" s="1" t="s">
        <v>4677</v>
      </c>
      <c r="B4788" s="1" t="s">
        <v>4695</v>
      </c>
      <c r="C4788" s="1" t="s">
        <v>5591</v>
      </c>
      <c r="D4788" s="1" t="s">
        <v>1683</v>
      </c>
      <c r="E4788" s="1" t="s">
        <v>4682</v>
      </c>
      <c r="F4788">
        <v>167</v>
      </c>
      <c r="G4788">
        <v>930</v>
      </c>
      <c r="H4788">
        <v>328</v>
      </c>
      <c r="I4788">
        <v>217</v>
      </c>
      <c r="J4788">
        <v>93.9</v>
      </c>
      <c r="K4788">
        <v>357</v>
      </c>
      <c r="L4788">
        <v>33</v>
      </c>
      <c r="M4788">
        <v>584</v>
      </c>
      <c r="N4788">
        <v>24.7</v>
      </c>
      <c r="O4788">
        <v>18.8</v>
      </c>
      <c r="P4788">
        <v>9.5000000000000001E-2</v>
      </c>
    </row>
    <row r="4789" spans="1:16">
      <c r="A4789" s="1" t="s">
        <v>4677</v>
      </c>
      <c r="B4789" s="1" t="s">
        <v>4696</v>
      </c>
      <c r="C4789" s="1" t="s">
        <v>5591</v>
      </c>
      <c r="D4789" s="1" t="s">
        <v>1683</v>
      </c>
      <c r="E4789" s="1" t="s">
        <v>4682</v>
      </c>
      <c r="F4789">
        <v>133</v>
      </c>
      <c r="G4789">
        <v>937</v>
      </c>
      <c r="H4789">
        <v>309</v>
      </c>
      <c r="I4789">
        <v>174</v>
      </c>
      <c r="J4789">
        <v>950</v>
      </c>
      <c r="K4789">
        <v>327</v>
      </c>
      <c r="L4789">
        <v>26.5</v>
      </c>
      <c r="M4789">
        <v>537</v>
      </c>
      <c r="N4789">
        <v>15.5</v>
      </c>
      <c r="O4789">
        <v>19.899999999999999</v>
      </c>
      <c r="P4789">
        <v>0.104</v>
      </c>
    </row>
    <row r="4790" spans="1:16">
      <c r="A4790" s="1" t="s">
        <v>4677</v>
      </c>
      <c r="B4790" s="1" t="s">
        <v>4697</v>
      </c>
      <c r="C4790" s="1" t="s">
        <v>5591</v>
      </c>
      <c r="D4790" s="1" t="s">
        <v>1683</v>
      </c>
      <c r="E4790" s="1" t="s">
        <v>4682</v>
      </c>
      <c r="F4790">
        <v>122</v>
      </c>
      <c r="G4790">
        <v>870</v>
      </c>
      <c r="H4790">
        <v>321</v>
      </c>
      <c r="I4790">
        <v>167</v>
      </c>
      <c r="J4790">
        <v>18.13</v>
      </c>
      <c r="K4790">
        <v>309</v>
      </c>
      <c r="L4790">
        <v>20.6</v>
      </c>
      <c r="M4790">
        <v>516</v>
      </c>
      <c r="N4790">
        <v>65.3</v>
      </c>
      <c r="O4790">
        <v>19.600000000000001</v>
      </c>
      <c r="P4790">
        <v>0.13500000000000001</v>
      </c>
    </row>
    <row r="4791" spans="1:16">
      <c r="A4791" s="1" t="s">
        <v>4677</v>
      </c>
      <c r="B4791" s="1" t="s">
        <v>4698</v>
      </c>
      <c r="C4791" s="1" t="s">
        <v>5591</v>
      </c>
      <c r="D4791" s="1" t="s">
        <v>1683</v>
      </c>
      <c r="E4791" s="1" t="s">
        <v>4682</v>
      </c>
      <c r="F4791">
        <v>87</v>
      </c>
      <c r="G4791">
        <v>876</v>
      </c>
      <c r="H4791">
        <v>339</v>
      </c>
      <c r="I4791">
        <v>202</v>
      </c>
      <c r="J4791">
        <v>7.55</v>
      </c>
      <c r="K4791">
        <v>374</v>
      </c>
      <c r="L4791">
        <v>36.9</v>
      </c>
      <c r="M4791">
        <v>621</v>
      </c>
      <c r="N4791">
        <v>23.9</v>
      </c>
      <c r="O4791">
        <v>19</v>
      </c>
      <c r="P4791">
        <v>0.08</v>
      </c>
    </row>
    <row r="4792" spans="1:16">
      <c r="A4792" s="1" t="s">
        <v>4677</v>
      </c>
      <c r="B4792" s="1" t="s">
        <v>4699</v>
      </c>
      <c r="C4792" s="1" t="s">
        <v>5591</v>
      </c>
      <c r="D4792" s="1" t="s">
        <v>1683</v>
      </c>
      <c r="E4792" s="1" t="s">
        <v>4682</v>
      </c>
      <c r="F4792">
        <v>219</v>
      </c>
      <c r="G4792">
        <v>1146</v>
      </c>
      <c r="H4792">
        <v>96</v>
      </c>
      <c r="I4792">
        <v>39.9</v>
      </c>
      <c r="J4792">
        <v>21.03</v>
      </c>
      <c r="K4792">
        <v>2944</v>
      </c>
      <c r="L4792">
        <v>36.299999999999997</v>
      </c>
      <c r="M4792">
        <v>711</v>
      </c>
      <c r="N4792">
        <v>102</v>
      </c>
      <c r="O4792">
        <v>32.5</v>
      </c>
      <c r="P4792">
        <v>8.6999999999999993</v>
      </c>
    </row>
    <row r="4793" spans="1:16">
      <c r="A4793" s="1" t="s">
        <v>4677</v>
      </c>
      <c r="B4793" s="1" t="s">
        <v>4700</v>
      </c>
      <c r="C4793" s="1" t="s">
        <v>5591</v>
      </c>
      <c r="D4793" s="1" t="s">
        <v>1683</v>
      </c>
      <c r="E4793" s="1" t="s">
        <v>4682</v>
      </c>
      <c r="F4793">
        <v>189</v>
      </c>
      <c r="G4793">
        <v>949</v>
      </c>
      <c r="H4793">
        <v>127</v>
      </c>
      <c r="I4793">
        <v>34.200000000000003</v>
      </c>
      <c r="J4793">
        <v>6.82</v>
      </c>
      <c r="K4793">
        <v>2929</v>
      </c>
      <c r="L4793">
        <v>24.4</v>
      </c>
      <c r="M4793">
        <v>567</v>
      </c>
      <c r="N4793">
        <v>24.7</v>
      </c>
      <c r="O4793">
        <v>28.2</v>
      </c>
      <c r="P4793">
        <v>11.6</v>
      </c>
    </row>
    <row r="4794" spans="1:16">
      <c r="A4794" s="1" t="s">
        <v>4677</v>
      </c>
      <c r="B4794" s="1" t="s">
        <v>4701</v>
      </c>
      <c r="C4794" s="1" t="s">
        <v>5591</v>
      </c>
      <c r="D4794" s="1" t="s">
        <v>1683</v>
      </c>
      <c r="E4794" s="1" t="s">
        <v>4682</v>
      </c>
      <c r="F4794">
        <v>194</v>
      </c>
      <c r="G4794">
        <v>1079</v>
      </c>
      <c r="H4794">
        <v>124</v>
      </c>
      <c r="I4794">
        <v>42.6</v>
      </c>
      <c r="J4794">
        <v>312</v>
      </c>
      <c r="K4794">
        <v>2987</v>
      </c>
      <c r="L4794">
        <v>22.8</v>
      </c>
      <c r="M4794">
        <v>624</v>
      </c>
      <c r="N4794">
        <v>18.600000000000001</v>
      </c>
      <c r="O4794">
        <v>29.1</v>
      </c>
      <c r="P4794">
        <v>0.64500000000000002</v>
      </c>
    </row>
    <row r="4795" spans="1:16">
      <c r="A4795" s="1" t="s">
        <v>4677</v>
      </c>
      <c r="B4795" s="1" t="s">
        <v>4702</v>
      </c>
      <c r="C4795" s="1" t="s">
        <v>5591</v>
      </c>
      <c r="D4795" s="1" t="s">
        <v>1683</v>
      </c>
      <c r="E4795" s="1" t="s">
        <v>4682</v>
      </c>
      <c r="F4795">
        <v>198</v>
      </c>
      <c r="G4795">
        <v>980</v>
      </c>
      <c r="H4795">
        <v>468</v>
      </c>
      <c r="I4795">
        <v>84.3</v>
      </c>
      <c r="J4795">
        <v>6.74</v>
      </c>
      <c r="K4795">
        <v>2792</v>
      </c>
      <c r="L4795">
        <v>22</v>
      </c>
      <c r="M4795">
        <v>560</v>
      </c>
      <c r="N4795">
        <v>30.5</v>
      </c>
      <c r="O4795">
        <v>27.5</v>
      </c>
      <c r="P4795">
        <v>8.6999999999999993</v>
      </c>
    </row>
    <row r="4796" spans="1:16">
      <c r="A4796" s="1" t="s">
        <v>4677</v>
      </c>
      <c r="B4796" s="1" t="s">
        <v>4703</v>
      </c>
      <c r="C4796" s="1" t="s">
        <v>5591</v>
      </c>
      <c r="D4796" s="1" t="s">
        <v>1683</v>
      </c>
      <c r="E4796" s="1" t="s">
        <v>4682</v>
      </c>
      <c r="F4796">
        <v>290</v>
      </c>
      <c r="G4796">
        <v>885</v>
      </c>
      <c r="H4796">
        <v>431</v>
      </c>
      <c r="I4796">
        <v>142</v>
      </c>
      <c r="J4796">
        <v>246</v>
      </c>
      <c r="K4796">
        <v>2857</v>
      </c>
      <c r="L4796">
        <v>15.3</v>
      </c>
      <c r="M4796">
        <v>342</v>
      </c>
      <c r="N4796">
        <v>1305</v>
      </c>
      <c r="O4796">
        <v>23.9</v>
      </c>
      <c r="P4796">
        <v>7.32</v>
      </c>
    </row>
    <row r="4797" spans="1:16">
      <c r="A4797" s="1" t="s">
        <v>4677</v>
      </c>
      <c r="B4797" s="1" t="s">
        <v>4704</v>
      </c>
      <c r="C4797" s="1" t="s">
        <v>5591</v>
      </c>
      <c r="D4797" s="1" t="s">
        <v>1683</v>
      </c>
      <c r="E4797" s="1" t="s">
        <v>4682</v>
      </c>
      <c r="F4797">
        <v>152</v>
      </c>
      <c r="G4797">
        <v>816</v>
      </c>
      <c r="H4797">
        <v>368</v>
      </c>
      <c r="I4797">
        <v>189</v>
      </c>
      <c r="J4797">
        <v>107</v>
      </c>
      <c r="K4797">
        <v>2755</v>
      </c>
      <c r="L4797">
        <v>43.4</v>
      </c>
      <c r="M4797">
        <v>500</v>
      </c>
      <c r="N4797">
        <v>31.3</v>
      </c>
      <c r="O4797">
        <v>25.1</v>
      </c>
      <c r="P4797">
        <v>2.97</v>
      </c>
    </row>
    <row r="4798" spans="1:16">
      <c r="A4798" s="1" t="s">
        <v>4677</v>
      </c>
      <c r="B4798" s="1" t="s">
        <v>4705</v>
      </c>
      <c r="C4798" s="1" t="s">
        <v>5591</v>
      </c>
      <c r="D4798" s="1" t="s">
        <v>1683</v>
      </c>
      <c r="E4798" s="1" t="s">
        <v>4682</v>
      </c>
      <c r="F4798">
        <v>602</v>
      </c>
      <c r="G4798">
        <v>1805</v>
      </c>
      <c r="H4798">
        <v>579</v>
      </c>
      <c r="I4798">
        <v>323</v>
      </c>
      <c r="J4798">
        <v>120</v>
      </c>
      <c r="K4798">
        <v>2799</v>
      </c>
      <c r="L4798">
        <v>29.4</v>
      </c>
      <c r="M4798">
        <v>840</v>
      </c>
      <c r="N4798">
        <v>19.600000000000001</v>
      </c>
      <c r="O4798">
        <v>21.2</v>
      </c>
      <c r="P4798">
        <v>0.88500000000000001</v>
      </c>
    </row>
    <row r="4799" spans="1:16">
      <c r="A4799" s="1" t="s">
        <v>4677</v>
      </c>
      <c r="B4799" s="1" t="s">
        <v>4706</v>
      </c>
      <c r="C4799" s="1" t="s">
        <v>5591</v>
      </c>
      <c r="D4799" s="1" t="s">
        <v>1683</v>
      </c>
      <c r="E4799" s="1" t="s">
        <v>4682</v>
      </c>
      <c r="F4799">
        <v>1407</v>
      </c>
      <c r="G4799">
        <v>1987</v>
      </c>
      <c r="H4799">
        <v>539</v>
      </c>
      <c r="I4799">
        <v>1682</v>
      </c>
      <c r="J4799">
        <v>9390</v>
      </c>
      <c r="K4799">
        <v>2719</v>
      </c>
      <c r="L4799">
        <v>59.5</v>
      </c>
      <c r="M4799">
        <v>732</v>
      </c>
      <c r="N4799">
        <v>26.8</v>
      </c>
      <c r="O4799">
        <v>20.399999999999999</v>
      </c>
      <c r="P4799">
        <v>1.67</v>
      </c>
    </row>
    <row r="4800" spans="1:16">
      <c r="A4800" s="1" t="s">
        <v>4677</v>
      </c>
      <c r="B4800" s="1" t="s">
        <v>4707</v>
      </c>
      <c r="C4800" s="1" t="s">
        <v>5591</v>
      </c>
      <c r="D4800" s="1" t="s">
        <v>1683</v>
      </c>
      <c r="E4800" s="1" t="s">
        <v>4682</v>
      </c>
      <c r="F4800">
        <v>226</v>
      </c>
      <c r="G4800">
        <v>1196</v>
      </c>
      <c r="H4800">
        <v>114</v>
      </c>
      <c r="I4800">
        <v>27.8</v>
      </c>
      <c r="J4800">
        <v>7.27</v>
      </c>
      <c r="K4800">
        <v>2719</v>
      </c>
      <c r="L4800">
        <v>25.5</v>
      </c>
      <c r="M4800">
        <v>669</v>
      </c>
      <c r="N4800">
        <v>21</v>
      </c>
      <c r="O4800">
        <v>29.6</v>
      </c>
      <c r="P4800">
        <v>6.89</v>
      </c>
    </row>
    <row r="4801" spans="1:16">
      <c r="A4801" s="1" t="s">
        <v>4677</v>
      </c>
      <c r="B4801" s="1" t="s">
        <v>4708</v>
      </c>
      <c r="C4801" s="1" t="s">
        <v>5591</v>
      </c>
      <c r="D4801" s="1" t="s">
        <v>1683</v>
      </c>
      <c r="E4801" s="1" t="s">
        <v>4682</v>
      </c>
      <c r="F4801">
        <v>428</v>
      </c>
      <c r="G4801">
        <v>1196</v>
      </c>
      <c r="H4801">
        <v>101</v>
      </c>
      <c r="I4801">
        <v>28.9</v>
      </c>
      <c r="J4801">
        <v>27.7</v>
      </c>
      <c r="K4801">
        <v>2683</v>
      </c>
      <c r="L4801">
        <v>26.5</v>
      </c>
      <c r="M4801">
        <v>730</v>
      </c>
      <c r="N4801">
        <v>18.8</v>
      </c>
      <c r="O4801">
        <v>29.4</v>
      </c>
      <c r="P4801">
        <v>3.99</v>
      </c>
    </row>
    <row r="4802" spans="1:16">
      <c r="A4802" s="1" t="s">
        <v>4677</v>
      </c>
      <c r="B4802" s="1" t="s">
        <v>4709</v>
      </c>
      <c r="C4802" s="1" t="s">
        <v>5591</v>
      </c>
      <c r="D4802" s="1" t="s">
        <v>1683</v>
      </c>
      <c r="E4802" s="1" t="s">
        <v>4682</v>
      </c>
      <c r="F4802">
        <v>125</v>
      </c>
      <c r="G4802">
        <v>845</v>
      </c>
      <c r="H4802">
        <v>168</v>
      </c>
      <c r="I4802">
        <v>63.4</v>
      </c>
      <c r="J4802">
        <v>11.7</v>
      </c>
      <c r="K4802">
        <v>2686</v>
      </c>
      <c r="L4802">
        <v>21.6</v>
      </c>
      <c r="M4802">
        <v>785</v>
      </c>
      <c r="N4802">
        <v>25.6</v>
      </c>
      <c r="O4802">
        <v>30.2</v>
      </c>
      <c r="P4802">
        <v>2.1</v>
      </c>
    </row>
    <row r="4803" spans="1:16">
      <c r="A4803" s="1" t="s">
        <v>4677</v>
      </c>
      <c r="B4803" s="1" t="s">
        <v>4710</v>
      </c>
      <c r="C4803" s="1" t="s">
        <v>5591</v>
      </c>
      <c r="D4803" s="1" t="s">
        <v>1683</v>
      </c>
      <c r="E4803" s="1" t="s">
        <v>4682</v>
      </c>
      <c r="F4803">
        <v>155</v>
      </c>
      <c r="G4803">
        <v>2085</v>
      </c>
      <c r="H4803">
        <v>583</v>
      </c>
      <c r="I4803">
        <v>1003</v>
      </c>
      <c r="J4803">
        <v>5.67</v>
      </c>
      <c r="K4803">
        <v>329</v>
      </c>
      <c r="L4803">
        <v>19.399999999999999</v>
      </c>
      <c r="M4803">
        <v>575</v>
      </c>
      <c r="N4803">
        <v>24</v>
      </c>
      <c r="O4803">
        <v>118</v>
      </c>
      <c r="P4803">
        <v>0.104</v>
      </c>
    </row>
    <row r="4804" spans="1:16">
      <c r="A4804" s="1" t="s">
        <v>4677</v>
      </c>
      <c r="B4804" s="1" t="s">
        <v>4711</v>
      </c>
      <c r="C4804" s="1" t="s">
        <v>5591</v>
      </c>
      <c r="D4804" s="1" t="s">
        <v>1683</v>
      </c>
      <c r="E4804" s="1" t="s">
        <v>4682</v>
      </c>
      <c r="F4804">
        <v>179</v>
      </c>
      <c r="G4804">
        <v>2150</v>
      </c>
      <c r="H4804">
        <v>601</v>
      </c>
      <c r="I4804">
        <v>991</v>
      </c>
      <c r="J4804">
        <v>5.4</v>
      </c>
      <c r="K4804">
        <v>313</v>
      </c>
      <c r="L4804">
        <v>15.7</v>
      </c>
      <c r="M4804">
        <v>522</v>
      </c>
      <c r="N4804">
        <v>30.5</v>
      </c>
      <c r="O4804">
        <v>115</v>
      </c>
      <c r="P4804">
        <v>0.126</v>
      </c>
    </row>
    <row r="4805" spans="1:16">
      <c r="A4805" s="1" t="s">
        <v>4677</v>
      </c>
      <c r="B4805" s="1" t="s">
        <v>4712</v>
      </c>
      <c r="C4805" s="1" t="s">
        <v>5591</v>
      </c>
      <c r="D4805" s="1" t="s">
        <v>1683</v>
      </c>
      <c r="E4805" s="1" t="s">
        <v>4682</v>
      </c>
      <c r="F4805">
        <v>182</v>
      </c>
      <c r="G4805">
        <v>2862</v>
      </c>
      <c r="H4805">
        <v>458</v>
      </c>
      <c r="I4805">
        <v>989</v>
      </c>
      <c r="J4805">
        <v>5.67</v>
      </c>
      <c r="K4805">
        <v>246</v>
      </c>
      <c r="L4805">
        <v>18.8</v>
      </c>
      <c r="M4805">
        <v>632</v>
      </c>
      <c r="N4805">
        <v>11</v>
      </c>
      <c r="O4805">
        <v>109</v>
      </c>
      <c r="P4805">
        <v>0.16600000000000001</v>
      </c>
    </row>
    <row r="4806" spans="1:16">
      <c r="A4806" s="1" t="s">
        <v>4677</v>
      </c>
      <c r="B4806" s="1" t="s">
        <v>4713</v>
      </c>
      <c r="C4806" s="1" t="s">
        <v>5591</v>
      </c>
      <c r="D4806" s="1" t="s">
        <v>1683</v>
      </c>
      <c r="E4806" s="1" t="s">
        <v>4682</v>
      </c>
      <c r="F4806">
        <v>814</v>
      </c>
      <c r="G4806">
        <v>5375</v>
      </c>
      <c r="H4806">
        <v>1830</v>
      </c>
      <c r="I4806">
        <v>989</v>
      </c>
      <c r="J4806">
        <v>5.52</v>
      </c>
      <c r="K4806">
        <v>320</v>
      </c>
      <c r="L4806">
        <v>20</v>
      </c>
      <c r="M4806">
        <v>601</v>
      </c>
      <c r="N4806">
        <v>9.73</v>
      </c>
      <c r="O4806">
        <v>115</v>
      </c>
      <c r="P4806">
        <v>9.7000000000000003E-2</v>
      </c>
    </row>
    <row r="4807" spans="1:16">
      <c r="A4807" s="1" t="s">
        <v>4677</v>
      </c>
      <c r="B4807" s="1" t="s">
        <v>4714</v>
      </c>
      <c r="C4807" s="1" t="s">
        <v>5591</v>
      </c>
      <c r="D4807" s="1" t="s">
        <v>1683</v>
      </c>
      <c r="E4807" s="1" t="s">
        <v>4682</v>
      </c>
      <c r="F4807">
        <v>269</v>
      </c>
      <c r="G4807">
        <v>1068</v>
      </c>
      <c r="H4807">
        <v>599</v>
      </c>
      <c r="I4807">
        <v>946</v>
      </c>
      <c r="J4807">
        <v>5.04</v>
      </c>
      <c r="K4807">
        <v>341</v>
      </c>
      <c r="L4807">
        <v>20.6</v>
      </c>
      <c r="M4807">
        <v>590</v>
      </c>
      <c r="N4807">
        <v>15.2</v>
      </c>
      <c r="O4807">
        <v>123</v>
      </c>
      <c r="P4807">
        <v>0.106</v>
      </c>
    </row>
    <row r="4808" spans="1:16">
      <c r="A4808" s="1" t="s">
        <v>4677</v>
      </c>
      <c r="B4808" s="1" t="s">
        <v>4715</v>
      </c>
      <c r="C4808" s="1" t="s">
        <v>5591</v>
      </c>
      <c r="D4808" s="1" t="s">
        <v>1683</v>
      </c>
      <c r="E4808" s="1" t="s">
        <v>4682</v>
      </c>
      <c r="F4808">
        <v>132</v>
      </c>
      <c r="G4808">
        <v>1954</v>
      </c>
      <c r="H4808">
        <v>607</v>
      </c>
      <c r="I4808">
        <v>956</v>
      </c>
      <c r="J4808">
        <v>5.7</v>
      </c>
      <c r="K4808">
        <v>350</v>
      </c>
      <c r="L4808">
        <v>20.7</v>
      </c>
      <c r="M4808">
        <v>596</v>
      </c>
      <c r="N4808">
        <v>16.100000000000001</v>
      </c>
      <c r="O4808">
        <v>125</v>
      </c>
      <c r="P4808">
        <v>9.7000000000000003E-2</v>
      </c>
    </row>
    <row r="4809" spans="1:16">
      <c r="A4809" s="1" t="s">
        <v>4677</v>
      </c>
      <c r="B4809" s="1" t="s">
        <v>4716</v>
      </c>
      <c r="C4809" s="1" t="s">
        <v>5591</v>
      </c>
      <c r="D4809" s="1" t="s">
        <v>1683</v>
      </c>
      <c r="E4809" s="1" t="s">
        <v>4682</v>
      </c>
      <c r="F4809">
        <v>2318</v>
      </c>
      <c r="G4809">
        <v>2228</v>
      </c>
      <c r="H4809">
        <v>433</v>
      </c>
      <c r="I4809">
        <v>21800</v>
      </c>
      <c r="J4809">
        <v>10167</v>
      </c>
      <c r="K4809">
        <v>748</v>
      </c>
      <c r="L4809">
        <v>36.700000000000003</v>
      </c>
      <c r="M4809">
        <v>370</v>
      </c>
      <c r="N4809">
        <v>107</v>
      </c>
      <c r="O4809">
        <v>48</v>
      </c>
      <c r="P4809">
        <v>9.8000000000000004E-2</v>
      </c>
    </row>
    <row r="4810" spans="1:16">
      <c r="A4810" s="1" t="s">
        <v>4677</v>
      </c>
      <c r="B4810" s="1" t="s">
        <v>4717</v>
      </c>
      <c r="C4810" s="1" t="s">
        <v>5591</v>
      </c>
      <c r="D4810" s="1" t="s">
        <v>1683</v>
      </c>
      <c r="E4810" s="1" t="s">
        <v>4682</v>
      </c>
      <c r="F4810">
        <v>122</v>
      </c>
      <c r="G4810">
        <v>724</v>
      </c>
      <c r="H4810">
        <v>632</v>
      </c>
      <c r="I4810">
        <v>14707</v>
      </c>
      <c r="J4810">
        <v>13530</v>
      </c>
      <c r="K4810">
        <v>480</v>
      </c>
      <c r="L4810">
        <v>26.4</v>
      </c>
      <c r="M4810">
        <v>341</v>
      </c>
      <c r="N4810">
        <v>46.4</v>
      </c>
      <c r="O4810">
        <v>47.1</v>
      </c>
      <c r="P4810">
        <v>9.4E-2</v>
      </c>
    </row>
    <row r="4811" spans="1:16">
      <c r="A4811" s="1" t="s">
        <v>4677</v>
      </c>
      <c r="B4811" s="1" t="s">
        <v>4718</v>
      </c>
      <c r="C4811" s="1" t="s">
        <v>5591</v>
      </c>
      <c r="D4811" s="1" t="s">
        <v>1683</v>
      </c>
      <c r="E4811" s="1" t="s">
        <v>4682</v>
      </c>
      <c r="F4811">
        <v>58.9</v>
      </c>
      <c r="G4811">
        <v>518</v>
      </c>
      <c r="H4811">
        <v>353</v>
      </c>
      <c r="I4811">
        <v>3828</v>
      </c>
      <c r="J4811">
        <v>4880</v>
      </c>
      <c r="K4811">
        <v>277</v>
      </c>
      <c r="L4811">
        <v>14.9</v>
      </c>
      <c r="M4811">
        <v>352</v>
      </c>
      <c r="N4811">
        <v>24.1</v>
      </c>
      <c r="O4811">
        <v>18.2</v>
      </c>
      <c r="P4811">
        <v>0.13</v>
      </c>
    </row>
    <row r="4812" spans="1:16">
      <c r="A4812" s="1" t="s">
        <v>4677</v>
      </c>
      <c r="B4812" s="1" t="s">
        <v>4719</v>
      </c>
      <c r="C4812" s="1" t="s">
        <v>5591</v>
      </c>
      <c r="D4812" s="1" t="s">
        <v>1683</v>
      </c>
      <c r="E4812" s="1" t="s">
        <v>4682</v>
      </c>
      <c r="F4812">
        <v>1794</v>
      </c>
      <c r="G4812">
        <v>2304</v>
      </c>
      <c r="H4812">
        <v>286</v>
      </c>
      <c r="I4812">
        <v>3775</v>
      </c>
      <c r="J4812">
        <v>4694</v>
      </c>
      <c r="K4812">
        <v>245</v>
      </c>
      <c r="L4812">
        <v>14.4</v>
      </c>
      <c r="M4812">
        <v>322</v>
      </c>
      <c r="N4812">
        <v>27.9</v>
      </c>
      <c r="O4812">
        <v>19.2</v>
      </c>
      <c r="P4812">
        <v>0.11</v>
      </c>
    </row>
    <row r="4813" spans="1:16">
      <c r="A4813" s="1" t="s">
        <v>4677</v>
      </c>
      <c r="B4813" s="1" t="s">
        <v>4720</v>
      </c>
      <c r="C4813" s="1" t="s">
        <v>5591</v>
      </c>
      <c r="D4813" s="1" t="s">
        <v>1683</v>
      </c>
      <c r="E4813" s="1" t="s">
        <v>4682</v>
      </c>
      <c r="F4813">
        <v>128</v>
      </c>
      <c r="G4813">
        <v>773</v>
      </c>
      <c r="H4813">
        <v>3305</v>
      </c>
      <c r="I4813">
        <v>5308</v>
      </c>
      <c r="J4813">
        <v>501</v>
      </c>
      <c r="K4813">
        <v>446</v>
      </c>
      <c r="L4813">
        <v>7.34</v>
      </c>
      <c r="M4813">
        <v>618</v>
      </c>
      <c r="N4813">
        <v>42.6</v>
      </c>
      <c r="O4813">
        <v>34.299999999999997</v>
      </c>
      <c r="P4813">
        <v>0.13400000000000001</v>
      </c>
    </row>
    <row r="4814" spans="1:16">
      <c r="A4814" s="1" t="s">
        <v>4677</v>
      </c>
      <c r="B4814" s="1" t="s">
        <v>4721</v>
      </c>
      <c r="C4814" s="1" t="s">
        <v>5591</v>
      </c>
      <c r="D4814" s="1" t="s">
        <v>1683</v>
      </c>
      <c r="E4814" s="1" t="s">
        <v>4682</v>
      </c>
      <c r="F4814">
        <v>1223</v>
      </c>
      <c r="G4814">
        <v>4457</v>
      </c>
      <c r="H4814">
        <v>410</v>
      </c>
      <c r="I4814">
        <v>5301</v>
      </c>
      <c r="J4814">
        <v>596</v>
      </c>
      <c r="K4814">
        <v>2624</v>
      </c>
      <c r="L4814">
        <v>24.3</v>
      </c>
      <c r="M4814">
        <v>979</v>
      </c>
      <c r="N4814">
        <v>44.9</v>
      </c>
      <c r="O4814">
        <v>32.6</v>
      </c>
      <c r="P4814">
        <v>3.36</v>
      </c>
    </row>
    <row r="4815" spans="1:16">
      <c r="A4815" s="1" t="s">
        <v>4677</v>
      </c>
      <c r="B4815" s="1" t="s">
        <v>4722</v>
      </c>
      <c r="C4815" s="1" t="s">
        <v>5591</v>
      </c>
      <c r="D4815" s="1" t="s">
        <v>1683</v>
      </c>
      <c r="E4815" s="1" t="s">
        <v>4682</v>
      </c>
      <c r="F4815">
        <v>73.7</v>
      </c>
      <c r="G4815">
        <v>538</v>
      </c>
      <c r="H4815">
        <v>658</v>
      </c>
      <c r="I4815">
        <v>4908</v>
      </c>
      <c r="J4815">
        <v>579</v>
      </c>
      <c r="K4815">
        <v>2583</v>
      </c>
      <c r="L4815">
        <v>24.8</v>
      </c>
      <c r="M4815">
        <v>638</v>
      </c>
      <c r="N4815">
        <v>150</v>
      </c>
      <c r="O4815">
        <v>27.3</v>
      </c>
      <c r="P4815">
        <v>9.3000000000000007</v>
      </c>
    </row>
    <row r="4816" spans="1:16">
      <c r="A4816" s="1" t="s">
        <v>4677</v>
      </c>
      <c r="B4816" s="1" t="s">
        <v>4723</v>
      </c>
      <c r="C4816" s="1" t="s">
        <v>5591</v>
      </c>
      <c r="D4816" s="1" t="s">
        <v>1683</v>
      </c>
      <c r="E4816" s="1" t="s">
        <v>4682</v>
      </c>
      <c r="F4816">
        <v>58.9</v>
      </c>
      <c r="G4816">
        <v>700</v>
      </c>
      <c r="H4816">
        <v>431</v>
      </c>
      <c r="I4816">
        <v>5737</v>
      </c>
      <c r="J4816">
        <v>584</v>
      </c>
      <c r="K4816">
        <v>2567</v>
      </c>
      <c r="L4816">
        <v>16.7</v>
      </c>
      <c r="M4816">
        <v>685</v>
      </c>
      <c r="N4816">
        <v>49</v>
      </c>
      <c r="O4816">
        <v>36.799999999999997</v>
      </c>
      <c r="P4816">
        <v>6.65</v>
      </c>
    </row>
    <row r="4817" spans="1:16">
      <c r="A4817" s="1" t="s">
        <v>4677</v>
      </c>
      <c r="B4817" s="1" t="s">
        <v>4724</v>
      </c>
      <c r="C4817" s="1" t="s">
        <v>5591</v>
      </c>
      <c r="D4817" s="1" t="s">
        <v>1683</v>
      </c>
      <c r="E4817" s="1" t="s">
        <v>4682</v>
      </c>
      <c r="F4817">
        <v>98.7</v>
      </c>
      <c r="G4817">
        <v>779</v>
      </c>
      <c r="H4817">
        <v>456</v>
      </c>
      <c r="I4817">
        <v>5845</v>
      </c>
      <c r="J4817">
        <v>710</v>
      </c>
      <c r="K4817">
        <v>2625</v>
      </c>
      <c r="L4817">
        <v>12.9</v>
      </c>
      <c r="M4817">
        <v>765</v>
      </c>
      <c r="N4817">
        <v>57.2</v>
      </c>
      <c r="O4817">
        <v>37.200000000000003</v>
      </c>
      <c r="P4817">
        <v>8.08</v>
      </c>
    </row>
    <row r="4818" spans="1:16">
      <c r="A4818" s="1" t="s">
        <v>4677</v>
      </c>
      <c r="B4818" s="1" t="s">
        <v>4725</v>
      </c>
      <c r="C4818" s="1" t="s">
        <v>5591</v>
      </c>
      <c r="D4818" s="1" t="s">
        <v>1683</v>
      </c>
      <c r="E4818" s="1" t="s">
        <v>4682</v>
      </c>
      <c r="F4818">
        <v>73</v>
      </c>
      <c r="G4818">
        <v>699</v>
      </c>
      <c r="H4818">
        <v>423</v>
      </c>
      <c r="I4818">
        <v>5752</v>
      </c>
      <c r="J4818">
        <v>567</v>
      </c>
      <c r="K4818">
        <v>2747</v>
      </c>
      <c r="L4818">
        <v>9.77</v>
      </c>
      <c r="M4818">
        <v>723</v>
      </c>
      <c r="N4818">
        <v>57.2</v>
      </c>
      <c r="O4818">
        <v>40.5</v>
      </c>
      <c r="P4818">
        <v>3</v>
      </c>
    </row>
    <row r="4819" spans="1:16">
      <c r="A4819" s="1" t="s">
        <v>4677</v>
      </c>
      <c r="B4819" s="1" t="s">
        <v>4726</v>
      </c>
      <c r="C4819" s="1" t="s">
        <v>5591</v>
      </c>
      <c r="D4819" s="1" t="s">
        <v>1683</v>
      </c>
      <c r="E4819" s="1" t="s">
        <v>4682</v>
      </c>
      <c r="F4819">
        <v>1502</v>
      </c>
      <c r="G4819">
        <v>5652</v>
      </c>
      <c r="H4819">
        <v>391</v>
      </c>
      <c r="I4819">
        <v>5501</v>
      </c>
      <c r="J4819">
        <v>607</v>
      </c>
      <c r="K4819">
        <v>2654</v>
      </c>
      <c r="L4819">
        <v>45.1</v>
      </c>
      <c r="M4819">
        <v>871</v>
      </c>
      <c r="N4819">
        <v>39.299999999999997</v>
      </c>
      <c r="O4819">
        <v>31.7</v>
      </c>
      <c r="P4819">
        <v>6.22</v>
      </c>
    </row>
    <row r="4820" spans="1:16">
      <c r="A4820" s="1" t="s">
        <v>4677</v>
      </c>
      <c r="B4820" s="1" t="s">
        <v>4727</v>
      </c>
      <c r="C4820" s="1" t="s">
        <v>5591</v>
      </c>
      <c r="D4820" s="1" t="s">
        <v>1683</v>
      </c>
      <c r="E4820" s="1" t="s">
        <v>4682</v>
      </c>
      <c r="F4820">
        <v>46.3</v>
      </c>
      <c r="G4820">
        <v>1045</v>
      </c>
      <c r="H4820">
        <v>798</v>
      </c>
      <c r="I4820">
        <v>10980</v>
      </c>
      <c r="J4820">
        <v>138</v>
      </c>
      <c r="K4820">
        <v>262</v>
      </c>
      <c r="L4820">
        <v>36.6</v>
      </c>
      <c r="M4820">
        <v>715</v>
      </c>
      <c r="N4820">
        <v>43.1</v>
      </c>
      <c r="O4820">
        <v>53.8</v>
      </c>
      <c r="P4820">
        <v>0.246</v>
      </c>
    </row>
    <row r="4821" spans="1:16">
      <c r="A4821" s="1" t="s">
        <v>4677</v>
      </c>
      <c r="B4821" s="1" t="s">
        <v>4728</v>
      </c>
      <c r="C4821" s="1" t="s">
        <v>5591</v>
      </c>
      <c r="D4821" s="1" t="s">
        <v>1683</v>
      </c>
      <c r="E4821" s="1" t="s">
        <v>4682</v>
      </c>
      <c r="F4821">
        <v>124</v>
      </c>
      <c r="G4821">
        <v>770</v>
      </c>
      <c r="H4821">
        <v>467</v>
      </c>
      <c r="I4821">
        <v>1871</v>
      </c>
      <c r="J4821">
        <v>7.01</v>
      </c>
      <c r="K4821">
        <v>2815</v>
      </c>
      <c r="L4821">
        <v>16.3</v>
      </c>
      <c r="M4821">
        <v>871</v>
      </c>
      <c r="N4821">
        <v>21.2</v>
      </c>
      <c r="O4821">
        <v>44.9</v>
      </c>
      <c r="P4821">
        <v>1.8</v>
      </c>
    </row>
    <row r="4822" spans="1:16">
      <c r="A4822" s="1" t="s">
        <v>4677</v>
      </c>
      <c r="B4822" s="1" t="s">
        <v>4729</v>
      </c>
      <c r="C4822" s="1" t="s">
        <v>5591</v>
      </c>
      <c r="D4822" s="1" t="s">
        <v>1683</v>
      </c>
      <c r="E4822" s="1" t="s">
        <v>4682</v>
      </c>
      <c r="F4822">
        <v>79.2</v>
      </c>
      <c r="G4822">
        <v>675</v>
      </c>
      <c r="H4822">
        <v>727</v>
      </c>
      <c r="I4822">
        <v>1753</v>
      </c>
      <c r="J4822">
        <v>394</v>
      </c>
      <c r="K4822">
        <v>2765</v>
      </c>
      <c r="L4822">
        <v>27.9</v>
      </c>
      <c r="M4822">
        <v>1145</v>
      </c>
      <c r="N4822">
        <v>28.9</v>
      </c>
      <c r="O4822">
        <v>49.5</v>
      </c>
      <c r="P4822">
        <v>7.99</v>
      </c>
    </row>
    <row r="4823" spans="1:16">
      <c r="A4823" s="1" t="s">
        <v>4677</v>
      </c>
      <c r="B4823" s="1" t="s">
        <v>4730</v>
      </c>
      <c r="C4823" s="1" t="s">
        <v>5591</v>
      </c>
      <c r="D4823" s="1" t="s">
        <v>1683</v>
      </c>
      <c r="E4823" s="1" t="s">
        <v>4682</v>
      </c>
      <c r="F4823">
        <v>109</v>
      </c>
      <c r="G4823">
        <v>589</v>
      </c>
      <c r="H4823">
        <v>490</v>
      </c>
      <c r="I4823">
        <v>1757</v>
      </c>
      <c r="J4823">
        <v>6.7</v>
      </c>
      <c r="K4823">
        <v>2621</v>
      </c>
      <c r="L4823">
        <v>18.3</v>
      </c>
      <c r="M4823">
        <v>986</v>
      </c>
      <c r="N4823">
        <v>16.600000000000001</v>
      </c>
      <c r="O4823">
        <v>49</v>
      </c>
      <c r="P4823">
        <v>3.74</v>
      </c>
    </row>
    <row r="4824" spans="1:16">
      <c r="A4824" s="1" t="s">
        <v>4677</v>
      </c>
      <c r="B4824" s="1" t="s">
        <v>4731</v>
      </c>
      <c r="C4824" s="1" t="s">
        <v>5591</v>
      </c>
      <c r="D4824" s="1" t="s">
        <v>1683</v>
      </c>
      <c r="E4824" s="1" t="s">
        <v>4682</v>
      </c>
      <c r="F4824">
        <v>83.3</v>
      </c>
      <c r="G4824">
        <v>630</v>
      </c>
      <c r="H4824">
        <v>488</v>
      </c>
      <c r="I4824">
        <v>5227</v>
      </c>
      <c r="J4824">
        <v>2434</v>
      </c>
      <c r="K4824">
        <v>2729</v>
      </c>
      <c r="L4824">
        <v>25.3</v>
      </c>
      <c r="M4824">
        <v>922</v>
      </c>
      <c r="N4824">
        <v>19.600000000000001</v>
      </c>
      <c r="O4824">
        <v>53.8</v>
      </c>
      <c r="P4824">
        <v>0.245</v>
      </c>
    </row>
    <row r="4825" spans="1:16">
      <c r="A4825" s="1" t="s">
        <v>4677</v>
      </c>
      <c r="B4825" s="1" t="s">
        <v>4732</v>
      </c>
      <c r="C4825" s="1" t="s">
        <v>5591</v>
      </c>
      <c r="D4825" s="1" t="s">
        <v>1683</v>
      </c>
      <c r="E4825" s="1" t="s">
        <v>4682</v>
      </c>
      <c r="F4825">
        <v>2930</v>
      </c>
      <c r="G4825">
        <v>5544</v>
      </c>
      <c r="H4825">
        <v>700</v>
      </c>
      <c r="I4825">
        <v>6134</v>
      </c>
      <c r="J4825">
        <v>2851</v>
      </c>
      <c r="K4825">
        <v>2657</v>
      </c>
      <c r="L4825">
        <v>25.2</v>
      </c>
      <c r="M4825">
        <v>850</v>
      </c>
      <c r="N4825">
        <v>86.4</v>
      </c>
      <c r="O4825">
        <v>53.6</v>
      </c>
      <c r="P4825">
        <v>2.2999999999999998</v>
      </c>
    </row>
    <row r="4826" spans="1:16">
      <c r="A4826" s="1" t="s">
        <v>4677</v>
      </c>
      <c r="B4826" s="1" t="s">
        <v>4733</v>
      </c>
      <c r="C4826" s="1" t="s">
        <v>5591</v>
      </c>
      <c r="D4826" s="1" t="s">
        <v>1683</v>
      </c>
      <c r="E4826" s="1" t="s">
        <v>4682</v>
      </c>
      <c r="F4826">
        <v>585</v>
      </c>
      <c r="G4826">
        <v>2369</v>
      </c>
      <c r="H4826">
        <v>683</v>
      </c>
      <c r="I4826">
        <v>5731</v>
      </c>
      <c r="J4826">
        <v>2398</v>
      </c>
      <c r="K4826">
        <v>2650</v>
      </c>
      <c r="L4826">
        <v>41</v>
      </c>
      <c r="M4826">
        <v>1015</v>
      </c>
      <c r="N4826">
        <v>94.3</v>
      </c>
      <c r="O4826">
        <v>55.5</v>
      </c>
      <c r="P4826">
        <v>0.45400000000000001</v>
      </c>
    </row>
    <row r="4827" spans="1:16">
      <c r="A4827" s="1" t="s">
        <v>4677</v>
      </c>
      <c r="B4827" s="1" t="s">
        <v>4734</v>
      </c>
      <c r="C4827" s="1" t="s">
        <v>5591</v>
      </c>
      <c r="D4827" s="1" t="s">
        <v>1683</v>
      </c>
      <c r="E4827" s="1" t="s">
        <v>4682</v>
      </c>
      <c r="F4827">
        <v>2736</v>
      </c>
      <c r="G4827">
        <v>6768</v>
      </c>
      <c r="H4827">
        <v>590</v>
      </c>
      <c r="I4827">
        <v>5954</v>
      </c>
      <c r="J4827">
        <v>2830</v>
      </c>
      <c r="K4827">
        <v>2678</v>
      </c>
      <c r="L4827">
        <v>166</v>
      </c>
      <c r="M4827">
        <v>655</v>
      </c>
      <c r="N4827">
        <v>547</v>
      </c>
      <c r="O4827">
        <v>61.9</v>
      </c>
      <c r="P4827">
        <v>0.46100000000000002</v>
      </c>
    </row>
    <row r="4828" spans="1:16">
      <c r="A4828" s="1" t="s">
        <v>4735</v>
      </c>
      <c r="B4828" s="1" t="s">
        <v>4736</v>
      </c>
      <c r="C4828" s="1" t="s">
        <v>5591</v>
      </c>
      <c r="D4828" s="1" t="s">
        <v>569</v>
      </c>
      <c r="E4828" s="1" t="s">
        <v>4737</v>
      </c>
      <c r="F4828">
        <v>426</v>
      </c>
      <c r="G4828">
        <v>2980</v>
      </c>
      <c r="H4828">
        <v>880</v>
      </c>
      <c r="I4828">
        <v>1489</v>
      </c>
      <c r="J4828">
        <v>400</v>
      </c>
      <c r="K4828">
        <v>217</v>
      </c>
      <c r="L4828">
        <v>0.3</v>
      </c>
      <c r="M4828">
        <v>44.7</v>
      </c>
      <c r="N4828">
        <v>60.1</v>
      </c>
      <c r="O4828">
        <v>29.7</v>
      </c>
      <c r="P4828">
        <v>3.26</v>
      </c>
    </row>
    <row r="4829" spans="1:16">
      <c r="A4829" s="1" t="s">
        <v>4735</v>
      </c>
      <c r="B4829" s="1" t="s">
        <v>4738</v>
      </c>
      <c r="C4829" s="1" t="s">
        <v>5591</v>
      </c>
      <c r="D4829" s="1" t="s">
        <v>569</v>
      </c>
      <c r="E4829" s="1" t="s">
        <v>4737</v>
      </c>
      <c r="F4829">
        <v>511</v>
      </c>
      <c r="G4829">
        <v>5504</v>
      </c>
      <c r="H4829">
        <v>714</v>
      </c>
      <c r="I4829">
        <v>1401</v>
      </c>
      <c r="J4829">
        <v>4335</v>
      </c>
      <c r="K4829">
        <v>187</v>
      </c>
      <c r="L4829">
        <v>0.59</v>
      </c>
      <c r="M4829">
        <v>44.1</v>
      </c>
      <c r="N4829">
        <v>70.3</v>
      </c>
      <c r="O4829">
        <v>31.8</v>
      </c>
      <c r="P4829">
        <v>0.68</v>
      </c>
    </row>
    <row r="4830" spans="1:16">
      <c r="A4830" s="1" t="s">
        <v>4735</v>
      </c>
      <c r="B4830" s="1" t="s">
        <v>4739</v>
      </c>
      <c r="C4830" s="1" t="s">
        <v>5591</v>
      </c>
      <c r="D4830" s="1" t="s">
        <v>569</v>
      </c>
      <c r="E4830" s="1" t="s">
        <v>4740</v>
      </c>
      <c r="F4830">
        <v>1066</v>
      </c>
      <c r="G4830">
        <v>7078</v>
      </c>
      <c r="H4830">
        <v>1304</v>
      </c>
      <c r="I4830">
        <v>1542</v>
      </c>
      <c r="J4830">
        <v>356</v>
      </c>
      <c r="K4830">
        <v>308</v>
      </c>
      <c r="L4830">
        <v>0.45</v>
      </c>
      <c r="M4830">
        <v>36</v>
      </c>
      <c r="N4830">
        <v>76.7</v>
      </c>
      <c r="O4830">
        <v>32.6</v>
      </c>
      <c r="P4830">
        <v>0.76</v>
      </c>
    </row>
    <row r="4831" spans="1:16">
      <c r="A4831" s="1" t="s">
        <v>4735</v>
      </c>
      <c r="B4831" s="1" t="s">
        <v>4741</v>
      </c>
      <c r="C4831" s="1" t="s">
        <v>5591</v>
      </c>
      <c r="D4831" s="1" t="s">
        <v>569</v>
      </c>
      <c r="E4831" s="1" t="s">
        <v>4740</v>
      </c>
      <c r="F4831">
        <v>632</v>
      </c>
      <c r="G4831">
        <v>6931</v>
      </c>
      <c r="H4831">
        <v>1739</v>
      </c>
      <c r="I4831">
        <v>1640</v>
      </c>
      <c r="J4831">
        <v>526</v>
      </c>
      <c r="K4831">
        <v>126</v>
      </c>
      <c r="L4831">
        <v>0.38</v>
      </c>
      <c r="M4831">
        <v>31.2</v>
      </c>
      <c r="N4831">
        <v>159</v>
      </c>
      <c r="O4831">
        <v>33.6</v>
      </c>
      <c r="P4831">
        <v>2</v>
      </c>
    </row>
    <row r="4832" spans="1:16">
      <c r="A4832" s="1" t="s">
        <v>4735</v>
      </c>
      <c r="B4832" s="1" t="s">
        <v>4742</v>
      </c>
      <c r="C4832" s="1" t="s">
        <v>5591</v>
      </c>
      <c r="D4832" s="1" t="s">
        <v>569</v>
      </c>
      <c r="E4832" s="1" t="s">
        <v>4740</v>
      </c>
      <c r="F4832">
        <v>911</v>
      </c>
      <c r="G4832">
        <v>7103</v>
      </c>
      <c r="H4832">
        <v>3031</v>
      </c>
      <c r="I4832">
        <v>1663</v>
      </c>
      <c r="J4832">
        <v>577</v>
      </c>
      <c r="K4832">
        <v>118</v>
      </c>
      <c r="L4832">
        <v>0.55000000000000004</v>
      </c>
      <c r="M4832">
        <v>29.8</v>
      </c>
      <c r="N4832">
        <v>81.900000000000006</v>
      </c>
      <c r="O4832">
        <v>32.799999999999997</v>
      </c>
      <c r="P4832">
        <v>3.59</v>
      </c>
    </row>
    <row r="4833" spans="1:16">
      <c r="A4833" s="1" t="s">
        <v>4735</v>
      </c>
      <c r="B4833" s="1" t="s">
        <v>4743</v>
      </c>
      <c r="C4833" s="1" t="s">
        <v>5591</v>
      </c>
      <c r="D4833" s="1" t="s">
        <v>569</v>
      </c>
      <c r="E4833" s="1" t="s">
        <v>4740</v>
      </c>
      <c r="F4833">
        <v>808</v>
      </c>
      <c r="G4833">
        <v>8416</v>
      </c>
      <c r="H4833">
        <v>3192</v>
      </c>
      <c r="I4833">
        <v>1636</v>
      </c>
      <c r="J4833">
        <v>321</v>
      </c>
      <c r="K4833">
        <v>148</v>
      </c>
      <c r="L4833">
        <v>0.02</v>
      </c>
      <c r="M4833">
        <v>24.1</v>
      </c>
      <c r="N4833">
        <v>145</v>
      </c>
      <c r="O4833">
        <v>37.799999999999997</v>
      </c>
      <c r="P4833">
        <v>4.4800000000000004</v>
      </c>
    </row>
    <row r="4834" spans="1:16">
      <c r="A4834" s="1" t="s">
        <v>4735</v>
      </c>
      <c r="B4834" s="1" t="s">
        <v>4744</v>
      </c>
      <c r="C4834" s="1" t="s">
        <v>5591</v>
      </c>
      <c r="D4834" s="1" t="s">
        <v>569</v>
      </c>
      <c r="E4834" s="1" t="s">
        <v>4740</v>
      </c>
      <c r="F4834">
        <v>999</v>
      </c>
      <c r="G4834">
        <v>4489</v>
      </c>
      <c r="H4834">
        <v>2335</v>
      </c>
      <c r="I4834">
        <v>1658</v>
      </c>
      <c r="J4834">
        <v>348</v>
      </c>
      <c r="K4834">
        <v>167</v>
      </c>
      <c r="L4834">
        <v>0.11</v>
      </c>
      <c r="M4834">
        <v>34.200000000000003</v>
      </c>
      <c r="N4834">
        <v>73</v>
      </c>
      <c r="O4834">
        <v>40.700000000000003</v>
      </c>
      <c r="P4834">
        <v>4.22</v>
      </c>
    </row>
    <row r="4835" spans="1:16">
      <c r="A4835" s="1" t="s">
        <v>4735</v>
      </c>
      <c r="B4835" s="1" t="s">
        <v>4745</v>
      </c>
      <c r="C4835" s="1" t="s">
        <v>5591</v>
      </c>
      <c r="D4835" s="1" t="s">
        <v>569</v>
      </c>
      <c r="E4835" s="1" t="s">
        <v>4740</v>
      </c>
      <c r="F4835">
        <v>602</v>
      </c>
      <c r="G4835">
        <v>6298</v>
      </c>
      <c r="H4835">
        <v>847</v>
      </c>
      <c r="I4835">
        <v>1390</v>
      </c>
      <c r="J4835">
        <v>369</v>
      </c>
      <c r="K4835">
        <v>172</v>
      </c>
      <c r="L4835">
        <v>0.55000000000000004</v>
      </c>
      <c r="M4835">
        <v>32.9</v>
      </c>
      <c r="N4835">
        <v>76.400000000000006</v>
      </c>
      <c r="O4835">
        <v>24.6</v>
      </c>
      <c r="P4835">
        <v>0.54</v>
      </c>
    </row>
    <row r="4836" spans="1:16">
      <c r="A4836" s="1" t="s">
        <v>4735</v>
      </c>
      <c r="B4836" s="1" t="s">
        <v>4746</v>
      </c>
      <c r="C4836" s="1" t="s">
        <v>5591</v>
      </c>
      <c r="D4836" s="1" t="s">
        <v>569</v>
      </c>
      <c r="E4836" s="1" t="s">
        <v>4740</v>
      </c>
      <c r="F4836">
        <v>884</v>
      </c>
      <c r="G4836">
        <v>7951</v>
      </c>
      <c r="H4836">
        <v>870</v>
      </c>
      <c r="I4836">
        <v>1370</v>
      </c>
      <c r="J4836">
        <v>414</v>
      </c>
      <c r="K4836">
        <v>204</v>
      </c>
      <c r="L4836">
        <v>0.3</v>
      </c>
      <c r="M4836">
        <v>37.6</v>
      </c>
      <c r="N4836">
        <v>74.2</v>
      </c>
      <c r="O4836">
        <v>31.9</v>
      </c>
      <c r="P4836">
        <v>6.51</v>
      </c>
    </row>
    <row r="4837" spans="1:16">
      <c r="A4837" s="1" t="s">
        <v>4735</v>
      </c>
      <c r="B4837" s="1" t="s">
        <v>4747</v>
      </c>
      <c r="C4837" s="1" t="s">
        <v>5591</v>
      </c>
      <c r="D4837" s="1" t="s">
        <v>569</v>
      </c>
      <c r="E4837" s="1" t="s">
        <v>4740</v>
      </c>
      <c r="F4837">
        <v>559</v>
      </c>
      <c r="G4837">
        <v>4326</v>
      </c>
      <c r="H4837">
        <v>2764</v>
      </c>
      <c r="I4837">
        <v>1611</v>
      </c>
      <c r="J4837">
        <v>154</v>
      </c>
      <c r="K4837">
        <v>210</v>
      </c>
      <c r="L4837">
        <v>0.28000000000000003</v>
      </c>
      <c r="M4837">
        <v>39.9</v>
      </c>
      <c r="N4837">
        <v>72.7</v>
      </c>
      <c r="O4837">
        <v>31.9</v>
      </c>
      <c r="P4837">
        <v>3.86</v>
      </c>
    </row>
    <row r="4838" spans="1:16">
      <c r="A4838" s="1" t="s">
        <v>4735</v>
      </c>
      <c r="B4838" s="1" t="s">
        <v>4748</v>
      </c>
      <c r="C4838" s="1" t="s">
        <v>5591</v>
      </c>
      <c r="D4838" s="1" t="s">
        <v>569</v>
      </c>
      <c r="E4838" s="1" t="s">
        <v>4740</v>
      </c>
      <c r="F4838">
        <v>297</v>
      </c>
      <c r="G4838">
        <v>2808</v>
      </c>
      <c r="H4838">
        <v>822</v>
      </c>
      <c r="I4838">
        <v>1345</v>
      </c>
      <c r="J4838">
        <v>331</v>
      </c>
      <c r="K4838">
        <v>116</v>
      </c>
      <c r="L4838">
        <v>0.13</v>
      </c>
      <c r="M4838">
        <v>33.200000000000003</v>
      </c>
      <c r="N4838">
        <v>47</v>
      </c>
      <c r="O4838">
        <v>23.3</v>
      </c>
      <c r="P4838">
        <v>1.87</v>
      </c>
    </row>
    <row r="4839" spans="1:16">
      <c r="A4839" s="1" t="s">
        <v>4735</v>
      </c>
      <c r="B4839" s="1" t="s">
        <v>4749</v>
      </c>
      <c r="C4839" s="1" t="s">
        <v>5591</v>
      </c>
      <c r="D4839" s="1" t="s">
        <v>569</v>
      </c>
      <c r="E4839" s="1" t="s">
        <v>4740</v>
      </c>
      <c r="F4839">
        <v>54.2</v>
      </c>
      <c r="G4839">
        <v>951</v>
      </c>
      <c r="H4839">
        <v>1288</v>
      </c>
      <c r="I4839">
        <v>1456</v>
      </c>
      <c r="J4839">
        <v>376</v>
      </c>
      <c r="K4839">
        <v>191</v>
      </c>
      <c r="L4839">
        <v>0.42</v>
      </c>
      <c r="M4839">
        <v>38.200000000000003</v>
      </c>
      <c r="N4839">
        <v>33</v>
      </c>
      <c r="O4839">
        <v>33.5</v>
      </c>
      <c r="P4839">
        <v>0.83</v>
      </c>
    </row>
    <row r="4840" spans="1:16">
      <c r="A4840" s="1" t="s">
        <v>4735</v>
      </c>
      <c r="B4840" s="1" t="s">
        <v>4750</v>
      </c>
      <c r="C4840" s="1" t="s">
        <v>5591</v>
      </c>
      <c r="D4840" s="1" t="s">
        <v>569</v>
      </c>
      <c r="E4840" s="1" t="s">
        <v>4740</v>
      </c>
      <c r="F4840">
        <v>350</v>
      </c>
      <c r="G4840">
        <v>3066</v>
      </c>
      <c r="H4840">
        <v>4029</v>
      </c>
      <c r="I4840">
        <v>1473</v>
      </c>
      <c r="J4840">
        <v>1842</v>
      </c>
      <c r="K4840">
        <v>221</v>
      </c>
      <c r="L4840">
        <v>0.65</v>
      </c>
      <c r="M4840">
        <v>23.9</v>
      </c>
      <c r="N4840">
        <v>94.3</v>
      </c>
      <c r="O4840">
        <v>38</v>
      </c>
      <c r="P4840">
        <v>3.62</v>
      </c>
    </row>
    <row r="4841" spans="1:16">
      <c r="A4841" s="1" t="s">
        <v>4735</v>
      </c>
      <c r="B4841" s="1" t="s">
        <v>4751</v>
      </c>
      <c r="C4841" s="1" t="s">
        <v>5591</v>
      </c>
      <c r="D4841" s="1" t="s">
        <v>569</v>
      </c>
      <c r="E4841" s="1" t="s">
        <v>4740</v>
      </c>
      <c r="F4841">
        <v>271</v>
      </c>
      <c r="G4841">
        <v>1824</v>
      </c>
      <c r="H4841">
        <v>4062</v>
      </c>
      <c r="I4841">
        <v>1512</v>
      </c>
      <c r="J4841">
        <v>458</v>
      </c>
      <c r="K4841">
        <v>327</v>
      </c>
      <c r="L4841">
        <v>2.4300000000000002</v>
      </c>
      <c r="M4841">
        <v>31.5</v>
      </c>
      <c r="N4841">
        <v>74.2</v>
      </c>
      <c r="O4841">
        <v>32</v>
      </c>
      <c r="P4841">
        <v>5.69</v>
      </c>
    </row>
    <row r="4842" spans="1:16">
      <c r="A4842" s="1" t="s">
        <v>4735</v>
      </c>
      <c r="B4842" s="1" t="s">
        <v>4752</v>
      </c>
      <c r="C4842" s="1" t="s">
        <v>5591</v>
      </c>
      <c r="D4842" s="1" t="s">
        <v>569</v>
      </c>
      <c r="E4842" s="1" t="s">
        <v>4740</v>
      </c>
      <c r="F4842">
        <v>855</v>
      </c>
      <c r="G4842">
        <v>6598</v>
      </c>
      <c r="H4842">
        <v>1575</v>
      </c>
      <c r="I4842">
        <v>1404</v>
      </c>
      <c r="J4842">
        <v>175</v>
      </c>
      <c r="K4842">
        <v>182</v>
      </c>
      <c r="L4842">
        <v>0.34</v>
      </c>
      <c r="M4842">
        <v>32.4</v>
      </c>
      <c r="N4842">
        <v>98.8</v>
      </c>
      <c r="O4842">
        <v>28.5</v>
      </c>
      <c r="P4842">
        <v>2.63</v>
      </c>
    </row>
    <row r="4843" spans="1:16">
      <c r="A4843" s="1" t="s">
        <v>4735</v>
      </c>
      <c r="B4843" s="1" t="s">
        <v>4753</v>
      </c>
      <c r="C4843" s="1" t="s">
        <v>5591</v>
      </c>
      <c r="D4843" s="1" t="s">
        <v>569</v>
      </c>
      <c r="E4843" s="1" t="s">
        <v>4740</v>
      </c>
      <c r="F4843">
        <v>549</v>
      </c>
      <c r="G4843">
        <v>4113</v>
      </c>
      <c r="H4843">
        <v>3468</v>
      </c>
      <c r="I4843">
        <v>1576</v>
      </c>
      <c r="J4843">
        <v>267</v>
      </c>
      <c r="K4843">
        <v>190</v>
      </c>
      <c r="L4843">
        <v>0.31</v>
      </c>
      <c r="M4843">
        <v>32.6</v>
      </c>
      <c r="N4843">
        <v>65.7</v>
      </c>
      <c r="O4843">
        <v>29.9</v>
      </c>
      <c r="P4843">
        <v>3.94</v>
      </c>
    </row>
    <row r="4844" spans="1:16">
      <c r="A4844" s="1" t="s">
        <v>4735</v>
      </c>
      <c r="B4844" s="1" t="s">
        <v>4754</v>
      </c>
      <c r="C4844" s="1" t="s">
        <v>5591</v>
      </c>
      <c r="D4844" s="1" t="s">
        <v>569</v>
      </c>
      <c r="E4844" s="1" t="s">
        <v>4740</v>
      </c>
      <c r="F4844">
        <v>626</v>
      </c>
      <c r="G4844">
        <v>6486</v>
      </c>
      <c r="H4844">
        <v>5157</v>
      </c>
      <c r="I4844">
        <v>1439</v>
      </c>
      <c r="J4844">
        <v>234</v>
      </c>
      <c r="K4844">
        <v>142</v>
      </c>
      <c r="L4844">
        <v>0.43</v>
      </c>
      <c r="M4844">
        <v>23.8</v>
      </c>
      <c r="N4844">
        <v>95.8</v>
      </c>
      <c r="O4844">
        <v>33.1</v>
      </c>
      <c r="P4844">
        <v>2.72</v>
      </c>
    </row>
    <row r="4845" spans="1:16">
      <c r="A4845" s="1" t="s">
        <v>4735</v>
      </c>
      <c r="B4845" s="1" t="s">
        <v>4755</v>
      </c>
      <c r="C4845" s="1" t="s">
        <v>5591</v>
      </c>
      <c r="D4845" s="1" t="s">
        <v>569</v>
      </c>
      <c r="E4845" s="1" t="s">
        <v>4740</v>
      </c>
      <c r="F4845">
        <v>761</v>
      </c>
      <c r="G4845">
        <v>6728</v>
      </c>
      <c r="H4845">
        <v>1029</v>
      </c>
      <c r="I4845">
        <v>1457</v>
      </c>
      <c r="J4845">
        <v>804</v>
      </c>
      <c r="K4845">
        <v>170</v>
      </c>
      <c r="L4845">
        <v>0.53</v>
      </c>
      <c r="M4845">
        <v>30.8</v>
      </c>
      <c r="N4845">
        <v>110</v>
      </c>
      <c r="O4845">
        <v>27.7</v>
      </c>
      <c r="P4845">
        <v>1.41</v>
      </c>
    </row>
    <row r="4846" spans="1:16">
      <c r="A4846" s="1" t="s">
        <v>4735</v>
      </c>
      <c r="B4846" s="1" t="s">
        <v>4756</v>
      </c>
      <c r="C4846" s="1" t="s">
        <v>5591</v>
      </c>
      <c r="D4846" s="1" t="s">
        <v>569</v>
      </c>
      <c r="E4846" s="1" t="s">
        <v>4740</v>
      </c>
      <c r="F4846">
        <v>484</v>
      </c>
      <c r="G4846">
        <v>3529</v>
      </c>
      <c r="H4846">
        <v>1947</v>
      </c>
      <c r="I4846">
        <v>1565</v>
      </c>
      <c r="J4846">
        <v>393</v>
      </c>
      <c r="K4846">
        <v>208</v>
      </c>
      <c r="L4846">
        <v>1.33</v>
      </c>
      <c r="M4846">
        <v>30.6</v>
      </c>
      <c r="N4846">
        <v>107</v>
      </c>
      <c r="O4846">
        <v>32.200000000000003</v>
      </c>
      <c r="P4846">
        <v>1.37</v>
      </c>
    </row>
    <row r="4847" spans="1:16">
      <c r="A4847" s="1" t="s">
        <v>4735</v>
      </c>
      <c r="B4847" s="1" t="s">
        <v>4757</v>
      </c>
      <c r="C4847" s="1" t="s">
        <v>5591</v>
      </c>
      <c r="D4847" s="1" t="s">
        <v>569</v>
      </c>
      <c r="E4847" s="1" t="s">
        <v>4740</v>
      </c>
      <c r="F4847">
        <v>516</v>
      </c>
      <c r="G4847">
        <v>5177</v>
      </c>
      <c r="H4847">
        <v>2921</v>
      </c>
      <c r="I4847">
        <v>1558</v>
      </c>
      <c r="J4847">
        <v>121</v>
      </c>
      <c r="K4847">
        <v>156</v>
      </c>
      <c r="L4847">
        <v>0.67</v>
      </c>
      <c r="M4847">
        <v>20.5</v>
      </c>
      <c r="N4847">
        <v>81</v>
      </c>
      <c r="O4847">
        <v>30</v>
      </c>
      <c r="P4847">
        <v>2.86</v>
      </c>
    </row>
    <row r="4848" spans="1:16">
      <c r="A4848" s="1" t="s">
        <v>4735</v>
      </c>
      <c r="B4848" s="1" t="s">
        <v>4758</v>
      </c>
      <c r="C4848" s="1" t="s">
        <v>1764</v>
      </c>
      <c r="D4848" s="1" t="s">
        <v>44</v>
      </c>
      <c r="E4848" s="1" t="s">
        <v>4740</v>
      </c>
      <c r="F4848">
        <v>2174</v>
      </c>
      <c r="G4848">
        <v>4352</v>
      </c>
      <c r="H4848">
        <v>2173</v>
      </c>
      <c r="I4848">
        <v>584</v>
      </c>
      <c r="J4848">
        <v>74.7</v>
      </c>
      <c r="K4848">
        <v>1934</v>
      </c>
      <c r="L4848">
        <v>67.900000000000006</v>
      </c>
      <c r="M4848">
        <v>88.6</v>
      </c>
      <c r="N4848">
        <v>318</v>
      </c>
      <c r="O4848">
        <v>57.3</v>
      </c>
      <c r="P4848">
        <v>11.8</v>
      </c>
    </row>
    <row r="4849" spans="1:16">
      <c r="A4849" s="1" t="s">
        <v>4735</v>
      </c>
      <c r="B4849" s="1" t="s">
        <v>4759</v>
      </c>
      <c r="C4849" s="1" t="s">
        <v>1764</v>
      </c>
      <c r="D4849" s="1" t="s">
        <v>44</v>
      </c>
      <c r="E4849" s="1" t="s">
        <v>4740</v>
      </c>
      <c r="F4849">
        <v>1857</v>
      </c>
      <c r="G4849">
        <v>3571</v>
      </c>
      <c r="H4849">
        <v>2356</v>
      </c>
      <c r="I4849">
        <v>572</v>
      </c>
      <c r="J4849">
        <v>55.8</v>
      </c>
      <c r="K4849">
        <v>1726</v>
      </c>
      <c r="L4849">
        <v>76.900000000000006</v>
      </c>
      <c r="M4849">
        <v>91</v>
      </c>
      <c r="N4849">
        <v>264</v>
      </c>
      <c r="O4849">
        <v>57.9</v>
      </c>
      <c r="P4849">
        <v>11.8</v>
      </c>
    </row>
    <row r="4850" spans="1:16">
      <c r="A4850" s="1" t="s">
        <v>4735</v>
      </c>
      <c r="B4850" s="1" t="s">
        <v>4760</v>
      </c>
      <c r="C4850" s="1" t="s">
        <v>1764</v>
      </c>
      <c r="D4850" s="1" t="s">
        <v>44</v>
      </c>
      <c r="E4850" s="1" t="s">
        <v>4740</v>
      </c>
      <c r="F4850">
        <v>2328</v>
      </c>
      <c r="G4850">
        <v>3281</v>
      </c>
      <c r="H4850">
        <v>1963</v>
      </c>
      <c r="I4850">
        <v>563</v>
      </c>
      <c r="J4850">
        <v>77.099999999999994</v>
      </c>
      <c r="K4850">
        <v>1807</v>
      </c>
      <c r="L4850">
        <v>62.4</v>
      </c>
      <c r="M4850">
        <v>58.9</v>
      </c>
      <c r="N4850">
        <v>232</v>
      </c>
      <c r="O4850">
        <v>56.6</v>
      </c>
      <c r="P4850">
        <v>2.4500000000000002</v>
      </c>
    </row>
    <row r="4851" spans="1:16">
      <c r="A4851" s="1" t="s">
        <v>4735</v>
      </c>
      <c r="B4851" s="1" t="s">
        <v>4761</v>
      </c>
      <c r="C4851" s="1" t="s">
        <v>1764</v>
      </c>
      <c r="D4851" s="1" t="s">
        <v>44</v>
      </c>
      <c r="E4851" s="1" t="s">
        <v>4740</v>
      </c>
      <c r="F4851">
        <v>1283</v>
      </c>
      <c r="G4851">
        <v>1843</v>
      </c>
      <c r="H4851">
        <v>1543</v>
      </c>
      <c r="I4851">
        <v>583</v>
      </c>
      <c r="J4851">
        <v>33.1</v>
      </c>
      <c r="K4851">
        <v>1675</v>
      </c>
      <c r="L4851">
        <v>70.2</v>
      </c>
      <c r="M4851">
        <v>63</v>
      </c>
      <c r="N4851">
        <v>214</v>
      </c>
      <c r="O4851">
        <v>58</v>
      </c>
      <c r="P4851">
        <v>0.56999999999999995</v>
      </c>
    </row>
    <row r="4852" spans="1:16">
      <c r="A4852" s="1" t="s">
        <v>4735</v>
      </c>
      <c r="B4852" s="1" t="s">
        <v>4762</v>
      </c>
      <c r="C4852" s="1" t="s">
        <v>1764</v>
      </c>
      <c r="D4852" s="1" t="s">
        <v>44</v>
      </c>
      <c r="E4852" s="1" t="s">
        <v>4740</v>
      </c>
      <c r="F4852">
        <v>3969</v>
      </c>
      <c r="G4852">
        <v>5756</v>
      </c>
      <c r="H4852">
        <v>2232</v>
      </c>
      <c r="I4852">
        <v>636</v>
      </c>
      <c r="J4852">
        <v>114</v>
      </c>
      <c r="K4852">
        <v>2246</v>
      </c>
      <c r="L4852">
        <v>72</v>
      </c>
      <c r="M4852">
        <v>82.4</v>
      </c>
      <c r="N4852">
        <v>350</v>
      </c>
      <c r="O4852">
        <v>80.099999999999994</v>
      </c>
      <c r="P4852">
        <v>9.09</v>
      </c>
    </row>
    <row r="4853" spans="1:16">
      <c r="A4853" s="1" t="s">
        <v>4735</v>
      </c>
      <c r="B4853" s="1" t="s">
        <v>4763</v>
      </c>
      <c r="C4853" s="1" t="s">
        <v>1764</v>
      </c>
      <c r="D4853" s="1" t="s">
        <v>44</v>
      </c>
      <c r="E4853" s="1" t="s">
        <v>4740</v>
      </c>
      <c r="F4853">
        <v>1088</v>
      </c>
      <c r="G4853">
        <v>2495</v>
      </c>
      <c r="H4853">
        <v>452</v>
      </c>
      <c r="I4853">
        <v>555</v>
      </c>
      <c r="J4853">
        <v>237</v>
      </c>
      <c r="K4853">
        <v>1915</v>
      </c>
      <c r="L4853">
        <v>70.099999999999994</v>
      </c>
      <c r="M4853">
        <v>60.2</v>
      </c>
      <c r="N4853">
        <v>147</v>
      </c>
      <c r="O4853">
        <v>42.9</v>
      </c>
      <c r="P4853">
        <v>1.1000000000000001</v>
      </c>
    </row>
    <row r="4854" spans="1:16">
      <c r="A4854" s="1" t="s">
        <v>4735</v>
      </c>
      <c r="B4854" s="1" t="s">
        <v>4764</v>
      </c>
      <c r="C4854" s="1" t="s">
        <v>1764</v>
      </c>
      <c r="D4854" s="1" t="s">
        <v>44</v>
      </c>
      <c r="E4854" s="1" t="s">
        <v>4740</v>
      </c>
      <c r="F4854">
        <v>216</v>
      </c>
      <c r="G4854">
        <v>659</v>
      </c>
      <c r="H4854">
        <v>194</v>
      </c>
      <c r="I4854">
        <v>524</v>
      </c>
      <c r="J4854">
        <v>182</v>
      </c>
      <c r="K4854">
        <v>1567</v>
      </c>
      <c r="L4854">
        <v>74.599999999999994</v>
      </c>
      <c r="M4854">
        <v>66.599999999999994</v>
      </c>
      <c r="N4854">
        <v>116</v>
      </c>
      <c r="O4854">
        <v>34.799999999999997</v>
      </c>
      <c r="P4854">
        <v>3.22</v>
      </c>
    </row>
    <row r="4855" spans="1:16">
      <c r="A4855" s="1" t="s">
        <v>4735</v>
      </c>
      <c r="B4855" s="1" t="s">
        <v>4765</v>
      </c>
      <c r="C4855" s="1" t="s">
        <v>1764</v>
      </c>
      <c r="D4855" s="1" t="s">
        <v>44</v>
      </c>
      <c r="E4855" s="1" t="s">
        <v>4740</v>
      </c>
      <c r="F4855">
        <v>482</v>
      </c>
      <c r="G4855">
        <v>583</v>
      </c>
      <c r="H4855">
        <v>134</v>
      </c>
      <c r="I4855">
        <v>512</v>
      </c>
      <c r="J4855">
        <v>307</v>
      </c>
      <c r="K4855">
        <v>1484</v>
      </c>
      <c r="L4855">
        <v>69.7</v>
      </c>
      <c r="M4855">
        <v>69.099999999999994</v>
      </c>
      <c r="N4855">
        <v>139</v>
      </c>
      <c r="O4855">
        <v>29.2</v>
      </c>
      <c r="P4855">
        <v>2.16</v>
      </c>
    </row>
    <row r="4856" spans="1:16">
      <c r="A4856" s="1" t="s">
        <v>4735</v>
      </c>
      <c r="B4856" s="1" t="s">
        <v>4766</v>
      </c>
      <c r="C4856" s="1" t="s">
        <v>1764</v>
      </c>
      <c r="D4856" s="1" t="s">
        <v>44</v>
      </c>
      <c r="E4856" s="1" t="s">
        <v>4740</v>
      </c>
      <c r="F4856">
        <v>276</v>
      </c>
      <c r="G4856">
        <v>1046</v>
      </c>
      <c r="H4856">
        <v>207</v>
      </c>
      <c r="I4856">
        <v>530</v>
      </c>
      <c r="J4856">
        <v>98.8</v>
      </c>
      <c r="K4856">
        <v>1532</v>
      </c>
      <c r="L4856">
        <v>66.3</v>
      </c>
      <c r="M4856">
        <v>76.8</v>
      </c>
      <c r="N4856">
        <v>112</v>
      </c>
      <c r="O4856">
        <v>29.4</v>
      </c>
      <c r="P4856">
        <v>3.84</v>
      </c>
    </row>
    <row r="4857" spans="1:16">
      <c r="A4857" s="1" t="s">
        <v>4735</v>
      </c>
      <c r="B4857" s="1" t="s">
        <v>4767</v>
      </c>
      <c r="C4857" s="1" t="s">
        <v>1764</v>
      </c>
      <c r="D4857" s="1" t="s">
        <v>44</v>
      </c>
      <c r="E4857" s="1" t="s">
        <v>4740</v>
      </c>
      <c r="F4857">
        <v>1221</v>
      </c>
      <c r="G4857">
        <v>1403</v>
      </c>
      <c r="H4857">
        <v>402</v>
      </c>
      <c r="I4857">
        <v>524</v>
      </c>
      <c r="J4857">
        <v>148</v>
      </c>
      <c r="K4857">
        <v>1721</v>
      </c>
      <c r="L4857">
        <v>69.5</v>
      </c>
      <c r="M4857">
        <v>89.6</v>
      </c>
      <c r="N4857">
        <v>149</v>
      </c>
      <c r="O4857">
        <v>37</v>
      </c>
      <c r="P4857">
        <v>4.4000000000000004</v>
      </c>
    </row>
    <row r="4858" spans="1:16">
      <c r="A4858" s="1" t="s">
        <v>4735</v>
      </c>
      <c r="B4858" s="1" t="s">
        <v>4768</v>
      </c>
      <c r="C4858" s="1" t="s">
        <v>1764</v>
      </c>
      <c r="D4858" s="1" t="s">
        <v>44</v>
      </c>
      <c r="E4858" s="1" t="s">
        <v>4740</v>
      </c>
      <c r="F4858">
        <v>589</v>
      </c>
      <c r="G4858">
        <v>1795</v>
      </c>
      <c r="H4858">
        <v>458</v>
      </c>
      <c r="I4858">
        <v>526</v>
      </c>
      <c r="J4858">
        <v>156</v>
      </c>
      <c r="K4858">
        <v>1783</v>
      </c>
      <c r="L4858">
        <v>66.3</v>
      </c>
      <c r="M4858">
        <v>76.7</v>
      </c>
      <c r="N4858">
        <v>120</v>
      </c>
      <c r="O4858">
        <v>34.6</v>
      </c>
      <c r="P4858">
        <v>9.98</v>
      </c>
    </row>
    <row r="4859" spans="1:16">
      <c r="A4859" s="1" t="s">
        <v>4735</v>
      </c>
      <c r="B4859" s="1" t="s">
        <v>4769</v>
      </c>
      <c r="C4859" s="1" t="s">
        <v>1764</v>
      </c>
      <c r="D4859" s="1" t="s">
        <v>44</v>
      </c>
      <c r="E4859" s="1" t="s">
        <v>4740</v>
      </c>
      <c r="F4859">
        <v>1334</v>
      </c>
      <c r="G4859">
        <v>1727</v>
      </c>
      <c r="H4859">
        <v>303</v>
      </c>
      <c r="I4859">
        <v>516</v>
      </c>
      <c r="J4859">
        <v>104</v>
      </c>
      <c r="K4859">
        <v>1614</v>
      </c>
      <c r="L4859">
        <v>66.7</v>
      </c>
      <c r="M4859">
        <v>69</v>
      </c>
      <c r="N4859">
        <v>166</v>
      </c>
      <c r="O4859">
        <v>41.5</v>
      </c>
      <c r="P4859">
        <v>1.72</v>
      </c>
    </row>
    <row r="4860" spans="1:16">
      <c r="A4860" s="1" t="s">
        <v>4735</v>
      </c>
      <c r="B4860" s="1" t="s">
        <v>4770</v>
      </c>
      <c r="C4860" s="1" t="s">
        <v>1764</v>
      </c>
      <c r="D4860" s="1" t="s">
        <v>44</v>
      </c>
      <c r="E4860" s="1" t="s">
        <v>4740</v>
      </c>
      <c r="F4860">
        <v>1505</v>
      </c>
      <c r="G4860">
        <v>1856</v>
      </c>
      <c r="H4860">
        <v>488</v>
      </c>
      <c r="I4860">
        <v>521</v>
      </c>
      <c r="J4860">
        <v>229</v>
      </c>
      <c r="K4860">
        <v>1680</v>
      </c>
      <c r="L4860">
        <v>70.5</v>
      </c>
      <c r="M4860">
        <v>93.8</v>
      </c>
      <c r="N4860">
        <v>142</v>
      </c>
      <c r="O4860">
        <v>44.4</v>
      </c>
      <c r="P4860">
        <v>6.39</v>
      </c>
    </row>
    <row r="4861" spans="1:16">
      <c r="A4861" s="1" t="s">
        <v>4735</v>
      </c>
      <c r="B4861" s="1" t="s">
        <v>4771</v>
      </c>
      <c r="C4861" s="1" t="s">
        <v>1764</v>
      </c>
      <c r="D4861" s="1" t="s">
        <v>44</v>
      </c>
      <c r="E4861" s="1" t="s">
        <v>4740</v>
      </c>
      <c r="F4861">
        <v>789</v>
      </c>
      <c r="G4861">
        <v>1176</v>
      </c>
      <c r="H4861">
        <v>242</v>
      </c>
      <c r="I4861">
        <v>529</v>
      </c>
      <c r="J4861">
        <v>213</v>
      </c>
      <c r="K4861">
        <v>1637</v>
      </c>
      <c r="L4861">
        <v>72.3</v>
      </c>
      <c r="M4861">
        <v>80.400000000000006</v>
      </c>
      <c r="N4861">
        <v>129</v>
      </c>
      <c r="O4861">
        <v>30.2</v>
      </c>
      <c r="P4861">
        <v>3.13</v>
      </c>
    </row>
    <row r="4862" spans="1:16">
      <c r="A4862" s="1" t="s">
        <v>4735</v>
      </c>
      <c r="B4862" s="1" t="s">
        <v>4772</v>
      </c>
      <c r="C4862" s="1" t="s">
        <v>1764</v>
      </c>
      <c r="D4862" s="1" t="s">
        <v>44</v>
      </c>
      <c r="E4862" s="1" t="s">
        <v>4740</v>
      </c>
      <c r="F4862">
        <v>425</v>
      </c>
      <c r="G4862">
        <v>382</v>
      </c>
      <c r="H4862">
        <v>212</v>
      </c>
      <c r="I4862">
        <v>85.3</v>
      </c>
      <c r="J4862">
        <v>339</v>
      </c>
      <c r="K4862">
        <v>201</v>
      </c>
      <c r="L4862">
        <v>1.3</v>
      </c>
      <c r="M4862">
        <v>10.9</v>
      </c>
      <c r="N4862">
        <v>34.299999999999997</v>
      </c>
      <c r="O4862">
        <v>25</v>
      </c>
      <c r="P4862">
        <v>1.35</v>
      </c>
    </row>
    <row r="4863" spans="1:16">
      <c r="A4863" s="1" t="s">
        <v>4735</v>
      </c>
      <c r="B4863" s="1" t="s">
        <v>4773</v>
      </c>
      <c r="C4863" s="1" t="s">
        <v>1764</v>
      </c>
      <c r="D4863" s="1" t="s">
        <v>44</v>
      </c>
      <c r="E4863" s="1" t="s">
        <v>4740</v>
      </c>
      <c r="F4863">
        <v>269</v>
      </c>
      <c r="G4863">
        <v>277</v>
      </c>
      <c r="H4863">
        <v>209</v>
      </c>
      <c r="I4863">
        <v>31.4</v>
      </c>
      <c r="J4863">
        <v>33.200000000000003</v>
      </c>
      <c r="K4863">
        <v>155</v>
      </c>
      <c r="L4863">
        <v>2.15</v>
      </c>
      <c r="M4863">
        <v>8.14</v>
      </c>
      <c r="N4863">
        <v>26.7</v>
      </c>
      <c r="O4863">
        <v>25.3</v>
      </c>
      <c r="P4863">
        <v>1.1499999999999999</v>
      </c>
    </row>
    <row r="4864" spans="1:16">
      <c r="A4864" s="1" t="s">
        <v>4735</v>
      </c>
      <c r="B4864" s="1" t="s">
        <v>4774</v>
      </c>
      <c r="C4864" s="1" t="s">
        <v>1764</v>
      </c>
      <c r="D4864" s="1" t="s">
        <v>44</v>
      </c>
      <c r="E4864" s="1" t="s">
        <v>4740</v>
      </c>
      <c r="F4864">
        <v>104</v>
      </c>
      <c r="G4864">
        <v>232</v>
      </c>
      <c r="H4864">
        <v>214</v>
      </c>
      <c r="I4864">
        <v>41.3</v>
      </c>
      <c r="J4864">
        <v>127</v>
      </c>
      <c r="K4864">
        <v>151</v>
      </c>
      <c r="L4864">
        <v>1.1399999999999999</v>
      </c>
      <c r="M4864">
        <v>6.73</v>
      </c>
      <c r="N4864">
        <v>23.9</v>
      </c>
      <c r="O4864">
        <v>23.1</v>
      </c>
      <c r="P4864">
        <v>2.15</v>
      </c>
    </row>
    <row r="4865" spans="1:16">
      <c r="A4865" s="1" t="s">
        <v>4735</v>
      </c>
      <c r="B4865" s="1" t="s">
        <v>4775</v>
      </c>
      <c r="C4865" s="1" t="s">
        <v>1764</v>
      </c>
      <c r="D4865" s="1" t="s">
        <v>44</v>
      </c>
      <c r="E4865" s="1" t="s">
        <v>4740</v>
      </c>
      <c r="F4865">
        <v>489</v>
      </c>
      <c r="G4865">
        <v>463</v>
      </c>
      <c r="H4865">
        <v>175</v>
      </c>
      <c r="I4865">
        <v>55</v>
      </c>
      <c r="J4865">
        <v>268</v>
      </c>
      <c r="K4865">
        <v>174</v>
      </c>
      <c r="L4865">
        <v>2.0099999999999998</v>
      </c>
      <c r="M4865">
        <v>11.3</v>
      </c>
      <c r="N4865">
        <v>29.6</v>
      </c>
      <c r="O4865">
        <v>24.4</v>
      </c>
      <c r="P4865">
        <v>0.83</v>
      </c>
    </row>
    <row r="4866" spans="1:16">
      <c r="A4866" s="1" t="s">
        <v>4735</v>
      </c>
      <c r="B4866" s="1" t="s">
        <v>4776</v>
      </c>
      <c r="C4866" s="1" t="s">
        <v>1764</v>
      </c>
      <c r="D4866" s="1" t="s">
        <v>44</v>
      </c>
      <c r="E4866" s="1" t="s">
        <v>4740</v>
      </c>
      <c r="F4866">
        <v>521</v>
      </c>
      <c r="G4866">
        <v>590</v>
      </c>
      <c r="H4866">
        <v>213</v>
      </c>
      <c r="I4866">
        <v>12.2</v>
      </c>
      <c r="J4866">
        <v>8.66</v>
      </c>
      <c r="K4866">
        <v>176</v>
      </c>
      <c r="L4866">
        <v>1.52</v>
      </c>
      <c r="M4866">
        <v>4.51</v>
      </c>
      <c r="N4866">
        <v>30.1</v>
      </c>
      <c r="O4866">
        <v>26</v>
      </c>
      <c r="P4866">
        <v>0.51</v>
      </c>
    </row>
    <row r="4867" spans="1:16">
      <c r="A4867" s="1" t="s">
        <v>4735</v>
      </c>
      <c r="B4867" s="1" t="s">
        <v>4777</v>
      </c>
      <c r="C4867" s="1" t="s">
        <v>1764</v>
      </c>
      <c r="D4867" s="1" t="s">
        <v>44</v>
      </c>
      <c r="E4867" s="1" t="s">
        <v>4740</v>
      </c>
      <c r="F4867">
        <v>273</v>
      </c>
      <c r="G4867">
        <v>441</v>
      </c>
      <c r="H4867">
        <v>329</v>
      </c>
      <c r="I4867">
        <v>34.4</v>
      </c>
      <c r="J4867">
        <v>19</v>
      </c>
      <c r="K4867">
        <v>162</v>
      </c>
      <c r="L4867">
        <v>2.44</v>
      </c>
      <c r="M4867">
        <v>5.87</v>
      </c>
      <c r="N4867">
        <v>29.5</v>
      </c>
      <c r="O4867">
        <v>22.7</v>
      </c>
      <c r="P4867">
        <v>6.9</v>
      </c>
    </row>
    <row r="4868" spans="1:16">
      <c r="A4868" s="1" t="s">
        <v>4735</v>
      </c>
      <c r="B4868" s="1" t="s">
        <v>4778</v>
      </c>
      <c r="C4868" s="1" t="s">
        <v>1764</v>
      </c>
      <c r="D4868" s="1" t="s">
        <v>44</v>
      </c>
      <c r="E4868" s="1" t="s">
        <v>4740</v>
      </c>
      <c r="F4868">
        <v>549</v>
      </c>
      <c r="G4868">
        <v>531</v>
      </c>
      <c r="H4868">
        <v>741</v>
      </c>
      <c r="I4868">
        <v>26.8</v>
      </c>
      <c r="J4868">
        <v>42.1</v>
      </c>
      <c r="K4868">
        <v>214</v>
      </c>
      <c r="L4868">
        <v>1.54</v>
      </c>
      <c r="M4868">
        <v>4.12</v>
      </c>
      <c r="N4868">
        <v>22.3</v>
      </c>
      <c r="O4868">
        <v>23.4</v>
      </c>
      <c r="P4868">
        <v>2.5</v>
      </c>
    </row>
    <row r="4869" spans="1:16">
      <c r="A4869" s="1" t="s">
        <v>4735</v>
      </c>
      <c r="B4869" s="1" t="s">
        <v>4779</v>
      </c>
      <c r="C4869" s="1" t="s">
        <v>1764</v>
      </c>
      <c r="D4869" s="1" t="s">
        <v>44</v>
      </c>
      <c r="E4869" s="1" t="s">
        <v>4740</v>
      </c>
      <c r="F4869">
        <v>206</v>
      </c>
      <c r="G4869">
        <v>269</v>
      </c>
      <c r="H4869">
        <v>235</v>
      </c>
      <c r="I4869">
        <v>33.9</v>
      </c>
      <c r="J4869">
        <v>36.4</v>
      </c>
      <c r="K4869">
        <v>149</v>
      </c>
      <c r="L4869">
        <v>1.51</v>
      </c>
      <c r="M4869">
        <v>7.01</v>
      </c>
      <c r="N4869">
        <v>26.6</v>
      </c>
      <c r="O4869">
        <v>24.4</v>
      </c>
      <c r="P4869">
        <v>2.62</v>
      </c>
    </row>
    <row r="4870" spans="1:16">
      <c r="A4870" s="1" t="s">
        <v>4735</v>
      </c>
      <c r="B4870" s="1" t="s">
        <v>4780</v>
      </c>
      <c r="C4870" s="1" t="s">
        <v>1764</v>
      </c>
      <c r="D4870" s="1" t="s">
        <v>44</v>
      </c>
      <c r="E4870" s="1" t="s">
        <v>4740</v>
      </c>
      <c r="F4870">
        <v>144</v>
      </c>
      <c r="G4870">
        <v>306</v>
      </c>
      <c r="H4870">
        <v>381</v>
      </c>
      <c r="I4870">
        <v>59.1</v>
      </c>
      <c r="J4870">
        <v>27.8</v>
      </c>
      <c r="K4870">
        <v>164</v>
      </c>
      <c r="L4870">
        <v>2.83</v>
      </c>
      <c r="M4870">
        <v>4.0199999999999996</v>
      </c>
      <c r="N4870">
        <v>28.1</v>
      </c>
      <c r="O4870">
        <v>25.3</v>
      </c>
      <c r="P4870">
        <v>3.8</v>
      </c>
    </row>
    <row r="4871" spans="1:16">
      <c r="A4871" s="1" t="s">
        <v>4735</v>
      </c>
      <c r="B4871" s="1" t="s">
        <v>4781</v>
      </c>
      <c r="C4871" s="1" t="s">
        <v>1764</v>
      </c>
      <c r="D4871" s="1" t="s">
        <v>44</v>
      </c>
      <c r="E4871" s="1" t="s">
        <v>4740</v>
      </c>
      <c r="F4871">
        <v>200</v>
      </c>
      <c r="G4871">
        <v>196</v>
      </c>
      <c r="H4871">
        <v>159</v>
      </c>
      <c r="I4871">
        <v>39.9</v>
      </c>
      <c r="J4871">
        <v>64.5</v>
      </c>
      <c r="K4871">
        <v>141</v>
      </c>
      <c r="L4871">
        <v>2.04</v>
      </c>
      <c r="M4871">
        <v>8.7799999999999994</v>
      </c>
      <c r="N4871">
        <v>23.6</v>
      </c>
      <c r="O4871">
        <v>23.8</v>
      </c>
      <c r="P4871">
        <v>1.05</v>
      </c>
    </row>
    <row r="4872" spans="1:16">
      <c r="A4872" s="1" t="s">
        <v>4735</v>
      </c>
      <c r="B4872" s="1" t="s">
        <v>4782</v>
      </c>
      <c r="C4872" s="1" t="s">
        <v>1764</v>
      </c>
      <c r="D4872" s="1" t="s">
        <v>44</v>
      </c>
      <c r="E4872" s="1" t="s">
        <v>4740</v>
      </c>
      <c r="F4872">
        <v>186</v>
      </c>
      <c r="G4872">
        <v>277</v>
      </c>
      <c r="H4872">
        <v>237</v>
      </c>
      <c r="I4872">
        <v>33.5</v>
      </c>
      <c r="J4872">
        <v>96</v>
      </c>
      <c r="K4872">
        <v>170</v>
      </c>
      <c r="L4872">
        <v>4.9400000000000004</v>
      </c>
      <c r="M4872">
        <v>9.0500000000000007</v>
      </c>
      <c r="N4872">
        <v>16.600000000000001</v>
      </c>
      <c r="O4872">
        <v>21.4</v>
      </c>
      <c r="P4872">
        <v>2.15</v>
      </c>
    </row>
    <row r="4873" spans="1:16">
      <c r="A4873" s="1" t="s">
        <v>4735</v>
      </c>
      <c r="B4873" s="1" t="s">
        <v>4783</v>
      </c>
      <c r="C4873" s="1" t="s">
        <v>1764</v>
      </c>
      <c r="D4873" s="1" t="s">
        <v>44</v>
      </c>
      <c r="E4873" s="1" t="s">
        <v>4740</v>
      </c>
      <c r="F4873">
        <v>257</v>
      </c>
      <c r="G4873">
        <v>498</v>
      </c>
      <c r="H4873">
        <v>350</v>
      </c>
      <c r="I4873">
        <v>35.6</v>
      </c>
      <c r="J4873">
        <v>77.7</v>
      </c>
      <c r="K4873">
        <v>169</v>
      </c>
      <c r="L4873">
        <v>1.43</v>
      </c>
      <c r="M4873">
        <v>3.78</v>
      </c>
      <c r="N4873">
        <v>27.3</v>
      </c>
      <c r="O4873">
        <v>22.4</v>
      </c>
      <c r="P4873">
        <v>5.21</v>
      </c>
    </row>
    <row r="4874" spans="1:16">
      <c r="A4874" s="1" t="s">
        <v>4735</v>
      </c>
      <c r="B4874" s="1" t="s">
        <v>4784</v>
      </c>
      <c r="C4874" s="1" t="s">
        <v>1764</v>
      </c>
      <c r="D4874" s="1" t="s">
        <v>44</v>
      </c>
      <c r="E4874" s="1" t="s">
        <v>4740</v>
      </c>
      <c r="F4874">
        <v>210</v>
      </c>
      <c r="G4874">
        <v>306</v>
      </c>
      <c r="H4874">
        <v>220</v>
      </c>
      <c r="I4874">
        <v>15</v>
      </c>
      <c r="J4874">
        <v>19.899999999999999</v>
      </c>
      <c r="K4874">
        <v>143</v>
      </c>
      <c r="L4874">
        <v>0.71</v>
      </c>
      <c r="M4874">
        <v>5.13</v>
      </c>
      <c r="N4874">
        <v>26.4</v>
      </c>
      <c r="O4874">
        <v>24.6</v>
      </c>
      <c r="P4874">
        <v>2.29</v>
      </c>
    </row>
    <row r="4875" spans="1:16">
      <c r="A4875" s="1" t="s">
        <v>4735</v>
      </c>
      <c r="B4875" s="1" t="s">
        <v>4785</v>
      </c>
      <c r="C4875" s="1" t="s">
        <v>1764</v>
      </c>
      <c r="D4875" s="1" t="s">
        <v>44</v>
      </c>
      <c r="E4875" s="1" t="s">
        <v>4740</v>
      </c>
      <c r="F4875">
        <v>160</v>
      </c>
      <c r="G4875">
        <v>261</v>
      </c>
      <c r="H4875">
        <v>195</v>
      </c>
      <c r="I4875">
        <v>22.4</v>
      </c>
      <c r="J4875">
        <v>60.5</v>
      </c>
      <c r="K4875">
        <v>145</v>
      </c>
      <c r="L4875">
        <v>1.03</v>
      </c>
      <c r="M4875">
        <v>11.9</v>
      </c>
      <c r="N4875">
        <v>20.6</v>
      </c>
      <c r="O4875">
        <v>25.2</v>
      </c>
      <c r="P4875">
        <v>2.15</v>
      </c>
    </row>
    <row r="4876" spans="1:16">
      <c r="A4876" s="1" t="s">
        <v>4735</v>
      </c>
      <c r="B4876" s="1" t="s">
        <v>4786</v>
      </c>
      <c r="C4876" s="1" t="s">
        <v>1764</v>
      </c>
      <c r="D4876" s="1" t="s">
        <v>44</v>
      </c>
      <c r="E4876" s="1" t="s">
        <v>4740</v>
      </c>
      <c r="F4876">
        <v>230</v>
      </c>
      <c r="G4876">
        <v>363</v>
      </c>
      <c r="H4876">
        <v>151</v>
      </c>
      <c r="I4876">
        <v>31</v>
      </c>
      <c r="J4876">
        <v>53.5</v>
      </c>
      <c r="K4876">
        <v>208</v>
      </c>
      <c r="L4876">
        <v>1.89</v>
      </c>
      <c r="M4876">
        <v>7.58</v>
      </c>
      <c r="N4876">
        <v>21.3</v>
      </c>
      <c r="O4876">
        <v>25.4</v>
      </c>
      <c r="P4876">
        <v>1.6</v>
      </c>
    </row>
    <row r="4877" spans="1:16">
      <c r="A4877" s="1" t="s">
        <v>4735</v>
      </c>
      <c r="B4877" s="1" t="s">
        <v>4787</v>
      </c>
      <c r="C4877" s="1" t="s">
        <v>1764</v>
      </c>
      <c r="D4877" s="1" t="s">
        <v>44</v>
      </c>
      <c r="E4877" s="1" t="s">
        <v>4740</v>
      </c>
      <c r="F4877">
        <v>173</v>
      </c>
      <c r="G4877">
        <v>266</v>
      </c>
      <c r="H4877">
        <v>201</v>
      </c>
      <c r="I4877">
        <v>33.5</v>
      </c>
      <c r="J4877">
        <v>58.8</v>
      </c>
      <c r="K4877">
        <v>170</v>
      </c>
      <c r="L4877">
        <v>0.75</v>
      </c>
      <c r="M4877">
        <v>8.23</v>
      </c>
      <c r="N4877">
        <v>33.4</v>
      </c>
      <c r="O4877">
        <v>24.3</v>
      </c>
      <c r="P4877">
        <v>0.8</v>
      </c>
    </row>
    <row r="4878" spans="1:16">
      <c r="A4878" s="1" t="s">
        <v>4735</v>
      </c>
      <c r="B4878" s="1" t="s">
        <v>4788</v>
      </c>
      <c r="C4878" s="1" t="s">
        <v>1764</v>
      </c>
      <c r="D4878" s="1" t="s">
        <v>44</v>
      </c>
      <c r="E4878" s="1" t="s">
        <v>4740</v>
      </c>
      <c r="F4878">
        <v>382</v>
      </c>
      <c r="G4878">
        <v>600</v>
      </c>
      <c r="H4878">
        <v>204</v>
      </c>
      <c r="I4878">
        <v>20.8</v>
      </c>
      <c r="J4878">
        <v>29.7</v>
      </c>
      <c r="K4878">
        <v>95</v>
      </c>
      <c r="L4878">
        <v>1.35</v>
      </c>
      <c r="M4878">
        <v>6.57</v>
      </c>
      <c r="N4878">
        <v>26.5</v>
      </c>
      <c r="O4878">
        <v>28.4</v>
      </c>
      <c r="P4878">
        <v>2.37</v>
      </c>
    </row>
    <row r="4879" spans="1:16">
      <c r="A4879" s="1" t="s">
        <v>4735</v>
      </c>
      <c r="B4879" s="1" t="s">
        <v>4789</v>
      </c>
      <c r="C4879" s="1" t="s">
        <v>1764</v>
      </c>
      <c r="D4879" s="1" t="s">
        <v>44</v>
      </c>
      <c r="E4879" s="1" t="s">
        <v>4740</v>
      </c>
      <c r="F4879">
        <v>374</v>
      </c>
      <c r="G4879">
        <v>456</v>
      </c>
      <c r="H4879">
        <v>206</v>
      </c>
      <c r="I4879">
        <v>30.7</v>
      </c>
      <c r="J4879">
        <v>47.7</v>
      </c>
      <c r="K4879">
        <v>198</v>
      </c>
      <c r="L4879">
        <v>0.54</v>
      </c>
      <c r="M4879">
        <v>8.44</v>
      </c>
      <c r="N4879">
        <v>18.2</v>
      </c>
      <c r="O4879">
        <v>27.3</v>
      </c>
      <c r="P4879">
        <v>2.84</v>
      </c>
    </row>
    <row r="4880" spans="1:16">
      <c r="A4880" s="1" t="s">
        <v>4735</v>
      </c>
      <c r="B4880" s="1" t="s">
        <v>4790</v>
      </c>
      <c r="C4880" s="1" t="s">
        <v>1764</v>
      </c>
      <c r="D4880" s="1" t="s">
        <v>44</v>
      </c>
      <c r="E4880" s="1" t="s">
        <v>4740</v>
      </c>
      <c r="F4880">
        <v>190</v>
      </c>
      <c r="G4880">
        <v>184</v>
      </c>
      <c r="H4880">
        <v>138</v>
      </c>
      <c r="I4880">
        <v>46.5</v>
      </c>
      <c r="J4880">
        <v>63.2</v>
      </c>
      <c r="K4880">
        <v>172</v>
      </c>
      <c r="L4880">
        <v>0.96</v>
      </c>
      <c r="M4880">
        <v>7.74</v>
      </c>
      <c r="N4880">
        <v>25.1</v>
      </c>
      <c r="O4880">
        <v>25.1</v>
      </c>
      <c r="P4880">
        <v>0.77</v>
      </c>
    </row>
    <row r="4881" spans="1:16">
      <c r="A4881" s="1" t="s">
        <v>4735</v>
      </c>
      <c r="B4881" s="1" t="s">
        <v>4791</v>
      </c>
      <c r="C4881" s="1" t="s">
        <v>1764</v>
      </c>
      <c r="D4881" s="1" t="s">
        <v>44</v>
      </c>
      <c r="E4881" s="1" t="s">
        <v>4740</v>
      </c>
      <c r="F4881">
        <v>156</v>
      </c>
      <c r="G4881">
        <v>208</v>
      </c>
      <c r="H4881">
        <v>145</v>
      </c>
      <c r="I4881">
        <v>16.2</v>
      </c>
      <c r="J4881">
        <v>15.9</v>
      </c>
      <c r="K4881">
        <v>190</v>
      </c>
      <c r="L4881">
        <v>0.54</v>
      </c>
      <c r="M4881">
        <v>6.27</v>
      </c>
      <c r="N4881">
        <v>19.600000000000001</v>
      </c>
      <c r="O4881">
        <v>28</v>
      </c>
      <c r="P4881">
        <v>2.2200000000000002</v>
      </c>
    </row>
    <row r="4882" spans="1:16">
      <c r="A4882" s="1" t="s">
        <v>4735</v>
      </c>
      <c r="B4882" s="1" t="s">
        <v>4792</v>
      </c>
      <c r="C4882" s="1" t="s">
        <v>1764</v>
      </c>
      <c r="D4882" s="1" t="s">
        <v>44</v>
      </c>
      <c r="E4882" s="1" t="s">
        <v>4740</v>
      </c>
      <c r="F4882">
        <v>262</v>
      </c>
      <c r="G4882">
        <v>308</v>
      </c>
      <c r="H4882">
        <v>141</v>
      </c>
      <c r="I4882">
        <v>30.2</v>
      </c>
      <c r="J4882">
        <v>34.5</v>
      </c>
      <c r="K4882">
        <v>180</v>
      </c>
      <c r="L4882">
        <v>1.2</v>
      </c>
      <c r="M4882">
        <v>10.3</v>
      </c>
      <c r="N4882">
        <v>21.9</v>
      </c>
      <c r="O4882">
        <v>24.5</v>
      </c>
      <c r="P4882">
        <v>3.01</v>
      </c>
    </row>
    <row r="4883" spans="1:16">
      <c r="A4883" s="1" t="s">
        <v>4735</v>
      </c>
      <c r="B4883" s="1" t="s">
        <v>4793</v>
      </c>
      <c r="C4883" s="1" t="s">
        <v>1764</v>
      </c>
      <c r="D4883" s="1" t="s">
        <v>44</v>
      </c>
      <c r="E4883" s="1" t="s">
        <v>4740</v>
      </c>
      <c r="F4883">
        <v>241</v>
      </c>
      <c r="G4883">
        <v>319</v>
      </c>
      <c r="H4883">
        <v>204</v>
      </c>
      <c r="I4883">
        <v>28.9</v>
      </c>
      <c r="J4883">
        <v>91.3</v>
      </c>
      <c r="K4883">
        <v>197</v>
      </c>
      <c r="L4883">
        <v>1.52</v>
      </c>
      <c r="M4883">
        <v>9.2100000000000009</v>
      </c>
      <c r="N4883">
        <v>19.899999999999999</v>
      </c>
      <c r="O4883">
        <v>25.3</v>
      </c>
      <c r="P4883">
        <v>3.97</v>
      </c>
    </row>
    <row r="4884" spans="1:16">
      <c r="A4884" s="1" t="s">
        <v>4735</v>
      </c>
      <c r="B4884" s="1" t="s">
        <v>4794</v>
      </c>
      <c r="C4884" s="1" t="s">
        <v>1764</v>
      </c>
      <c r="D4884" s="1" t="s">
        <v>44</v>
      </c>
      <c r="E4884" s="1" t="s">
        <v>4740</v>
      </c>
      <c r="F4884">
        <v>83</v>
      </c>
      <c r="G4884">
        <v>104</v>
      </c>
      <c r="H4884">
        <v>16.5</v>
      </c>
      <c r="I4884">
        <v>3.28</v>
      </c>
      <c r="J4884">
        <v>6.15</v>
      </c>
      <c r="K4884">
        <v>80.2</v>
      </c>
      <c r="L4884">
        <v>1.85</v>
      </c>
      <c r="M4884">
        <v>2.71</v>
      </c>
      <c r="N4884">
        <v>11.7</v>
      </c>
      <c r="O4884">
        <v>17.8</v>
      </c>
      <c r="P4884">
        <v>3.34</v>
      </c>
    </row>
    <row r="4885" spans="1:16">
      <c r="A4885" s="1" t="s">
        <v>4735</v>
      </c>
      <c r="B4885" s="1" t="s">
        <v>4795</v>
      </c>
      <c r="C4885" s="1" t="s">
        <v>1764</v>
      </c>
      <c r="D4885" s="1" t="s">
        <v>44</v>
      </c>
      <c r="E4885" s="1" t="s">
        <v>4740</v>
      </c>
      <c r="F4885">
        <v>109</v>
      </c>
      <c r="G4885">
        <v>111</v>
      </c>
      <c r="H4885">
        <v>0.76</v>
      </c>
      <c r="I4885">
        <v>3.14</v>
      </c>
      <c r="J4885">
        <v>3.19</v>
      </c>
      <c r="K4885">
        <v>79.099999999999994</v>
      </c>
      <c r="L4885">
        <v>1.94</v>
      </c>
      <c r="M4885">
        <v>1.94</v>
      </c>
      <c r="N4885">
        <v>11.4</v>
      </c>
      <c r="O4885">
        <v>19</v>
      </c>
      <c r="P4885">
        <v>4.21</v>
      </c>
    </row>
    <row r="4886" spans="1:16">
      <c r="A4886" s="1" t="s">
        <v>4735</v>
      </c>
      <c r="B4886" s="1" t="s">
        <v>4796</v>
      </c>
      <c r="C4886" s="1" t="s">
        <v>1764</v>
      </c>
      <c r="D4886" s="1" t="s">
        <v>44</v>
      </c>
      <c r="E4886" s="1" t="s">
        <v>4740</v>
      </c>
      <c r="F4886">
        <v>109</v>
      </c>
      <c r="G4886">
        <v>106</v>
      </c>
      <c r="H4886">
        <v>3.52</v>
      </c>
      <c r="I4886">
        <v>3.04</v>
      </c>
      <c r="J4886">
        <v>4.76</v>
      </c>
      <c r="K4886">
        <v>116</v>
      </c>
      <c r="L4886">
        <v>2.06</v>
      </c>
      <c r="M4886">
        <v>2.2400000000000002</v>
      </c>
      <c r="N4886">
        <v>12</v>
      </c>
      <c r="O4886">
        <v>19.2</v>
      </c>
      <c r="P4886">
        <v>2.92</v>
      </c>
    </row>
    <row r="4887" spans="1:16">
      <c r="A4887" s="1" t="s">
        <v>4735</v>
      </c>
      <c r="B4887" s="1" t="s">
        <v>4797</v>
      </c>
      <c r="C4887" s="1" t="s">
        <v>1764</v>
      </c>
      <c r="D4887" s="1" t="s">
        <v>44</v>
      </c>
      <c r="E4887" s="1" t="s">
        <v>4740</v>
      </c>
      <c r="F4887">
        <v>199</v>
      </c>
      <c r="G4887">
        <v>102</v>
      </c>
      <c r="H4887">
        <v>1.65</v>
      </c>
      <c r="I4887">
        <v>3.78</v>
      </c>
      <c r="J4887">
        <v>2.58</v>
      </c>
      <c r="K4887">
        <v>157</v>
      </c>
      <c r="L4887">
        <v>1.71</v>
      </c>
      <c r="M4887">
        <v>3.7</v>
      </c>
      <c r="N4887">
        <v>12.7</v>
      </c>
      <c r="O4887">
        <v>19</v>
      </c>
      <c r="P4887">
        <v>4.67</v>
      </c>
    </row>
    <row r="4888" spans="1:16">
      <c r="A4888" s="1" t="s">
        <v>4735</v>
      </c>
      <c r="B4888" s="1" t="s">
        <v>4798</v>
      </c>
      <c r="C4888" s="1" t="s">
        <v>1764</v>
      </c>
      <c r="D4888" s="1" t="s">
        <v>44</v>
      </c>
      <c r="E4888" s="1" t="s">
        <v>4740</v>
      </c>
      <c r="F4888">
        <v>80.599999999999994</v>
      </c>
      <c r="G4888">
        <v>110</v>
      </c>
      <c r="H4888">
        <v>2.14</v>
      </c>
      <c r="I4888">
        <v>4.58</v>
      </c>
      <c r="J4888">
        <v>3.58</v>
      </c>
      <c r="K4888">
        <v>80.099999999999994</v>
      </c>
      <c r="L4888">
        <v>1.99</v>
      </c>
      <c r="M4888">
        <v>3.4</v>
      </c>
      <c r="N4888">
        <v>12.4</v>
      </c>
      <c r="O4888">
        <v>18.399999999999999</v>
      </c>
      <c r="P4888">
        <v>3.7</v>
      </c>
    </row>
    <row r="4889" spans="1:16">
      <c r="A4889" s="1" t="s">
        <v>4735</v>
      </c>
      <c r="B4889" s="1" t="s">
        <v>4799</v>
      </c>
      <c r="C4889" s="1" t="s">
        <v>1764</v>
      </c>
      <c r="D4889" s="1" t="s">
        <v>44</v>
      </c>
      <c r="E4889" s="1" t="s">
        <v>4740</v>
      </c>
      <c r="F4889">
        <v>86.2</v>
      </c>
      <c r="G4889">
        <v>270</v>
      </c>
      <c r="H4889">
        <v>10.199999999999999</v>
      </c>
      <c r="I4889">
        <v>9.16</v>
      </c>
      <c r="J4889">
        <v>8.2100000000000009</v>
      </c>
      <c r="K4889">
        <v>76.2</v>
      </c>
      <c r="L4889">
        <v>2.27</v>
      </c>
      <c r="M4889">
        <v>3.38</v>
      </c>
      <c r="N4889">
        <v>11.4</v>
      </c>
      <c r="O4889">
        <v>21.9</v>
      </c>
      <c r="P4889">
        <v>26.3</v>
      </c>
    </row>
    <row r="4890" spans="1:16">
      <c r="A4890" s="1" t="s">
        <v>4735</v>
      </c>
      <c r="B4890" s="1" t="s">
        <v>4800</v>
      </c>
      <c r="C4890" s="1" t="s">
        <v>1764</v>
      </c>
      <c r="D4890" s="1" t="s">
        <v>44</v>
      </c>
      <c r="E4890" s="1" t="s">
        <v>4740</v>
      </c>
      <c r="F4890">
        <v>97.4</v>
      </c>
      <c r="G4890">
        <v>170</v>
      </c>
      <c r="H4890">
        <v>11.5</v>
      </c>
      <c r="I4890">
        <v>4.5599999999999996</v>
      </c>
      <c r="J4890">
        <v>9.15</v>
      </c>
      <c r="K4890">
        <v>130</v>
      </c>
      <c r="L4890">
        <v>2.39</v>
      </c>
      <c r="M4890">
        <v>3.51</v>
      </c>
      <c r="N4890">
        <v>18.600000000000001</v>
      </c>
      <c r="O4890">
        <v>21.5</v>
      </c>
      <c r="P4890">
        <v>14.1</v>
      </c>
    </row>
    <row r="4891" spans="1:16">
      <c r="A4891" s="1" t="s">
        <v>4735</v>
      </c>
      <c r="B4891" s="1" t="s">
        <v>4801</v>
      </c>
      <c r="C4891" s="1" t="s">
        <v>1764</v>
      </c>
      <c r="D4891" s="1" t="s">
        <v>44</v>
      </c>
      <c r="E4891" s="1" t="s">
        <v>4740</v>
      </c>
      <c r="F4891">
        <v>143</v>
      </c>
      <c r="G4891">
        <v>142</v>
      </c>
      <c r="H4891">
        <v>2.58</v>
      </c>
      <c r="I4891">
        <v>6.55</v>
      </c>
      <c r="J4891">
        <v>20.7</v>
      </c>
      <c r="K4891">
        <v>111</v>
      </c>
      <c r="L4891">
        <v>2.4900000000000002</v>
      </c>
      <c r="M4891">
        <v>3.61</v>
      </c>
      <c r="N4891">
        <v>5.89</v>
      </c>
      <c r="O4891">
        <v>17.399999999999999</v>
      </c>
      <c r="P4891">
        <v>4.6900000000000004</v>
      </c>
    </row>
    <row r="4892" spans="1:16">
      <c r="A4892" s="1" t="s">
        <v>4735</v>
      </c>
      <c r="B4892" s="1" t="s">
        <v>4802</v>
      </c>
      <c r="C4892" s="1" t="s">
        <v>1764</v>
      </c>
      <c r="D4892" s="1" t="s">
        <v>44</v>
      </c>
      <c r="E4892" s="1" t="s">
        <v>4740</v>
      </c>
      <c r="F4892">
        <v>119</v>
      </c>
      <c r="G4892">
        <v>111</v>
      </c>
      <c r="H4892">
        <v>0.95</v>
      </c>
      <c r="I4892">
        <v>3.9</v>
      </c>
      <c r="J4892">
        <v>6.37</v>
      </c>
      <c r="K4892">
        <v>83.2</v>
      </c>
      <c r="L4892">
        <v>1.84</v>
      </c>
      <c r="M4892">
        <v>2.27</v>
      </c>
      <c r="N4892">
        <v>13.5</v>
      </c>
      <c r="O4892">
        <v>20.100000000000001</v>
      </c>
      <c r="P4892">
        <v>2.78</v>
      </c>
    </row>
    <row r="4893" spans="1:16">
      <c r="A4893" s="1" t="s">
        <v>4735</v>
      </c>
      <c r="B4893" s="1" t="s">
        <v>4803</v>
      </c>
      <c r="C4893" s="1" t="s">
        <v>1764</v>
      </c>
      <c r="D4893" s="1" t="s">
        <v>44</v>
      </c>
      <c r="E4893" s="1" t="s">
        <v>4740</v>
      </c>
      <c r="F4893">
        <v>90.3</v>
      </c>
      <c r="G4893">
        <v>168</v>
      </c>
      <c r="H4893">
        <v>1</v>
      </c>
      <c r="I4893">
        <v>5.45</v>
      </c>
      <c r="J4893">
        <v>10.1</v>
      </c>
      <c r="K4893">
        <v>89.8</v>
      </c>
      <c r="L4893">
        <v>1.01</v>
      </c>
      <c r="M4893">
        <v>2.61</v>
      </c>
      <c r="N4893">
        <v>11.5</v>
      </c>
      <c r="O4893">
        <v>21.1</v>
      </c>
      <c r="P4893">
        <v>9.31</v>
      </c>
    </row>
    <row r="4894" spans="1:16">
      <c r="A4894" s="1" t="s">
        <v>4735</v>
      </c>
      <c r="B4894" s="1" t="s">
        <v>4804</v>
      </c>
      <c r="C4894" s="1" t="s">
        <v>1764</v>
      </c>
      <c r="D4894" s="1" t="s">
        <v>44</v>
      </c>
      <c r="E4894" s="1" t="s">
        <v>4740</v>
      </c>
      <c r="F4894">
        <v>43.1</v>
      </c>
      <c r="G4894">
        <v>117</v>
      </c>
      <c r="H4894">
        <v>29.3</v>
      </c>
      <c r="I4894">
        <v>12.6</v>
      </c>
      <c r="J4894">
        <v>9.09</v>
      </c>
      <c r="K4894">
        <v>27.1</v>
      </c>
      <c r="L4894">
        <v>0.41</v>
      </c>
      <c r="M4894">
        <v>5.33</v>
      </c>
      <c r="N4894">
        <v>13.5</v>
      </c>
      <c r="O4894">
        <v>23.9</v>
      </c>
      <c r="P4894">
        <v>13</v>
      </c>
    </row>
    <row r="4895" spans="1:16">
      <c r="A4895" s="1" t="s">
        <v>4735</v>
      </c>
      <c r="B4895" s="1" t="s">
        <v>4805</v>
      </c>
      <c r="C4895" s="1" t="s">
        <v>1764</v>
      </c>
      <c r="D4895" s="1" t="s">
        <v>44</v>
      </c>
      <c r="E4895" s="1" t="s">
        <v>4740</v>
      </c>
      <c r="F4895">
        <v>101</v>
      </c>
      <c r="G4895">
        <v>121</v>
      </c>
      <c r="H4895">
        <v>30.7</v>
      </c>
      <c r="I4895">
        <v>15.2</v>
      </c>
      <c r="J4895">
        <v>13.9</v>
      </c>
      <c r="K4895">
        <v>59.2</v>
      </c>
      <c r="L4895">
        <v>0.54</v>
      </c>
      <c r="M4895">
        <v>7.54</v>
      </c>
      <c r="N4895">
        <v>8.7100000000000009</v>
      </c>
      <c r="O4895">
        <v>23.3</v>
      </c>
      <c r="P4895">
        <v>12.2</v>
      </c>
    </row>
    <row r="4896" spans="1:16">
      <c r="A4896" s="1" t="s">
        <v>4735</v>
      </c>
      <c r="B4896" s="1" t="s">
        <v>4806</v>
      </c>
      <c r="C4896" s="1" t="s">
        <v>1764</v>
      </c>
      <c r="D4896" s="1" t="s">
        <v>44</v>
      </c>
      <c r="E4896" s="1" t="s">
        <v>4740</v>
      </c>
      <c r="F4896">
        <v>52.2</v>
      </c>
      <c r="G4896">
        <v>126</v>
      </c>
      <c r="H4896">
        <v>29.4</v>
      </c>
      <c r="I4896">
        <v>14.3</v>
      </c>
      <c r="J4896">
        <v>11.3</v>
      </c>
      <c r="K4896">
        <v>35.6</v>
      </c>
      <c r="L4896">
        <v>0.75</v>
      </c>
      <c r="M4896">
        <v>3.26</v>
      </c>
      <c r="N4896">
        <v>13.8</v>
      </c>
      <c r="O4896">
        <v>23.9</v>
      </c>
      <c r="P4896">
        <v>25.2</v>
      </c>
    </row>
    <row r="4897" spans="1:16">
      <c r="A4897" s="1" t="s">
        <v>4735</v>
      </c>
      <c r="B4897" s="1" t="s">
        <v>4807</v>
      </c>
      <c r="C4897" s="1" t="s">
        <v>1764</v>
      </c>
      <c r="D4897" s="1" t="s">
        <v>44</v>
      </c>
      <c r="E4897" s="1" t="s">
        <v>4740</v>
      </c>
      <c r="F4897">
        <v>32</v>
      </c>
      <c r="G4897">
        <v>118</v>
      </c>
      <c r="H4897">
        <v>20.100000000000001</v>
      </c>
      <c r="I4897">
        <v>9.93</v>
      </c>
      <c r="J4897">
        <v>9.42</v>
      </c>
      <c r="K4897">
        <v>14.9</v>
      </c>
      <c r="L4897">
        <v>0.67</v>
      </c>
      <c r="M4897">
        <v>4.92</v>
      </c>
      <c r="N4897">
        <v>9.34</v>
      </c>
      <c r="O4897">
        <v>23.1</v>
      </c>
      <c r="P4897">
        <v>6.94</v>
      </c>
    </row>
    <row r="4898" spans="1:16">
      <c r="A4898" s="1" t="s">
        <v>4735</v>
      </c>
      <c r="B4898" s="1" t="s">
        <v>4808</v>
      </c>
      <c r="C4898" s="1" t="s">
        <v>1764</v>
      </c>
      <c r="D4898" s="1" t="s">
        <v>44</v>
      </c>
      <c r="E4898" s="1" t="s">
        <v>4740</v>
      </c>
      <c r="F4898">
        <v>215</v>
      </c>
      <c r="G4898">
        <v>110</v>
      </c>
      <c r="H4898">
        <v>28.3</v>
      </c>
      <c r="I4898">
        <v>15.9</v>
      </c>
      <c r="J4898">
        <v>21.3</v>
      </c>
      <c r="K4898">
        <v>105</v>
      </c>
      <c r="L4898">
        <v>0.75</v>
      </c>
      <c r="M4898">
        <v>2.4300000000000002</v>
      </c>
      <c r="N4898">
        <v>10.7</v>
      </c>
      <c r="O4898">
        <v>22.7</v>
      </c>
      <c r="P4898">
        <v>7.39</v>
      </c>
    </row>
    <row r="4899" spans="1:16">
      <c r="A4899" s="1" t="s">
        <v>4735</v>
      </c>
      <c r="B4899" s="1" t="s">
        <v>4809</v>
      </c>
      <c r="C4899" s="1" t="s">
        <v>1764</v>
      </c>
      <c r="D4899" s="1" t="s">
        <v>44</v>
      </c>
      <c r="E4899" s="1" t="s">
        <v>4740</v>
      </c>
      <c r="F4899">
        <v>124</v>
      </c>
      <c r="G4899">
        <v>114</v>
      </c>
      <c r="H4899">
        <v>29.3</v>
      </c>
      <c r="I4899">
        <v>14.9</v>
      </c>
      <c r="J4899">
        <v>12.2</v>
      </c>
      <c r="K4899">
        <v>73.3</v>
      </c>
      <c r="L4899">
        <v>0.64</v>
      </c>
      <c r="M4899">
        <v>5.35</v>
      </c>
      <c r="N4899">
        <v>7.68</v>
      </c>
      <c r="O4899">
        <v>23</v>
      </c>
      <c r="P4899">
        <v>15.9</v>
      </c>
    </row>
    <row r="4900" spans="1:16">
      <c r="A4900" s="1" t="s">
        <v>4735</v>
      </c>
      <c r="B4900" s="1" t="s">
        <v>4810</v>
      </c>
      <c r="C4900" s="1" t="s">
        <v>1764</v>
      </c>
      <c r="D4900" s="1" t="s">
        <v>44</v>
      </c>
      <c r="E4900" s="1" t="s">
        <v>4740</v>
      </c>
      <c r="F4900">
        <v>48.1</v>
      </c>
      <c r="G4900">
        <v>119</v>
      </c>
      <c r="H4900">
        <v>23.1</v>
      </c>
      <c r="I4900">
        <v>11.2</v>
      </c>
      <c r="J4900">
        <v>10.8</v>
      </c>
      <c r="K4900">
        <v>36.299999999999997</v>
      </c>
      <c r="L4900">
        <v>0.72</v>
      </c>
      <c r="M4900">
        <v>3.75</v>
      </c>
      <c r="N4900">
        <v>8.9700000000000006</v>
      </c>
      <c r="O4900">
        <v>22.6</v>
      </c>
      <c r="P4900">
        <v>10.4</v>
      </c>
    </row>
    <row r="4901" spans="1:16">
      <c r="A4901" s="1" t="s">
        <v>4735</v>
      </c>
      <c r="B4901" s="1" t="s">
        <v>4811</v>
      </c>
      <c r="C4901" s="1" t="s">
        <v>1764</v>
      </c>
      <c r="D4901" s="1" t="s">
        <v>44</v>
      </c>
      <c r="E4901" s="1" t="s">
        <v>4740</v>
      </c>
      <c r="F4901">
        <v>79.3</v>
      </c>
      <c r="G4901">
        <v>127</v>
      </c>
      <c r="H4901">
        <v>30.6</v>
      </c>
      <c r="I4901">
        <v>14.9</v>
      </c>
      <c r="J4901">
        <v>15.9</v>
      </c>
      <c r="K4901">
        <v>56.5</v>
      </c>
      <c r="L4901">
        <v>0.57999999999999996</v>
      </c>
      <c r="M4901">
        <v>7.24</v>
      </c>
      <c r="N4901">
        <v>9.09</v>
      </c>
      <c r="O4901">
        <v>23.2</v>
      </c>
      <c r="P4901">
        <v>5.57</v>
      </c>
    </row>
    <row r="4902" spans="1:16">
      <c r="A4902" s="1" t="s">
        <v>4735</v>
      </c>
      <c r="B4902" s="1" t="s">
        <v>4812</v>
      </c>
      <c r="C4902" s="1" t="s">
        <v>1764</v>
      </c>
      <c r="D4902" s="1" t="s">
        <v>44</v>
      </c>
      <c r="E4902" s="1" t="s">
        <v>4740</v>
      </c>
      <c r="F4902">
        <v>61</v>
      </c>
      <c r="G4902">
        <v>111</v>
      </c>
      <c r="H4902">
        <v>24.2</v>
      </c>
      <c r="I4902">
        <v>12</v>
      </c>
      <c r="J4902">
        <v>9</v>
      </c>
      <c r="K4902">
        <v>39.1</v>
      </c>
      <c r="L4902">
        <v>0.68</v>
      </c>
      <c r="M4902">
        <v>8.68</v>
      </c>
      <c r="N4902">
        <v>11.1</v>
      </c>
      <c r="O4902">
        <v>22.4</v>
      </c>
      <c r="P4902">
        <v>6.64</v>
      </c>
    </row>
    <row r="4903" spans="1:16">
      <c r="A4903" s="1" t="s">
        <v>4735</v>
      </c>
      <c r="B4903" s="1" t="s">
        <v>4813</v>
      </c>
      <c r="C4903" s="1" t="s">
        <v>1764</v>
      </c>
      <c r="D4903" s="1" t="s">
        <v>44</v>
      </c>
      <c r="E4903" s="1" t="s">
        <v>4740</v>
      </c>
      <c r="F4903">
        <v>107</v>
      </c>
      <c r="G4903">
        <v>128</v>
      </c>
      <c r="H4903">
        <v>43.3</v>
      </c>
      <c r="I4903">
        <v>20.100000000000001</v>
      </c>
      <c r="J4903">
        <v>10.4</v>
      </c>
      <c r="K4903">
        <v>68</v>
      </c>
      <c r="L4903">
        <v>0.02</v>
      </c>
      <c r="M4903">
        <v>4.3499999999999996</v>
      </c>
      <c r="N4903">
        <v>14.2</v>
      </c>
      <c r="O4903">
        <v>24.1</v>
      </c>
      <c r="P4903">
        <v>7.78</v>
      </c>
    </row>
    <row r="4904" spans="1:16">
      <c r="A4904" s="1" t="s">
        <v>4735</v>
      </c>
      <c r="B4904" s="1" t="s">
        <v>4814</v>
      </c>
      <c r="C4904" s="1" t="s">
        <v>1764</v>
      </c>
      <c r="D4904" s="1" t="s">
        <v>44</v>
      </c>
      <c r="E4904" s="1" t="s">
        <v>4740</v>
      </c>
      <c r="F4904">
        <v>32.5</v>
      </c>
      <c r="G4904">
        <v>128</v>
      </c>
      <c r="H4904">
        <v>45.7</v>
      </c>
      <c r="I4904">
        <v>13.5</v>
      </c>
      <c r="J4904">
        <v>11</v>
      </c>
      <c r="K4904">
        <v>27.6</v>
      </c>
      <c r="L4904">
        <v>0.4</v>
      </c>
      <c r="M4904">
        <v>7.28</v>
      </c>
      <c r="N4904">
        <v>5.26</v>
      </c>
      <c r="O4904">
        <v>23.3</v>
      </c>
      <c r="P4904">
        <v>10.4</v>
      </c>
    </row>
    <row r="4905" spans="1:16">
      <c r="A4905" s="1" t="s">
        <v>4735</v>
      </c>
      <c r="B4905" s="1" t="s">
        <v>4815</v>
      </c>
      <c r="C4905" s="1" t="s">
        <v>1764</v>
      </c>
      <c r="D4905" s="1" t="s">
        <v>44</v>
      </c>
      <c r="E4905" s="1" t="s">
        <v>4740</v>
      </c>
      <c r="F4905">
        <v>28.7</v>
      </c>
      <c r="G4905">
        <v>123</v>
      </c>
      <c r="H4905">
        <v>38.799999999999997</v>
      </c>
      <c r="I4905">
        <v>13.7</v>
      </c>
      <c r="J4905">
        <v>12.4</v>
      </c>
      <c r="K4905">
        <v>22.8</v>
      </c>
      <c r="L4905">
        <v>0.32</v>
      </c>
      <c r="M4905">
        <v>2.71</v>
      </c>
      <c r="N4905">
        <v>26.8</v>
      </c>
      <c r="O4905">
        <v>23.8</v>
      </c>
      <c r="P4905">
        <v>5.03</v>
      </c>
    </row>
    <row r="4906" spans="1:16">
      <c r="A4906" s="1" t="s">
        <v>4735</v>
      </c>
      <c r="B4906" s="1" t="s">
        <v>4816</v>
      </c>
      <c r="C4906" s="1" t="s">
        <v>1764</v>
      </c>
      <c r="D4906" s="1" t="s">
        <v>44</v>
      </c>
      <c r="E4906" s="1" t="s">
        <v>4740</v>
      </c>
      <c r="F4906">
        <v>23.4</v>
      </c>
      <c r="G4906">
        <v>114</v>
      </c>
      <c r="H4906">
        <v>18.7</v>
      </c>
      <c r="I4906">
        <v>7.98</v>
      </c>
      <c r="J4906">
        <v>9.0399999999999991</v>
      </c>
      <c r="K4906">
        <v>17.7</v>
      </c>
      <c r="L4906">
        <v>0.78</v>
      </c>
      <c r="M4906">
        <v>1.4</v>
      </c>
      <c r="N4906">
        <v>3.33</v>
      </c>
      <c r="O4906">
        <v>21.3</v>
      </c>
      <c r="P4906">
        <v>5.89</v>
      </c>
    </row>
    <row r="4907" spans="1:16">
      <c r="A4907" s="1" t="s">
        <v>4735</v>
      </c>
      <c r="B4907" s="1" t="s">
        <v>4817</v>
      </c>
      <c r="C4907" s="1" t="s">
        <v>1764</v>
      </c>
      <c r="D4907" s="1" t="s">
        <v>44</v>
      </c>
      <c r="E4907" s="1" t="s">
        <v>4740</v>
      </c>
      <c r="F4907">
        <v>181</v>
      </c>
      <c r="G4907">
        <v>138</v>
      </c>
      <c r="H4907">
        <v>20.5</v>
      </c>
      <c r="I4907">
        <v>13.6</v>
      </c>
      <c r="J4907">
        <v>15.3</v>
      </c>
      <c r="K4907">
        <v>83.4</v>
      </c>
      <c r="L4907">
        <v>0.3</v>
      </c>
      <c r="M4907">
        <v>3.84</v>
      </c>
      <c r="N4907">
        <v>11.2</v>
      </c>
      <c r="O4907">
        <v>21.5</v>
      </c>
      <c r="P4907">
        <v>4.3600000000000003</v>
      </c>
    </row>
    <row r="4908" spans="1:16">
      <c r="A4908" s="1" t="s">
        <v>4735</v>
      </c>
      <c r="B4908" s="1" t="s">
        <v>4818</v>
      </c>
      <c r="C4908" s="1" t="s">
        <v>1764</v>
      </c>
      <c r="D4908" s="1" t="s">
        <v>44</v>
      </c>
      <c r="E4908" s="1" t="s">
        <v>4740</v>
      </c>
      <c r="F4908">
        <v>360</v>
      </c>
      <c r="G4908">
        <v>134</v>
      </c>
      <c r="H4908">
        <v>34.9</v>
      </c>
      <c r="I4908">
        <v>18.8</v>
      </c>
      <c r="J4908">
        <v>22.2</v>
      </c>
      <c r="K4908">
        <v>177</v>
      </c>
      <c r="L4908">
        <v>0.36</v>
      </c>
      <c r="M4908">
        <v>3.92</v>
      </c>
      <c r="N4908">
        <v>10.199999999999999</v>
      </c>
      <c r="O4908">
        <v>23.3</v>
      </c>
      <c r="P4908">
        <v>5.66</v>
      </c>
    </row>
    <row r="4909" spans="1:16">
      <c r="A4909" s="1" t="s">
        <v>4735</v>
      </c>
      <c r="B4909" s="1" t="s">
        <v>4819</v>
      </c>
      <c r="C4909" s="1" t="s">
        <v>1764</v>
      </c>
      <c r="D4909" s="1" t="s">
        <v>44</v>
      </c>
      <c r="E4909" s="1" t="s">
        <v>4740</v>
      </c>
      <c r="F4909">
        <v>54.2</v>
      </c>
      <c r="G4909">
        <v>130</v>
      </c>
      <c r="H4909">
        <v>94.1</v>
      </c>
      <c r="I4909">
        <v>14</v>
      </c>
      <c r="J4909">
        <v>9.1999999999999993</v>
      </c>
      <c r="K4909">
        <v>27.5</v>
      </c>
      <c r="L4909">
        <v>0.11</v>
      </c>
      <c r="M4909">
        <v>5.27</v>
      </c>
      <c r="N4909">
        <v>13</v>
      </c>
      <c r="O4909">
        <v>22.9</v>
      </c>
      <c r="P4909">
        <v>5.62</v>
      </c>
    </row>
    <row r="4910" spans="1:16">
      <c r="A4910" s="1" t="s">
        <v>4735</v>
      </c>
      <c r="B4910" s="1" t="s">
        <v>4820</v>
      </c>
      <c r="C4910" s="1" t="s">
        <v>1764</v>
      </c>
      <c r="D4910" s="1" t="s">
        <v>44</v>
      </c>
      <c r="E4910" s="1" t="s">
        <v>4740</v>
      </c>
      <c r="F4910">
        <v>107</v>
      </c>
      <c r="G4910">
        <v>855</v>
      </c>
      <c r="H4910">
        <v>37.299999999999997</v>
      </c>
      <c r="I4910">
        <v>166</v>
      </c>
      <c r="J4910">
        <v>2.9</v>
      </c>
      <c r="K4910">
        <v>283</v>
      </c>
      <c r="L4910">
        <v>0.11</v>
      </c>
      <c r="M4910">
        <v>1.63</v>
      </c>
      <c r="N4910">
        <v>62.3</v>
      </c>
      <c r="O4910">
        <v>35.1</v>
      </c>
      <c r="P4910">
        <v>366</v>
      </c>
    </row>
    <row r="4911" spans="1:16">
      <c r="A4911" s="1" t="s">
        <v>4735</v>
      </c>
      <c r="B4911" s="1" t="s">
        <v>4821</v>
      </c>
      <c r="C4911" s="1" t="s">
        <v>1764</v>
      </c>
      <c r="D4911" s="1" t="s">
        <v>44</v>
      </c>
      <c r="E4911" s="1" t="s">
        <v>4740</v>
      </c>
      <c r="F4911">
        <v>309</v>
      </c>
      <c r="G4911">
        <v>1373</v>
      </c>
      <c r="H4911">
        <v>12.1</v>
      </c>
      <c r="I4911">
        <v>21.4</v>
      </c>
      <c r="J4911">
        <v>2.75</v>
      </c>
      <c r="K4911">
        <v>304</v>
      </c>
      <c r="L4911">
        <v>0.3</v>
      </c>
      <c r="M4911">
        <v>2.48</v>
      </c>
      <c r="N4911">
        <v>63.7</v>
      </c>
      <c r="O4911">
        <v>33.200000000000003</v>
      </c>
      <c r="P4911">
        <v>125</v>
      </c>
    </row>
    <row r="4912" spans="1:16">
      <c r="A4912" s="1" t="s">
        <v>4735</v>
      </c>
      <c r="B4912" s="1" t="s">
        <v>4822</v>
      </c>
      <c r="C4912" s="1" t="s">
        <v>1764</v>
      </c>
      <c r="D4912" s="1" t="s">
        <v>44</v>
      </c>
      <c r="E4912" s="1" t="s">
        <v>4740</v>
      </c>
      <c r="F4912">
        <v>303</v>
      </c>
      <c r="G4912">
        <v>1046</v>
      </c>
      <c r="H4912">
        <v>38.799999999999997</v>
      </c>
      <c r="I4912">
        <v>34.799999999999997</v>
      </c>
      <c r="J4912">
        <v>3.07</v>
      </c>
      <c r="K4912">
        <v>674</v>
      </c>
      <c r="L4912">
        <v>0.55000000000000004</v>
      </c>
      <c r="M4912">
        <v>1.93</v>
      </c>
      <c r="N4912">
        <v>41.5</v>
      </c>
      <c r="O4912">
        <v>35</v>
      </c>
      <c r="P4912">
        <v>220</v>
      </c>
    </row>
    <row r="4913" spans="1:16">
      <c r="A4913" s="1" t="s">
        <v>4735</v>
      </c>
      <c r="B4913" s="1" t="s">
        <v>4823</v>
      </c>
      <c r="C4913" s="1" t="s">
        <v>1764</v>
      </c>
      <c r="D4913" s="1" t="s">
        <v>44</v>
      </c>
      <c r="E4913" s="1" t="s">
        <v>4740</v>
      </c>
      <c r="F4913">
        <v>274</v>
      </c>
      <c r="G4913">
        <v>1065</v>
      </c>
      <c r="H4913">
        <v>20.100000000000001</v>
      </c>
      <c r="I4913">
        <v>35.299999999999997</v>
      </c>
      <c r="J4913">
        <v>4.03</v>
      </c>
      <c r="K4913">
        <v>362</v>
      </c>
      <c r="L4913">
        <v>0.27</v>
      </c>
      <c r="M4913">
        <v>3.75</v>
      </c>
      <c r="N4913">
        <v>29.9</v>
      </c>
      <c r="O4913">
        <v>36.9</v>
      </c>
      <c r="P4913">
        <v>70.099999999999994</v>
      </c>
    </row>
    <row r="4914" spans="1:16">
      <c r="A4914" s="1" t="s">
        <v>4735</v>
      </c>
      <c r="B4914" s="1" t="s">
        <v>4824</v>
      </c>
      <c r="C4914" s="1" t="s">
        <v>1764</v>
      </c>
      <c r="D4914" s="1" t="s">
        <v>44</v>
      </c>
      <c r="E4914" s="1" t="s">
        <v>4740</v>
      </c>
      <c r="F4914">
        <v>54.6</v>
      </c>
      <c r="G4914">
        <v>265</v>
      </c>
      <c r="H4914">
        <v>10.7</v>
      </c>
      <c r="I4914">
        <v>7.62</v>
      </c>
      <c r="J4914">
        <v>1.69</v>
      </c>
      <c r="K4914">
        <v>210</v>
      </c>
      <c r="L4914">
        <v>1.07</v>
      </c>
      <c r="M4914">
        <v>0.99</v>
      </c>
      <c r="N4914">
        <v>26.3</v>
      </c>
      <c r="O4914">
        <v>26.9</v>
      </c>
      <c r="P4914">
        <v>93.1</v>
      </c>
    </row>
    <row r="4915" spans="1:16">
      <c r="A4915" s="1" t="s">
        <v>4735</v>
      </c>
      <c r="B4915" s="1" t="s">
        <v>4825</v>
      </c>
      <c r="C4915" s="1" t="s">
        <v>1764</v>
      </c>
      <c r="D4915" s="1" t="s">
        <v>44</v>
      </c>
      <c r="E4915" s="1" t="s">
        <v>4740</v>
      </c>
      <c r="F4915">
        <v>132</v>
      </c>
      <c r="G4915">
        <v>259</v>
      </c>
      <c r="H4915">
        <v>23.3</v>
      </c>
      <c r="I4915">
        <v>24.6</v>
      </c>
      <c r="J4915">
        <v>2.69</v>
      </c>
      <c r="K4915">
        <v>260</v>
      </c>
      <c r="L4915">
        <v>0.27</v>
      </c>
      <c r="M4915">
        <v>3.42</v>
      </c>
      <c r="N4915">
        <v>21.9</v>
      </c>
      <c r="O4915">
        <v>33.700000000000003</v>
      </c>
      <c r="P4915">
        <v>37.4</v>
      </c>
    </row>
    <row r="4916" spans="1:16">
      <c r="A4916" s="1" t="s">
        <v>4735</v>
      </c>
      <c r="B4916" s="1" t="s">
        <v>4826</v>
      </c>
      <c r="C4916" s="1" t="s">
        <v>1764</v>
      </c>
      <c r="D4916" s="1" t="s">
        <v>44</v>
      </c>
      <c r="E4916" s="1" t="s">
        <v>4740</v>
      </c>
      <c r="F4916">
        <v>201</v>
      </c>
      <c r="G4916">
        <v>311</v>
      </c>
      <c r="H4916">
        <v>23.8</v>
      </c>
      <c r="I4916">
        <v>21.1</v>
      </c>
      <c r="J4916">
        <v>6.94</v>
      </c>
      <c r="K4916">
        <v>469</v>
      </c>
      <c r="L4916">
        <v>0.18</v>
      </c>
      <c r="M4916">
        <v>4.32</v>
      </c>
      <c r="N4916">
        <v>26.1</v>
      </c>
      <c r="O4916">
        <v>31.1</v>
      </c>
      <c r="P4916">
        <v>35.4</v>
      </c>
    </row>
    <row r="4917" spans="1:16">
      <c r="A4917" s="1" t="s">
        <v>4735</v>
      </c>
      <c r="B4917" s="1" t="s">
        <v>4827</v>
      </c>
      <c r="C4917" s="1" t="s">
        <v>1764</v>
      </c>
      <c r="D4917" s="1" t="s">
        <v>44</v>
      </c>
      <c r="E4917" s="1" t="s">
        <v>4740</v>
      </c>
      <c r="F4917">
        <v>202</v>
      </c>
      <c r="G4917">
        <v>427</v>
      </c>
      <c r="H4917">
        <v>54.4</v>
      </c>
      <c r="I4917">
        <v>62.4</v>
      </c>
      <c r="J4917">
        <v>3.82</v>
      </c>
      <c r="K4917">
        <v>388</v>
      </c>
      <c r="L4917">
        <v>0.4</v>
      </c>
      <c r="M4917">
        <v>7.87</v>
      </c>
      <c r="N4917">
        <v>23.3</v>
      </c>
      <c r="O4917">
        <v>37.4</v>
      </c>
      <c r="P4917">
        <v>40.200000000000003</v>
      </c>
    </row>
    <row r="4918" spans="1:16">
      <c r="A4918" s="1" t="s">
        <v>4735</v>
      </c>
      <c r="B4918" s="1" t="s">
        <v>4828</v>
      </c>
      <c r="C4918" s="1" t="s">
        <v>1764</v>
      </c>
      <c r="D4918" s="1" t="s">
        <v>44</v>
      </c>
      <c r="E4918" s="1" t="s">
        <v>4740</v>
      </c>
      <c r="F4918">
        <v>116</v>
      </c>
      <c r="G4918">
        <v>286</v>
      </c>
      <c r="H4918">
        <v>26.7</v>
      </c>
      <c r="I4918">
        <v>23.1</v>
      </c>
      <c r="J4918">
        <v>3.75</v>
      </c>
      <c r="K4918">
        <v>185</v>
      </c>
      <c r="L4918">
        <v>0.28999999999999998</v>
      </c>
      <c r="M4918">
        <v>5.52</v>
      </c>
      <c r="N4918">
        <v>25</v>
      </c>
      <c r="O4918">
        <v>33.6</v>
      </c>
      <c r="P4918">
        <v>46.2</v>
      </c>
    </row>
    <row r="4919" spans="1:16">
      <c r="A4919" s="1" t="s">
        <v>4735</v>
      </c>
      <c r="B4919" s="1" t="s">
        <v>4829</v>
      </c>
      <c r="C4919" s="1" t="s">
        <v>1764</v>
      </c>
      <c r="D4919" s="1" t="s">
        <v>44</v>
      </c>
      <c r="E4919" s="1" t="s">
        <v>4740</v>
      </c>
      <c r="F4919">
        <v>1376</v>
      </c>
      <c r="G4919">
        <v>204</v>
      </c>
      <c r="H4919">
        <v>38.1</v>
      </c>
      <c r="I4919">
        <v>34.700000000000003</v>
      </c>
      <c r="J4919">
        <v>5.74</v>
      </c>
      <c r="K4919">
        <v>5831</v>
      </c>
      <c r="L4919">
        <v>0.12</v>
      </c>
      <c r="M4919">
        <v>4.96</v>
      </c>
      <c r="N4919">
        <v>29.7</v>
      </c>
      <c r="O4919">
        <v>30.8</v>
      </c>
      <c r="P4919">
        <v>29.2</v>
      </c>
    </row>
    <row r="4920" spans="1:16">
      <c r="A4920" s="1" t="s">
        <v>4735</v>
      </c>
      <c r="B4920" s="1" t="s">
        <v>4830</v>
      </c>
      <c r="C4920" s="1" t="s">
        <v>1764</v>
      </c>
      <c r="D4920" s="1" t="s">
        <v>44</v>
      </c>
      <c r="E4920" s="1" t="s">
        <v>4740</v>
      </c>
      <c r="F4920">
        <v>336</v>
      </c>
      <c r="G4920">
        <v>145</v>
      </c>
      <c r="H4920">
        <v>40.9</v>
      </c>
      <c r="I4920">
        <v>41</v>
      </c>
      <c r="J4920">
        <v>2.56</v>
      </c>
      <c r="K4920">
        <v>1130</v>
      </c>
      <c r="L4920">
        <v>0.15</v>
      </c>
      <c r="M4920">
        <v>7.59</v>
      </c>
      <c r="N4920">
        <v>26.1</v>
      </c>
      <c r="O4920">
        <v>31.1</v>
      </c>
      <c r="P4920">
        <v>15</v>
      </c>
    </row>
    <row r="4921" spans="1:16">
      <c r="A4921" s="1" t="s">
        <v>4735</v>
      </c>
      <c r="B4921" s="1" t="s">
        <v>4831</v>
      </c>
      <c r="C4921" s="1" t="s">
        <v>1764</v>
      </c>
      <c r="D4921" s="1" t="s">
        <v>44</v>
      </c>
      <c r="E4921" s="1" t="s">
        <v>4740</v>
      </c>
      <c r="F4921">
        <v>69.2</v>
      </c>
      <c r="G4921">
        <v>185</v>
      </c>
      <c r="H4921">
        <v>27</v>
      </c>
      <c r="I4921">
        <v>24.9</v>
      </c>
      <c r="J4921">
        <v>7.91</v>
      </c>
      <c r="K4921">
        <v>121</v>
      </c>
      <c r="L4921">
        <v>0.18</v>
      </c>
      <c r="M4921">
        <v>7.36</v>
      </c>
      <c r="N4921">
        <v>19.100000000000001</v>
      </c>
      <c r="O4921">
        <v>31.9</v>
      </c>
      <c r="P4921">
        <v>48.3</v>
      </c>
    </row>
    <row r="4922" spans="1:16">
      <c r="A4922" s="1" t="s">
        <v>4735</v>
      </c>
      <c r="B4922" s="1" t="s">
        <v>4832</v>
      </c>
      <c r="C4922" s="1" t="s">
        <v>1764</v>
      </c>
      <c r="D4922" s="1" t="s">
        <v>44</v>
      </c>
      <c r="E4922" s="1" t="s">
        <v>4740</v>
      </c>
      <c r="F4922">
        <v>243</v>
      </c>
      <c r="G4922">
        <v>141</v>
      </c>
      <c r="H4922">
        <v>24</v>
      </c>
      <c r="I4922">
        <v>19.899999999999999</v>
      </c>
      <c r="J4922">
        <v>7.86</v>
      </c>
      <c r="K4922">
        <v>588</v>
      </c>
      <c r="L4922">
        <v>0.12</v>
      </c>
      <c r="M4922">
        <v>4.97</v>
      </c>
      <c r="N4922">
        <v>21.4</v>
      </c>
      <c r="O4922">
        <v>32.799999999999997</v>
      </c>
      <c r="P4922">
        <v>30.7</v>
      </c>
    </row>
    <row r="4923" spans="1:16">
      <c r="A4923" s="1" t="s">
        <v>4735</v>
      </c>
      <c r="B4923" s="1" t="s">
        <v>4833</v>
      </c>
      <c r="C4923" s="1" t="s">
        <v>1764</v>
      </c>
      <c r="D4923" s="1" t="s">
        <v>44</v>
      </c>
      <c r="E4923" s="1" t="s">
        <v>4740</v>
      </c>
      <c r="F4923">
        <v>130</v>
      </c>
      <c r="G4923">
        <v>618</v>
      </c>
      <c r="H4923">
        <v>7.5</v>
      </c>
      <c r="I4923">
        <v>17.7</v>
      </c>
      <c r="J4923">
        <v>4.76</v>
      </c>
      <c r="K4923">
        <v>320</v>
      </c>
      <c r="L4923">
        <v>0.11</v>
      </c>
      <c r="M4923">
        <v>1.97</v>
      </c>
      <c r="N4923">
        <v>17.7</v>
      </c>
      <c r="O4923">
        <v>33.6</v>
      </c>
      <c r="P4923">
        <v>68.2</v>
      </c>
    </row>
    <row r="4924" spans="1:16">
      <c r="A4924" s="1" t="s">
        <v>4834</v>
      </c>
      <c r="B4924" s="1" t="s">
        <v>4835</v>
      </c>
      <c r="C4924" s="1" t="s">
        <v>5591</v>
      </c>
      <c r="D4924" s="1" t="s">
        <v>1683</v>
      </c>
      <c r="E4924" s="1" t="s">
        <v>4836</v>
      </c>
      <c r="F4924">
        <v>20027.028983846332</v>
      </c>
      <c r="G4924">
        <v>25206.397482914086</v>
      </c>
      <c r="H4924">
        <v>13977.417082053476</v>
      </c>
      <c r="I4924">
        <v>4590.7193243859901</v>
      </c>
      <c r="J4924">
        <v>142979.79662163591</v>
      </c>
      <c r="K4924">
        <v>2867.8529135881849</v>
      </c>
      <c r="L4924">
        <v>140.65704111416559</v>
      </c>
      <c r="M4924">
        <v>720.2142129674728</v>
      </c>
      <c r="N4924">
        <v>3089.9739363956401</v>
      </c>
      <c r="O4924">
        <v>62.361655589301371</v>
      </c>
      <c r="P4924">
        <v>0.24247523941280999</v>
      </c>
    </row>
    <row r="4925" spans="1:16">
      <c r="A4925" s="1" t="s">
        <v>4834</v>
      </c>
      <c r="B4925" s="1" t="s">
        <v>4837</v>
      </c>
      <c r="C4925" s="1" t="s">
        <v>5591</v>
      </c>
      <c r="D4925" s="1" t="s">
        <v>1683</v>
      </c>
      <c r="E4925" s="1" t="s">
        <v>4836</v>
      </c>
      <c r="F4925">
        <v>8797.7173524008413</v>
      </c>
      <c r="G4925">
        <v>11885.005705015674</v>
      </c>
      <c r="H4925">
        <v>13085.708923613942</v>
      </c>
      <c r="I4925">
        <v>4352.5568097471396</v>
      </c>
      <c r="J4925">
        <v>102335.89096378512</v>
      </c>
      <c r="K4925">
        <v>1717.8055627923238</v>
      </c>
      <c r="L4925">
        <v>251.13539705738009</v>
      </c>
      <c r="M4925">
        <v>1560.4705292091501</v>
      </c>
      <c r="N4925">
        <v>1184.364849277749</v>
      </c>
      <c r="O4925">
        <v>40.449172252559165</v>
      </c>
      <c r="P4925">
        <v>0.35888782917878997</v>
      </c>
    </row>
    <row r="4926" spans="1:16">
      <c r="A4926" s="1" t="s">
        <v>4834</v>
      </c>
      <c r="B4926" s="1" t="s">
        <v>4838</v>
      </c>
      <c r="C4926" s="1" t="s">
        <v>5591</v>
      </c>
      <c r="D4926" s="1" t="s">
        <v>1683</v>
      </c>
      <c r="E4926" s="1" t="s">
        <v>4839</v>
      </c>
      <c r="F4926">
        <v>12634.391040020702</v>
      </c>
      <c r="G4926">
        <v>32272.310295490242</v>
      </c>
      <c r="H4926">
        <v>12079.266714755502</v>
      </c>
      <c r="I4926">
        <v>4418.2394835943196</v>
      </c>
      <c r="J4926">
        <v>148879.7903254292</v>
      </c>
      <c r="K4926">
        <v>4477.8263826131479</v>
      </c>
      <c r="L4926">
        <v>86.748186983638703</v>
      </c>
      <c r="M4926">
        <v>686.46018153127477</v>
      </c>
      <c r="N4926">
        <v>1847.1279025974238</v>
      </c>
      <c r="O4926">
        <v>59.726417610111781</v>
      </c>
      <c r="P4926">
        <v>2.6538188094300286</v>
      </c>
    </row>
    <row r="4927" spans="1:16">
      <c r="A4927" s="1" t="s">
        <v>4834</v>
      </c>
      <c r="B4927" s="1" t="s">
        <v>4840</v>
      </c>
      <c r="C4927" s="1" t="s">
        <v>5591</v>
      </c>
      <c r="D4927" s="1" t="s">
        <v>1683</v>
      </c>
      <c r="E4927" s="1" t="s">
        <v>4839</v>
      </c>
      <c r="F4927">
        <v>7994.8943420057249</v>
      </c>
      <c r="G4927">
        <v>14088.467836081945</v>
      </c>
      <c r="H4927">
        <v>9754.9238933872239</v>
      </c>
      <c r="I4927">
        <v>5972.7106299360103</v>
      </c>
      <c r="J4927">
        <v>91823.786657690609</v>
      </c>
      <c r="K4927">
        <v>4522.886079904094</v>
      </c>
      <c r="L4927">
        <v>38.005378477309257</v>
      </c>
      <c r="M4927">
        <v>638.61942797648271</v>
      </c>
      <c r="N4927">
        <v>1071.8226310854948</v>
      </c>
      <c r="O4927">
        <v>37.258621483721015</v>
      </c>
      <c r="P4927">
        <v>0.52949889291674002</v>
      </c>
    </row>
    <row r="4928" spans="1:16">
      <c r="A4928" s="1" t="s">
        <v>4834</v>
      </c>
      <c r="B4928" s="1" t="s">
        <v>4841</v>
      </c>
      <c r="C4928" s="1" t="s">
        <v>5591</v>
      </c>
      <c r="D4928" s="1" t="s">
        <v>1683</v>
      </c>
      <c r="E4928" s="1" t="s">
        <v>4839</v>
      </c>
      <c r="F4928">
        <v>4253.6814314774801</v>
      </c>
      <c r="G4928">
        <v>11343.891526343819</v>
      </c>
      <c r="H4928">
        <v>9847.6279937774889</v>
      </c>
      <c r="I4928">
        <v>4855.3502697221302</v>
      </c>
      <c r="J4928">
        <v>67920.024829235728</v>
      </c>
      <c r="K4928">
        <v>2062.3734179356711</v>
      </c>
      <c r="L4928">
        <v>44.447613252539504</v>
      </c>
      <c r="M4928">
        <v>1381.626662720153</v>
      </c>
      <c r="N4928">
        <v>438.84157959097837</v>
      </c>
      <c r="O4928">
        <v>57.362143684626602</v>
      </c>
      <c r="P4928">
        <v>0.58153545234290005</v>
      </c>
    </row>
    <row r="4929" spans="1:16">
      <c r="A4929" s="1" t="s">
        <v>4834</v>
      </c>
      <c r="B4929" s="1" t="s">
        <v>4842</v>
      </c>
      <c r="C4929" s="1" t="s">
        <v>5591</v>
      </c>
      <c r="D4929" s="1" t="s">
        <v>1683</v>
      </c>
      <c r="E4929" s="1" t="s">
        <v>4839</v>
      </c>
      <c r="F4929">
        <v>5210.6014245518973</v>
      </c>
      <c r="G4929">
        <v>16671.6395628834</v>
      </c>
      <c r="H4929">
        <v>12632.170670591444</v>
      </c>
      <c r="I4929">
        <v>6139.5244268516799</v>
      </c>
      <c r="J4929">
        <v>65856.113914617148</v>
      </c>
      <c r="K4929">
        <v>2308.4352339637326</v>
      </c>
      <c r="L4929">
        <v>54.016504659728248</v>
      </c>
      <c r="M4929">
        <v>1456.4841846389609</v>
      </c>
      <c r="N4929">
        <v>515.14998151651696</v>
      </c>
      <c r="O4929">
        <v>58.578877456278498</v>
      </c>
      <c r="P4929">
        <v>0.51418049388131004</v>
      </c>
    </row>
    <row r="4930" spans="1:16">
      <c r="A4930" s="1" t="s">
        <v>4834</v>
      </c>
      <c r="B4930" s="1" t="s">
        <v>4843</v>
      </c>
      <c r="C4930" s="1" t="s">
        <v>5591</v>
      </c>
      <c r="D4930" s="1" t="s">
        <v>1683</v>
      </c>
      <c r="E4930" s="1" t="s">
        <v>4839</v>
      </c>
      <c r="F4930">
        <v>8740.0541131284299</v>
      </c>
      <c r="G4930">
        <v>29636.694451340489</v>
      </c>
      <c r="H4930">
        <v>8057.7032652815815</v>
      </c>
      <c r="I4930">
        <v>4296.1112169781354</v>
      </c>
      <c r="J4930">
        <v>90247.797385886894</v>
      </c>
      <c r="K4930">
        <v>2111.0627129163659</v>
      </c>
      <c r="L4930">
        <v>79.105560174390533</v>
      </c>
      <c r="M4930">
        <v>877.83124253166</v>
      </c>
      <c r="N4930">
        <v>332.02435708081816</v>
      </c>
      <c r="O4930">
        <v>65.432884432509866</v>
      </c>
      <c r="P4930">
        <v>0.44230446574840615</v>
      </c>
    </row>
    <row r="4931" spans="1:16">
      <c r="A4931" s="1" t="s">
        <v>4834</v>
      </c>
      <c r="B4931" s="1" t="s">
        <v>4844</v>
      </c>
      <c r="C4931" s="1" t="s">
        <v>5591</v>
      </c>
      <c r="D4931" s="1" t="s">
        <v>1683</v>
      </c>
      <c r="E4931" s="1" t="s">
        <v>4839</v>
      </c>
      <c r="F4931">
        <v>7449.6018197158746</v>
      </c>
      <c r="G4931">
        <v>19768.70722465885</v>
      </c>
      <c r="H4931">
        <v>9904.9504615928672</v>
      </c>
      <c r="I4931">
        <v>3590.3039342344018</v>
      </c>
      <c r="J4931">
        <v>72657.290807624857</v>
      </c>
      <c r="K4931">
        <v>1822.4133258543732</v>
      </c>
      <c r="L4931">
        <v>71.850571287120133</v>
      </c>
      <c r="M4931">
        <v>1041.9264176091931</v>
      </c>
      <c r="N4931">
        <v>280.37358027942292</v>
      </c>
      <c r="O4931">
        <v>67.547437518242162</v>
      </c>
      <c r="P4931">
        <v>0.80948487338469521</v>
      </c>
    </row>
    <row r="4932" spans="1:16">
      <c r="A4932" s="1" t="s">
        <v>4834</v>
      </c>
      <c r="B4932" s="1" t="s">
        <v>4845</v>
      </c>
      <c r="C4932" s="1" t="s">
        <v>5591</v>
      </c>
      <c r="D4932" s="1" t="s">
        <v>1683</v>
      </c>
      <c r="E4932" s="1" t="s">
        <v>4839</v>
      </c>
      <c r="F4932">
        <v>6591.9214657133489</v>
      </c>
      <c r="G4932">
        <v>19765.1444215392</v>
      </c>
      <c r="H4932">
        <v>5532.7142015984109</v>
      </c>
      <c r="I4932">
        <v>3460.6556677894932</v>
      </c>
      <c r="J4932">
        <v>63668.686484988168</v>
      </c>
      <c r="K4932">
        <v>1535.421945552017</v>
      </c>
      <c r="L4932">
        <v>62.24712662806337</v>
      </c>
      <c r="M4932">
        <v>930.6958477910689</v>
      </c>
      <c r="N4932">
        <v>246.92296612997333</v>
      </c>
      <c r="O4932">
        <v>56.766632455186567</v>
      </c>
      <c r="P4932">
        <v>0.71760372053674959</v>
      </c>
    </row>
    <row r="4933" spans="1:16">
      <c r="A4933" s="1" t="s">
        <v>4834</v>
      </c>
      <c r="B4933" s="1" t="s">
        <v>4846</v>
      </c>
      <c r="C4933" s="1" t="s">
        <v>5591</v>
      </c>
      <c r="D4933" s="1" t="s">
        <v>1683</v>
      </c>
      <c r="E4933" s="1" t="s">
        <v>4839</v>
      </c>
      <c r="F4933">
        <v>15209.041524224845</v>
      </c>
      <c r="G4933">
        <v>53211.290772618646</v>
      </c>
      <c r="H4933">
        <v>8379.2384331284793</v>
      </c>
      <c r="I4933">
        <v>4736.97957342685</v>
      </c>
      <c r="J4933">
        <v>141384.36507145441</v>
      </c>
      <c r="K4933">
        <v>2815.8783889239367</v>
      </c>
      <c r="L4933">
        <v>141.60929589868331</v>
      </c>
      <c r="M4933">
        <v>806.89336791380094</v>
      </c>
      <c r="N4933">
        <v>893.31587747974766</v>
      </c>
      <c r="O4933">
        <v>71.871369783991184</v>
      </c>
      <c r="P4933">
        <v>0.69503916700355783</v>
      </c>
    </row>
    <row r="4934" spans="1:16">
      <c r="A4934" s="1" t="s">
        <v>4834</v>
      </c>
      <c r="B4934" s="1" t="s">
        <v>4847</v>
      </c>
      <c r="C4934" s="1" t="s">
        <v>5591</v>
      </c>
      <c r="D4934" s="1" t="s">
        <v>1683</v>
      </c>
      <c r="E4934" s="1" t="s">
        <v>4839</v>
      </c>
      <c r="F4934">
        <v>7641.4567661318106</v>
      </c>
      <c r="G4934">
        <v>24817.972960692354</v>
      </c>
      <c r="H4934">
        <v>8308.533874487297</v>
      </c>
      <c r="I4934">
        <v>4619.0970568328448</v>
      </c>
      <c r="J4934">
        <v>80166.389185908847</v>
      </c>
      <c r="K4934">
        <v>1925.28761237155</v>
      </c>
      <c r="L4934">
        <v>68.8042388895296</v>
      </c>
      <c r="M4934">
        <v>817.23287729703111</v>
      </c>
      <c r="N4934">
        <v>241.2473332955029</v>
      </c>
      <c r="O4934">
        <v>61.278143795968525</v>
      </c>
      <c r="P4934">
        <v>0.1132699312854152</v>
      </c>
    </row>
    <row r="4935" spans="1:16">
      <c r="A4935" s="1" t="s">
        <v>4834</v>
      </c>
      <c r="B4935" s="1" t="s">
        <v>4848</v>
      </c>
      <c r="C4935" s="1" t="s">
        <v>5591</v>
      </c>
      <c r="D4935" s="1" t="s">
        <v>1683</v>
      </c>
      <c r="E4935" s="1" t="s">
        <v>4839</v>
      </c>
      <c r="F4935">
        <v>15936.985119914725</v>
      </c>
      <c r="G4935">
        <v>37385.902513647794</v>
      </c>
      <c r="H4935">
        <v>10556.343915402256</v>
      </c>
      <c r="I4935">
        <v>3348.2406166330538</v>
      </c>
      <c r="J4935">
        <v>119596.8193699478</v>
      </c>
      <c r="K4935">
        <v>2841.0085295990129</v>
      </c>
      <c r="L4935">
        <v>118.8722307899543</v>
      </c>
      <c r="M4935">
        <v>1004.7748007529869</v>
      </c>
      <c r="N4935">
        <v>688.85960978985747</v>
      </c>
      <c r="O4935">
        <v>68.857953382490038</v>
      </c>
      <c r="P4935">
        <v>0.21569750652805217</v>
      </c>
    </row>
    <row r="4936" spans="1:16">
      <c r="A4936" s="1" t="s">
        <v>4834</v>
      </c>
      <c r="B4936" s="1" t="s">
        <v>4849</v>
      </c>
      <c r="C4936" s="1" t="s">
        <v>5591</v>
      </c>
      <c r="D4936" s="1" t="s">
        <v>1683</v>
      </c>
      <c r="E4936" s="1" t="s">
        <v>4839</v>
      </c>
      <c r="F4936">
        <v>10955.9696535071</v>
      </c>
      <c r="G4936">
        <v>29347.502570541841</v>
      </c>
      <c r="H4936">
        <v>10972.472486849103</v>
      </c>
      <c r="I4936">
        <v>3530.8000986306297</v>
      </c>
      <c r="J4936">
        <v>98662.023974558324</v>
      </c>
      <c r="K4936">
        <v>2478.806951361672</v>
      </c>
      <c r="L4936">
        <v>94.479992942025874</v>
      </c>
      <c r="M4936">
        <v>952.15868568602309</v>
      </c>
      <c r="N4936">
        <v>463.72947531593394</v>
      </c>
      <c r="O4936">
        <v>63.944362091816295</v>
      </c>
      <c r="P4936">
        <v>0.74549951401507597</v>
      </c>
    </row>
    <row r="4937" spans="1:16">
      <c r="A4937" s="1" t="s">
        <v>4834</v>
      </c>
      <c r="B4937" s="1" t="s">
        <v>4850</v>
      </c>
      <c r="C4937" s="1" t="s">
        <v>5591</v>
      </c>
      <c r="D4937" s="1" t="s">
        <v>1683</v>
      </c>
      <c r="E4937" s="1" t="s">
        <v>4839</v>
      </c>
      <c r="F4937">
        <v>7841.3151434236579</v>
      </c>
      <c r="G4937">
        <v>24426.165960428243</v>
      </c>
      <c r="H4937">
        <v>10569.432416545395</v>
      </c>
      <c r="I4937">
        <v>3733.0146939425708</v>
      </c>
      <c r="J4937">
        <v>85729.429599059018</v>
      </c>
      <c r="K4937">
        <v>2222.4677527169383</v>
      </c>
      <c r="L4937">
        <v>76.392642748671904</v>
      </c>
      <c r="M4937">
        <v>957.69913593465731</v>
      </c>
      <c r="N4937">
        <v>311.30249434802278</v>
      </c>
      <c r="O4937">
        <v>60.583758181196686</v>
      </c>
      <c r="P4937">
        <v>0.71778770762214128</v>
      </c>
    </row>
    <row r="4938" spans="1:16">
      <c r="A4938" s="1" t="s">
        <v>4834</v>
      </c>
      <c r="B4938" s="1" t="s">
        <v>4851</v>
      </c>
      <c r="C4938" s="1" t="s">
        <v>5591</v>
      </c>
      <c r="D4938" s="1" t="s">
        <v>1683</v>
      </c>
      <c r="E4938" s="1" t="s">
        <v>4839</v>
      </c>
      <c r="F4938">
        <v>28770.523669763956</v>
      </c>
      <c r="G4938">
        <v>85653.351064276561</v>
      </c>
      <c r="H4938">
        <v>4609.2862193829951</v>
      </c>
      <c r="I4938">
        <v>5742.2212434616349</v>
      </c>
      <c r="J4938">
        <v>133926.13627289954</v>
      </c>
      <c r="K4938">
        <v>2682.8814796672714</v>
      </c>
      <c r="L4938">
        <v>192.07631546122371</v>
      </c>
      <c r="M4938">
        <v>683.08447815452303</v>
      </c>
      <c r="N4938">
        <v>2466.9849277988055</v>
      </c>
      <c r="O4938">
        <v>81.511054400394528</v>
      </c>
      <c r="P4938">
        <v>1.1125930898201299</v>
      </c>
    </row>
    <row r="4939" spans="1:16">
      <c r="A4939" s="1" t="s">
        <v>4834</v>
      </c>
      <c r="B4939" s="1" t="s">
        <v>4852</v>
      </c>
      <c r="C4939" s="1" t="s">
        <v>5591</v>
      </c>
      <c r="D4939" s="1" t="s">
        <v>1683</v>
      </c>
      <c r="E4939" s="1" t="s">
        <v>4839</v>
      </c>
      <c r="F4939">
        <v>28918.165304483697</v>
      </c>
      <c r="G4939">
        <v>95221.048971718454</v>
      </c>
      <c r="H4939">
        <v>8761.2891421279091</v>
      </c>
      <c r="I4939">
        <v>6936.9843829792799</v>
      </c>
      <c r="J4939">
        <v>134286.46681405813</v>
      </c>
      <c r="K4939">
        <v>2411.5783302607815</v>
      </c>
      <c r="L4939">
        <v>198.5141961985872</v>
      </c>
      <c r="M4939">
        <v>536.33868538152899</v>
      </c>
      <c r="N4939">
        <v>2898.1069666549511</v>
      </c>
      <c r="O4939">
        <v>84.98080547121134</v>
      </c>
      <c r="P4939">
        <v>1.1158528413990636</v>
      </c>
    </row>
    <row r="4940" spans="1:16">
      <c r="A4940" s="1" t="s">
        <v>4834</v>
      </c>
      <c r="B4940" s="1" t="s">
        <v>4853</v>
      </c>
      <c r="C4940" s="1" t="s">
        <v>5591</v>
      </c>
      <c r="D4940" s="1" t="s">
        <v>1683</v>
      </c>
      <c r="E4940" s="1" t="s">
        <v>4839</v>
      </c>
      <c r="F4940">
        <v>19180.380848977151</v>
      </c>
      <c r="G4940">
        <v>69638.173365099312</v>
      </c>
      <c r="H4940">
        <v>4583.0073095935768</v>
      </c>
      <c r="I4940">
        <v>1950.3334904869682</v>
      </c>
      <c r="J4940">
        <v>118449.3231285283</v>
      </c>
      <c r="K4940">
        <v>2318.3808776204996</v>
      </c>
      <c r="L4940">
        <v>146.82668479077273</v>
      </c>
      <c r="M4940">
        <v>547.44856780188081</v>
      </c>
      <c r="N4940">
        <v>1731.1303536463201</v>
      </c>
      <c r="O4940">
        <v>70.390089233199888</v>
      </c>
      <c r="P4940">
        <v>0.53445206071172646</v>
      </c>
    </row>
    <row r="4941" spans="1:16">
      <c r="A4941" s="1" t="s">
        <v>4834</v>
      </c>
      <c r="B4941" s="1" t="s">
        <v>4854</v>
      </c>
      <c r="C4941" s="1" t="s">
        <v>5591</v>
      </c>
      <c r="D4941" s="1" t="s">
        <v>1683</v>
      </c>
      <c r="E4941" s="1" t="s">
        <v>4839</v>
      </c>
      <c r="F4941">
        <v>11458.435245503435</v>
      </c>
      <c r="G4941">
        <v>49539.107678670436</v>
      </c>
      <c r="H4941">
        <v>9166.7278479018241</v>
      </c>
      <c r="I4941">
        <v>4613.0137255506943</v>
      </c>
      <c r="J4941">
        <v>120810.07436808026</v>
      </c>
      <c r="K4941">
        <v>2233.1961562714887</v>
      </c>
      <c r="L4941">
        <v>137.94355069717281</v>
      </c>
      <c r="M4941">
        <v>933.53144145627152</v>
      </c>
      <c r="N4941">
        <v>962.95421595394032</v>
      </c>
      <c r="O4941">
        <v>82.0909759570836</v>
      </c>
      <c r="P4941">
        <v>1.872289693010379</v>
      </c>
    </row>
    <row r="4942" spans="1:16">
      <c r="A4942" s="1" t="s">
        <v>4834</v>
      </c>
      <c r="B4942" s="1" t="s">
        <v>4855</v>
      </c>
      <c r="C4942" s="1" t="s">
        <v>5591</v>
      </c>
      <c r="D4942" s="1" t="s">
        <v>1683</v>
      </c>
      <c r="E4942" s="1" t="s">
        <v>4839</v>
      </c>
      <c r="F4942">
        <v>14597.150727978225</v>
      </c>
      <c r="G4942">
        <v>67018.938800782315</v>
      </c>
      <c r="H4942">
        <v>7869.1825242449413</v>
      </c>
      <c r="I4942">
        <v>4260.8531858611977</v>
      </c>
      <c r="J4942">
        <v>129327.4941505699</v>
      </c>
      <c r="K4942">
        <v>2260.2418976020053</v>
      </c>
      <c r="L4942">
        <v>158.32127811879411</v>
      </c>
      <c r="M4942">
        <v>743.45386246056842</v>
      </c>
      <c r="N4942">
        <v>1356.4311306212994</v>
      </c>
      <c r="O4942">
        <v>91.339028529294012</v>
      </c>
      <c r="P4942">
        <v>1.5042386968014656</v>
      </c>
    </row>
    <row r="4943" spans="1:16">
      <c r="A4943" s="1" t="s">
        <v>4834</v>
      </c>
      <c r="B4943" s="1" t="s">
        <v>4856</v>
      </c>
      <c r="C4943" s="1" t="s">
        <v>5591</v>
      </c>
      <c r="D4943" s="1" t="s">
        <v>1683</v>
      </c>
      <c r="E4943" s="1" t="s">
        <v>4839</v>
      </c>
      <c r="F4943">
        <v>10380.415642132948</v>
      </c>
      <c r="G4943">
        <v>40386.984192346448</v>
      </c>
      <c r="H4943">
        <v>6201.5870943288173</v>
      </c>
      <c r="I4943">
        <v>4874.6880345828349</v>
      </c>
      <c r="J4943">
        <v>79682.415914344252</v>
      </c>
      <c r="K4943">
        <v>1401.9768503259329</v>
      </c>
      <c r="L4943">
        <v>84.956847991298162</v>
      </c>
      <c r="M4943">
        <v>663.46895726174216</v>
      </c>
      <c r="N4943">
        <v>721.67158436478053</v>
      </c>
      <c r="O4943">
        <v>75.670165998350299</v>
      </c>
      <c r="P4943">
        <v>1.1120680637961387</v>
      </c>
    </row>
    <row r="4944" spans="1:16">
      <c r="A4944" s="1" t="s">
        <v>4834</v>
      </c>
      <c r="B4944" s="1" t="s">
        <v>4857</v>
      </c>
      <c r="C4944" s="1" t="s">
        <v>5591</v>
      </c>
      <c r="D4944" s="1" t="s">
        <v>1683</v>
      </c>
      <c r="E4944" s="1" t="s">
        <v>4839</v>
      </c>
      <c r="F4944">
        <v>4027.9083044224294</v>
      </c>
      <c r="G4944">
        <v>11999.133913629898</v>
      </c>
      <c r="H4944">
        <v>7205.4668009256529</v>
      </c>
      <c r="I4944">
        <v>5275.7903449198702</v>
      </c>
      <c r="J4944">
        <v>46984.048005365708</v>
      </c>
      <c r="K4944">
        <v>909.15182999809053</v>
      </c>
      <c r="L4944">
        <v>43.930051041612501</v>
      </c>
      <c r="M4944">
        <v>785.51592153979493</v>
      </c>
      <c r="N4944">
        <v>126.91678607661402</v>
      </c>
      <c r="O4944">
        <v>66.04039717268023</v>
      </c>
      <c r="P4944">
        <v>0.5161048369501029</v>
      </c>
    </row>
    <row r="4945" spans="1:16">
      <c r="A4945" s="1" t="s">
        <v>4834</v>
      </c>
      <c r="B4945" s="1" t="s">
        <v>4858</v>
      </c>
      <c r="C4945" s="1" t="s">
        <v>5591</v>
      </c>
      <c r="D4945" s="1" t="s">
        <v>1683</v>
      </c>
      <c r="E4945" s="1" t="s">
        <v>4839</v>
      </c>
      <c r="F4945">
        <v>4829.7813328141383</v>
      </c>
      <c r="G4945">
        <v>2215.0380314206386</v>
      </c>
      <c r="H4945">
        <v>1204.8010937138433</v>
      </c>
      <c r="I4945">
        <v>1602.84631370684</v>
      </c>
      <c r="J4945">
        <v>11233.687457115806</v>
      </c>
      <c r="K4945">
        <v>476.00702651969073</v>
      </c>
      <c r="L4945">
        <v>55.989021842415397</v>
      </c>
      <c r="M4945">
        <v>359.03368115294802</v>
      </c>
      <c r="N4945">
        <v>247.07355733264447</v>
      </c>
      <c r="O4945">
        <v>20.660341455953901</v>
      </c>
      <c r="P4945">
        <v>1.59476294325039</v>
      </c>
    </row>
    <row r="4946" spans="1:16">
      <c r="A4946" s="1" t="s">
        <v>4834</v>
      </c>
      <c r="B4946" s="1" t="s">
        <v>4859</v>
      </c>
      <c r="C4946" s="1" t="s">
        <v>5591</v>
      </c>
      <c r="D4946" s="1" t="s">
        <v>1683</v>
      </c>
      <c r="E4946" s="1" t="s">
        <v>4839</v>
      </c>
      <c r="F4946">
        <v>3039.0581736408139</v>
      </c>
      <c r="G4946">
        <v>1263.4629083506582</v>
      </c>
      <c r="H4946">
        <v>3117.5678880775545</v>
      </c>
      <c r="I4946">
        <v>1853.78256469592</v>
      </c>
      <c r="J4946">
        <v>21288.903202517369</v>
      </c>
      <c r="K4946">
        <v>541.53780237849173</v>
      </c>
      <c r="L4946">
        <v>22.851198847899621</v>
      </c>
      <c r="M4946">
        <v>786.27010446967915</v>
      </c>
      <c r="N4946">
        <v>32.182281969086389</v>
      </c>
      <c r="O4946">
        <v>26.250213056864801</v>
      </c>
      <c r="P4946">
        <v>0.75235983834407583</v>
      </c>
    </row>
    <row r="4947" spans="1:16">
      <c r="A4947" s="1" t="s">
        <v>4834</v>
      </c>
      <c r="B4947" s="1" t="s">
        <v>4860</v>
      </c>
      <c r="C4947" s="1" t="s">
        <v>5591</v>
      </c>
      <c r="D4947" s="1" t="s">
        <v>1683</v>
      </c>
      <c r="E4947" s="1" t="s">
        <v>4839</v>
      </c>
      <c r="F4947">
        <v>6236.0458310606773</v>
      </c>
      <c r="G4947">
        <v>1368.8723420374438</v>
      </c>
      <c r="H4947">
        <v>2183.6371800502902</v>
      </c>
      <c r="I4947">
        <v>1803.7868690983717</v>
      </c>
      <c r="J4947">
        <v>20911.035916166551</v>
      </c>
      <c r="K4947">
        <v>493.7209824621433</v>
      </c>
      <c r="L4947">
        <v>19.243131780055084</v>
      </c>
      <c r="M4947">
        <v>686.44477202585074</v>
      </c>
      <c r="N4947">
        <v>46.276925435175229</v>
      </c>
      <c r="O4947">
        <v>25.641854521337184</v>
      </c>
      <c r="P4947">
        <v>0.75977041604523965</v>
      </c>
    </row>
    <row r="4948" spans="1:16">
      <c r="A4948" s="1" t="s">
        <v>4834</v>
      </c>
      <c r="B4948" s="1" t="s">
        <v>4861</v>
      </c>
      <c r="C4948" s="1" t="s">
        <v>5591</v>
      </c>
      <c r="D4948" s="1" t="s">
        <v>1683</v>
      </c>
      <c r="E4948" s="1" t="s">
        <v>4839</v>
      </c>
      <c r="F4948">
        <v>6206.2922302131801</v>
      </c>
      <c r="G4948">
        <v>7044.0181928475158</v>
      </c>
      <c r="H4948">
        <v>1888.1758463654219</v>
      </c>
      <c r="I4948">
        <v>1497.23836850006</v>
      </c>
      <c r="J4948">
        <v>17518.793483988291</v>
      </c>
      <c r="K4948">
        <v>391.36570286500552</v>
      </c>
      <c r="L4948">
        <v>30.791285714973181</v>
      </c>
      <c r="M4948">
        <v>784.49756193665428</v>
      </c>
      <c r="N4948">
        <v>51.132984282956834</v>
      </c>
      <c r="O4948">
        <v>22.766850908492248</v>
      </c>
      <c r="P4948">
        <v>0.90762943125039286</v>
      </c>
    </row>
    <row r="4949" spans="1:16">
      <c r="A4949" s="1" t="s">
        <v>4834</v>
      </c>
      <c r="B4949" s="1" t="s">
        <v>4862</v>
      </c>
      <c r="C4949" s="1" t="s">
        <v>5591</v>
      </c>
      <c r="D4949" s="1" t="s">
        <v>1683</v>
      </c>
      <c r="E4949" s="1" t="s">
        <v>4839</v>
      </c>
      <c r="F4949">
        <v>2474.6783410947401</v>
      </c>
      <c r="G4949">
        <v>1319.9981543001213</v>
      </c>
      <c r="H4949">
        <v>2035.5983501804185</v>
      </c>
      <c r="I4949">
        <v>1427.5148135064301</v>
      </c>
      <c r="J4949">
        <v>23056.449143276754</v>
      </c>
      <c r="K4949">
        <v>458.08930204231297</v>
      </c>
      <c r="L4949">
        <v>36.661665256645648</v>
      </c>
      <c r="M4949">
        <v>846.90728992199251</v>
      </c>
      <c r="N4949">
        <v>47.815338775254006</v>
      </c>
      <c r="O4949">
        <v>25.698362447359216</v>
      </c>
      <c r="P4949">
        <v>0.60922326668151738</v>
      </c>
    </row>
    <row r="4950" spans="1:16">
      <c r="A4950" s="1" t="s">
        <v>4834</v>
      </c>
      <c r="B4950" s="1" t="s">
        <v>4863</v>
      </c>
      <c r="C4950" s="1" t="s">
        <v>5591</v>
      </c>
      <c r="D4950" s="1" t="s">
        <v>1683</v>
      </c>
      <c r="E4950" s="1" t="s">
        <v>4839</v>
      </c>
      <c r="F4950">
        <v>7074.4372295160219</v>
      </c>
      <c r="G4950">
        <v>12508.984834373339</v>
      </c>
      <c r="H4950">
        <v>6473.2295674229281</v>
      </c>
      <c r="I4950">
        <v>1237.4820045317399</v>
      </c>
      <c r="J4950">
        <v>59860.751124272268</v>
      </c>
      <c r="K4950">
        <v>1886.6198470794166</v>
      </c>
      <c r="L4950">
        <v>21.324010329149498</v>
      </c>
      <c r="M4950">
        <v>579.32100048121652</v>
      </c>
      <c r="N4950">
        <v>1020.35923949664</v>
      </c>
      <c r="O4950">
        <v>52.151420351780047</v>
      </c>
      <c r="P4950">
        <v>1.0858596233492046</v>
      </c>
    </row>
    <row r="4951" spans="1:16">
      <c r="A4951" s="1" t="s">
        <v>4834</v>
      </c>
      <c r="B4951" s="1" t="s">
        <v>4864</v>
      </c>
      <c r="C4951" s="1" t="s">
        <v>5591</v>
      </c>
      <c r="D4951" s="1" t="s">
        <v>1683</v>
      </c>
      <c r="E4951" s="1" t="s">
        <v>4839</v>
      </c>
      <c r="F4951">
        <v>3211.7587266081091</v>
      </c>
      <c r="G4951">
        <v>2548.9985902298313</v>
      </c>
      <c r="H4951">
        <v>6463.8436651040156</v>
      </c>
      <c r="I4951">
        <v>5190.0745168761196</v>
      </c>
      <c r="J4951">
        <v>45189.778802260531</v>
      </c>
      <c r="K4951">
        <v>927.38551302620806</v>
      </c>
      <c r="L4951">
        <v>37.171761531131935</v>
      </c>
      <c r="M4951">
        <v>632.0103006246502</v>
      </c>
      <c r="N4951">
        <v>164.56530305127251</v>
      </c>
      <c r="O4951">
        <v>45.547569415902231</v>
      </c>
      <c r="P4951">
        <v>0.91444316226092048</v>
      </c>
    </row>
    <row r="4952" spans="1:16">
      <c r="A4952" s="1" t="s">
        <v>4834</v>
      </c>
      <c r="B4952" s="1" t="s">
        <v>4865</v>
      </c>
      <c r="C4952" s="1" t="s">
        <v>5591</v>
      </c>
      <c r="D4952" s="1" t="s">
        <v>1683</v>
      </c>
      <c r="E4952" s="1" t="s">
        <v>4839</v>
      </c>
      <c r="F4952">
        <v>3580.5448275652311</v>
      </c>
      <c r="G4952">
        <v>7005.0105085315863</v>
      </c>
      <c r="H4952">
        <v>6739.7147428953285</v>
      </c>
      <c r="I4952">
        <v>1904.2146584637112</v>
      </c>
      <c r="J4952">
        <v>24174.619794426799</v>
      </c>
      <c r="K4952">
        <v>548.67806625572371</v>
      </c>
      <c r="L4952">
        <v>32.857305835170877</v>
      </c>
      <c r="M4952">
        <v>744.21821409864992</v>
      </c>
      <c r="N4952">
        <v>38.944265420049099</v>
      </c>
      <c r="O4952">
        <v>52.185575078335546</v>
      </c>
      <c r="P4952">
        <v>0.80455449954587843</v>
      </c>
    </row>
    <row r="4953" spans="1:16">
      <c r="A4953" s="1" t="s">
        <v>4834</v>
      </c>
      <c r="B4953" s="1" t="s">
        <v>4866</v>
      </c>
      <c r="C4953" s="1" t="s">
        <v>5591</v>
      </c>
      <c r="D4953" s="1" t="s">
        <v>1683</v>
      </c>
      <c r="E4953" s="1" t="s">
        <v>4839</v>
      </c>
      <c r="F4953">
        <v>5835.8233390565347</v>
      </c>
      <c r="G4953">
        <v>14651.218190126299</v>
      </c>
      <c r="H4953">
        <v>2499.2498279234896</v>
      </c>
      <c r="I4953">
        <v>1904.5160174998937</v>
      </c>
      <c r="J4953">
        <v>42966.085094931586</v>
      </c>
      <c r="K4953">
        <v>977.97870213115675</v>
      </c>
      <c r="L4953">
        <v>54.72377913510563</v>
      </c>
      <c r="M4953">
        <v>796.65210433056359</v>
      </c>
      <c r="N4953">
        <v>278.67672219649415</v>
      </c>
      <c r="O4953">
        <v>61.924980087903386</v>
      </c>
      <c r="P4953">
        <v>0.42202578248678002</v>
      </c>
    </row>
    <row r="4954" spans="1:16">
      <c r="A4954" s="1" t="s">
        <v>4834</v>
      </c>
      <c r="B4954" s="1" t="s">
        <v>4867</v>
      </c>
      <c r="C4954" s="1" t="s">
        <v>5591</v>
      </c>
      <c r="D4954" s="1" t="s">
        <v>1683</v>
      </c>
      <c r="E4954" s="1" t="s">
        <v>4839</v>
      </c>
      <c r="F4954">
        <v>5721.0441427047499</v>
      </c>
      <c r="G4954">
        <v>15204.348278309953</v>
      </c>
      <c r="H4954">
        <v>6782.6510001507331</v>
      </c>
      <c r="I4954">
        <v>2929.9760671781301</v>
      </c>
      <c r="J4954">
        <v>53429.718241767325</v>
      </c>
      <c r="K4954">
        <v>2974.9472427084947</v>
      </c>
      <c r="L4954">
        <v>15.5635977317054</v>
      </c>
      <c r="M4954">
        <v>657.21578864144271</v>
      </c>
      <c r="N4954">
        <v>220.10646061216468</v>
      </c>
      <c r="O4954">
        <v>63.131695310023083</v>
      </c>
      <c r="P4954">
        <v>0.82135675718554568</v>
      </c>
    </row>
    <row r="4955" spans="1:16">
      <c r="A4955" s="1" t="s">
        <v>4834</v>
      </c>
      <c r="B4955" s="1" t="s">
        <v>4868</v>
      </c>
      <c r="C4955" s="1" t="s">
        <v>5591</v>
      </c>
      <c r="D4955" s="1" t="s">
        <v>1683</v>
      </c>
      <c r="E4955" s="1" t="s">
        <v>4839</v>
      </c>
      <c r="F4955">
        <v>6537.2755256390747</v>
      </c>
      <c r="G4955">
        <v>5582.9608345007582</v>
      </c>
      <c r="H4955">
        <v>15522.981687490057</v>
      </c>
      <c r="I4955">
        <v>1037.3641876485312</v>
      </c>
      <c r="J4955">
        <v>77690.460308900801</v>
      </c>
      <c r="K4955">
        <v>2900.9604729638768</v>
      </c>
      <c r="L4955">
        <v>44.214071980072418</v>
      </c>
      <c r="M4955">
        <v>1253.1233770473484</v>
      </c>
      <c r="N4955">
        <v>568.27997236090539</v>
      </c>
      <c r="O4955">
        <v>47.310660088481498</v>
      </c>
      <c r="P4955">
        <v>3.5238242811554024</v>
      </c>
    </row>
    <row r="4956" spans="1:16">
      <c r="A4956" s="1" t="s">
        <v>4834</v>
      </c>
      <c r="B4956" s="1" t="s">
        <v>4869</v>
      </c>
      <c r="C4956" s="1" t="s">
        <v>5591</v>
      </c>
      <c r="D4956" s="1" t="s">
        <v>1683</v>
      </c>
      <c r="E4956" s="1" t="s">
        <v>4839</v>
      </c>
      <c r="F4956">
        <v>6961.5449621703201</v>
      </c>
      <c r="G4956">
        <v>1110.9474941240155</v>
      </c>
      <c r="H4956">
        <v>17280.837994193535</v>
      </c>
      <c r="I4956">
        <v>1105.0566803058675</v>
      </c>
      <c r="J4956">
        <v>93060.44953696958</v>
      </c>
      <c r="K4956">
        <v>3629.7808060190364</v>
      </c>
      <c r="L4956">
        <v>53.662870383203369</v>
      </c>
      <c r="M4956">
        <v>1337.3489765412885</v>
      </c>
      <c r="N4956">
        <v>785.05536123871457</v>
      </c>
      <c r="O4956">
        <v>68.329582229763503</v>
      </c>
      <c r="P4956">
        <v>5.3685074048477892</v>
      </c>
    </row>
    <row r="4957" spans="1:16">
      <c r="A4957" s="1" t="s">
        <v>4834</v>
      </c>
      <c r="B4957" s="1" t="s">
        <v>4870</v>
      </c>
      <c r="C4957" s="1" t="s">
        <v>5591</v>
      </c>
      <c r="D4957" s="1" t="s">
        <v>1683</v>
      </c>
      <c r="E4957" s="1" t="s">
        <v>4839</v>
      </c>
      <c r="F4957">
        <v>9762.7220797887458</v>
      </c>
      <c r="G4957">
        <v>4289.6657801983956</v>
      </c>
      <c r="H4957">
        <v>7303.0857997661151</v>
      </c>
      <c r="I4957">
        <v>792.5171461623712</v>
      </c>
      <c r="J4957">
        <v>43961.195529463468</v>
      </c>
      <c r="K4957">
        <v>1521.8577812273593</v>
      </c>
      <c r="L4957">
        <v>21.217305103657392</v>
      </c>
      <c r="M4957">
        <v>1175.7314732931359</v>
      </c>
      <c r="N4957">
        <v>249.91236648950604</v>
      </c>
      <c r="O4957">
        <v>56.892462884557702</v>
      </c>
      <c r="P4957">
        <v>2.075397677896881</v>
      </c>
    </row>
    <row r="4958" spans="1:16">
      <c r="A4958" s="1" t="s">
        <v>4834</v>
      </c>
      <c r="B4958" s="1" t="s">
        <v>4871</v>
      </c>
      <c r="C4958" s="1" t="s">
        <v>5591</v>
      </c>
      <c r="D4958" s="1" t="s">
        <v>1683</v>
      </c>
      <c r="E4958" s="1" t="s">
        <v>4839</v>
      </c>
      <c r="F4958">
        <v>6831.7981650196625</v>
      </c>
      <c r="G4958">
        <v>21191.74505014707</v>
      </c>
      <c r="H4958">
        <v>5958.4983537325588</v>
      </c>
      <c r="I4958">
        <v>3232.8805837417335</v>
      </c>
      <c r="J4958">
        <v>71472.981694056885</v>
      </c>
      <c r="K4958">
        <v>1599.233922263418</v>
      </c>
      <c r="L4958">
        <v>57.425267335263783</v>
      </c>
      <c r="M4958">
        <v>829.24381956701973</v>
      </c>
      <c r="N4958">
        <v>331.6499409819765</v>
      </c>
      <c r="O4958">
        <v>55.014342718718225</v>
      </c>
      <c r="P4958">
        <v>0.87157523630959499</v>
      </c>
    </row>
    <row r="4959" spans="1:16">
      <c r="A4959" s="1" t="s">
        <v>4834</v>
      </c>
      <c r="B4959" s="1" t="s">
        <v>4872</v>
      </c>
      <c r="C4959" s="1" t="s">
        <v>5591</v>
      </c>
      <c r="D4959" s="1" t="s">
        <v>1683</v>
      </c>
      <c r="E4959" s="1" t="s">
        <v>4839</v>
      </c>
      <c r="F4959">
        <v>5998.0986582966389</v>
      </c>
      <c r="G4959">
        <v>18295.480505145286</v>
      </c>
      <c r="H4959">
        <v>4134.4081687907401</v>
      </c>
      <c r="I4959">
        <v>2743.6504701808485</v>
      </c>
      <c r="J4959">
        <v>65784.214369532012</v>
      </c>
      <c r="K4959">
        <v>1322.2504030553691</v>
      </c>
      <c r="L4959">
        <v>52.556112641398656</v>
      </c>
      <c r="M4959">
        <v>737.00202638775465</v>
      </c>
      <c r="N4959">
        <v>363.53132761424706</v>
      </c>
      <c r="O4959">
        <v>52.665457758196247</v>
      </c>
      <c r="P4959">
        <v>0.525449978079366</v>
      </c>
    </row>
    <row r="4960" spans="1:16">
      <c r="A4960" s="1" t="s">
        <v>4834</v>
      </c>
      <c r="B4960" s="1" t="s">
        <v>4873</v>
      </c>
      <c r="C4960" s="1" t="s">
        <v>5591</v>
      </c>
      <c r="D4960" s="1" t="s">
        <v>1683</v>
      </c>
      <c r="E4960" s="1" t="s">
        <v>4839</v>
      </c>
      <c r="F4960">
        <v>8064.9872005150391</v>
      </c>
      <c r="G4960">
        <v>12845.190799376651</v>
      </c>
      <c r="H4960">
        <v>3543.3325014778602</v>
      </c>
      <c r="I4960">
        <v>2733.0119923705643</v>
      </c>
      <c r="J4960">
        <v>48360.440611853199</v>
      </c>
      <c r="K4960">
        <v>3276.7347130293729</v>
      </c>
      <c r="L4960">
        <v>37.396682179980779</v>
      </c>
      <c r="M4960">
        <v>763.03843029074994</v>
      </c>
      <c r="N4960">
        <v>231.06309041848951</v>
      </c>
      <c r="O4960">
        <v>48.510654988217581</v>
      </c>
      <c r="P4960">
        <v>0.39375587561375536</v>
      </c>
    </row>
    <row r="4961" spans="1:16">
      <c r="A4961" s="1" t="s">
        <v>4834</v>
      </c>
      <c r="B4961" s="1" t="s">
        <v>4874</v>
      </c>
      <c r="C4961" s="1" t="s">
        <v>5591</v>
      </c>
      <c r="D4961" s="1" t="s">
        <v>1683</v>
      </c>
      <c r="E4961" s="1" t="s">
        <v>4839</v>
      </c>
      <c r="F4961">
        <v>15741.07802640513</v>
      </c>
      <c r="G4961">
        <v>13434.163376540255</v>
      </c>
      <c r="H4961">
        <v>4277.2493919980116</v>
      </c>
      <c r="I4961">
        <v>2779.1015087828564</v>
      </c>
      <c r="J4961">
        <v>57342.550669666743</v>
      </c>
      <c r="K4961">
        <v>1314.450651032962</v>
      </c>
      <c r="L4961">
        <v>41.184299345651532</v>
      </c>
      <c r="M4961">
        <v>1142.9827375202553</v>
      </c>
      <c r="N4961">
        <v>215.19398121861431</v>
      </c>
      <c r="O4961">
        <v>47.519119064521171</v>
      </c>
      <c r="P4961">
        <v>0.37513931134606027</v>
      </c>
    </row>
    <row r="4962" spans="1:16">
      <c r="A4962" s="1" t="s">
        <v>4834</v>
      </c>
      <c r="B4962" s="1" t="s">
        <v>4875</v>
      </c>
      <c r="C4962" s="1" t="s">
        <v>5591</v>
      </c>
      <c r="D4962" s="1" t="s">
        <v>1683</v>
      </c>
      <c r="E4962" s="1" t="s">
        <v>4839</v>
      </c>
      <c r="F4962">
        <v>4526.667855703131</v>
      </c>
      <c r="G4962">
        <v>11254.517490281429</v>
      </c>
      <c r="H4962">
        <v>3536.6211918854729</v>
      </c>
      <c r="I4962">
        <v>2947.3474698832406</v>
      </c>
      <c r="J4962">
        <v>56056.743353942322</v>
      </c>
      <c r="K4962">
        <v>1115.0432881515944</v>
      </c>
      <c r="L4962">
        <v>48.028377595533854</v>
      </c>
      <c r="M4962">
        <v>807.30975819438913</v>
      </c>
      <c r="N4962">
        <v>195.77620126957368</v>
      </c>
      <c r="O4962">
        <v>47.988788714993454</v>
      </c>
      <c r="P4962">
        <v>0.83111366644730833</v>
      </c>
    </row>
    <row r="4963" spans="1:16">
      <c r="A4963" s="1" t="s">
        <v>4834</v>
      </c>
      <c r="B4963" s="1" t="s">
        <v>4876</v>
      </c>
      <c r="C4963" s="1" t="s">
        <v>5591</v>
      </c>
      <c r="D4963" s="1" t="s">
        <v>1683</v>
      </c>
      <c r="E4963" s="1" t="s">
        <v>4839</v>
      </c>
      <c r="F4963">
        <v>5355.3034257760255</v>
      </c>
      <c r="G4963">
        <v>15797.021385533482</v>
      </c>
      <c r="H4963">
        <v>4054.8281800256368</v>
      </c>
      <c r="I4963">
        <v>2820.6751019113517</v>
      </c>
      <c r="J4963">
        <v>55631.413850734927</v>
      </c>
      <c r="K4963">
        <v>1158.6581181737242</v>
      </c>
      <c r="L4963">
        <v>47.13408121026464</v>
      </c>
      <c r="M4963">
        <v>779.03062885688121</v>
      </c>
      <c r="N4963">
        <v>179.80060820587053</v>
      </c>
      <c r="O4963">
        <v>49.664248817481749</v>
      </c>
      <c r="P4963">
        <v>5.9237176141009859E-2</v>
      </c>
    </row>
    <row r="4964" spans="1:16">
      <c r="A4964" s="1" t="s">
        <v>4834</v>
      </c>
      <c r="B4964" s="1" t="s">
        <v>4877</v>
      </c>
      <c r="C4964" s="1" t="s">
        <v>5591</v>
      </c>
      <c r="D4964" s="1" t="s">
        <v>1683</v>
      </c>
      <c r="E4964" s="1" t="s">
        <v>4839</v>
      </c>
      <c r="F4964">
        <v>6058.1825306349065</v>
      </c>
      <c r="G4964">
        <v>16657.257654285335</v>
      </c>
      <c r="H4964">
        <v>6083.4008050892035</v>
      </c>
      <c r="I4964">
        <v>3084.3096253440162</v>
      </c>
      <c r="J4964">
        <v>57252.573244415769</v>
      </c>
      <c r="K4964">
        <v>1259.9972654854992</v>
      </c>
      <c r="L4964">
        <v>49.605106884824529</v>
      </c>
      <c r="M4964">
        <v>874.1136358145751</v>
      </c>
      <c r="N4964">
        <v>188.53527347449619</v>
      </c>
      <c r="O4964">
        <v>54.305958585743923</v>
      </c>
      <c r="P4964">
        <v>0.18622466306556459</v>
      </c>
    </row>
    <row r="4965" spans="1:16">
      <c r="A4965" s="1" t="s">
        <v>4834</v>
      </c>
      <c r="B4965" s="1" t="s">
        <v>4878</v>
      </c>
      <c r="C4965" s="1" t="s">
        <v>5591</v>
      </c>
      <c r="D4965" s="1" t="s">
        <v>1683</v>
      </c>
      <c r="E4965" s="1" t="s">
        <v>4839</v>
      </c>
      <c r="F4965">
        <v>6680.7651071146947</v>
      </c>
      <c r="G4965">
        <v>15852.829027400317</v>
      </c>
      <c r="H4965">
        <v>4562.4636314212776</v>
      </c>
      <c r="I4965">
        <v>2858.019198966635</v>
      </c>
      <c r="J4965">
        <v>63921.515365543943</v>
      </c>
      <c r="K4965">
        <v>1370.8638178738424</v>
      </c>
      <c r="L4965">
        <v>54.66118399581358</v>
      </c>
      <c r="M4965">
        <v>831.05682969474162</v>
      </c>
      <c r="N4965">
        <v>289.72687083102812</v>
      </c>
      <c r="O4965">
        <v>53.381870334003793</v>
      </c>
      <c r="P4965">
        <v>0.89757836309595762</v>
      </c>
    </row>
    <row r="4966" spans="1:16">
      <c r="A4966" s="1" t="s">
        <v>4834</v>
      </c>
      <c r="B4966" s="1" t="s">
        <v>4879</v>
      </c>
      <c r="C4966" s="1" t="s">
        <v>5591</v>
      </c>
      <c r="D4966" s="1" t="s">
        <v>1683</v>
      </c>
      <c r="E4966" s="1" t="s">
        <v>4839</v>
      </c>
      <c r="F4966">
        <v>5732.0554854278998</v>
      </c>
      <c r="G4966">
        <v>15269.206014628013</v>
      </c>
      <c r="H4966">
        <v>5225.8972542833471</v>
      </c>
      <c r="I4966">
        <v>2901.0460333514789</v>
      </c>
      <c r="J4966">
        <v>65584.040597357656</v>
      </c>
      <c r="K4966">
        <v>1400.5600132684183</v>
      </c>
      <c r="L4966">
        <v>55.981471719820981</v>
      </c>
      <c r="M4966">
        <v>812.58598863740087</v>
      </c>
      <c r="N4966">
        <v>268.95913040182177</v>
      </c>
      <c r="O4966">
        <v>53.605910888746791</v>
      </c>
      <c r="P4966">
        <v>0.96228295212860127</v>
      </c>
    </row>
    <row r="4967" spans="1:16">
      <c r="A4967" s="1" t="s">
        <v>4834</v>
      </c>
      <c r="B4967" s="1" t="s">
        <v>4880</v>
      </c>
      <c r="C4967" s="1" t="s">
        <v>5591</v>
      </c>
      <c r="D4967" s="1" t="s">
        <v>1683</v>
      </c>
      <c r="E4967" s="1" t="s">
        <v>4839</v>
      </c>
      <c r="F4967">
        <v>411.8498751025428</v>
      </c>
      <c r="G4967">
        <v>5.6880127595192596</v>
      </c>
      <c r="H4967">
        <v>1.9145233697596846</v>
      </c>
      <c r="I4967">
        <v>492.64855419216661</v>
      </c>
      <c r="J4967">
        <v>13158.930457930506</v>
      </c>
      <c r="K4967">
        <v>609.31536300021151</v>
      </c>
      <c r="L4967">
        <v>16.91352387731861</v>
      </c>
      <c r="M4967">
        <v>640.09921097489064</v>
      </c>
      <c r="N4967">
        <v>1.665971490323543</v>
      </c>
      <c r="O4967">
        <v>4.8668956514716033</v>
      </c>
      <c r="P4967">
        <v>0.34196005288607056</v>
      </c>
    </row>
    <row r="4968" spans="1:16">
      <c r="A4968" s="1" t="s">
        <v>4834</v>
      </c>
      <c r="B4968" s="1" t="s">
        <v>4881</v>
      </c>
      <c r="C4968" s="1" t="s">
        <v>5591</v>
      </c>
      <c r="D4968" s="1" t="s">
        <v>1683</v>
      </c>
      <c r="E4968" s="1" t="s">
        <v>4839</v>
      </c>
      <c r="F4968">
        <v>453.21013781171558</v>
      </c>
      <c r="G4968">
        <v>0.44615502568617638</v>
      </c>
      <c r="H4968">
        <v>8.1662771609742268</v>
      </c>
      <c r="I4968">
        <v>501.90130912131445</v>
      </c>
      <c r="J4968">
        <v>13281.151815887504</v>
      </c>
      <c r="K4968">
        <v>672.3721286247403</v>
      </c>
      <c r="L4968">
        <v>16.993572720253713</v>
      </c>
      <c r="M4968">
        <v>658.06235864410485</v>
      </c>
      <c r="N4968">
        <v>1.6965937113961851</v>
      </c>
      <c r="O4968">
        <v>4.9297713814091697</v>
      </c>
      <c r="P4968">
        <v>0.31788915195244821</v>
      </c>
    </row>
    <row r="4969" spans="1:16">
      <c r="A4969" s="1" t="s">
        <v>4834</v>
      </c>
      <c r="B4969" s="1" t="s">
        <v>4882</v>
      </c>
      <c r="C4969" s="1" t="s">
        <v>5591</v>
      </c>
      <c r="D4969" s="1" t="s">
        <v>1683</v>
      </c>
      <c r="E4969" s="1" t="s">
        <v>4839</v>
      </c>
      <c r="F4969">
        <v>391.92278207024555</v>
      </c>
      <c r="G4969">
        <v>1.5882415917804247</v>
      </c>
      <c r="H4969">
        <v>2.598117148978432</v>
      </c>
      <c r="I4969">
        <v>486.1845735170192</v>
      </c>
      <c r="J4969">
        <v>12573.472902659809</v>
      </c>
      <c r="K4969">
        <v>551.19482417224856</v>
      </c>
      <c r="L4969">
        <v>18.451305704035025</v>
      </c>
      <c r="M4969">
        <v>658.97963855472995</v>
      </c>
      <c r="N4969">
        <v>2.0460349705982241</v>
      </c>
      <c r="O4969">
        <v>5.4119118381129629</v>
      </c>
      <c r="P4969">
        <v>3.7112727502335394E-2</v>
      </c>
    </row>
    <row r="4970" spans="1:16">
      <c r="A4970" s="1" t="s">
        <v>4834</v>
      </c>
      <c r="B4970" s="1" t="s">
        <v>4883</v>
      </c>
      <c r="C4970" s="1" t="s">
        <v>5591</v>
      </c>
      <c r="D4970" s="1" t="s">
        <v>1683</v>
      </c>
      <c r="E4970" s="1" t="s">
        <v>4839</v>
      </c>
      <c r="F4970">
        <v>375.13051845847156</v>
      </c>
      <c r="G4970">
        <v>1.3469877726332176</v>
      </c>
      <c r="H4970">
        <v>4.0403402003192923</v>
      </c>
      <c r="I4970">
        <v>489.72732813051442</v>
      </c>
      <c r="J4970">
        <v>9453.6721776567683</v>
      </c>
      <c r="K4970">
        <v>510.83396946779669</v>
      </c>
      <c r="L4970">
        <v>16.965558634541111</v>
      </c>
      <c r="M4970">
        <v>631.95490915341929</v>
      </c>
      <c r="N4970">
        <v>1.8237794645893521</v>
      </c>
      <c r="O4970">
        <v>4.6170079992317641</v>
      </c>
      <c r="P4970">
        <v>0.55116843791984838</v>
      </c>
    </row>
    <row r="4971" spans="1:16">
      <c r="A4971" s="1" t="s">
        <v>4834</v>
      </c>
      <c r="B4971" s="1" t="s">
        <v>4884</v>
      </c>
      <c r="C4971" s="1" t="s">
        <v>5591</v>
      </c>
      <c r="D4971" s="1" t="s">
        <v>1683</v>
      </c>
      <c r="E4971" s="1" t="s">
        <v>4839</v>
      </c>
      <c r="F4971">
        <v>1052.531996654692</v>
      </c>
      <c r="G4971">
        <v>5.7028322535251226</v>
      </c>
      <c r="H4971">
        <v>5.1143953973050156</v>
      </c>
      <c r="I4971">
        <v>417.82149758857588</v>
      </c>
      <c r="J4971">
        <v>1319.7200086248233</v>
      </c>
      <c r="K4971">
        <v>955.40486554074721</v>
      </c>
      <c r="L4971">
        <v>33.811359850914585</v>
      </c>
      <c r="M4971">
        <v>1602.6425246543999</v>
      </c>
      <c r="N4971">
        <v>10.4027550038101</v>
      </c>
      <c r="O4971">
        <v>2.9280016534110609</v>
      </c>
      <c r="P4971">
        <v>0.75934837504587405</v>
      </c>
    </row>
    <row r="4972" spans="1:16">
      <c r="A4972" s="1" t="s">
        <v>4834</v>
      </c>
      <c r="B4972" s="1" t="s">
        <v>4885</v>
      </c>
      <c r="C4972" s="1" t="s">
        <v>5591</v>
      </c>
      <c r="D4972" s="1" t="s">
        <v>1683</v>
      </c>
      <c r="E4972" s="1" t="s">
        <v>4839</v>
      </c>
      <c r="F4972">
        <v>453.21691263268804</v>
      </c>
      <c r="G4972">
        <v>1.3407482961744435</v>
      </c>
      <c r="H4972">
        <v>18.255770165892987</v>
      </c>
      <c r="I4972">
        <v>488.19792284715527</v>
      </c>
      <c r="J4972">
        <v>12592.851371157316</v>
      </c>
      <c r="K4972">
        <v>1152.2481950243598</v>
      </c>
      <c r="L4972">
        <v>17.460129766351955</v>
      </c>
      <c r="M4972">
        <v>805.77989955048099</v>
      </c>
      <c r="N4972">
        <v>3.0655665959974048</v>
      </c>
      <c r="O4972">
        <v>4.5495556893416671</v>
      </c>
      <c r="P4972">
        <v>1.6580294487155816</v>
      </c>
    </row>
    <row r="4973" spans="1:16">
      <c r="A4973" s="1" t="s">
        <v>4834</v>
      </c>
      <c r="B4973" s="1" t="s">
        <v>4886</v>
      </c>
      <c r="C4973" s="1" t="s">
        <v>5591</v>
      </c>
      <c r="D4973" s="1" t="s">
        <v>1683</v>
      </c>
      <c r="E4973" s="1" t="s">
        <v>4839</v>
      </c>
      <c r="F4973">
        <v>620.90349558875107</v>
      </c>
      <c r="G4973">
        <v>3.5569440567147566</v>
      </c>
      <c r="H4973">
        <v>2.4082119822137424</v>
      </c>
      <c r="I4973">
        <v>617.45768339674191</v>
      </c>
      <c r="J4973">
        <v>13847.958283613141</v>
      </c>
      <c r="K4973">
        <v>919.23950690893514</v>
      </c>
      <c r="L4973">
        <v>21.677256686594262</v>
      </c>
      <c r="M4973">
        <v>839.1487770940106</v>
      </c>
      <c r="N4973">
        <v>1.8517478749111602</v>
      </c>
      <c r="O4973">
        <v>5.9377169991764438</v>
      </c>
      <c r="P4973">
        <v>2.9108369028004743E-2</v>
      </c>
    </row>
    <row r="4974" spans="1:16">
      <c r="A4974" s="1" t="s">
        <v>4834</v>
      </c>
      <c r="B4974" s="1" t="s">
        <v>4887</v>
      </c>
      <c r="C4974" s="1" t="s">
        <v>5591</v>
      </c>
      <c r="D4974" s="1" t="s">
        <v>1683</v>
      </c>
      <c r="E4974" s="1" t="s">
        <v>4839</v>
      </c>
      <c r="F4974">
        <v>784.41117057757833</v>
      </c>
      <c r="G4974">
        <v>2.9534994418772622</v>
      </c>
      <c r="H4974">
        <v>13.628471826226916</v>
      </c>
      <c r="I4974">
        <v>624.28922094613074</v>
      </c>
      <c r="J4974">
        <v>16676.985407478845</v>
      </c>
      <c r="K4974">
        <v>1331.1049145546544</v>
      </c>
      <c r="L4974">
        <v>23.358200360646798</v>
      </c>
      <c r="M4974">
        <v>1185.1325370839072</v>
      </c>
      <c r="N4974">
        <v>2.5522912548200862</v>
      </c>
      <c r="O4974">
        <v>5.6691419243685104</v>
      </c>
      <c r="P4974">
        <v>1.3433506504754293</v>
      </c>
    </row>
    <row r="4975" spans="1:16">
      <c r="A4975" s="1" t="s">
        <v>4834</v>
      </c>
      <c r="B4975" s="1" t="s">
        <v>4888</v>
      </c>
      <c r="C4975" s="1" t="s">
        <v>5591</v>
      </c>
      <c r="D4975" s="1" t="s">
        <v>1683</v>
      </c>
      <c r="E4975" s="1" t="s">
        <v>4839</v>
      </c>
      <c r="F4975">
        <v>615.42212493961483</v>
      </c>
      <c r="G4975">
        <v>10.829325238511389</v>
      </c>
      <c r="H4975">
        <v>1.8655969212745305</v>
      </c>
      <c r="I4975">
        <v>612.5288689998963</v>
      </c>
      <c r="J4975">
        <v>14656.43689853168</v>
      </c>
      <c r="K4975">
        <v>881.04706511893585</v>
      </c>
      <c r="L4975">
        <v>21.552668322335897</v>
      </c>
      <c r="M4975">
        <v>828.71162831622701</v>
      </c>
      <c r="N4975">
        <v>2.7447473575173724</v>
      </c>
      <c r="O4975">
        <v>5.8266418182786008</v>
      </c>
      <c r="P4975">
        <v>0.37811292309151251</v>
      </c>
    </row>
    <row r="4976" spans="1:16">
      <c r="A4976" s="1" t="s">
        <v>4834</v>
      </c>
      <c r="B4976" s="1" t="s">
        <v>4889</v>
      </c>
      <c r="C4976" s="1" t="s">
        <v>5591</v>
      </c>
      <c r="D4976" s="1" t="s">
        <v>1683</v>
      </c>
      <c r="E4976" s="1" t="s">
        <v>4839</v>
      </c>
      <c r="F4976">
        <v>552.56590737393788</v>
      </c>
      <c r="G4976">
        <v>8.9684039014663863</v>
      </c>
      <c r="H4976">
        <v>2.6740169038161095</v>
      </c>
      <c r="I4976">
        <v>659.24424494311472</v>
      </c>
      <c r="J4976">
        <v>12923.230378484563</v>
      </c>
      <c r="K4976">
        <v>697.46054273341599</v>
      </c>
      <c r="L4976">
        <v>20.628565326837673</v>
      </c>
      <c r="M4976">
        <v>830.56179727232472</v>
      </c>
      <c r="N4976">
        <v>9.3271038665500701</v>
      </c>
      <c r="O4976">
        <v>6.4446800938231323</v>
      </c>
      <c r="P4976">
        <v>0.61068047303109962</v>
      </c>
    </row>
    <row r="4977" spans="1:16">
      <c r="A4977" s="1" t="s">
        <v>4834</v>
      </c>
      <c r="B4977" s="1" t="s">
        <v>4890</v>
      </c>
      <c r="C4977" s="1" t="s">
        <v>5591</v>
      </c>
      <c r="D4977" s="1" t="s">
        <v>1683</v>
      </c>
      <c r="E4977" s="1" t="s">
        <v>4839</v>
      </c>
      <c r="F4977">
        <v>543.4028508706532</v>
      </c>
      <c r="G4977">
        <v>3.9334132477268433</v>
      </c>
      <c r="H4977">
        <v>0.64819495555107554</v>
      </c>
      <c r="I4977">
        <v>622.51119433540009</v>
      </c>
      <c r="J4977">
        <v>15187.774825375918</v>
      </c>
      <c r="K4977">
        <v>720.25512226430908</v>
      </c>
      <c r="L4977">
        <v>19.175577013819879</v>
      </c>
      <c r="M4977">
        <v>798.78084953876578</v>
      </c>
      <c r="N4977">
        <v>5.2956537169692002</v>
      </c>
      <c r="O4977">
        <v>6.0518959016002292</v>
      </c>
      <c r="P4977">
        <v>0.47205121690354257</v>
      </c>
    </row>
    <row r="4978" spans="1:16">
      <c r="A4978" s="1" t="s">
        <v>4834</v>
      </c>
      <c r="B4978" s="1" t="s">
        <v>4891</v>
      </c>
      <c r="C4978" s="1" t="s">
        <v>5591</v>
      </c>
      <c r="D4978" s="1" t="s">
        <v>1683</v>
      </c>
      <c r="E4978" s="1" t="s">
        <v>4839</v>
      </c>
      <c r="F4978">
        <v>556.82162938356623</v>
      </c>
      <c r="G4978">
        <v>0.43920108334552138</v>
      </c>
      <c r="H4978">
        <v>1.5774841758303244</v>
      </c>
      <c r="I4978">
        <v>652.18598513713664</v>
      </c>
      <c r="J4978">
        <v>15436.202299558445</v>
      </c>
      <c r="K4978">
        <v>770.88690470078234</v>
      </c>
      <c r="L4978">
        <v>20.948990773905777</v>
      </c>
      <c r="M4978">
        <v>843.13178407569944</v>
      </c>
      <c r="N4978">
        <v>1.6543581447985556</v>
      </c>
      <c r="O4978">
        <v>5.833986007129111</v>
      </c>
      <c r="P4978">
        <v>0.11687697178819309</v>
      </c>
    </row>
    <row r="4979" spans="1:16">
      <c r="A4979" s="1" t="s">
        <v>4834</v>
      </c>
      <c r="B4979" s="1" t="s">
        <v>4892</v>
      </c>
      <c r="C4979" s="1" t="s">
        <v>5591</v>
      </c>
      <c r="D4979" s="1" t="s">
        <v>1683</v>
      </c>
      <c r="E4979" s="1" t="s">
        <v>4839</v>
      </c>
      <c r="F4979">
        <v>849.37611204117695</v>
      </c>
      <c r="G4979">
        <v>0.44044243100828534</v>
      </c>
      <c r="H4979">
        <v>2.1112505745592456</v>
      </c>
      <c r="I4979">
        <v>613.2965924071076</v>
      </c>
      <c r="J4979">
        <v>15191.66852685087</v>
      </c>
      <c r="K4979">
        <v>909.76011498069954</v>
      </c>
      <c r="L4979">
        <v>19.625831080840886</v>
      </c>
      <c r="M4979">
        <v>852.47159305566481</v>
      </c>
      <c r="N4979">
        <v>1.2657571495165938</v>
      </c>
      <c r="O4979">
        <v>6.1995013840882249</v>
      </c>
      <c r="P4979">
        <v>0.73822086548216026</v>
      </c>
    </row>
    <row r="4980" spans="1:16">
      <c r="A4980" s="1" t="s">
        <v>4834</v>
      </c>
      <c r="B4980" s="1" t="s">
        <v>4893</v>
      </c>
      <c r="C4980" s="1" t="s">
        <v>5591</v>
      </c>
      <c r="D4980" s="1" t="s">
        <v>1683</v>
      </c>
      <c r="E4980" s="1" t="s">
        <v>4839</v>
      </c>
      <c r="F4980">
        <v>568.76206444593083</v>
      </c>
      <c r="G4980">
        <v>29.889469494281759</v>
      </c>
      <c r="H4980">
        <v>222.5047562021667</v>
      </c>
      <c r="I4980">
        <v>585.23120222312002</v>
      </c>
      <c r="J4980">
        <v>56343.497894151849</v>
      </c>
      <c r="K4980">
        <v>2152.476645470641</v>
      </c>
      <c r="L4980">
        <v>38.832984551307852</v>
      </c>
      <c r="M4980">
        <v>924.38013206479832</v>
      </c>
      <c r="N4980">
        <v>39.868500167980159</v>
      </c>
      <c r="O4980">
        <v>6.6753439856015575</v>
      </c>
      <c r="P4980">
        <v>1.2886565163302104</v>
      </c>
    </row>
    <row r="4981" spans="1:16">
      <c r="A4981" s="1" t="s">
        <v>4834</v>
      </c>
      <c r="B4981" s="1" t="s">
        <v>4894</v>
      </c>
      <c r="C4981" s="1" t="s">
        <v>5591</v>
      </c>
      <c r="D4981" s="1" t="s">
        <v>1683</v>
      </c>
      <c r="E4981" s="1" t="s">
        <v>4839</v>
      </c>
      <c r="F4981">
        <v>419.11019978415709</v>
      </c>
      <c r="G4981">
        <v>2.2754197296547258</v>
      </c>
      <c r="H4981">
        <v>63.844345192800361</v>
      </c>
      <c r="I4981">
        <v>481.81827198220367</v>
      </c>
      <c r="J4981">
        <v>26465.404979346378</v>
      </c>
      <c r="K4981">
        <v>844.61189210232237</v>
      </c>
      <c r="L4981">
        <v>19.409947659318028</v>
      </c>
      <c r="M4981">
        <v>708.19478226483568</v>
      </c>
      <c r="N4981">
        <v>0.86804911148226482</v>
      </c>
      <c r="O4981">
        <v>5.5880565595600959</v>
      </c>
      <c r="P4981">
        <v>0.6384556421862102</v>
      </c>
    </row>
    <row r="4982" spans="1:16">
      <c r="A4982" s="1" t="s">
        <v>4834</v>
      </c>
      <c r="B4982" s="1" t="s">
        <v>4895</v>
      </c>
      <c r="C4982" s="1" t="s">
        <v>5591</v>
      </c>
      <c r="D4982" s="1" t="s">
        <v>1683</v>
      </c>
      <c r="E4982" s="1" t="s">
        <v>4839</v>
      </c>
      <c r="F4982">
        <v>498.70694602912636</v>
      </c>
      <c r="G4982">
        <v>22.599084298097438</v>
      </c>
      <c r="H4982">
        <v>83.783203760274773</v>
      </c>
      <c r="I4982">
        <v>511.49321156238409</v>
      </c>
      <c r="J4982">
        <v>40064.658964182177</v>
      </c>
      <c r="K4982">
        <v>1291.4254777301317</v>
      </c>
      <c r="L4982">
        <v>25.624338772664405</v>
      </c>
      <c r="M4982">
        <v>806.14601653977616</v>
      </c>
      <c r="N4982">
        <v>8.6405355003810111</v>
      </c>
      <c r="O4982">
        <v>6.7777498235706712</v>
      </c>
      <c r="P4982">
        <v>0.54165101229917267</v>
      </c>
    </row>
    <row r="4983" spans="1:16">
      <c r="A4983" s="1" t="s">
        <v>4834</v>
      </c>
      <c r="B4983" s="1" t="s">
        <v>4896</v>
      </c>
      <c r="C4983" s="1" t="s">
        <v>5591</v>
      </c>
      <c r="D4983" s="1" t="s">
        <v>1683</v>
      </c>
      <c r="E4983" s="1" t="s">
        <v>4839</v>
      </c>
      <c r="F4983">
        <v>490.89045999156036</v>
      </c>
      <c r="G4983">
        <v>0.94399574200279635</v>
      </c>
      <c r="H4983">
        <v>77.453174939349964</v>
      </c>
      <c r="I4983">
        <v>518.81360175601878</v>
      </c>
      <c r="J4983">
        <v>39699.281093592159</v>
      </c>
      <c r="K4983">
        <v>1314.0487206287055</v>
      </c>
      <c r="L4983">
        <v>28.643790769901063</v>
      </c>
      <c r="M4983">
        <v>854.86258081205756</v>
      </c>
      <c r="N4983">
        <v>10.901844778174802</v>
      </c>
      <c r="O4983">
        <v>6.5904149586627625</v>
      </c>
      <c r="P4983">
        <v>1.399625515039961</v>
      </c>
    </row>
    <row r="4984" spans="1:16">
      <c r="A4984" s="1" t="s">
        <v>4834</v>
      </c>
      <c r="B4984" s="1" t="s">
        <v>4897</v>
      </c>
      <c r="C4984" s="1" t="s">
        <v>5591</v>
      </c>
      <c r="D4984" s="1" t="s">
        <v>1683</v>
      </c>
      <c r="E4984" s="1" t="s">
        <v>4839</v>
      </c>
      <c r="F4984">
        <v>794.18655590826233</v>
      </c>
      <c r="G4984">
        <v>5.4127314001323397</v>
      </c>
      <c r="H4984">
        <v>175.21411002873757</v>
      </c>
      <c r="I4984">
        <v>721.84351000504091</v>
      </c>
      <c r="J4984">
        <v>53765.149119797417</v>
      </c>
      <c r="K4984">
        <v>1722.7322362807283</v>
      </c>
      <c r="L4984">
        <v>34.132946150738455</v>
      </c>
      <c r="M4984">
        <v>1077.819720325901</v>
      </c>
      <c r="N4984">
        <v>13.756095213574691</v>
      </c>
      <c r="O4984">
        <v>8.0448629405638048</v>
      </c>
      <c r="P4984">
        <v>0.64411232288897302</v>
      </c>
    </row>
    <row r="4985" spans="1:16">
      <c r="A4985" s="1" t="s">
        <v>4834</v>
      </c>
      <c r="B4985" s="1" t="s">
        <v>4898</v>
      </c>
      <c r="C4985" s="1" t="s">
        <v>5591</v>
      </c>
      <c r="D4985" s="1" t="s">
        <v>1683</v>
      </c>
      <c r="E4985" s="1" t="s">
        <v>4839</v>
      </c>
      <c r="F4985">
        <v>807.03752114199392</v>
      </c>
      <c r="G4985">
        <v>7.14431408477658</v>
      </c>
      <c r="H4985">
        <v>171.42059705809015</v>
      </c>
      <c r="I4985">
        <v>712.10427616631284</v>
      </c>
      <c r="J4985">
        <v>55004.597902768852</v>
      </c>
      <c r="K4985">
        <v>1980.6996486189128</v>
      </c>
      <c r="L4985">
        <v>31.369706107120365</v>
      </c>
      <c r="M4985">
        <v>1064.7672596841801</v>
      </c>
      <c r="N4985">
        <v>15.366924884475925</v>
      </c>
      <c r="O4985">
        <v>8.6432165625395516</v>
      </c>
      <c r="P4985">
        <v>0.80252858532402838</v>
      </c>
    </row>
    <row r="4986" spans="1:16">
      <c r="A4986" s="1" t="s">
        <v>4834</v>
      </c>
      <c r="B4986" s="1" t="s">
        <v>4899</v>
      </c>
      <c r="C4986" s="1" t="s">
        <v>5591</v>
      </c>
      <c r="D4986" s="1" t="s">
        <v>1683</v>
      </c>
      <c r="E4986" s="1" t="s">
        <v>4839</v>
      </c>
      <c r="F4986">
        <v>646.5795976927277</v>
      </c>
      <c r="G4986">
        <v>5.0538743838584503</v>
      </c>
      <c r="H4986">
        <v>146.06024888597528</v>
      </c>
      <c r="I4986">
        <v>645.31429877415349</v>
      </c>
      <c r="J4986">
        <v>28333.27201374184</v>
      </c>
      <c r="K4986">
        <v>1113.3701388046602</v>
      </c>
      <c r="L4986">
        <v>24.661877053852098</v>
      </c>
      <c r="M4986">
        <v>950.95534472573911</v>
      </c>
      <c r="N4986">
        <v>3.5267153592705061</v>
      </c>
      <c r="O4986">
        <v>6.5167228196844809</v>
      </c>
      <c r="P4986">
        <v>0.56880874781301927</v>
      </c>
    </row>
    <row r="4987" spans="1:16">
      <c r="A4987" s="1" t="s">
        <v>4834</v>
      </c>
      <c r="B4987" s="1" t="s">
        <v>4900</v>
      </c>
      <c r="C4987" s="1" t="s">
        <v>5591</v>
      </c>
      <c r="D4987" s="1" t="s">
        <v>1683</v>
      </c>
      <c r="E4987" s="1" t="s">
        <v>4839</v>
      </c>
      <c r="F4987">
        <v>607.65342110000995</v>
      </c>
      <c r="G4987">
        <v>0.88039624429171215</v>
      </c>
      <c r="H4987">
        <v>104.50698840660891</v>
      </c>
      <c r="I4987">
        <v>577.23422147397036</v>
      </c>
      <c r="J4987">
        <v>32231.428040477436</v>
      </c>
      <c r="K4987">
        <v>1013.7237531032888</v>
      </c>
      <c r="L4987">
        <v>31.241720529085345</v>
      </c>
      <c r="M4987">
        <v>1042.0789428121775</v>
      </c>
      <c r="N4987">
        <v>6.4637289895856558</v>
      </c>
      <c r="O4987">
        <v>7.5269853809899825</v>
      </c>
      <c r="P4987">
        <v>0.65556476888276805</v>
      </c>
    </row>
    <row r="4988" spans="1:16">
      <c r="A4988" s="1" t="s">
        <v>4834</v>
      </c>
      <c r="B4988" s="1" t="s">
        <v>4901</v>
      </c>
      <c r="C4988" s="1" t="s">
        <v>5591</v>
      </c>
      <c r="D4988" s="1" t="s">
        <v>1683</v>
      </c>
      <c r="E4988" s="1" t="s">
        <v>4839</v>
      </c>
      <c r="F4988">
        <v>675.8324569034196</v>
      </c>
      <c r="G4988">
        <v>0.87198167969956697</v>
      </c>
      <c r="H4988">
        <v>128.24266375359869</v>
      </c>
      <c r="I4988">
        <v>613.74733196514342</v>
      </c>
      <c r="J4988">
        <v>45299.231925668188</v>
      </c>
      <c r="K4988">
        <v>1342.8094219970048</v>
      </c>
      <c r="L4988">
        <v>34.369007934961417</v>
      </c>
      <c r="M4988">
        <v>1124.4554029427497</v>
      </c>
      <c r="N4988">
        <v>12.790376088939936</v>
      </c>
      <c r="O4988">
        <v>8.2732700938664987</v>
      </c>
      <c r="P4988">
        <v>3.297451575604657</v>
      </c>
    </row>
    <row r="4989" spans="1:16">
      <c r="A4989" s="1" t="s">
        <v>4834</v>
      </c>
      <c r="B4989" s="1" t="s">
        <v>4902</v>
      </c>
      <c r="C4989" s="1" t="s">
        <v>5591</v>
      </c>
      <c r="D4989" s="1" t="s">
        <v>1683</v>
      </c>
      <c r="E4989" s="1" t="s">
        <v>4839</v>
      </c>
      <c r="F4989">
        <v>684.48437300467208</v>
      </c>
      <c r="G4989">
        <v>7.6741620753725464</v>
      </c>
      <c r="H4989">
        <v>125.89534061902009</v>
      </c>
      <c r="I4989">
        <v>617.56232156571423</v>
      </c>
      <c r="J4989">
        <v>43617.764263715952</v>
      </c>
      <c r="K4989">
        <v>1361.6231124076162</v>
      </c>
      <c r="L4989">
        <v>33.151007524184351</v>
      </c>
      <c r="M4989">
        <v>1109.2444296753131</v>
      </c>
      <c r="N4989">
        <v>10.573625012673682</v>
      </c>
      <c r="O4989">
        <v>8.5838481271709313</v>
      </c>
      <c r="P4989">
        <v>1.4931165943033429</v>
      </c>
    </row>
    <row r="4990" spans="1:16">
      <c r="A4990" s="1" t="s">
        <v>4834</v>
      </c>
      <c r="B4990" s="1" t="s">
        <v>4903</v>
      </c>
      <c r="C4990" s="1" t="s">
        <v>5591</v>
      </c>
      <c r="D4990" s="1" t="s">
        <v>1683</v>
      </c>
      <c r="E4990" s="1" t="s">
        <v>4839</v>
      </c>
      <c r="F4990">
        <v>636.0332074814828</v>
      </c>
      <c r="G4990">
        <v>1.4648531207407935</v>
      </c>
      <c r="H4990">
        <v>114.03453732360832</v>
      </c>
      <c r="I4990">
        <v>605.48747607323492</v>
      </c>
      <c r="J4990">
        <v>38824.252335271463</v>
      </c>
      <c r="K4990">
        <v>1228.5076247239847</v>
      </c>
      <c r="L4990">
        <v>27.391201249177708</v>
      </c>
      <c r="M4990">
        <v>1057.9828504358509</v>
      </c>
      <c r="N4990">
        <v>5.8210098874928899</v>
      </c>
      <c r="O4990">
        <v>8.0238863314208224</v>
      </c>
      <c r="P4990">
        <v>1.6090867228005235</v>
      </c>
    </row>
    <row r="4991" spans="1:16">
      <c r="A4991" s="1" t="s">
        <v>4834</v>
      </c>
      <c r="B4991" s="1" t="s">
        <v>4904</v>
      </c>
      <c r="C4991" s="1" t="s">
        <v>5591</v>
      </c>
      <c r="D4991" s="1" t="s">
        <v>1683</v>
      </c>
      <c r="E4991" s="1" t="s">
        <v>4839</v>
      </c>
      <c r="F4991">
        <v>806.01999704661444</v>
      </c>
      <c r="G4991">
        <v>2.3426721301700946</v>
      </c>
      <c r="H4991">
        <v>261.29791048637412</v>
      </c>
      <c r="I4991">
        <v>723.14241873101798</v>
      </c>
      <c r="J4991">
        <v>47722.625641182873</v>
      </c>
      <c r="K4991">
        <v>1546.6092998315262</v>
      </c>
      <c r="L4991">
        <v>35.349053774260554</v>
      </c>
      <c r="M4991">
        <v>1101.8152235687792</v>
      </c>
      <c r="N4991">
        <v>11.516816096761048</v>
      </c>
      <c r="O4991">
        <v>8.2382479686487127</v>
      </c>
      <c r="P4991">
        <v>2.2749345839908335</v>
      </c>
    </row>
    <row r="4992" spans="1:16">
      <c r="A4992" s="1" t="s">
        <v>4834</v>
      </c>
      <c r="B4992" s="1" t="s">
        <v>4905</v>
      </c>
      <c r="C4992" s="1" t="s">
        <v>5591</v>
      </c>
      <c r="D4992" s="1" t="s">
        <v>1683</v>
      </c>
      <c r="E4992" s="1" t="s">
        <v>4839</v>
      </c>
      <c r="F4992">
        <v>885.53924849796988</v>
      </c>
      <c r="G4992">
        <v>4.2661766874216456</v>
      </c>
      <c r="H4992">
        <v>179.8435128029204</v>
      </c>
      <c r="I4992">
        <v>765.69377488104499</v>
      </c>
      <c r="J4992">
        <v>57833.340305624377</v>
      </c>
      <c r="K4992">
        <v>1972.4969542585934</v>
      </c>
      <c r="L4992">
        <v>35.858428564940333</v>
      </c>
      <c r="M4992">
        <v>1121.9378159843832</v>
      </c>
      <c r="N4992">
        <v>15.141144063307285</v>
      </c>
      <c r="O4992">
        <v>9.3887835942891904</v>
      </c>
      <c r="P4992">
        <v>0.80684122936135572</v>
      </c>
    </row>
    <row r="4993" spans="1:16">
      <c r="A4993" s="1" t="s">
        <v>4834</v>
      </c>
      <c r="B4993" s="1" t="s">
        <v>4906</v>
      </c>
      <c r="C4993" s="1" t="s">
        <v>5591</v>
      </c>
      <c r="D4993" s="1" t="s">
        <v>1683</v>
      </c>
      <c r="E4993" s="1" t="s">
        <v>4839</v>
      </c>
      <c r="F4993">
        <v>7880.9226004148213</v>
      </c>
      <c r="G4993">
        <v>482.4160228591407</v>
      </c>
      <c r="H4993">
        <v>17.314671988349506</v>
      </c>
      <c r="I4993">
        <v>0.3003815067334617</v>
      </c>
      <c r="J4993">
        <v>103.08323952296503</v>
      </c>
      <c r="K4993">
        <v>799.7104692463148</v>
      </c>
      <c r="L4993">
        <v>13.584207171501534</v>
      </c>
      <c r="M4993">
        <v>373.3754929994148</v>
      </c>
      <c r="N4993">
        <v>45.181524465194499</v>
      </c>
      <c r="O4993">
        <v>0.86103636415413298</v>
      </c>
      <c r="P4993">
        <v>0.43208893351095173</v>
      </c>
    </row>
    <row r="4994" spans="1:16">
      <c r="A4994" s="1" t="s">
        <v>4834</v>
      </c>
      <c r="B4994" s="1" t="s">
        <v>4907</v>
      </c>
      <c r="C4994" s="1" t="s">
        <v>5591</v>
      </c>
      <c r="D4994" s="1" t="s">
        <v>1683</v>
      </c>
      <c r="E4994" s="1" t="s">
        <v>4839</v>
      </c>
      <c r="F4994">
        <v>8249.0800062688249</v>
      </c>
      <c r="G4994">
        <v>19.887149141486621</v>
      </c>
      <c r="H4994">
        <v>10.837310419864602</v>
      </c>
      <c r="I4994">
        <v>0.16187405437000699</v>
      </c>
      <c r="J4994">
        <v>1904.78803279161</v>
      </c>
      <c r="K4994">
        <v>1115.0039639439067</v>
      </c>
      <c r="L4994">
        <v>3.7332939610782998</v>
      </c>
      <c r="M4994">
        <v>145.8782333990753</v>
      </c>
      <c r="N4994">
        <v>13.774073894986801</v>
      </c>
      <c r="O4994">
        <v>0.24225506617588302</v>
      </c>
      <c r="P4994">
        <v>0.13533838914384139</v>
      </c>
    </row>
    <row r="4995" spans="1:16">
      <c r="A4995" s="1" t="s">
        <v>4834</v>
      </c>
      <c r="B4995" s="1" t="s">
        <v>4908</v>
      </c>
      <c r="C4995" s="1" t="s">
        <v>5591</v>
      </c>
      <c r="D4995" s="1" t="s">
        <v>1683</v>
      </c>
      <c r="E4995" s="1" t="s">
        <v>4839</v>
      </c>
      <c r="F4995">
        <v>688.69777455333713</v>
      </c>
      <c r="G4995">
        <v>17.866827560418017</v>
      </c>
      <c r="H4995">
        <v>2.3375285027498345</v>
      </c>
      <c r="I4995">
        <v>5.2503825653363125E-2</v>
      </c>
      <c r="J4995">
        <v>15.231400000000001</v>
      </c>
      <c r="K4995">
        <v>402.39093673144748</v>
      </c>
      <c r="L4995">
        <v>4.0450417679238395</v>
      </c>
      <c r="M4995">
        <v>333.34592599435399</v>
      </c>
      <c r="N4995">
        <v>4.6839771839447559</v>
      </c>
      <c r="O4995">
        <v>11.577657012</v>
      </c>
      <c r="P4995">
        <v>0.61763103529139995</v>
      </c>
    </row>
    <row r="4996" spans="1:16">
      <c r="A4996" s="1" t="s">
        <v>4834</v>
      </c>
      <c r="B4996" s="1" t="s">
        <v>4909</v>
      </c>
      <c r="C4996" s="1" t="s">
        <v>5591</v>
      </c>
      <c r="D4996" s="1" t="s">
        <v>1683</v>
      </c>
      <c r="E4996" s="1" t="s">
        <v>4839</v>
      </c>
      <c r="F4996">
        <v>2106.8048078018583</v>
      </c>
      <c r="G4996">
        <v>30.906534160193161</v>
      </c>
      <c r="H4996">
        <v>1.8116120936170557</v>
      </c>
      <c r="I4996">
        <v>0.18367544055400001</v>
      </c>
      <c r="J4996">
        <v>98.234899999999996</v>
      </c>
      <c r="K4996">
        <v>421.80628825739217</v>
      </c>
      <c r="L4996">
        <v>4.288022612521619</v>
      </c>
      <c r="M4996">
        <v>685.68010271716798</v>
      </c>
      <c r="N4996">
        <v>4.7652624648639144</v>
      </c>
      <c r="O4996">
        <v>5.5283274740400001</v>
      </c>
      <c r="P4996">
        <v>0.79880585348803956</v>
      </c>
    </row>
    <row r="4997" spans="1:16">
      <c r="A4997" s="1" t="s">
        <v>4834</v>
      </c>
      <c r="B4997" s="1" t="s">
        <v>4910</v>
      </c>
      <c r="C4997" s="1" t="s">
        <v>5591</v>
      </c>
      <c r="D4997" s="1" t="s">
        <v>1683</v>
      </c>
      <c r="E4997" s="1" t="s">
        <v>4839</v>
      </c>
      <c r="F4997">
        <v>538.70898078811126</v>
      </c>
      <c r="G4997">
        <v>244.938835203222</v>
      </c>
      <c r="H4997">
        <v>2.2113199071763132</v>
      </c>
      <c r="I4997">
        <v>0.54367698220709104</v>
      </c>
      <c r="J4997">
        <v>62.173897916875298</v>
      </c>
      <c r="K4997">
        <v>788.40682143874335</v>
      </c>
      <c r="L4997">
        <v>4.9712824079919562</v>
      </c>
      <c r="M4997">
        <v>186.382436609141</v>
      </c>
      <c r="N4997">
        <v>4.0523576899881597</v>
      </c>
      <c r="O4997">
        <v>0.23124994300481208</v>
      </c>
      <c r="P4997">
        <v>0.63300770012907415</v>
      </c>
    </row>
    <row r="4998" spans="1:16">
      <c r="A4998" s="1" t="s">
        <v>4834</v>
      </c>
      <c r="B4998" s="1" t="s">
        <v>4911</v>
      </c>
      <c r="C4998" s="1" t="s">
        <v>5591</v>
      </c>
      <c r="D4998" s="1" t="s">
        <v>1683</v>
      </c>
      <c r="E4998" s="1" t="s">
        <v>4839</v>
      </c>
      <c r="F4998">
        <v>621.26432443869203</v>
      </c>
      <c r="G4998">
        <v>14.576815441261159</v>
      </c>
      <c r="H4998">
        <v>10.126221046345247</v>
      </c>
      <c r="I4998">
        <v>0.11303850453735291</v>
      </c>
      <c r="J4998">
        <v>84.812443134837494</v>
      </c>
      <c r="K4998">
        <v>339.17698278907056</v>
      </c>
      <c r="L4998">
        <v>13.717013870071501</v>
      </c>
      <c r="M4998">
        <v>312.60488264722198</v>
      </c>
      <c r="N4998">
        <v>2.4441079875514387</v>
      </c>
      <c r="O4998">
        <v>0.55283015574000005</v>
      </c>
      <c r="P4998">
        <v>0.22663183529139999</v>
      </c>
    </row>
    <row r="4999" spans="1:16">
      <c r="A4999" s="1" t="s">
        <v>4834</v>
      </c>
      <c r="B4999" s="1" t="s">
        <v>4912</v>
      </c>
      <c r="C4999" s="1" t="s">
        <v>5591</v>
      </c>
      <c r="D4999" s="1" t="s">
        <v>1683</v>
      </c>
      <c r="E4999" s="1" t="s">
        <v>4839</v>
      </c>
      <c r="F4999">
        <v>687.23106161782107</v>
      </c>
      <c r="G4999">
        <v>19.626375382079033</v>
      </c>
      <c r="H4999">
        <v>1.6193875622704235</v>
      </c>
      <c r="I4999">
        <v>0.43767698220709073</v>
      </c>
      <c r="J4999">
        <v>26.0896966682797</v>
      </c>
      <c r="K4999">
        <v>714.62413752118937</v>
      </c>
      <c r="L4999">
        <v>4.2983359216559922</v>
      </c>
      <c r="M4999">
        <v>466.07795271425999</v>
      </c>
      <c r="N4999">
        <v>7.768061385830892</v>
      </c>
      <c r="O4999">
        <v>1.0912063939904197</v>
      </c>
      <c r="P4999">
        <v>4.1606534234790562</v>
      </c>
    </row>
    <row r="5000" spans="1:16">
      <c r="A5000" s="1" t="s">
        <v>4834</v>
      </c>
      <c r="B5000" s="1" t="s">
        <v>4913</v>
      </c>
      <c r="C5000" s="1" t="s">
        <v>5591</v>
      </c>
      <c r="D5000" s="1" t="s">
        <v>1683</v>
      </c>
      <c r="E5000" s="1" t="s">
        <v>4839</v>
      </c>
      <c r="F5000">
        <v>560.30392400173014</v>
      </c>
      <c r="G5000">
        <v>49.970039834841479</v>
      </c>
      <c r="H5000">
        <v>1.0852590849161994</v>
      </c>
      <c r="I5000">
        <v>0.12394673748464116</v>
      </c>
      <c r="J5000">
        <v>158.36969999999999</v>
      </c>
      <c r="K5000">
        <v>258.57682452502195</v>
      </c>
      <c r="L5000">
        <v>1.5634797695277201</v>
      </c>
      <c r="M5000">
        <v>200.961487886622</v>
      </c>
      <c r="N5000">
        <v>3.8595195331766701</v>
      </c>
      <c r="O5000">
        <v>1.7734514688271565</v>
      </c>
      <c r="P5000">
        <v>0.24470446502546903</v>
      </c>
    </row>
    <row r="5001" spans="1:16">
      <c r="A5001" s="1" t="s">
        <v>4834</v>
      </c>
      <c r="B5001" s="1" t="s">
        <v>4914</v>
      </c>
      <c r="C5001" s="1" t="s">
        <v>5591</v>
      </c>
      <c r="D5001" s="1" t="s">
        <v>1683</v>
      </c>
      <c r="E5001" s="1" t="s">
        <v>4839</v>
      </c>
      <c r="F5001">
        <v>1011.7218471328222</v>
      </c>
      <c r="G5001">
        <v>498.23374608474751</v>
      </c>
      <c r="H5001">
        <v>28.558605754013378</v>
      </c>
      <c r="I5001">
        <v>5.5745590855994044E-2</v>
      </c>
      <c r="J5001">
        <v>37.431559590787501</v>
      </c>
      <c r="K5001">
        <v>171.3471161280624</v>
      </c>
      <c r="L5001">
        <v>2.5125734238814901</v>
      </c>
      <c r="M5001">
        <v>60.161768381500998</v>
      </c>
      <c r="N5001">
        <v>18.412867568290999</v>
      </c>
      <c r="O5001">
        <v>0.28993248534427102</v>
      </c>
      <c r="P5001">
        <v>5.908563968367473E-2</v>
      </c>
    </row>
    <row r="5002" spans="1:16">
      <c r="A5002" s="1" t="s">
        <v>4834</v>
      </c>
      <c r="B5002" s="1" t="s">
        <v>4915</v>
      </c>
      <c r="C5002" s="1" t="s">
        <v>5591</v>
      </c>
      <c r="D5002" s="1" t="s">
        <v>1683</v>
      </c>
      <c r="E5002" s="1" t="s">
        <v>4839</v>
      </c>
      <c r="F5002">
        <v>3973.2180234698449</v>
      </c>
      <c r="G5002">
        <v>90.342911659342732</v>
      </c>
      <c r="H5002">
        <v>3.0537369439949154</v>
      </c>
      <c r="I5002">
        <v>3.7897866137880105E-2</v>
      </c>
      <c r="J5002">
        <v>98.035910337792302</v>
      </c>
      <c r="K5002">
        <v>106.94276595173984</v>
      </c>
      <c r="L5002">
        <v>3.3630839194220501</v>
      </c>
      <c r="M5002">
        <v>1091.1120289812457</v>
      </c>
      <c r="N5002">
        <v>5.4915342455929297</v>
      </c>
      <c r="O5002">
        <v>0.33910941003528644</v>
      </c>
      <c r="P5002">
        <v>0.11537578861703528</v>
      </c>
    </row>
    <row r="5003" spans="1:16">
      <c r="A5003" s="1" t="s">
        <v>4834</v>
      </c>
      <c r="B5003" s="1" t="s">
        <v>4916</v>
      </c>
      <c r="C5003" s="1" t="s">
        <v>5591</v>
      </c>
      <c r="D5003" s="1" t="s">
        <v>1683</v>
      </c>
      <c r="E5003" s="1" t="s">
        <v>4839</v>
      </c>
      <c r="F5003">
        <v>419.20816458502014</v>
      </c>
      <c r="G5003">
        <v>21.08501361600608</v>
      </c>
      <c r="H5003">
        <v>13.007040602856041</v>
      </c>
      <c r="I5003">
        <v>0.26494940065511474</v>
      </c>
      <c r="J5003">
        <v>70.880481989274401</v>
      </c>
      <c r="K5003">
        <v>178.43584608054604</v>
      </c>
      <c r="L5003">
        <v>6.3813329764811302</v>
      </c>
      <c r="M5003">
        <v>212.207436329134</v>
      </c>
      <c r="N5003">
        <v>1.8434584762260124</v>
      </c>
      <c r="O5003">
        <v>5.0941276944</v>
      </c>
      <c r="P5003">
        <v>4.5108700437225091E-2</v>
      </c>
    </row>
    <row r="5004" spans="1:16">
      <c r="A5004" s="1" t="s">
        <v>4834</v>
      </c>
      <c r="B5004" s="1" t="s">
        <v>4917</v>
      </c>
      <c r="C5004" s="1" t="s">
        <v>5591</v>
      </c>
      <c r="D5004" s="1" t="s">
        <v>1683</v>
      </c>
      <c r="E5004" s="1" t="s">
        <v>4839</v>
      </c>
      <c r="F5004">
        <v>148.45677178050002</v>
      </c>
      <c r="G5004">
        <v>6.4616429505021085</v>
      </c>
      <c r="H5004">
        <v>1.2561914133584513</v>
      </c>
      <c r="I5004">
        <v>0.12011276202121621</v>
      </c>
      <c r="J5004">
        <v>9.1535398994265869</v>
      </c>
      <c r="K5004">
        <v>103.00514895540206</v>
      </c>
      <c r="L5004">
        <v>4.9125650968344727</v>
      </c>
      <c r="M5004">
        <v>263.05163527496842</v>
      </c>
      <c r="N5004">
        <v>7.5624820549730849</v>
      </c>
      <c r="O5004">
        <v>8.0319452876099998E-2</v>
      </c>
      <c r="P5004">
        <v>0.33586120125722901</v>
      </c>
    </row>
    <row r="5005" spans="1:16">
      <c r="A5005" s="1" t="s">
        <v>4834</v>
      </c>
      <c r="B5005" s="1" t="s">
        <v>4918</v>
      </c>
      <c r="C5005" s="1" t="s">
        <v>5591</v>
      </c>
      <c r="D5005" s="1" t="s">
        <v>1683</v>
      </c>
      <c r="E5005" s="1" t="s">
        <v>4839</v>
      </c>
      <c r="F5005">
        <v>275.29965163835806</v>
      </c>
      <c r="G5005">
        <v>4.0356234328824181</v>
      </c>
      <c r="H5005">
        <v>4.9903628496824366</v>
      </c>
      <c r="I5005">
        <v>1.149522063971611E-2</v>
      </c>
      <c r="J5005">
        <v>1.0020245902545699</v>
      </c>
      <c r="K5005">
        <v>113.15147725452751</v>
      </c>
      <c r="L5005">
        <v>7.3547779481019919</v>
      </c>
      <c r="M5005">
        <v>250.98475225879631</v>
      </c>
      <c r="N5005">
        <v>5.8734762130629896</v>
      </c>
      <c r="O5005">
        <v>0.56512257824000001</v>
      </c>
      <c r="P5005">
        <v>0.17781709409918844</v>
      </c>
    </row>
    <row r="5006" spans="1:16">
      <c r="A5006" s="1" t="s">
        <v>4834</v>
      </c>
      <c r="B5006" s="1" t="s">
        <v>4919</v>
      </c>
      <c r="C5006" s="1" t="s">
        <v>5591</v>
      </c>
      <c r="D5006" s="1" t="s">
        <v>1683</v>
      </c>
      <c r="E5006" s="1" t="s">
        <v>4839</v>
      </c>
      <c r="F5006">
        <v>2721.9316073412347</v>
      </c>
      <c r="G5006">
        <v>1.1689410978720356</v>
      </c>
      <c r="H5006">
        <v>0.75771895448428839</v>
      </c>
      <c r="I5006">
        <v>0.14109421511352982</v>
      </c>
      <c r="J5006">
        <v>3.2013658199999999</v>
      </c>
      <c r="K5006">
        <v>358.71037932617344</v>
      </c>
      <c r="L5006">
        <v>9.204024272442048</v>
      </c>
      <c r="M5006">
        <v>246.22339640682227</v>
      </c>
      <c r="N5006">
        <v>13.724117318389657</v>
      </c>
      <c r="O5006">
        <v>0.23062056035136511</v>
      </c>
      <c r="P5006">
        <v>1.376741682466927</v>
      </c>
    </row>
    <row r="5007" spans="1:16">
      <c r="A5007" s="1" t="s">
        <v>4834</v>
      </c>
      <c r="B5007" s="1" t="s">
        <v>4920</v>
      </c>
      <c r="C5007" s="1" t="s">
        <v>5591</v>
      </c>
      <c r="D5007" s="1" t="s">
        <v>1683</v>
      </c>
      <c r="E5007" s="1" t="s">
        <v>4839</v>
      </c>
      <c r="F5007">
        <v>2876.2301053796486</v>
      </c>
      <c r="G5007">
        <v>40.942706441201807</v>
      </c>
      <c r="H5007">
        <v>0.99544687201883009</v>
      </c>
      <c r="I5007">
        <v>2.0372768210962566E-2</v>
      </c>
      <c r="J5007">
        <v>3.7250000000000001</v>
      </c>
      <c r="K5007">
        <v>416.95094899260801</v>
      </c>
      <c r="L5007">
        <v>1.8354353671595489</v>
      </c>
      <c r="M5007">
        <v>147.05801258002401</v>
      </c>
      <c r="N5007">
        <v>1.3620881097029296</v>
      </c>
      <c r="O5007">
        <v>3.7247825562720001E-2</v>
      </c>
      <c r="P5007">
        <v>0.40981596047170477</v>
      </c>
    </row>
    <row r="5008" spans="1:16">
      <c r="A5008" s="1" t="s">
        <v>4834</v>
      </c>
      <c r="B5008" s="1" t="s">
        <v>4921</v>
      </c>
      <c r="C5008" s="1" t="s">
        <v>5591</v>
      </c>
      <c r="D5008" s="1" t="s">
        <v>1683</v>
      </c>
      <c r="E5008" s="1" t="s">
        <v>4839</v>
      </c>
      <c r="F5008">
        <v>445.15862412944733</v>
      </c>
      <c r="G5008">
        <v>9.1733548806853999</v>
      </c>
      <c r="H5008">
        <v>0.48794361330522745</v>
      </c>
      <c r="I5008">
        <v>0.231176999540876</v>
      </c>
      <c r="J5008">
        <v>17.425754136640801</v>
      </c>
      <c r="K5008">
        <v>318.51551592418031</v>
      </c>
      <c r="L5008">
        <v>2.7803516073833365</v>
      </c>
      <c r="M5008">
        <v>92.466609955246994</v>
      </c>
      <c r="N5008">
        <v>32.685790029775227</v>
      </c>
      <c r="O5008">
        <v>8.6987788948400327E-2</v>
      </c>
      <c r="P5008">
        <v>0.95036773291387899</v>
      </c>
    </row>
    <row r="5009" spans="1:16">
      <c r="A5009" s="1" t="s">
        <v>4834</v>
      </c>
      <c r="B5009" s="1" t="s">
        <v>4922</v>
      </c>
      <c r="C5009" s="1" t="s">
        <v>5591</v>
      </c>
      <c r="D5009" s="1" t="s">
        <v>1683</v>
      </c>
      <c r="E5009" s="1" t="s">
        <v>4839</v>
      </c>
      <c r="F5009">
        <v>1940.3860229656775</v>
      </c>
      <c r="G5009">
        <v>5.8617211416606558</v>
      </c>
      <c r="H5009">
        <v>2.6604423761008316</v>
      </c>
      <c r="I5009">
        <v>4.4225005296357048E-2</v>
      </c>
      <c r="J5009">
        <v>9.73</v>
      </c>
      <c r="K5009">
        <v>335.71748322157413</v>
      </c>
      <c r="L5009">
        <v>11.060409619624499</v>
      </c>
      <c r="M5009">
        <v>401.68783145877302</v>
      </c>
      <c r="N5009">
        <v>5.5621911120223917</v>
      </c>
      <c r="O5009">
        <v>0.29831133506093149</v>
      </c>
      <c r="P5009">
        <v>0.34385396325131973</v>
      </c>
    </row>
    <row r="5010" spans="1:16">
      <c r="A5010" s="1" t="s">
        <v>4834</v>
      </c>
      <c r="B5010" s="1" t="s">
        <v>4923</v>
      </c>
      <c r="C5010" s="1" t="s">
        <v>5591</v>
      </c>
      <c r="D5010" s="1" t="s">
        <v>1683</v>
      </c>
      <c r="E5010" s="1" t="s">
        <v>4839</v>
      </c>
      <c r="F5010">
        <v>214.75538439092705</v>
      </c>
      <c r="G5010">
        <v>19.915767007329674</v>
      </c>
      <c r="H5010">
        <v>0.44850854946811947</v>
      </c>
      <c r="I5010">
        <v>4.7431590806735521E-2</v>
      </c>
      <c r="J5010">
        <v>5.3316790274699999</v>
      </c>
      <c r="K5010">
        <v>698.73458471410265</v>
      </c>
      <c r="L5010">
        <v>2.0058614237502077</v>
      </c>
      <c r="M5010">
        <v>197.56399622046399</v>
      </c>
      <c r="N5010">
        <v>0.4713634672845638</v>
      </c>
      <c r="O5010">
        <v>0.31487611798429538</v>
      </c>
      <c r="P5010">
        <v>0.15545186625692073</v>
      </c>
    </row>
    <row r="5011" spans="1:16">
      <c r="A5011" s="1" t="s">
        <v>4834</v>
      </c>
      <c r="B5011" s="1" t="s">
        <v>4924</v>
      </c>
      <c r="C5011" s="1" t="s">
        <v>5591</v>
      </c>
      <c r="D5011" s="1" t="s">
        <v>1683</v>
      </c>
      <c r="E5011" s="1" t="s">
        <v>4839</v>
      </c>
      <c r="F5011">
        <v>634.7670383045762</v>
      </c>
      <c r="G5011">
        <v>25.860868407012131</v>
      </c>
      <c r="H5011">
        <v>0.62882075605827392</v>
      </c>
      <c r="I5011">
        <v>7.1437590806735493E-2</v>
      </c>
      <c r="J5011">
        <v>12.1443689873645</v>
      </c>
      <c r="K5011">
        <v>319.81584291440242</v>
      </c>
      <c r="L5011">
        <v>5.5469551834551005</v>
      </c>
      <c r="M5011">
        <v>86.042446070995567</v>
      </c>
      <c r="N5011">
        <v>0.8131089723314664</v>
      </c>
      <c r="O5011">
        <v>2.1471609387684731E-2</v>
      </c>
      <c r="P5011">
        <v>0.34528971760657223</v>
      </c>
    </row>
    <row r="5012" spans="1:16">
      <c r="A5012" s="1" t="s">
        <v>4834</v>
      </c>
      <c r="B5012" s="1" t="s">
        <v>4925</v>
      </c>
      <c r="C5012" s="1" t="s">
        <v>5591</v>
      </c>
      <c r="D5012" s="1" t="s">
        <v>1683</v>
      </c>
      <c r="E5012" s="1" t="s">
        <v>4839</v>
      </c>
      <c r="F5012">
        <v>1479.94356254941</v>
      </c>
      <c r="G5012">
        <v>12.723599726364309</v>
      </c>
      <c r="H5012">
        <v>0.48794361330522745</v>
      </c>
      <c r="I5012">
        <v>7.8286423520796622E-2</v>
      </c>
      <c r="J5012">
        <v>6.9300247454999999</v>
      </c>
      <c r="K5012">
        <v>325.80053095479366</v>
      </c>
      <c r="L5012">
        <v>13.992877513901275</v>
      </c>
      <c r="M5012">
        <v>377.16696117836653</v>
      </c>
      <c r="N5012">
        <v>2.3772000946149774</v>
      </c>
      <c r="O5012">
        <v>5.9506323393506824E-2</v>
      </c>
      <c r="P5012">
        <v>0.52068363812926144</v>
      </c>
    </row>
    <row r="5013" spans="1:16">
      <c r="A5013" s="1" t="s">
        <v>4834</v>
      </c>
      <c r="B5013" s="1" t="s">
        <v>4926</v>
      </c>
      <c r="C5013" s="1" t="s">
        <v>5591</v>
      </c>
      <c r="D5013" s="1" t="s">
        <v>1683</v>
      </c>
      <c r="E5013" s="1" t="s">
        <v>4839</v>
      </c>
      <c r="F5013">
        <v>746.30631706756299</v>
      </c>
      <c r="G5013">
        <v>40.299451876357317</v>
      </c>
      <c r="H5013">
        <v>0.625104792870396</v>
      </c>
      <c r="I5013">
        <v>0.115289657263779</v>
      </c>
      <c r="J5013">
        <v>3.5741810533756202</v>
      </c>
      <c r="K5013">
        <v>340.66451149452149</v>
      </c>
      <c r="L5013">
        <v>1.2099321943031396</v>
      </c>
      <c r="M5013">
        <v>218.10181090734</v>
      </c>
      <c r="N5013">
        <v>1.1801456690227692</v>
      </c>
      <c r="O5013">
        <v>0.10244213087732247</v>
      </c>
      <c r="P5013">
        <v>5.9729392243969413E-2</v>
      </c>
    </row>
    <row r="5014" spans="1:16">
      <c r="A5014" s="1" t="s">
        <v>4834</v>
      </c>
      <c r="B5014" s="1" t="s">
        <v>4927</v>
      </c>
      <c r="C5014" s="1" t="s">
        <v>5591</v>
      </c>
      <c r="D5014" s="1" t="s">
        <v>1683</v>
      </c>
      <c r="E5014" s="1" t="s">
        <v>4839</v>
      </c>
      <c r="F5014">
        <v>1713.8213741932821</v>
      </c>
      <c r="G5014">
        <v>14.297686337111495</v>
      </c>
      <c r="H5014">
        <v>0.52021838780893204</v>
      </c>
      <c r="I5014">
        <v>9.3540447598019244E-2</v>
      </c>
      <c r="J5014">
        <v>2.3214999999999999</v>
      </c>
      <c r="K5014">
        <v>351.11253586026294</v>
      </c>
      <c r="L5014">
        <v>15.75827733308622</v>
      </c>
      <c r="M5014">
        <v>214.65214325799616</v>
      </c>
      <c r="N5014">
        <v>2.599451719641261</v>
      </c>
      <c r="O5014">
        <v>3.3398791316765201E-2</v>
      </c>
      <c r="P5014">
        <v>5.9012651715274221E-2</v>
      </c>
    </row>
    <row r="5015" spans="1:16">
      <c r="A5015" s="1" t="s">
        <v>4834</v>
      </c>
      <c r="B5015" s="1" t="s">
        <v>4928</v>
      </c>
      <c r="C5015" s="1" t="s">
        <v>5591</v>
      </c>
      <c r="D5015" s="1" t="s">
        <v>1683</v>
      </c>
      <c r="E5015" s="1" t="s">
        <v>4839</v>
      </c>
      <c r="F5015">
        <v>184.42936321802841</v>
      </c>
      <c r="G5015">
        <v>0.30344173808899172</v>
      </c>
      <c r="H5015">
        <v>0.625104792870396</v>
      </c>
      <c r="I5015">
        <v>6.3446793781030283E-2</v>
      </c>
      <c r="J5015">
        <v>14.59350227</v>
      </c>
      <c r="K5015">
        <v>260.640707901403</v>
      </c>
      <c r="L5015">
        <v>1.7709534244925356</v>
      </c>
      <c r="M5015">
        <v>152.827489829841</v>
      </c>
      <c r="N5015">
        <v>1.0117216330196226</v>
      </c>
      <c r="O5015">
        <v>0.25722376247239997</v>
      </c>
      <c r="P5015">
        <v>9.7067732913879212E-2</v>
      </c>
    </row>
    <row r="5016" spans="1:16">
      <c r="A5016" s="1" t="s">
        <v>4834</v>
      </c>
      <c r="B5016" s="1" t="s">
        <v>4929</v>
      </c>
      <c r="C5016" s="1" t="s">
        <v>5591</v>
      </c>
      <c r="D5016" s="1" t="s">
        <v>1683</v>
      </c>
      <c r="E5016" s="1" t="s">
        <v>4839</v>
      </c>
      <c r="F5016">
        <v>697.3629704272829</v>
      </c>
      <c r="G5016">
        <v>14.290417096411508</v>
      </c>
      <c r="H5016">
        <v>2.7348129253439435</v>
      </c>
      <c r="I5016">
        <v>0.11787238117212</v>
      </c>
      <c r="J5016">
        <v>3.1205538089067439</v>
      </c>
      <c r="K5016">
        <v>540.23939808288901</v>
      </c>
      <c r="L5016">
        <v>3.6354114339475747</v>
      </c>
      <c r="M5016">
        <v>118.71167935204966</v>
      </c>
      <c r="N5016">
        <v>1.4649242527569588</v>
      </c>
      <c r="O5016">
        <v>8.2729188019140823E-2</v>
      </c>
      <c r="P5016">
        <v>0.41451074514554909</v>
      </c>
    </row>
    <row r="5017" spans="1:16">
      <c r="A5017" s="1" t="s">
        <v>4834</v>
      </c>
      <c r="B5017" s="1" t="s">
        <v>4930</v>
      </c>
      <c r="C5017" s="1" t="s">
        <v>1764</v>
      </c>
      <c r="D5017" s="1" t="s">
        <v>2646</v>
      </c>
      <c r="E5017" s="1" t="s">
        <v>4839</v>
      </c>
      <c r="F5017">
        <v>185.77547948327231</v>
      </c>
      <c r="G5017">
        <v>2.2971334071073159</v>
      </c>
      <c r="H5017">
        <v>1.1922301043878529</v>
      </c>
      <c r="I5017">
        <v>7.0000000000000007E-2</v>
      </c>
      <c r="J5017">
        <v>3.1256900000000001</v>
      </c>
      <c r="K5017">
        <v>253.84596657984545</v>
      </c>
      <c r="L5017">
        <v>2.6949666451317391</v>
      </c>
      <c r="M5017">
        <v>28.750160966954578</v>
      </c>
      <c r="N5017">
        <v>0.61366736756989393</v>
      </c>
      <c r="O5017">
        <v>1.5270451769432482E-2</v>
      </c>
      <c r="P5017">
        <v>0.19891469213048343</v>
      </c>
    </row>
    <row r="5018" spans="1:16">
      <c r="A5018" s="1" t="s">
        <v>4834</v>
      </c>
      <c r="B5018" s="1" t="s">
        <v>4931</v>
      </c>
      <c r="C5018" s="1" t="s">
        <v>1764</v>
      </c>
      <c r="D5018" s="1" t="s">
        <v>2646</v>
      </c>
      <c r="E5018" s="1" t="s">
        <v>4839</v>
      </c>
      <c r="F5018">
        <v>759.68179487522798</v>
      </c>
      <c r="G5018">
        <v>18.199409789656773</v>
      </c>
      <c r="H5018">
        <v>6.0720541202424849</v>
      </c>
      <c r="I5018">
        <v>0.15080558950300466</v>
      </c>
      <c r="J5018">
        <v>7.1556570120042267</v>
      </c>
      <c r="K5018">
        <v>52.365608492419476</v>
      </c>
      <c r="L5018">
        <v>4.4377318533276782</v>
      </c>
      <c r="M5018">
        <v>42.413384498802138</v>
      </c>
      <c r="N5018">
        <v>1.25453640821983</v>
      </c>
      <c r="O5018">
        <v>0.14215460522988937</v>
      </c>
      <c r="P5018">
        <v>0.24962716082349148</v>
      </c>
    </row>
    <row r="5019" spans="1:16">
      <c r="A5019" s="1" t="s">
        <v>4834</v>
      </c>
      <c r="B5019" s="1" t="s">
        <v>4932</v>
      </c>
      <c r="C5019" s="1" t="s">
        <v>1764</v>
      </c>
      <c r="D5019" s="1" t="s">
        <v>2646</v>
      </c>
      <c r="E5019" s="1" t="s">
        <v>4839</v>
      </c>
      <c r="F5019">
        <v>211.42373932266378</v>
      </c>
      <c r="G5019">
        <v>27.662552066362149</v>
      </c>
      <c r="H5019">
        <v>1.1922301043878529</v>
      </c>
      <c r="I5019">
        <v>0.14000000000000001</v>
      </c>
      <c r="J5019">
        <v>3.0459185079599247</v>
      </c>
      <c r="K5019">
        <v>174.56543919765645</v>
      </c>
      <c r="L5019">
        <v>2.5665630907295527</v>
      </c>
      <c r="M5019">
        <v>36.566475780254699</v>
      </c>
      <c r="N5019">
        <v>12.769677560761099</v>
      </c>
      <c r="O5019">
        <v>0.11809705484969207</v>
      </c>
      <c r="P5019">
        <v>0.86559113403896537</v>
      </c>
    </row>
    <row r="5020" spans="1:16">
      <c r="A5020" s="1" t="s">
        <v>4834</v>
      </c>
      <c r="B5020" s="1" t="s">
        <v>4933</v>
      </c>
      <c r="C5020" s="1" t="s">
        <v>1764</v>
      </c>
      <c r="D5020" s="1" t="s">
        <v>2646</v>
      </c>
      <c r="E5020" s="1" t="s">
        <v>4839</v>
      </c>
      <c r="F5020">
        <v>644.18706425951302</v>
      </c>
      <c r="G5020">
        <v>1.548132660169443</v>
      </c>
      <c r="H5020">
        <v>0.46954556090478339</v>
      </c>
      <c r="I5020">
        <v>1E-3</v>
      </c>
      <c r="J5020">
        <v>1.83082178953541</v>
      </c>
      <c r="K5020">
        <v>410.49819888872634</v>
      </c>
      <c r="L5020">
        <v>2.7281376095674283</v>
      </c>
      <c r="M5020">
        <v>0.35364464012514973</v>
      </c>
      <c r="N5020">
        <v>1.6058900822814031</v>
      </c>
      <c r="O5020">
        <v>0.1585736221317309</v>
      </c>
      <c r="P5020">
        <v>0.87554394192264284</v>
      </c>
    </row>
    <row r="5021" spans="1:16">
      <c r="A5021" s="1" t="s">
        <v>4834</v>
      </c>
      <c r="B5021" s="1" t="s">
        <v>4934</v>
      </c>
      <c r="C5021" s="1" t="s">
        <v>1764</v>
      </c>
      <c r="D5021" s="1" t="s">
        <v>2646</v>
      </c>
      <c r="E5021" s="1" t="s">
        <v>4839</v>
      </c>
      <c r="F5021">
        <v>98.415039142558655</v>
      </c>
      <c r="G5021">
        <v>1.7362850441469531</v>
      </c>
      <c r="H5021">
        <v>0.49827075718838004</v>
      </c>
      <c r="I5021">
        <v>4.9881817250714645E-2</v>
      </c>
      <c r="J5021">
        <v>4.5267747072604996</v>
      </c>
      <c r="K5021">
        <v>74.987488449014563</v>
      </c>
      <c r="L5021">
        <v>1.6626217761718229</v>
      </c>
      <c r="M5021">
        <v>2.8721703814357746</v>
      </c>
      <c r="N5021">
        <v>0.7262609916258278</v>
      </c>
      <c r="O5021">
        <v>2.8881592579845496E-2</v>
      </c>
      <c r="P5021">
        <v>0.36461119679692794</v>
      </c>
    </row>
    <row r="5022" spans="1:16">
      <c r="A5022" s="1" t="s">
        <v>4834</v>
      </c>
      <c r="B5022" s="1" t="s">
        <v>4935</v>
      </c>
      <c r="C5022" s="1" t="s">
        <v>1764</v>
      </c>
      <c r="D5022" s="1" t="s">
        <v>2646</v>
      </c>
      <c r="E5022" s="1" t="s">
        <v>4839</v>
      </c>
      <c r="F5022">
        <v>803.47732882976356</v>
      </c>
      <c r="G5022">
        <v>7.9532515463950029</v>
      </c>
      <c r="H5022">
        <v>0.22988794880684035</v>
      </c>
      <c r="I5022">
        <v>0.21</v>
      </c>
      <c r="J5022">
        <v>8.6347357766755568</v>
      </c>
      <c r="K5022">
        <v>368.28366111660006</v>
      </c>
      <c r="L5022">
        <v>1.4605546745534217</v>
      </c>
      <c r="M5022">
        <v>3.495690855114701</v>
      </c>
      <c r="N5022">
        <v>0.95446392464928864</v>
      </c>
      <c r="O5022">
        <v>3.5522373306891078E-2</v>
      </c>
      <c r="P5022">
        <v>0.14757314081966844</v>
      </c>
    </row>
    <row r="5023" spans="1:16">
      <c r="A5023" s="1" t="s">
        <v>4834</v>
      </c>
      <c r="B5023" s="1" t="s">
        <v>4936</v>
      </c>
      <c r="C5023" s="1" t="s">
        <v>1764</v>
      </c>
      <c r="D5023" s="1" t="s">
        <v>2646</v>
      </c>
      <c r="E5023" s="1" t="s">
        <v>4839</v>
      </c>
      <c r="F5023">
        <v>9.8937463429879369</v>
      </c>
      <c r="G5023">
        <v>3.0039933638998768</v>
      </c>
      <c r="H5023">
        <v>16.75844115812669</v>
      </c>
      <c r="I5023">
        <v>7.3450989193454941E-2</v>
      </c>
      <c r="J5023">
        <v>4.2002051800597</v>
      </c>
      <c r="K5023">
        <v>114.19138988395383</v>
      </c>
      <c r="L5023">
        <v>0.39923132535655631</v>
      </c>
      <c r="M5023">
        <v>2.2510667593882254</v>
      </c>
      <c r="N5023">
        <v>1.5654717119602926</v>
      </c>
      <c r="O5023">
        <v>0.120625740474542</v>
      </c>
      <c r="P5023">
        <v>0.27210057900000001</v>
      </c>
    </row>
    <row r="5024" spans="1:16">
      <c r="A5024" s="1" t="s">
        <v>4834</v>
      </c>
      <c r="B5024" s="1" t="s">
        <v>4937</v>
      </c>
      <c r="C5024" s="1" t="s">
        <v>1764</v>
      </c>
      <c r="D5024" s="1" t="s">
        <v>2646</v>
      </c>
      <c r="E5024" s="1" t="s">
        <v>4839</v>
      </c>
      <c r="F5024">
        <v>123.50489629852808</v>
      </c>
      <c r="G5024">
        <v>3.3550815442317368</v>
      </c>
      <c r="H5024">
        <v>1.0617013615541357</v>
      </c>
      <c r="I5024">
        <v>2.0411804004679207E-2</v>
      </c>
      <c r="J5024">
        <v>0.26701269999999999</v>
      </c>
      <c r="K5024">
        <v>148.83032316498304</v>
      </c>
      <c r="L5024">
        <v>2.7417284428335353</v>
      </c>
      <c r="M5024">
        <v>4.9327955504944248</v>
      </c>
      <c r="N5024">
        <v>2.3286208642653308</v>
      </c>
      <c r="O5024">
        <v>5.3155818774570367E-2</v>
      </c>
      <c r="P5024">
        <v>0.90475974403550374</v>
      </c>
    </row>
    <row r="5025" spans="1:16">
      <c r="A5025" s="1" t="s">
        <v>4834</v>
      </c>
      <c r="B5025" s="1" t="s">
        <v>4938</v>
      </c>
      <c r="C5025" s="1" t="s">
        <v>1764</v>
      </c>
      <c r="D5025" s="1" t="s">
        <v>2646</v>
      </c>
      <c r="E5025" s="1" t="s">
        <v>4839</v>
      </c>
      <c r="F5025">
        <v>250.62725514788062</v>
      </c>
      <c r="G5025">
        <v>0.83235174132991496</v>
      </c>
      <c r="H5025">
        <v>2.5878891884976634</v>
      </c>
      <c r="I5025">
        <v>0.31076646376405165</v>
      </c>
      <c r="J5025">
        <v>3.0873512359960835</v>
      </c>
      <c r="K5025">
        <v>59.679480363571074</v>
      </c>
      <c r="L5025">
        <v>1.6315596615853931</v>
      </c>
      <c r="M5025">
        <v>3.185299378000626</v>
      </c>
      <c r="N5025">
        <v>0.62840883483283672</v>
      </c>
      <c r="O5025">
        <v>4.880425717983904E-3</v>
      </c>
      <c r="P5025">
        <v>9.2680229331016176E-2</v>
      </c>
    </row>
    <row r="5026" spans="1:16">
      <c r="A5026" s="1" t="s">
        <v>4834</v>
      </c>
      <c r="B5026" s="1" t="s">
        <v>4939</v>
      </c>
      <c r="C5026" s="1" t="s">
        <v>1764</v>
      </c>
      <c r="D5026" s="1" t="s">
        <v>2646</v>
      </c>
      <c r="E5026" s="1" t="s">
        <v>4839</v>
      </c>
      <c r="F5026">
        <v>438.12478650046398</v>
      </c>
      <c r="G5026">
        <v>4.61805180029934</v>
      </c>
      <c r="H5026">
        <v>1.6682433634465672</v>
      </c>
      <c r="I5026">
        <v>0.22</v>
      </c>
      <c r="J5026">
        <v>0.18149699999999999</v>
      </c>
      <c r="K5026">
        <v>227.33121999963078</v>
      </c>
      <c r="L5026">
        <v>0.79793711996226713</v>
      </c>
      <c r="M5026">
        <v>1.6999364953805969</v>
      </c>
      <c r="N5026">
        <v>0.63129759833081855</v>
      </c>
      <c r="O5026">
        <v>9.2644605593467586E-2</v>
      </c>
      <c r="P5026">
        <v>0.49026926808107618</v>
      </c>
    </row>
    <row r="5027" spans="1:16">
      <c r="A5027" s="1" t="s">
        <v>4834</v>
      </c>
      <c r="B5027" s="1" t="s">
        <v>4855</v>
      </c>
      <c r="C5027" s="1" t="s">
        <v>1764</v>
      </c>
      <c r="D5027" s="1" t="s">
        <v>2646</v>
      </c>
      <c r="E5027" s="1" t="s">
        <v>4839</v>
      </c>
      <c r="F5027">
        <v>232.23142448206659</v>
      </c>
      <c r="G5027">
        <v>1.1784982889280895</v>
      </c>
      <c r="H5027">
        <v>0.22675891058236416</v>
      </c>
      <c r="I5027">
        <v>0.11782681008481666</v>
      </c>
      <c r="J5027">
        <v>0.95370690855072004</v>
      </c>
      <c r="K5027">
        <v>23.536256524957757</v>
      </c>
      <c r="L5027">
        <v>0.41677165655339499</v>
      </c>
      <c r="M5027">
        <v>22.367844532796827</v>
      </c>
      <c r="N5027">
        <v>1.0485308519866698</v>
      </c>
      <c r="O5027">
        <f>0.005/2</f>
        <v>2.5000000000000001E-3</v>
      </c>
      <c r="P5027">
        <v>0.91265891537617938</v>
      </c>
    </row>
    <row r="5028" spans="1:16">
      <c r="A5028" s="1" t="s">
        <v>4735</v>
      </c>
      <c r="B5028" s="1" t="s">
        <v>4940</v>
      </c>
      <c r="C5028" s="1" t="s">
        <v>1764</v>
      </c>
      <c r="D5028" s="1" t="s">
        <v>44</v>
      </c>
      <c r="E5028" s="1" t="s">
        <v>4941</v>
      </c>
      <c r="F5028">
        <v>1959.91</v>
      </c>
      <c r="G5028">
        <v>4189.49</v>
      </c>
      <c r="H5028">
        <v>1811.87</v>
      </c>
      <c r="I5028">
        <v>55.32</v>
      </c>
      <c r="J5028">
        <v>91.84</v>
      </c>
      <c r="K5028">
        <v>2691.44</v>
      </c>
      <c r="L5028">
        <v>89.56</v>
      </c>
      <c r="M5028">
        <v>117.13</v>
      </c>
      <c r="N5028">
        <v>885.89</v>
      </c>
      <c r="O5028">
        <v>55.28</v>
      </c>
      <c r="P5028">
        <v>5.03</v>
      </c>
    </row>
    <row r="5029" spans="1:16">
      <c r="A5029" s="1" t="s">
        <v>4735</v>
      </c>
      <c r="B5029" s="1" t="s">
        <v>4942</v>
      </c>
      <c r="C5029" s="1" t="s">
        <v>1764</v>
      </c>
      <c r="D5029" s="1" t="s">
        <v>44</v>
      </c>
      <c r="E5029" s="1" t="s">
        <v>4941</v>
      </c>
      <c r="F5029">
        <v>536.85</v>
      </c>
      <c r="G5029">
        <v>2259.59</v>
      </c>
      <c r="H5029">
        <v>979.36</v>
      </c>
      <c r="I5029">
        <v>34.57</v>
      </c>
      <c r="J5029">
        <v>57.212000000000003</v>
      </c>
      <c r="K5029">
        <v>1492.62</v>
      </c>
      <c r="L5029">
        <v>53.6</v>
      </c>
      <c r="M5029">
        <v>72.58</v>
      </c>
      <c r="N5029">
        <v>243.88</v>
      </c>
      <c r="O5029">
        <v>23.61</v>
      </c>
      <c r="P5029">
        <v>5.72</v>
      </c>
    </row>
    <row r="5030" spans="1:16">
      <c r="A5030" s="1" t="s">
        <v>4735</v>
      </c>
      <c r="B5030" s="1" t="s">
        <v>4943</v>
      </c>
      <c r="C5030" s="1" t="s">
        <v>1764</v>
      </c>
      <c r="D5030" s="1" t="s">
        <v>44</v>
      </c>
      <c r="E5030" s="1" t="s">
        <v>4944</v>
      </c>
      <c r="F5030">
        <v>11878.13</v>
      </c>
      <c r="G5030">
        <v>6102.16</v>
      </c>
      <c r="H5030">
        <v>1090.1199999999999</v>
      </c>
      <c r="I5030">
        <v>92.9</v>
      </c>
      <c r="J5030">
        <v>87.997</v>
      </c>
      <c r="K5030">
        <v>2150.5700000000002</v>
      </c>
      <c r="L5030">
        <v>21.59</v>
      </c>
      <c r="M5030">
        <v>108.97</v>
      </c>
      <c r="N5030">
        <v>270.39</v>
      </c>
      <c r="O5030">
        <v>44.22</v>
      </c>
      <c r="P5030">
        <v>4.57</v>
      </c>
    </row>
    <row r="5031" spans="1:16">
      <c r="A5031" s="1" t="s">
        <v>4735</v>
      </c>
      <c r="B5031" s="1" t="s">
        <v>4945</v>
      </c>
      <c r="C5031" s="1" t="s">
        <v>1764</v>
      </c>
      <c r="D5031" s="1" t="s">
        <v>44</v>
      </c>
      <c r="E5031" s="1" t="s">
        <v>4944</v>
      </c>
      <c r="F5031">
        <v>496.55</v>
      </c>
      <c r="G5031">
        <v>2469.6799999999998</v>
      </c>
      <c r="H5031">
        <v>1182.6099999999999</v>
      </c>
      <c r="I5031">
        <v>36.229999999999997</v>
      </c>
      <c r="J5031">
        <v>78.275000000000006</v>
      </c>
      <c r="K5031">
        <v>1692.34</v>
      </c>
      <c r="L5031">
        <v>58.8</v>
      </c>
      <c r="M5031">
        <v>100.13</v>
      </c>
      <c r="N5031">
        <v>300.89999999999998</v>
      </c>
      <c r="O5031">
        <v>32.26</v>
      </c>
      <c r="P5031">
        <v>6.36</v>
      </c>
    </row>
    <row r="5032" spans="1:16">
      <c r="A5032" s="1" t="s">
        <v>4735</v>
      </c>
      <c r="B5032" s="1" t="s">
        <v>4946</v>
      </c>
      <c r="C5032" s="1" t="s">
        <v>1764</v>
      </c>
      <c r="D5032" s="1" t="s">
        <v>44</v>
      </c>
      <c r="E5032" s="1" t="s">
        <v>4944</v>
      </c>
      <c r="F5032">
        <v>415.04</v>
      </c>
      <c r="G5032">
        <v>1920.11</v>
      </c>
      <c r="H5032">
        <v>1060.06</v>
      </c>
      <c r="I5032">
        <v>26.82</v>
      </c>
      <c r="J5032">
        <v>59.989999999999995</v>
      </c>
      <c r="K5032">
        <v>1405.8</v>
      </c>
      <c r="L5032">
        <v>47.28</v>
      </c>
      <c r="M5032">
        <v>78.430000000000007</v>
      </c>
      <c r="N5032">
        <v>360.46</v>
      </c>
      <c r="O5032">
        <v>23.89</v>
      </c>
      <c r="P5032">
        <v>3.97</v>
      </c>
    </row>
    <row r="5033" spans="1:16">
      <c r="A5033" s="1" t="s">
        <v>4735</v>
      </c>
      <c r="B5033" s="1" t="s">
        <v>4947</v>
      </c>
      <c r="C5033" s="1" t="s">
        <v>1764</v>
      </c>
      <c r="D5033" s="1" t="s">
        <v>44</v>
      </c>
      <c r="E5033" s="1" t="s">
        <v>4944</v>
      </c>
      <c r="F5033">
        <v>525.53</v>
      </c>
      <c r="G5033">
        <v>5161.28</v>
      </c>
      <c r="H5033">
        <v>1334</v>
      </c>
      <c r="I5033">
        <v>27.69</v>
      </c>
      <c r="J5033">
        <v>66.094000000000008</v>
      </c>
      <c r="K5033">
        <v>1461.54</v>
      </c>
      <c r="L5033">
        <v>54.22</v>
      </c>
      <c r="M5033">
        <v>85.73</v>
      </c>
      <c r="N5033">
        <v>319.88</v>
      </c>
      <c r="O5033">
        <v>39.18</v>
      </c>
      <c r="P5033">
        <v>5.23</v>
      </c>
    </row>
    <row r="5034" spans="1:16">
      <c r="A5034" s="1" t="s">
        <v>4735</v>
      </c>
      <c r="B5034" s="1" t="s">
        <v>4948</v>
      </c>
      <c r="C5034" s="1" t="s">
        <v>1764</v>
      </c>
      <c r="D5034" s="1" t="s">
        <v>44</v>
      </c>
      <c r="E5034" s="1" t="s">
        <v>4944</v>
      </c>
      <c r="F5034">
        <v>831.38</v>
      </c>
      <c r="G5034">
        <v>1951.05</v>
      </c>
      <c r="H5034">
        <v>922.7</v>
      </c>
      <c r="I5034">
        <v>34.44</v>
      </c>
      <c r="J5034">
        <v>71.114999999999995</v>
      </c>
      <c r="K5034">
        <v>1171.72</v>
      </c>
      <c r="L5034">
        <v>36.93</v>
      </c>
      <c r="M5034">
        <v>91.91</v>
      </c>
      <c r="N5034">
        <v>229.36</v>
      </c>
      <c r="O5034">
        <v>24.94</v>
      </c>
      <c r="P5034">
        <v>5.79</v>
      </c>
    </row>
    <row r="5035" spans="1:16">
      <c r="A5035" s="1" t="s">
        <v>4735</v>
      </c>
      <c r="B5035" s="1" t="s">
        <v>4949</v>
      </c>
      <c r="C5035" s="1" t="s">
        <v>1764</v>
      </c>
      <c r="D5035" s="1" t="s">
        <v>44</v>
      </c>
      <c r="E5035" s="1" t="s">
        <v>4944</v>
      </c>
      <c r="F5035">
        <v>740.5</v>
      </c>
      <c r="G5035">
        <v>1974.87</v>
      </c>
      <c r="H5035">
        <v>864.39</v>
      </c>
      <c r="I5035">
        <v>26.05</v>
      </c>
      <c r="J5035">
        <v>55.616</v>
      </c>
      <c r="K5035">
        <v>1163.6500000000001</v>
      </c>
      <c r="L5035">
        <v>39.07</v>
      </c>
      <c r="M5035">
        <v>72.739999999999995</v>
      </c>
      <c r="N5035">
        <v>192.89</v>
      </c>
      <c r="O5035">
        <v>26.48</v>
      </c>
      <c r="P5035">
        <v>2.71</v>
      </c>
    </row>
    <row r="5036" spans="1:16">
      <c r="A5036" s="1" t="s">
        <v>4735</v>
      </c>
      <c r="B5036" s="1" t="s">
        <v>4950</v>
      </c>
      <c r="C5036" s="1" t="s">
        <v>1764</v>
      </c>
      <c r="D5036" s="1" t="s">
        <v>44</v>
      </c>
      <c r="E5036" s="1" t="s">
        <v>4944</v>
      </c>
      <c r="F5036">
        <v>677.29</v>
      </c>
      <c r="G5036">
        <v>2350.84</v>
      </c>
      <c r="H5036">
        <v>1181.2</v>
      </c>
      <c r="I5036">
        <v>53.16</v>
      </c>
      <c r="J5036">
        <v>66.415999999999997</v>
      </c>
      <c r="K5036">
        <v>1896.62</v>
      </c>
      <c r="L5036">
        <v>61.11</v>
      </c>
      <c r="M5036">
        <v>77.569999999999993</v>
      </c>
      <c r="N5036">
        <v>430.55</v>
      </c>
      <c r="O5036">
        <v>37.51</v>
      </c>
      <c r="P5036">
        <v>4.66</v>
      </c>
    </row>
    <row r="5037" spans="1:16">
      <c r="A5037" s="1" t="s">
        <v>4735</v>
      </c>
      <c r="B5037" s="1" t="s">
        <v>4951</v>
      </c>
      <c r="C5037" s="1" t="s">
        <v>1764</v>
      </c>
      <c r="D5037" s="1" t="s">
        <v>44</v>
      </c>
      <c r="E5037" s="1" t="s">
        <v>4944</v>
      </c>
      <c r="F5037">
        <v>809.96</v>
      </c>
      <c r="G5037">
        <v>2863.11</v>
      </c>
      <c r="H5037">
        <v>1008.69</v>
      </c>
      <c r="I5037">
        <v>35.6</v>
      </c>
      <c r="J5037">
        <v>56.580999999999996</v>
      </c>
      <c r="K5037">
        <v>1403.59</v>
      </c>
      <c r="L5037">
        <v>43.87</v>
      </c>
      <c r="M5037">
        <v>73.06</v>
      </c>
      <c r="N5037">
        <v>240.71</v>
      </c>
      <c r="O5037">
        <v>27.1</v>
      </c>
      <c r="P5037">
        <v>3.17</v>
      </c>
    </row>
    <row r="5038" spans="1:16">
      <c r="A5038" s="1" t="s">
        <v>4735</v>
      </c>
      <c r="B5038" s="1" t="s">
        <v>4952</v>
      </c>
      <c r="C5038" s="1" t="s">
        <v>1764</v>
      </c>
      <c r="D5038" s="1" t="s">
        <v>44</v>
      </c>
      <c r="E5038" s="1" t="s">
        <v>4944</v>
      </c>
      <c r="F5038">
        <v>667.85</v>
      </c>
      <c r="G5038">
        <v>2306.19</v>
      </c>
      <c r="H5038">
        <v>1267.18</v>
      </c>
      <c r="I5038">
        <v>26.56</v>
      </c>
      <c r="J5038">
        <v>52.286000000000001</v>
      </c>
      <c r="K5038">
        <v>1539.58</v>
      </c>
      <c r="L5038">
        <v>49.53</v>
      </c>
      <c r="M5038">
        <v>67.819999999999993</v>
      </c>
      <c r="N5038">
        <v>232.1</v>
      </c>
      <c r="O5038">
        <v>21.92</v>
      </c>
      <c r="P5038">
        <v>5.92</v>
      </c>
    </row>
    <row r="5039" spans="1:16">
      <c r="A5039" s="1" t="s">
        <v>4735</v>
      </c>
      <c r="B5039" s="1" t="s">
        <v>4953</v>
      </c>
      <c r="C5039" s="1" t="s">
        <v>1764</v>
      </c>
      <c r="D5039" s="1" t="s">
        <v>44</v>
      </c>
      <c r="E5039" s="1" t="s">
        <v>4944</v>
      </c>
      <c r="F5039">
        <v>2046.12</v>
      </c>
      <c r="G5039">
        <v>3414.8</v>
      </c>
      <c r="H5039">
        <v>865.47</v>
      </c>
      <c r="I5039">
        <v>45.35</v>
      </c>
      <c r="J5039">
        <v>55.504999999999995</v>
      </c>
      <c r="K5039">
        <v>1152.51</v>
      </c>
      <c r="L5039">
        <v>25.86</v>
      </c>
      <c r="M5039">
        <v>73.44</v>
      </c>
      <c r="N5039">
        <v>205.8</v>
      </c>
      <c r="O5039">
        <v>26.29</v>
      </c>
      <c r="P5039">
        <v>2.61</v>
      </c>
    </row>
    <row r="5040" spans="1:16">
      <c r="A5040" s="1" t="s">
        <v>4735</v>
      </c>
      <c r="B5040" s="1" t="s">
        <v>4954</v>
      </c>
      <c r="C5040" s="1" t="s">
        <v>1764</v>
      </c>
      <c r="D5040" s="1" t="s">
        <v>44</v>
      </c>
      <c r="E5040" s="1" t="s">
        <v>4944</v>
      </c>
      <c r="F5040">
        <v>571.53</v>
      </c>
      <c r="G5040">
        <v>1744.28</v>
      </c>
      <c r="H5040">
        <v>1070.72</v>
      </c>
      <c r="I5040">
        <v>34.47</v>
      </c>
      <c r="J5040">
        <v>49.572000000000003</v>
      </c>
      <c r="K5040">
        <v>1363.65</v>
      </c>
      <c r="L5040">
        <v>46.44</v>
      </c>
      <c r="M5040">
        <v>65.400000000000006</v>
      </c>
      <c r="N5040">
        <v>256.95999999999998</v>
      </c>
      <c r="O5040">
        <v>24.36</v>
      </c>
      <c r="P5040">
        <v>4.07</v>
      </c>
    </row>
    <row r="5041" spans="1:16">
      <c r="A5041" s="1" t="s">
        <v>4735</v>
      </c>
      <c r="B5041" s="1" t="s">
        <v>4955</v>
      </c>
      <c r="C5041" s="1" t="s">
        <v>1764</v>
      </c>
      <c r="D5041" s="1" t="s">
        <v>44</v>
      </c>
      <c r="E5041" s="1" t="s">
        <v>4944</v>
      </c>
      <c r="F5041">
        <v>1387.71</v>
      </c>
      <c r="G5041">
        <v>1654.08</v>
      </c>
      <c r="H5041">
        <v>686.01</v>
      </c>
      <c r="I5041">
        <v>34.49</v>
      </c>
      <c r="J5041">
        <v>50.510000000000005</v>
      </c>
      <c r="K5041">
        <v>754.61</v>
      </c>
      <c r="L5041">
        <v>10.82</v>
      </c>
      <c r="M5041">
        <v>64.900000000000006</v>
      </c>
      <c r="N5041">
        <v>113.47</v>
      </c>
      <c r="O5041">
        <v>23.2</v>
      </c>
      <c r="P5041">
        <v>2.33</v>
      </c>
    </row>
    <row r="5042" spans="1:16">
      <c r="A5042" s="1" t="s">
        <v>4735</v>
      </c>
      <c r="B5042" s="1" t="s">
        <v>4956</v>
      </c>
      <c r="C5042" s="1" t="s">
        <v>1764</v>
      </c>
      <c r="D5042" s="1" t="s">
        <v>44</v>
      </c>
      <c r="E5042" s="1" t="s">
        <v>4944</v>
      </c>
      <c r="F5042">
        <v>12003.71</v>
      </c>
      <c r="G5042">
        <v>16095.28</v>
      </c>
      <c r="H5042">
        <v>1402.19</v>
      </c>
      <c r="I5042">
        <v>104.76</v>
      </c>
      <c r="J5042">
        <v>113.44800000000001</v>
      </c>
      <c r="K5042">
        <v>2338.5100000000002</v>
      </c>
      <c r="L5042">
        <v>31.64</v>
      </c>
      <c r="M5042">
        <v>107.11</v>
      </c>
      <c r="N5042">
        <v>369.23</v>
      </c>
      <c r="O5042">
        <v>69.709999999999994</v>
      </c>
      <c r="P5042">
        <v>9.02</v>
      </c>
    </row>
    <row r="5043" spans="1:16">
      <c r="A5043" s="1" t="s">
        <v>4735</v>
      </c>
      <c r="B5043" s="1" t="s">
        <v>4957</v>
      </c>
      <c r="C5043" s="1" t="s">
        <v>1764</v>
      </c>
      <c r="D5043" s="1" t="s">
        <v>44</v>
      </c>
      <c r="E5043" s="1" t="s">
        <v>4944</v>
      </c>
      <c r="F5043">
        <v>727.55</v>
      </c>
      <c r="G5043">
        <v>1839.42</v>
      </c>
      <c r="H5043">
        <v>1298.1500000000001</v>
      </c>
      <c r="I5043">
        <v>30.07</v>
      </c>
      <c r="J5043">
        <v>66.251999999999995</v>
      </c>
      <c r="K5043">
        <v>1831.52</v>
      </c>
      <c r="L5043">
        <v>68.73</v>
      </c>
      <c r="M5043">
        <v>72.61</v>
      </c>
      <c r="N5043">
        <v>241.4</v>
      </c>
      <c r="O5043">
        <v>30.08</v>
      </c>
      <c r="P5043">
        <v>4.33</v>
      </c>
    </row>
    <row r="5044" spans="1:16">
      <c r="A5044" s="1" t="s">
        <v>4735</v>
      </c>
      <c r="B5044" s="1" t="s">
        <v>4958</v>
      </c>
      <c r="C5044" s="1" t="s">
        <v>1764</v>
      </c>
      <c r="D5044" s="1" t="s">
        <v>44</v>
      </c>
      <c r="E5044" s="1" t="s">
        <v>4944</v>
      </c>
      <c r="F5044">
        <v>4616.6099999999997</v>
      </c>
      <c r="G5044">
        <v>11593.1</v>
      </c>
      <c r="H5044">
        <v>930.91</v>
      </c>
      <c r="I5044">
        <v>76.56</v>
      </c>
      <c r="J5044">
        <v>61.769000000000005</v>
      </c>
      <c r="K5044">
        <v>958.16</v>
      </c>
      <c r="L5044">
        <v>19.05</v>
      </c>
      <c r="M5044">
        <v>73.3</v>
      </c>
      <c r="N5044">
        <v>127.03</v>
      </c>
      <c r="O5044">
        <v>38.89</v>
      </c>
      <c r="P5044">
        <v>3.2</v>
      </c>
    </row>
    <row r="5045" spans="1:16">
      <c r="A5045" s="1" t="s">
        <v>4735</v>
      </c>
      <c r="B5045" s="1" t="s">
        <v>4959</v>
      </c>
      <c r="C5045" s="1" t="s">
        <v>1764</v>
      </c>
      <c r="D5045" s="1" t="s">
        <v>44</v>
      </c>
      <c r="E5045" s="1" t="s">
        <v>4944</v>
      </c>
      <c r="F5045">
        <v>515.73</v>
      </c>
      <c r="G5045">
        <v>1314.33</v>
      </c>
      <c r="H5045">
        <v>759.48</v>
      </c>
      <c r="I5045">
        <v>26.65</v>
      </c>
      <c r="J5045">
        <v>50.507999999999996</v>
      </c>
      <c r="K5045">
        <v>1141.17</v>
      </c>
      <c r="L5045">
        <v>38.56</v>
      </c>
      <c r="M5045">
        <v>61.65</v>
      </c>
      <c r="N5045">
        <v>194.83</v>
      </c>
      <c r="O5045">
        <v>21.71</v>
      </c>
      <c r="P5045">
        <v>2.21</v>
      </c>
    </row>
    <row r="5046" spans="1:16">
      <c r="A5046" s="1" t="s">
        <v>4735</v>
      </c>
      <c r="B5046" s="1" t="s">
        <v>4960</v>
      </c>
      <c r="C5046" s="1" t="s">
        <v>1764</v>
      </c>
      <c r="D5046" s="1" t="s">
        <v>44</v>
      </c>
      <c r="E5046" s="1" t="s">
        <v>4944</v>
      </c>
      <c r="F5046">
        <v>1037.46</v>
      </c>
      <c r="G5046">
        <v>3003.64</v>
      </c>
      <c r="H5046">
        <v>791.72</v>
      </c>
      <c r="I5046">
        <v>32.33</v>
      </c>
      <c r="J5046">
        <v>55.02</v>
      </c>
      <c r="K5046">
        <v>1221.42</v>
      </c>
      <c r="L5046">
        <v>31.53</v>
      </c>
      <c r="M5046">
        <v>68.08</v>
      </c>
      <c r="N5046">
        <v>188.72</v>
      </c>
      <c r="O5046">
        <v>23.85</v>
      </c>
      <c r="P5046">
        <v>3.8</v>
      </c>
    </row>
    <row r="5047" spans="1:16">
      <c r="A5047" s="1" t="s">
        <v>4735</v>
      </c>
      <c r="B5047" s="1" t="s">
        <v>4961</v>
      </c>
      <c r="C5047" s="1" t="s">
        <v>1764</v>
      </c>
      <c r="D5047" s="1" t="s">
        <v>44</v>
      </c>
      <c r="E5047" s="1" t="s">
        <v>4944</v>
      </c>
      <c r="F5047">
        <v>8114.47</v>
      </c>
      <c r="G5047">
        <v>10536.14</v>
      </c>
      <c r="H5047">
        <v>1148.24</v>
      </c>
      <c r="I5047">
        <v>84.52</v>
      </c>
      <c r="J5047">
        <v>62.597000000000001</v>
      </c>
      <c r="K5047">
        <v>1760.34</v>
      </c>
      <c r="L5047">
        <v>25.84</v>
      </c>
      <c r="M5047">
        <v>79.150000000000006</v>
      </c>
      <c r="N5047">
        <v>328.39</v>
      </c>
      <c r="O5047">
        <v>52.1</v>
      </c>
      <c r="P5047">
        <v>5.67</v>
      </c>
    </row>
    <row r="5048" spans="1:16">
      <c r="A5048" s="1" t="s">
        <v>4735</v>
      </c>
      <c r="B5048" s="1" t="s">
        <v>4962</v>
      </c>
      <c r="C5048" s="1" t="s">
        <v>1764</v>
      </c>
      <c r="D5048" s="1" t="s">
        <v>44</v>
      </c>
      <c r="E5048" s="1" t="s">
        <v>4944</v>
      </c>
      <c r="F5048">
        <v>2803.03</v>
      </c>
      <c r="G5048">
        <v>5885.48</v>
      </c>
      <c r="H5048">
        <v>832.06</v>
      </c>
      <c r="I5048">
        <v>43.48</v>
      </c>
      <c r="J5048">
        <v>45.46</v>
      </c>
      <c r="K5048">
        <v>999.12</v>
      </c>
      <c r="L5048">
        <v>19.13</v>
      </c>
      <c r="M5048">
        <v>57.43</v>
      </c>
      <c r="N5048">
        <v>161.68</v>
      </c>
      <c r="O5048">
        <v>26.78</v>
      </c>
      <c r="P5048">
        <v>3.57</v>
      </c>
    </row>
    <row r="5049" spans="1:16">
      <c r="A5049" s="1" t="s">
        <v>4735</v>
      </c>
      <c r="B5049" s="1" t="s">
        <v>4963</v>
      </c>
      <c r="C5049" s="1" t="s">
        <v>1764</v>
      </c>
      <c r="D5049" s="1" t="s">
        <v>44</v>
      </c>
      <c r="E5049" s="1" t="s">
        <v>4944</v>
      </c>
      <c r="F5049">
        <v>402.11</v>
      </c>
      <c r="G5049">
        <v>1365.2</v>
      </c>
      <c r="H5049">
        <v>772.65</v>
      </c>
      <c r="I5049">
        <v>33.5</v>
      </c>
      <c r="J5049">
        <v>66.424999999999997</v>
      </c>
      <c r="K5049">
        <v>1119.24</v>
      </c>
      <c r="L5049">
        <v>37.5</v>
      </c>
      <c r="M5049">
        <v>78.17</v>
      </c>
      <c r="N5049">
        <v>164.01</v>
      </c>
      <c r="O5049">
        <v>21.68</v>
      </c>
      <c r="P5049">
        <v>2.85</v>
      </c>
    </row>
    <row r="5050" spans="1:16">
      <c r="A5050" s="1" t="s">
        <v>4735</v>
      </c>
      <c r="B5050" s="1" t="s">
        <v>4964</v>
      </c>
      <c r="C5050" s="1" t="s">
        <v>1764</v>
      </c>
      <c r="D5050" s="1" t="s">
        <v>44</v>
      </c>
      <c r="E5050" s="1" t="s">
        <v>4944</v>
      </c>
      <c r="F5050">
        <v>2288.1999999999998</v>
      </c>
      <c r="G5050">
        <v>2852.56</v>
      </c>
      <c r="H5050">
        <v>631.77</v>
      </c>
      <c r="I5050">
        <v>45.47</v>
      </c>
      <c r="J5050">
        <v>51.563000000000002</v>
      </c>
      <c r="K5050">
        <v>692.64</v>
      </c>
      <c r="L5050">
        <v>7.85</v>
      </c>
      <c r="M5050">
        <v>64.459999999999994</v>
      </c>
      <c r="N5050">
        <v>88.63</v>
      </c>
      <c r="O5050">
        <v>24.63</v>
      </c>
      <c r="P5050">
        <v>3.14</v>
      </c>
    </row>
    <row r="5051" spans="1:16">
      <c r="A5051" s="1" t="s">
        <v>4735</v>
      </c>
      <c r="B5051" s="1" t="s">
        <v>4965</v>
      </c>
      <c r="C5051" s="1" t="s">
        <v>1764</v>
      </c>
      <c r="D5051" s="1" t="s">
        <v>44</v>
      </c>
      <c r="E5051" s="1" t="s">
        <v>4944</v>
      </c>
      <c r="F5051">
        <v>1511.99</v>
      </c>
      <c r="G5051">
        <v>3212.72</v>
      </c>
      <c r="H5051">
        <v>1384.55</v>
      </c>
      <c r="I5051">
        <v>57.3</v>
      </c>
      <c r="J5051">
        <v>64.022999999999996</v>
      </c>
      <c r="K5051">
        <v>1916.34</v>
      </c>
      <c r="L5051">
        <v>57.31</v>
      </c>
      <c r="M5051">
        <v>79.010000000000005</v>
      </c>
      <c r="N5051">
        <v>387.19</v>
      </c>
      <c r="O5051">
        <v>42.54</v>
      </c>
      <c r="P5051">
        <v>6.2</v>
      </c>
    </row>
    <row r="5052" spans="1:16">
      <c r="A5052" s="1" t="s">
        <v>4735</v>
      </c>
      <c r="B5052" s="1" t="s">
        <v>4966</v>
      </c>
      <c r="C5052" s="1" t="s">
        <v>1764</v>
      </c>
      <c r="D5052" s="1" t="s">
        <v>44</v>
      </c>
      <c r="E5052" s="1" t="s">
        <v>4944</v>
      </c>
      <c r="F5052">
        <v>921.89</v>
      </c>
      <c r="G5052">
        <v>3278.09</v>
      </c>
      <c r="H5052">
        <v>1558.34</v>
      </c>
      <c r="I5052">
        <v>56.5</v>
      </c>
      <c r="J5052">
        <v>73.859000000000009</v>
      </c>
      <c r="K5052">
        <v>1824.46</v>
      </c>
      <c r="L5052">
        <v>57.35</v>
      </c>
      <c r="M5052">
        <v>91.45</v>
      </c>
      <c r="N5052">
        <v>535.96</v>
      </c>
      <c r="O5052">
        <v>43.25</v>
      </c>
      <c r="P5052">
        <v>4.5199999999999996</v>
      </c>
    </row>
    <row r="5053" spans="1:16">
      <c r="A5053" s="1" t="s">
        <v>4735</v>
      </c>
      <c r="B5053" s="1" t="s">
        <v>4967</v>
      </c>
      <c r="C5053" s="1" t="s">
        <v>1764</v>
      </c>
      <c r="D5053" s="1" t="s">
        <v>44</v>
      </c>
      <c r="E5053" s="1" t="s">
        <v>4944</v>
      </c>
      <c r="F5053">
        <v>820.5</v>
      </c>
      <c r="G5053">
        <v>2991.46</v>
      </c>
      <c r="H5053">
        <v>1527.02</v>
      </c>
      <c r="I5053">
        <v>47.82</v>
      </c>
      <c r="J5053">
        <v>63.114999999999995</v>
      </c>
      <c r="K5053">
        <v>2047.22</v>
      </c>
      <c r="L5053">
        <v>62.44</v>
      </c>
      <c r="M5053">
        <v>78.400000000000006</v>
      </c>
      <c r="N5053">
        <v>467.29</v>
      </c>
      <c r="O5053">
        <v>45.15</v>
      </c>
      <c r="P5053">
        <v>5.04</v>
      </c>
    </row>
    <row r="5054" spans="1:16">
      <c r="A5054" s="1" t="s">
        <v>4735</v>
      </c>
      <c r="B5054" s="1" t="s">
        <v>4968</v>
      </c>
      <c r="C5054" s="1" t="s">
        <v>1764</v>
      </c>
      <c r="D5054" s="1" t="s">
        <v>44</v>
      </c>
      <c r="E5054" s="1" t="s">
        <v>4944</v>
      </c>
      <c r="F5054">
        <v>966.13</v>
      </c>
      <c r="G5054">
        <v>3512.33</v>
      </c>
      <c r="H5054">
        <v>1914.95</v>
      </c>
      <c r="I5054">
        <v>87.92</v>
      </c>
      <c r="J5054">
        <v>83.736999999999995</v>
      </c>
      <c r="K5054">
        <v>2789.63</v>
      </c>
      <c r="L5054">
        <v>94.93</v>
      </c>
      <c r="M5054">
        <v>103.97</v>
      </c>
      <c r="N5054">
        <v>419.56</v>
      </c>
      <c r="O5054">
        <v>72.62</v>
      </c>
      <c r="P5054">
        <v>9.15</v>
      </c>
    </row>
    <row r="5055" spans="1:16">
      <c r="A5055" s="1" t="s">
        <v>4735</v>
      </c>
      <c r="B5055" s="1" t="s">
        <v>4969</v>
      </c>
      <c r="C5055" s="1" t="s">
        <v>1764</v>
      </c>
      <c r="D5055" s="1" t="s">
        <v>44</v>
      </c>
      <c r="E5055" s="1" t="s">
        <v>4944</v>
      </c>
      <c r="F5055">
        <v>4846.42</v>
      </c>
      <c r="G5055">
        <v>7537.65</v>
      </c>
      <c r="H5055">
        <v>1108.98</v>
      </c>
      <c r="I5055">
        <v>76.5</v>
      </c>
      <c r="J5055">
        <v>34.138999999999996</v>
      </c>
      <c r="K5055">
        <v>977.14</v>
      </c>
      <c r="L5055">
        <v>8.99</v>
      </c>
      <c r="M5055">
        <v>42.6</v>
      </c>
      <c r="N5055">
        <v>107.18</v>
      </c>
      <c r="O5055">
        <v>35.47</v>
      </c>
      <c r="P5055">
        <v>3.46</v>
      </c>
    </row>
    <row r="5056" spans="1:16">
      <c r="A5056" s="1" t="s">
        <v>4735</v>
      </c>
      <c r="B5056" s="1" t="s">
        <v>4970</v>
      </c>
      <c r="C5056" s="1" t="s">
        <v>1764</v>
      </c>
      <c r="D5056" s="1" t="s">
        <v>44</v>
      </c>
      <c r="E5056" s="1" t="s">
        <v>4944</v>
      </c>
      <c r="F5056">
        <v>553.87003603090795</v>
      </c>
      <c r="G5056">
        <v>1418.7005533367501</v>
      </c>
      <c r="H5056">
        <v>764.274999257633</v>
      </c>
      <c r="I5056">
        <v>376.15641486732</v>
      </c>
      <c r="J5056">
        <v>3.8635796491338699</v>
      </c>
      <c r="K5056">
        <v>195.98050209637501</v>
      </c>
      <c r="L5056">
        <v>3.50152934053459</v>
      </c>
      <c r="M5056">
        <v>13.1388815396226</v>
      </c>
      <c r="N5056">
        <v>37.888575737309999</v>
      </c>
      <c r="O5056">
        <v>30.175450246340301</v>
      </c>
      <c r="P5056">
        <v>3.9974128447216102</v>
      </c>
    </row>
    <row r="5057" spans="1:16">
      <c r="A5057" s="1" t="s">
        <v>4735</v>
      </c>
      <c r="B5057" s="1" t="s">
        <v>4971</v>
      </c>
      <c r="C5057" s="1" t="s">
        <v>1764</v>
      </c>
      <c r="D5057" s="1" t="s">
        <v>44</v>
      </c>
      <c r="E5057" s="1" t="s">
        <v>4944</v>
      </c>
      <c r="F5057">
        <v>4274.5775325079103</v>
      </c>
      <c r="G5057">
        <v>1351.1627836268699</v>
      </c>
      <c r="H5057">
        <v>491.66719456373301</v>
      </c>
      <c r="I5057">
        <v>154.482246046098</v>
      </c>
      <c r="J5057">
        <v>3.3998484832704801</v>
      </c>
      <c r="K5057">
        <v>311.43317154700298</v>
      </c>
      <c r="L5057">
        <v>3.4720146197213202</v>
      </c>
      <c r="M5057">
        <v>40.737531032687201</v>
      </c>
      <c r="N5057">
        <v>59.847766896954198</v>
      </c>
      <c r="O5057">
        <v>36.214054040647603</v>
      </c>
      <c r="P5057">
        <v>7.2479358669010301</v>
      </c>
    </row>
    <row r="5058" spans="1:16">
      <c r="A5058" s="1" t="s">
        <v>4735</v>
      </c>
      <c r="B5058" s="1" t="s">
        <v>4972</v>
      </c>
      <c r="C5058" s="1" t="s">
        <v>1764</v>
      </c>
      <c r="D5058" s="1" t="s">
        <v>44</v>
      </c>
      <c r="E5058" s="1" t="s">
        <v>4944</v>
      </c>
      <c r="F5058">
        <v>4972.5654178442501</v>
      </c>
      <c r="G5058">
        <v>2097.0849828046898</v>
      </c>
      <c r="H5058">
        <v>598.68716850345697</v>
      </c>
      <c r="I5058">
        <v>169.12023640844299</v>
      </c>
      <c r="J5058">
        <v>7.1230709548900197</v>
      </c>
      <c r="K5058">
        <v>301.00184334088101</v>
      </c>
      <c r="L5058">
        <v>6.0218700892915402</v>
      </c>
      <c r="M5058">
        <v>22.784987836952599</v>
      </c>
      <c r="N5058">
        <v>69.872709319627106</v>
      </c>
      <c r="O5058">
        <v>44.7199767740927</v>
      </c>
      <c r="P5058">
        <v>13.285034280054401</v>
      </c>
    </row>
    <row r="5059" spans="1:16">
      <c r="A5059" s="1" t="s">
        <v>4735</v>
      </c>
      <c r="B5059" s="1" t="s">
        <v>4973</v>
      </c>
      <c r="C5059" s="1" t="s">
        <v>1764</v>
      </c>
      <c r="D5059" s="1" t="s">
        <v>44</v>
      </c>
      <c r="E5059" s="1" t="s">
        <v>4944</v>
      </c>
      <c r="F5059">
        <v>2559.5276886692</v>
      </c>
      <c r="G5059">
        <v>1369.5257402777299</v>
      </c>
      <c r="H5059">
        <v>590.78058532910302</v>
      </c>
      <c r="I5059">
        <v>293.33313879972297</v>
      </c>
      <c r="J5059">
        <v>3.0861579598503401</v>
      </c>
      <c r="K5059">
        <v>403.63989977907897</v>
      </c>
      <c r="L5059">
        <v>4.2454065676828199</v>
      </c>
      <c r="M5059">
        <v>25.432820424272698</v>
      </c>
      <c r="N5059">
        <v>50.3599904439005</v>
      </c>
      <c r="O5059">
        <v>35.336477598644002</v>
      </c>
      <c r="P5059">
        <v>7.0675181198639203</v>
      </c>
    </row>
    <row r="5060" spans="1:16">
      <c r="A5060" s="1" t="s">
        <v>4735</v>
      </c>
      <c r="B5060" s="1" t="s">
        <v>4974</v>
      </c>
      <c r="C5060" s="1" t="s">
        <v>1764</v>
      </c>
      <c r="D5060" s="1" t="s">
        <v>44</v>
      </c>
      <c r="E5060" s="1" t="s">
        <v>4944</v>
      </c>
      <c r="F5060">
        <v>525.24626968789198</v>
      </c>
      <c r="G5060">
        <v>2043.7006923024601</v>
      </c>
      <c r="H5060">
        <v>1180.8638149549399</v>
      </c>
      <c r="I5060">
        <v>705.119787552601</v>
      </c>
      <c r="J5060">
        <v>0.297559794365927</v>
      </c>
      <c r="K5060">
        <v>252.508698197201</v>
      </c>
      <c r="L5060">
        <v>13.8022381661499</v>
      </c>
      <c r="M5060">
        <v>41.473782214108603</v>
      </c>
      <c r="N5060">
        <v>93.728961972115599</v>
      </c>
      <c r="O5060">
        <v>39.308328903839197</v>
      </c>
      <c r="P5060">
        <v>4.4731080022243699</v>
      </c>
    </row>
    <row r="5061" spans="1:16">
      <c r="A5061" s="1" t="s">
        <v>4735</v>
      </c>
      <c r="B5061" s="1" t="s">
        <v>4975</v>
      </c>
      <c r="C5061" s="1" t="s">
        <v>1764</v>
      </c>
      <c r="D5061" s="1" t="s">
        <v>44</v>
      </c>
      <c r="E5061" s="1" t="s">
        <v>4944</v>
      </c>
      <c r="F5061">
        <v>559.51844864351096</v>
      </c>
      <c r="G5061">
        <v>1285.94179933379</v>
      </c>
      <c r="H5061">
        <v>611.83453097488405</v>
      </c>
      <c r="I5061">
        <v>242.92800015528101</v>
      </c>
      <c r="J5061">
        <v>15.9266916277933</v>
      </c>
      <c r="K5061">
        <v>164.97545493091499</v>
      </c>
      <c r="L5061">
        <v>4.0065940271987301</v>
      </c>
      <c r="M5061">
        <v>16.155909949473401</v>
      </c>
      <c r="N5061">
        <v>40.054880305377502</v>
      </c>
      <c r="O5061">
        <v>35.3653894971401</v>
      </c>
      <c r="P5061">
        <v>4.3103588036904004</v>
      </c>
    </row>
    <row r="5062" spans="1:16">
      <c r="A5062" s="1" t="s">
        <v>4735</v>
      </c>
      <c r="B5062" s="1" t="s">
        <v>4976</v>
      </c>
      <c r="C5062" s="1" t="s">
        <v>1764</v>
      </c>
      <c r="D5062" s="1" t="s">
        <v>44</v>
      </c>
      <c r="E5062" s="1" t="s">
        <v>4944</v>
      </c>
      <c r="F5062">
        <v>704.839780588895</v>
      </c>
      <c r="G5062">
        <v>1018.31798075979</v>
      </c>
      <c r="H5062">
        <v>751.73550522604296</v>
      </c>
      <c r="I5062">
        <v>271.25369528787598</v>
      </c>
      <c r="J5062">
        <v>1.4254448771336301</v>
      </c>
      <c r="K5062">
        <v>192.94372647062201</v>
      </c>
      <c r="L5062">
        <v>6.7690933608085198</v>
      </c>
      <c r="M5062">
        <v>10.8311978531235</v>
      </c>
      <c r="N5062">
        <v>85.867126926518495</v>
      </c>
      <c r="O5062">
        <v>30.358301841758099</v>
      </c>
      <c r="P5062">
        <v>4.7924785318699303</v>
      </c>
    </row>
    <row r="5063" spans="1:16">
      <c r="A5063" s="1" t="s">
        <v>4735</v>
      </c>
      <c r="B5063" s="1" t="s">
        <v>4977</v>
      </c>
      <c r="C5063" s="1" t="s">
        <v>1764</v>
      </c>
      <c r="D5063" s="1" t="s">
        <v>44</v>
      </c>
      <c r="E5063" s="1" t="s">
        <v>4944</v>
      </c>
      <c r="F5063">
        <v>1397.4974094653101</v>
      </c>
      <c r="G5063">
        <v>2000.05024693258</v>
      </c>
      <c r="H5063">
        <v>672.4835152631</v>
      </c>
      <c r="I5063">
        <v>199.88797823375299</v>
      </c>
      <c r="J5063">
        <v>11.1547614162498</v>
      </c>
      <c r="K5063">
        <v>251.16576685351001</v>
      </c>
      <c r="L5063">
        <v>3.1591268561543302</v>
      </c>
      <c r="M5063">
        <v>63.891817784008602</v>
      </c>
      <c r="N5063">
        <v>46.574666333525698</v>
      </c>
      <c r="O5063">
        <v>43.080234565608201</v>
      </c>
      <c r="P5063">
        <v>3.7086443993039699</v>
      </c>
    </row>
    <row r="5064" spans="1:16">
      <c r="A5064" s="1" t="s">
        <v>4735</v>
      </c>
      <c r="B5064" s="1" t="s">
        <v>4978</v>
      </c>
      <c r="C5064" s="1" t="s">
        <v>1764</v>
      </c>
      <c r="D5064" s="1" t="s">
        <v>44</v>
      </c>
      <c r="E5064" s="1" t="s">
        <v>4944</v>
      </c>
      <c r="F5064">
        <v>515.95500187065295</v>
      </c>
      <c r="G5064">
        <v>1905.3456843346</v>
      </c>
      <c r="H5064">
        <v>953.34302575706499</v>
      </c>
      <c r="I5064">
        <v>327.96316455047997</v>
      </c>
      <c r="J5064">
        <v>18.340174116820599</v>
      </c>
      <c r="K5064">
        <v>182.08093098889199</v>
      </c>
      <c r="L5064">
        <v>3.0174770947139198</v>
      </c>
      <c r="M5064">
        <v>19.8584390989631</v>
      </c>
      <c r="N5064">
        <v>36.061775537467298</v>
      </c>
      <c r="O5064">
        <v>32.707922603484903</v>
      </c>
      <c r="P5064">
        <v>4.6520707058583799</v>
      </c>
    </row>
    <row r="5065" spans="1:16">
      <c r="A5065" s="1" t="s">
        <v>4735</v>
      </c>
      <c r="B5065" s="1" t="s">
        <v>4979</v>
      </c>
      <c r="C5065" s="1" t="s">
        <v>1764</v>
      </c>
      <c r="D5065" s="1" t="s">
        <v>44</v>
      </c>
      <c r="E5065" s="1" t="s">
        <v>4944</v>
      </c>
      <c r="F5065">
        <v>1915.2953424643499</v>
      </c>
      <c r="G5065">
        <v>1314.2014728721399</v>
      </c>
      <c r="H5065">
        <v>778.54083693812402</v>
      </c>
      <c r="I5065">
        <v>238.300078521503</v>
      </c>
      <c r="J5065">
        <v>21.4956261340627</v>
      </c>
      <c r="K5065">
        <v>240.02238846994399</v>
      </c>
      <c r="L5065">
        <v>2.4628648282538501</v>
      </c>
      <c r="M5065">
        <v>30.263954449680799</v>
      </c>
      <c r="N5065">
        <v>44.350912498842</v>
      </c>
      <c r="O5065">
        <v>38.541433681313798</v>
      </c>
      <c r="P5065">
        <v>8.3818867562400996</v>
      </c>
    </row>
    <row r="5066" spans="1:16">
      <c r="A5066" s="1" t="s">
        <v>4735</v>
      </c>
      <c r="B5066" s="1" t="s">
        <v>4980</v>
      </c>
      <c r="C5066" s="1" t="s">
        <v>1764</v>
      </c>
      <c r="D5066" s="1" t="s">
        <v>44</v>
      </c>
      <c r="E5066" s="1" t="s">
        <v>4944</v>
      </c>
      <c r="F5066">
        <v>5370.28</v>
      </c>
      <c r="G5066">
        <v>4336.8900000000003</v>
      </c>
      <c r="H5066">
        <v>892.21</v>
      </c>
      <c r="I5066">
        <v>20.53</v>
      </c>
      <c r="J5066">
        <v>44.44</v>
      </c>
      <c r="K5066">
        <v>476.26</v>
      </c>
      <c r="L5066">
        <v>6.03</v>
      </c>
      <c r="M5066">
        <v>75.81</v>
      </c>
      <c r="N5066">
        <v>106.26</v>
      </c>
      <c r="O5066">
        <v>36.99</v>
      </c>
      <c r="P5066">
        <v>5.75</v>
      </c>
    </row>
    <row r="5067" spans="1:16">
      <c r="A5067" s="1" t="s">
        <v>4735</v>
      </c>
      <c r="B5067" s="1" t="s">
        <v>4981</v>
      </c>
      <c r="C5067" s="1" t="s">
        <v>1764</v>
      </c>
      <c r="D5067" s="1" t="s">
        <v>44</v>
      </c>
      <c r="E5067" s="1" t="s">
        <v>4944</v>
      </c>
      <c r="F5067">
        <v>4388.6400000000003</v>
      </c>
      <c r="G5067">
        <v>2797.79</v>
      </c>
      <c r="H5067">
        <v>998.49</v>
      </c>
      <c r="I5067">
        <v>32.450000000000003</v>
      </c>
      <c r="J5067">
        <v>78.02</v>
      </c>
      <c r="K5067">
        <v>422.09</v>
      </c>
      <c r="L5067">
        <v>7.86</v>
      </c>
      <c r="M5067">
        <v>134.87</v>
      </c>
      <c r="N5067">
        <v>24.97</v>
      </c>
      <c r="O5067">
        <v>32.43</v>
      </c>
      <c r="P5067">
        <v>3.66</v>
      </c>
    </row>
    <row r="5068" spans="1:16">
      <c r="A5068" s="1" t="s">
        <v>4735</v>
      </c>
      <c r="B5068" s="1" t="s">
        <v>4982</v>
      </c>
      <c r="C5068" s="1" t="s">
        <v>1764</v>
      </c>
      <c r="D5068" s="1" t="s">
        <v>44</v>
      </c>
      <c r="E5068" s="1" t="s">
        <v>4944</v>
      </c>
      <c r="F5068">
        <v>8481.7900000000009</v>
      </c>
      <c r="G5068">
        <v>7845.91</v>
      </c>
      <c r="H5068">
        <v>744.94</v>
      </c>
      <c r="I5068">
        <v>52.79</v>
      </c>
      <c r="J5068">
        <v>74.11</v>
      </c>
      <c r="K5068">
        <v>502.85</v>
      </c>
      <c r="L5068">
        <v>5.22</v>
      </c>
      <c r="M5068">
        <v>96.16</v>
      </c>
      <c r="N5068">
        <v>58.66</v>
      </c>
      <c r="O5068">
        <v>36.96</v>
      </c>
      <c r="P5068">
        <v>4.3899999999999997</v>
      </c>
    </row>
    <row r="5069" spans="1:16">
      <c r="A5069" s="1" t="s">
        <v>4735</v>
      </c>
      <c r="B5069" s="1" t="s">
        <v>4983</v>
      </c>
      <c r="C5069" s="1" t="s">
        <v>1764</v>
      </c>
      <c r="D5069" s="1" t="s">
        <v>44</v>
      </c>
      <c r="E5069" s="1" t="s">
        <v>4944</v>
      </c>
      <c r="F5069">
        <v>5577.76</v>
      </c>
      <c r="G5069">
        <v>3408.27</v>
      </c>
      <c r="H5069">
        <v>733.27</v>
      </c>
      <c r="I5069">
        <v>13.97</v>
      </c>
      <c r="J5069">
        <v>62.08</v>
      </c>
      <c r="K5069">
        <v>488.29</v>
      </c>
      <c r="L5069">
        <v>5.22</v>
      </c>
      <c r="M5069">
        <v>100.43</v>
      </c>
      <c r="N5069">
        <v>49.19</v>
      </c>
      <c r="O5069">
        <v>39.28</v>
      </c>
      <c r="P5069">
        <v>4.16</v>
      </c>
    </row>
    <row r="5070" spans="1:16">
      <c r="A5070" s="1" t="s">
        <v>4735</v>
      </c>
      <c r="B5070" s="1" t="s">
        <v>4984</v>
      </c>
      <c r="C5070" s="1" t="s">
        <v>1764</v>
      </c>
      <c r="D5070" s="1" t="s">
        <v>44</v>
      </c>
      <c r="E5070" s="1" t="s">
        <v>4944</v>
      </c>
      <c r="F5070">
        <v>3010.28</v>
      </c>
      <c r="G5070">
        <v>2504.33</v>
      </c>
      <c r="H5070">
        <v>1297.56</v>
      </c>
      <c r="I5070">
        <v>45.44</v>
      </c>
      <c r="J5070">
        <v>122.15</v>
      </c>
      <c r="K5070">
        <v>402.76</v>
      </c>
      <c r="L5070">
        <v>9.69</v>
      </c>
      <c r="M5070">
        <v>196.73</v>
      </c>
      <c r="N5070">
        <v>36.5</v>
      </c>
      <c r="O5070">
        <v>22.46</v>
      </c>
      <c r="P5070">
        <v>5.0199999999999996</v>
      </c>
    </row>
    <row r="5071" spans="1:16">
      <c r="A5071" s="1" t="s">
        <v>4735</v>
      </c>
      <c r="B5071" s="1" t="s">
        <v>4985</v>
      </c>
      <c r="C5071" s="1" t="s">
        <v>1764</v>
      </c>
      <c r="D5071" s="1" t="s">
        <v>44</v>
      </c>
      <c r="E5071" s="1" t="s">
        <v>4944</v>
      </c>
      <c r="F5071">
        <v>5983.41</v>
      </c>
      <c r="G5071">
        <v>3838.49</v>
      </c>
      <c r="H5071">
        <v>1144.8499999999999</v>
      </c>
      <c r="I5071">
        <v>37.64</v>
      </c>
      <c r="J5071">
        <v>112.61</v>
      </c>
      <c r="K5071">
        <v>552.29999999999995</v>
      </c>
      <c r="L5071">
        <v>9.7100000000000009</v>
      </c>
      <c r="M5071">
        <v>187.55</v>
      </c>
      <c r="N5071">
        <v>66.91</v>
      </c>
      <c r="O5071">
        <v>43.46</v>
      </c>
      <c r="P5071">
        <v>7.26</v>
      </c>
    </row>
    <row r="5072" spans="1:16">
      <c r="A5072" s="1" t="s">
        <v>4735</v>
      </c>
      <c r="B5072" s="1" t="s">
        <v>4986</v>
      </c>
      <c r="C5072" s="1" t="s">
        <v>1764</v>
      </c>
      <c r="D5072" s="1" t="s">
        <v>44</v>
      </c>
      <c r="E5072" s="1" t="s">
        <v>4944</v>
      </c>
      <c r="F5072">
        <v>5827.56</v>
      </c>
      <c r="G5072">
        <v>3389.56</v>
      </c>
      <c r="H5072">
        <v>621.27</v>
      </c>
      <c r="I5072">
        <v>12.8</v>
      </c>
      <c r="J5072">
        <v>62.75</v>
      </c>
      <c r="K5072">
        <v>463.43</v>
      </c>
      <c r="L5072">
        <v>5.79</v>
      </c>
      <c r="M5072">
        <v>103.32</v>
      </c>
      <c r="N5072">
        <v>45.02</v>
      </c>
      <c r="O5072">
        <v>34.520000000000003</v>
      </c>
      <c r="P5072">
        <v>4.3499999999999996</v>
      </c>
    </row>
    <row r="5073" spans="1:16">
      <c r="A5073" s="1" t="s">
        <v>4735</v>
      </c>
      <c r="B5073" s="1" t="s">
        <v>4987</v>
      </c>
      <c r="C5073" s="1" t="s">
        <v>1764</v>
      </c>
      <c r="D5073" s="1" t="s">
        <v>44</v>
      </c>
      <c r="E5073" s="1" t="s">
        <v>4944</v>
      </c>
      <c r="F5073">
        <v>6043.34</v>
      </c>
      <c r="G5073">
        <v>4383.0200000000004</v>
      </c>
      <c r="H5073">
        <v>1169.75</v>
      </c>
      <c r="I5073">
        <v>23.16</v>
      </c>
      <c r="J5073">
        <v>107.86</v>
      </c>
      <c r="K5073">
        <v>562.92999999999995</v>
      </c>
      <c r="L5073">
        <v>9</v>
      </c>
      <c r="M5073">
        <v>179.82</v>
      </c>
      <c r="N5073">
        <v>106.07</v>
      </c>
      <c r="O5073">
        <v>34</v>
      </c>
      <c r="P5073">
        <v>5.48</v>
      </c>
    </row>
    <row r="5074" spans="1:16">
      <c r="A5074" s="1" t="s">
        <v>4735</v>
      </c>
      <c r="B5074" s="1" t="s">
        <v>4988</v>
      </c>
      <c r="C5074" s="1" t="s">
        <v>1764</v>
      </c>
      <c r="D5074" s="1" t="s">
        <v>44</v>
      </c>
      <c r="E5074" s="1" t="s">
        <v>4944</v>
      </c>
      <c r="F5074">
        <v>3096.04</v>
      </c>
      <c r="G5074">
        <v>2277.77</v>
      </c>
      <c r="H5074">
        <v>984.36</v>
      </c>
      <c r="I5074">
        <v>37.869999999999997</v>
      </c>
      <c r="J5074">
        <v>62.59</v>
      </c>
      <c r="K5074">
        <v>475.28</v>
      </c>
      <c r="L5074">
        <v>5.19</v>
      </c>
      <c r="M5074">
        <v>102.54</v>
      </c>
      <c r="N5074">
        <v>62.61</v>
      </c>
      <c r="O5074">
        <v>23.83</v>
      </c>
      <c r="P5074">
        <v>5.9</v>
      </c>
    </row>
    <row r="5075" spans="1:16">
      <c r="A5075" s="1" t="s">
        <v>4735</v>
      </c>
      <c r="B5075" s="1" t="s">
        <v>4989</v>
      </c>
      <c r="C5075" s="1" t="s">
        <v>1764</v>
      </c>
      <c r="D5075" s="1" t="s">
        <v>44</v>
      </c>
      <c r="E5075" s="1" t="s">
        <v>4944</v>
      </c>
      <c r="F5075">
        <v>2439.48</v>
      </c>
      <c r="G5075">
        <v>2951.4</v>
      </c>
      <c r="H5075">
        <v>993.84</v>
      </c>
      <c r="I5075">
        <v>34.5</v>
      </c>
      <c r="J5075">
        <v>62.42</v>
      </c>
      <c r="K5075">
        <v>497.68</v>
      </c>
      <c r="L5075">
        <v>9.75</v>
      </c>
      <c r="M5075">
        <v>105.64</v>
      </c>
      <c r="N5075">
        <v>93.46</v>
      </c>
      <c r="O5075">
        <v>34.369999999999997</v>
      </c>
      <c r="P5075">
        <v>4.6100000000000003</v>
      </c>
    </row>
    <row r="5076" spans="1:16">
      <c r="A5076" s="1" t="s">
        <v>4735</v>
      </c>
      <c r="B5076" s="1" t="s">
        <v>4990</v>
      </c>
      <c r="C5076" s="1" t="s">
        <v>1764</v>
      </c>
      <c r="D5076" s="1" t="s">
        <v>44</v>
      </c>
      <c r="E5076" s="1" t="s">
        <v>4944</v>
      </c>
      <c r="F5076">
        <v>5368.64</v>
      </c>
      <c r="G5076">
        <v>3249.27</v>
      </c>
      <c r="H5076">
        <v>628.09</v>
      </c>
      <c r="I5076">
        <v>36.57</v>
      </c>
      <c r="J5076">
        <v>56</v>
      </c>
      <c r="K5076">
        <v>449.15</v>
      </c>
      <c r="L5076">
        <v>4.57</v>
      </c>
      <c r="M5076">
        <v>93.44</v>
      </c>
      <c r="N5076">
        <v>34.51</v>
      </c>
      <c r="O5076">
        <v>25.28</v>
      </c>
      <c r="P5076">
        <v>2.3199999999999998</v>
      </c>
    </row>
    <row r="5077" spans="1:16">
      <c r="A5077" s="1" t="s">
        <v>4735</v>
      </c>
      <c r="B5077" s="1" t="s">
        <v>4991</v>
      </c>
      <c r="C5077" s="1" t="s">
        <v>1764</v>
      </c>
      <c r="D5077" s="1" t="s">
        <v>44</v>
      </c>
      <c r="E5077" s="1" t="s">
        <v>4944</v>
      </c>
      <c r="F5077">
        <v>16428.93</v>
      </c>
      <c r="G5077">
        <v>12519.89</v>
      </c>
      <c r="H5077">
        <v>1010.86</v>
      </c>
      <c r="I5077">
        <v>80.44</v>
      </c>
      <c r="J5077">
        <v>67.19</v>
      </c>
      <c r="K5077">
        <v>801.95</v>
      </c>
      <c r="L5077">
        <v>7.45</v>
      </c>
      <c r="M5077">
        <v>112.45</v>
      </c>
      <c r="N5077">
        <v>80.040000000000006</v>
      </c>
      <c r="O5077">
        <v>42.77</v>
      </c>
      <c r="P5077">
        <v>6.04</v>
      </c>
    </row>
    <row r="5078" spans="1:16">
      <c r="A5078" s="1" t="s">
        <v>4735</v>
      </c>
      <c r="B5078" s="1" t="s">
        <v>4992</v>
      </c>
      <c r="C5078" s="1" t="s">
        <v>1764</v>
      </c>
      <c r="D5078" s="1" t="s">
        <v>44</v>
      </c>
      <c r="E5078" s="1" t="s">
        <v>4944</v>
      </c>
      <c r="F5078">
        <v>8321.7999999999993</v>
      </c>
      <c r="G5078">
        <v>5772.5</v>
      </c>
      <c r="H5078">
        <v>893.12</v>
      </c>
      <c r="I5078">
        <v>9.52</v>
      </c>
      <c r="J5078">
        <v>33.28</v>
      </c>
      <c r="K5078">
        <v>607.59</v>
      </c>
      <c r="L5078">
        <v>8.8800000000000008</v>
      </c>
      <c r="M5078">
        <v>56.65</v>
      </c>
      <c r="N5078">
        <v>71.709999999999994</v>
      </c>
      <c r="O5078">
        <v>36.619999999999997</v>
      </c>
      <c r="P5078">
        <v>8.5500000000000007</v>
      </c>
    </row>
    <row r="5079" spans="1:16">
      <c r="A5079" s="1" t="s">
        <v>4735</v>
      </c>
      <c r="B5079" s="1" t="s">
        <v>4993</v>
      </c>
      <c r="C5079" s="1" t="s">
        <v>1764</v>
      </c>
      <c r="D5079" s="1" t="s">
        <v>44</v>
      </c>
      <c r="E5079" s="1" t="s">
        <v>4944</v>
      </c>
      <c r="F5079">
        <v>5143.01</v>
      </c>
      <c r="G5079">
        <v>2508.98</v>
      </c>
      <c r="H5079">
        <v>936.67</v>
      </c>
      <c r="I5079">
        <v>62.78</v>
      </c>
      <c r="J5079">
        <v>65.48</v>
      </c>
      <c r="K5079">
        <v>574.63</v>
      </c>
      <c r="L5079">
        <v>6.13</v>
      </c>
      <c r="M5079">
        <v>93.04</v>
      </c>
      <c r="N5079">
        <v>43.42</v>
      </c>
      <c r="O5079">
        <v>32.880000000000003</v>
      </c>
      <c r="P5079">
        <v>3.99</v>
      </c>
    </row>
    <row r="5080" spans="1:16">
      <c r="A5080" s="1" t="s">
        <v>4735</v>
      </c>
      <c r="B5080" s="1" t="s">
        <v>4994</v>
      </c>
      <c r="C5080" s="1" t="s">
        <v>1764</v>
      </c>
      <c r="D5080" s="1" t="s">
        <v>44</v>
      </c>
      <c r="E5080" s="1" t="s">
        <v>4944</v>
      </c>
      <c r="F5080">
        <v>3422.05</v>
      </c>
      <c r="G5080">
        <v>2694.05</v>
      </c>
      <c r="H5080">
        <v>837.96</v>
      </c>
      <c r="I5080">
        <v>11.69</v>
      </c>
      <c r="J5080">
        <v>54.26</v>
      </c>
      <c r="K5080">
        <v>684.04</v>
      </c>
      <c r="L5080">
        <v>5.05</v>
      </c>
      <c r="M5080">
        <v>92</v>
      </c>
      <c r="N5080">
        <v>54.43</v>
      </c>
      <c r="O5080">
        <v>29.63</v>
      </c>
      <c r="P5080">
        <v>3.22</v>
      </c>
    </row>
    <row r="5081" spans="1:16">
      <c r="A5081" s="1" t="s">
        <v>4735</v>
      </c>
      <c r="B5081" s="1" t="s">
        <v>4995</v>
      </c>
      <c r="C5081" s="1" t="s">
        <v>1764</v>
      </c>
      <c r="D5081" s="1" t="s">
        <v>44</v>
      </c>
      <c r="E5081" s="1" t="s">
        <v>4944</v>
      </c>
      <c r="F5081">
        <v>3241</v>
      </c>
      <c r="G5081">
        <v>2418.87</v>
      </c>
      <c r="H5081">
        <v>728.09</v>
      </c>
      <c r="I5081">
        <v>43.16</v>
      </c>
      <c r="J5081">
        <v>50</v>
      </c>
      <c r="K5081">
        <v>464.86</v>
      </c>
      <c r="L5081">
        <v>3.97</v>
      </c>
      <c r="M5081">
        <v>82.43</v>
      </c>
      <c r="N5081">
        <v>42.4</v>
      </c>
      <c r="O5081">
        <v>34.54</v>
      </c>
      <c r="P5081">
        <v>1.76</v>
      </c>
    </row>
    <row r="5082" spans="1:16">
      <c r="A5082" s="1" t="s">
        <v>4735</v>
      </c>
      <c r="B5082" s="1" t="s">
        <v>4996</v>
      </c>
      <c r="C5082" s="1" t="s">
        <v>1764</v>
      </c>
      <c r="D5082" s="1" t="s">
        <v>44</v>
      </c>
      <c r="E5082" s="1" t="s">
        <v>4944</v>
      </c>
      <c r="F5082">
        <v>4109.6499999999996</v>
      </c>
      <c r="G5082">
        <v>2805.67</v>
      </c>
      <c r="H5082">
        <v>756.02</v>
      </c>
      <c r="I5082">
        <v>36.82</v>
      </c>
      <c r="J5082">
        <v>56.08</v>
      </c>
      <c r="K5082">
        <v>689.77</v>
      </c>
      <c r="L5082">
        <v>7.58</v>
      </c>
      <c r="M5082">
        <v>93.03</v>
      </c>
      <c r="N5082">
        <v>36.67</v>
      </c>
      <c r="O5082">
        <v>25.89</v>
      </c>
      <c r="P5082">
        <v>1.99</v>
      </c>
    </row>
    <row r="5083" spans="1:16">
      <c r="A5083" s="1" t="s">
        <v>4735</v>
      </c>
      <c r="B5083" s="1" t="s">
        <v>4997</v>
      </c>
      <c r="C5083" s="1" t="s">
        <v>1764</v>
      </c>
      <c r="D5083" s="1" t="s">
        <v>44</v>
      </c>
      <c r="E5083" s="1" t="s">
        <v>4944</v>
      </c>
      <c r="F5083">
        <v>2450.8000000000002</v>
      </c>
      <c r="G5083">
        <v>1819.87</v>
      </c>
      <c r="H5083">
        <v>553.5</v>
      </c>
      <c r="I5083">
        <v>61.36</v>
      </c>
      <c r="J5083">
        <v>51.01</v>
      </c>
      <c r="K5083">
        <v>446.83</v>
      </c>
      <c r="L5083">
        <v>38.049999999999997</v>
      </c>
      <c r="M5083">
        <v>84.43</v>
      </c>
      <c r="N5083">
        <v>30.21</v>
      </c>
      <c r="O5083">
        <v>31.98</v>
      </c>
      <c r="P5083">
        <v>4.17</v>
      </c>
    </row>
    <row r="5084" spans="1:16">
      <c r="A5084" s="1" t="s">
        <v>4735</v>
      </c>
      <c r="B5084" s="1" t="s">
        <v>4998</v>
      </c>
      <c r="C5084" s="1" t="s">
        <v>1764</v>
      </c>
      <c r="D5084" s="1" t="s">
        <v>44</v>
      </c>
      <c r="E5084" s="1" t="s">
        <v>4944</v>
      </c>
      <c r="F5084">
        <v>1600.97</v>
      </c>
      <c r="G5084">
        <v>2118.56</v>
      </c>
      <c r="H5084">
        <v>665.92</v>
      </c>
      <c r="I5084">
        <v>13.82</v>
      </c>
      <c r="J5084">
        <v>67.959999999999994</v>
      </c>
      <c r="K5084">
        <v>475.76</v>
      </c>
      <c r="L5084">
        <v>5.36</v>
      </c>
      <c r="M5084">
        <v>112.59</v>
      </c>
      <c r="N5084">
        <v>60.13</v>
      </c>
      <c r="O5084">
        <v>24.49</v>
      </c>
      <c r="P5084">
        <v>4.01</v>
      </c>
    </row>
    <row r="5085" spans="1:16">
      <c r="A5085" s="1" t="s">
        <v>4735</v>
      </c>
      <c r="B5085" s="1" t="s">
        <v>4999</v>
      </c>
      <c r="C5085" s="1" t="s">
        <v>1764</v>
      </c>
      <c r="D5085" s="1" t="s">
        <v>44</v>
      </c>
      <c r="E5085" s="1" t="s">
        <v>4944</v>
      </c>
      <c r="F5085">
        <v>4291.1000000000004</v>
      </c>
      <c r="G5085">
        <v>2776.34</v>
      </c>
      <c r="H5085">
        <v>1714.57</v>
      </c>
      <c r="I5085">
        <v>35.92</v>
      </c>
      <c r="J5085">
        <v>50.59</v>
      </c>
      <c r="K5085">
        <v>630.89</v>
      </c>
      <c r="L5085">
        <v>5.19</v>
      </c>
      <c r="M5085">
        <v>86.43</v>
      </c>
      <c r="N5085">
        <v>62.49</v>
      </c>
      <c r="O5085">
        <v>39.74</v>
      </c>
      <c r="P5085">
        <v>2.93</v>
      </c>
    </row>
    <row r="5086" spans="1:16">
      <c r="A5086" s="1" t="s">
        <v>4735</v>
      </c>
      <c r="B5086" s="1" t="s">
        <v>5000</v>
      </c>
      <c r="C5086" s="1" t="s">
        <v>1764</v>
      </c>
      <c r="D5086" s="1" t="s">
        <v>44</v>
      </c>
      <c r="E5086" s="1" t="s">
        <v>4944</v>
      </c>
      <c r="F5086">
        <v>1165.5082462799</v>
      </c>
      <c r="G5086">
        <v>1867.7349852263201</v>
      </c>
      <c r="H5086">
        <v>698.50968153280803</v>
      </c>
      <c r="I5086">
        <v>48.342412725741802</v>
      </c>
      <c r="J5086">
        <v>3.9745027197874498</v>
      </c>
      <c r="K5086">
        <v>208.790019547399</v>
      </c>
      <c r="L5086">
        <v>3.6313044666311698</v>
      </c>
      <c r="M5086">
        <v>38.777105982617996</v>
      </c>
      <c r="N5086">
        <v>35.7504155139315</v>
      </c>
      <c r="O5086">
        <v>27.714579161490501</v>
      </c>
      <c r="P5086">
        <v>5.2328290027764801</v>
      </c>
    </row>
    <row r="5087" spans="1:16">
      <c r="A5087" s="1" t="s">
        <v>4735</v>
      </c>
      <c r="B5087" s="1" t="s">
        <v>5001</v>
      </c>
      <c r="C5087" s="1" t="s">
        <v>1764</v>
      </c>
      <c r="D5087" s="1" t="s">
        <v>44</v>
      </c>
      <c r="E5087" s="1" t="s">
        <v>4944</v>
      </c>
      <c r="F5087">
        <v>5498.8188949061196</v>
      </c>
      <c r="G5087">
        <v>3843.46554681215</v>
      </c>
      <c r="H5087">
        <v>804.51488037359195</v>
      </c>
      <c r="I5087">
        <v>47.436056787654799</v>
      </c>
      <c r="J5087">
        <v>4.1515202931880104</v>
      </c>
      <c r="K5087">
        <v>345.82005396046202</v>
      </c>
      <c r="L5087">
        <v>5.1146775406982803</v>
      </c>
      <c r="M5087">
        <v>37.0347436239554</v>
      </c>
      <c r="N5087">
        <v>60.506916822289803</v>
      </c>
      <c r="O5087">
        <v>29.145658828519</v>
      </c>
      <c r="P5087">
        <v>5.8097545537728603</v>
      </c>
    </row>
    <row r="5088" spans="1:16">
      <c r="A5088" s="1" t="s">
        <v>4735</v>
      </c>
      <c r="B5088" s="1" t="s">
        <v>5002</v>
      </c>
      <c r="C5088" s="1" t="s">
        <v>1764</v>
      </c>
      <c r="D5088" s="1" t="s">
        <v>44</v>
      </c>
      <c r="E5088" s="1" t="s">
        <v>4944</v>
      </c>
      <c r="F5088">
        <v>2446.8803138552098</v>
      </c>
      <c r="G5088">
        <v>2661.81260921701</v>
      </c>
      <c r="H5088">
        <v>752.72839541055203</v>
      </c>
      <c r="I5088">
        <v>57.928186641482299</v>
      </c>
      <c r="J5088">
        <v>7.7267205854325001</v>
      </c>
      <c r="K5088">
        <v>411.934413023405</v>
      </c>
      <c r="L5088">
        <v>7.1282922241826698</v>
      </c>
      <c r="M5088">
        <v>36.589140770188898</v>
      </c>
      <c r="N5088">
        <v>62.908944163313699</v>
      </c>
      <c r="O5088">
        <v>31.241507045783202</v>
      </c>
      <c r="P5088">
        <v>10.1951942742696</v>
      </c>
    </row>
    <row r="5089" spans="1:16">
      <c r="A5089" s="1" t="s">
        <v>4735</v>
      </c>
      <c r="B5089" s="1" t="s">
        <v>5003</v>
      </c>
      <c r="C5089" s="1" t="s">
        <v>1764</v>
      </c>
      <c r="D5089" s="1" t="s">
        <v>44</v>
      </c>
      <c r="E5089" s="1" t="s">
        <v>4944</v>
      </c>
      <c r="F5089">
        <v>10814.554</v>
      </c>
      <c r="G5089">
        <v>4219.5680000000002</v>
      </c>
      <c r="H5089">
        <v>657.15</v>
      </c>
      <c r="I5089">
        <v>32.71</v>
      </c>
      <c r="J5089">
        <v>14.139600000000002</v>
      </c>
      <c r="K5089">
        <v>98.932000000000002</v>
      </c>
      <c r="L5089">
        <v>75.22</v>
      </c>
      <c r="M5089">
        <v>76.573000000000008</v>
      </c>
      <c r="N5089">
        <v>7.49</v>
      </c>
      <c r="O5089">
        <v>3.5920000000000001</v>
      </c>
      <c r="P5089">
        <v>16.98</v>
      </c>
    </row>
    <row r="5090" spans="1:16">
      <c r="A5090" s="1" t="s">
        <v>4735</v>
      </c>
      <c r="B5090" s="1" t="s">
        <v>5004</v>
      </c>
      <c r="C5090" s="1" t="s">
        <v>1764</v>
      </c>
      <c r="D5090" s="1" t="s">
        <v>44</v>
      </c>
      <c r="E5090" s="1" t="s">
        <v>4944</v>
      </c>
      <c r="F5090">
        <v>7448.128999999999</v>
      </c>
      <c r="G5090">
        <v>2712.473</v>
      </c>
      <c r="H5090">
        <v>589.91</v>
      </c>
      <c r="I5090">
        <v>103.01</v>
      </c>
      <c r="J5090">
        <v>6.2140000000000004</v>
      </c>
      <c r="K5090">
        <v>68.022000000000006</v>
      </c>
      <c r="L5090">
        <v>0.52600000000000002</v>
      </c>
      <c r="M5090">
        <v>9.5869999999999997</v>
      </c>
      <c r="N5090">
        <v>11.773</v>
      </c>
      <c r="O5090">
        <v>5.1609999999999996</v>
      </c>
      <c r="P5090">
        <v>11.57</v>
      </c>
    </row>
    <row r="5091" spans="1:16">
      <c r="A5091" s="1" t="s">
        <v>4735</v>
      </c>
      <c r="B5091" s="1" t="s">
        <v>5005</v>
      </c>
      <c r="C5091" s="1" t="s">
        <v>1764</v>
      </c>
      <c r="D5091" s="1" t="s">
        <v>44</v>
      </c>
      <c r="E5091" s="1" t="s">
        <v>4944</v>
      </c>
      <c r="F5091">
        <v>7486.1469999999999</v>
      </c>
      <c r="G5091">
        <v>2238.2580000000003</v>
      </c>
      <c r="H5091">
        <v>520.35</v>
      </c>
      <c r="I5091">
        <v>98.73</v>
      </c>
      <c r="J5091">
        <v>8.0778999999999996</v>
      </c>
      <c r="K5091">
        <v>92.65</v>
      </c>
      <c r="L5091">
        <v>0.42300000000000004</v>
      </c>
      <c r="M5091">
        <v>7.5590000000000002</v>
      </c>
      <c r="N5091">
        <v>11.181000000000001</v>
      </c>
      <c r="O5091">
        <v>3.2930000000000001</v>
      </c>
      <c r="P5091">
        <v>12.74</v>
      </c>
    </row>
    <row r="5092" spans="1:16">
      <c r="A5092" s="1" t="s">
        <v>4735</v>
      </c>
      <c r="B5092" s="1" t="s">
        <v>5006</v>
      </c>
      <c r="C5092" s="1" t="s">
        <v>1764</v>
      </c>
      <c r="D5092" s="1" t="s">
        <v>44</v>
      </c>
      <c r="E5092" s="1" t="s">
        <v>4944</v>
      </c>
      <c r="F5092">
        <v>7980.8530000000001</v>
      </c>
      <c r="G5092">
        <v>2128.9960000000001</v>
      </c>
      <c r="H5092">
        <v>499.31</v>
      </c>
      <c r="I5092">
        <v>46.83</v>
      </c>
      <c r="J5092">
        <v>5.3426</v>
      </c>
      <c r="K5092">
        <v>57.900999999999996</v>
      </c>
      <c r="L5092">
        <v>0.44600000000000001</v>
      </c>
      <c r="M5092">
        <v>8.1840000000000011</v>
      </c>
      <c r="N5092">
        <v>7.5579999999999998</v>
      </c>
      <c r="O5092">
        <v>3.5880000000000001</v>
      </c>
      <c r="P5092">
        <v>9.35</v>
      </c>
    </row>
    <row r="5093" spans="1:16">
      <c r="A5093" s="1" t="s">
        <v>4735</v>
      </c>
      <c r="B5093" s="1" t="s">
        <v>5007</v>
      </c>
      <c r="C5093" s="1" t="s">
        <v>1764</v>
      </c>
      <c r="D5093" s="1" t="s">
        <v>44</v>
      </c>
      <c r="E5093" s="1" t="s">
        <v>4944</v>
      </c>
      <c r="F5093">
        <v>4639.2209999999995</v>
      </c>
      <c r="G5093">
        <v>1939.8610000000001</v>
      </c>
      <c r="H5093">
        <v>575.1</v>
      </c>
      <c r="I5093">
        <v>255.55</v>
      </c>
      <c r="J5093">
        <v>10.9261</v>
      </c>
      <c r="K5093">
        <v>385.26100000000002</v>
      </c>
      <c r="L5093">
        <v>39.981000000000002</v>
      </c>
      <c r="M5093">
        <v>40.71</v>
      </c>
      <c r="N5093">
        <v>46.042000000000002</v>
      </c>
      <c r="O5093">
        <v>16.866999999999997</v>
      </c>
      <c r="P5093">
        <v>31.91</v>
      </c>
    </row>
    <row r="5094" spans="1:16">
      <c r="A5094" s="1" t="s">
        <v>4735</v>
      </c>
      <c r="B5094" s="1" t="s">
        <v>5008</v>
      </c>
      <c r="C5094" s="1" t="s">
        <v>1764</v>
      </c>
      <c r="D5094" s="1" t="s">
        <v>44</v>
      </c>
      <c r="E5094" s="1" t="s">
        <v>4944</v>
      </c>
      <c r="F5094">
        <v>4572.7300000000005</v>
      </c>
      <c r="G5094">
        <v>2166.4250000000002</v>
      </c>
      <c r="H5094">
        <v>649.84</v>
      </c>
      <c r="I5094">
        <v>268.27999999999997</v>
      </c>
      <c r="J5094">
        <v>19.183299999999999</v>
      </c>
      <c r="K5094">
        <v>343.89099999999996</v>
      </c>
      <c r="L5094">
        <v>1.5070000000000001</v>
      </c>
      <c r="M5094">
        <v>29.767000000000003</v>
      </c>
      <c r="N5094">
        <v>49.951000000000001</v>
      </c>
      <c r="O5094">
        <v>23.466999999999999</v>
      </c>
      <c r="P5094">
        <v>23.34</v>
      </c>
    </row>
    <row r="5095" spans="1:16">
      <c r="A5095" s="1" t="s">
        <v>4735</v>
      </c>
      <c r="B5095" s="1" t="s">
        <v>5009</v>
      </c>
      <c r="C5095" s="1" t="s">
        <v>1764</v>
      </c>
      <c r="D5095" s="1" t="s">
        <v>44</v>
      </c>
      <c r="E5095" s="1" t="s">
        <v>4944</v>
      </c>
      <c r="F5095">
        <v>3976.4339999999997</v>
      </c>
      <c r="G5095">
        <v>1731.6439999999998</v>
      </c>
      <c r="H5095">
        <v>509.11</v>
      </c>
      <c r="I5095">
        <v>216.78</v>
      </c>
      <c r="J5095">
        <v>9.3934999999999995</v>
      </c>
      <c r="K5095">
        <v>245.89899999999997</v>
      </c>
      <c r="L5095">
        <v>0.79699999999999993</v>
      </c>
      <c r="M5095">
        <v>17.344000000000001</v>
      </c>
      <c r="N5095">
        <v>37.771000000000001</v>
      </c>
      <c r="O5095">
        <v>12.930000000000001</v>
      </c>
      <c r="P5095">
        <v>19.57</v>
      </c>
    </row>
    <row r="5096" spans="1:16">
      <c r="A5096" s="1" t="s">
        <v>4735</v>
      </c>
      <c r="B5096" s="1" t="s">
        <v>5010</v>
      </c>
      <c r="C5096" s="1" t="s">
        <v>1764</v>
      </c>
      <c r="D5096" s="1" t="s">
        <v>44</v>
      </c>
      <c r="E5096" s="1" t="s">
        <v>4944</v>
      </c>
      <c r="F5096">
        <v>2951.4180000000001</v>
      </c>
      <c r="G5096">
        <v>1201.7629999999999</v>
      </c>
      <c r="H5096">
        <v>309.48</v>
      </c>
      <c r="I5096">
        <v>123.68</v>
      </c>
      <c r="J5096">
        <v>15.940799999999999</v>
      </c>
      <c r="K5096">
        <v>218.94499999999999</v>
      </c>
      <c r="L5096">
        <v>13.613</v>
      </c>
      <c r="M5096">
        <v>18.053999999999998</v>
      </c>
      <c r="N5096">
        <v>15.103</v>
      </c>
      <c r="O5096">
        <v>8.9589999999999996</v>
      </c>
      <c r="P5096">
        <v>11.11</v>
      </c>
    </row>
    <row r="5097" spans="1:16">
      <c r="A5097" s="1" t="s">
        <v>4735</v>
      </c>
      <c r="B5097" s="1" t="s">
        <v>5011</v>
      </c>
      <c r="C5097" s="1" t="s">
        <v>1764</v>
      </c>
      <c r="D5097" s="1" t="s">
        <v>44</v>
      </c>
      <c r="E5097" s="1" t="s">
        <v>4944</v>
      </c>
      <c r="F5097">
        <v>8132.7919999999995</v>
      </c>
      <c r="G5097">
        <v>3856.2269999999999</v>
      </c>
      <c r="H5097">
        <v>656.57</v>
      </c>
      <c r="I5097">
        <v>155.32</v>
      </c>
      <c r="J5097">
        <v>29.039299999999997</v>
      </c>
      <c r="K5097">
        <v>535.18799999999999</v>
      </c>
      <c r="L5097">
        <v>3.1260000000000003</v>
      </c>
      <c r="M5097">
        <v>45.368000000000002</v>
      </c>
      <c r="N5097">
        <v>84.742999999999995</v>
      </c>
      <c r="O5097">
        <v>31.367000000000001</v>
      </c>
      <c r="P5097">
        <v>32.86</v>
      </c>
    </row>
    <row r="5098" spans="1:16">
      <c r="A5098" s="1" t="s">
        <v>4735</v>
      </c>
      <c r="B5098" s="1" t="s">
        <v>5012</v>
      </c>
      <c r="C5098" s="1" t="s">
        <v>1764</v>
      </c>
      <c r="D5098" s="1" t="s">
        <v>44</v>
      </c>
      <c r="E5098" s="1" t="s">
        <v>4944</v>
      </c>
      <c r="F5098">
        <v>5464.0730000000003</v>
      </c>
      <c r="G5098">
        <v>2010.404</v>
      </c>
      <c r="H5098">
        <v>796.95</v>
      </c>
      <c r="I5098">
        <v>517.70000000000005</v>
      </c>
      <c r="J5098">
        <v>19.622399999999999</v>
      </c>
      <c r="K5098">
        <v>523.42200000000003</v>
      </c>
      <c r="L5098">
        <v>56.080999999999996</v>
      </c>
      <c r="M5098">
        <v>64.048000000000002</v>
      </c>
      <c r="N5098">
        <v>55.069000000000003</v>
      </c>
      <c r="O5098">
        <v>23.227</v>
      </c>
      <c r="P5098">
        <v>19.71</v>
      </c>
    </row>
    <row r="5099" spans="1:16">
      <c r="A5099" s="1" t="s">
        <v>4735</v>
      </c>
      <c r="B5099" s="1" t="s">
        <v>5013</v>
      </c>
      <c r="C5099" s="1" t="s">
        <v>1764</v>
      </c>
      <c r="D5099" s="1" t="s">
        <v>44</v>
      </c>
      <c r="E5099" s="1" t="s">
        <v>4944</v>
      </c>
      <c r="F5099">
        <v>9817.9779999999992</v>
      </c>
      <c r="G5099">
        <v>4561.3</v>
      </c>
      <c r="H5099">
        <v>764.63</v>
      </c>
      <c r="I5099">
        <v>397.12</v>
      </c>
      <c r="J5099">
        <v>46.245699999999999</v>
      </c>
      <c r="K5099">
        <v>742.54499999999996</v>
      </c>
      <c r="L5099">
        <v>2.9249999999999998</v>
      </c>
      <c r="M5099">
        <v>53.186</v>
      </c>
      <c r="N5099">
        <v>101.01900000000001</v>
      </c>
      <c r="O5099">
        <v>41.108999999999995</v>
      </c>
      <c r="P5099">
        <v>32.67</v>
      </c>
    </row>
    <row r="5100" spans="1:16">
      <c r="A5100" s="1" t="s">
        <v>4735</v>
      </c>
      <c r="B5100" s="1" t="s">
        <v>5014</v>
      </c>
      <c r="C5100" s="1" t="s">
        <v>1764</v>
      </c>
      <c r="D5100" s="1" t="s">
        <v>44</v>
      </c>
      <c r="E5100" s="1" t="s">
        <v>4944</v>
      </c>
      <c r="F5100">
        <v>2613.1770000000001</v>
      </c>
      <c r="G5100">
        <v>1740.779</v>
      </c>
      <c r="H5100">
        <v>627.54999999999995</v>
      </c>
      <c r="I5100">
        <v>479.46</v>
      </c>
      <c r="J5100">
        <v>15.6899</v>
      </c>
      <c r="K5100">
        <v>364.50700000000001</v>
      </c>
      <c r="L5100">
        <v>1.514</v>
      </c>
      <c r="M5100">
        <v>50.744999999999997</v>
      </c>
      <c r="N5100">
        <v>57.81</v>
      </c>
      <c r="O5100">
        <v>17.759</v>
      </c>
      <c r="P5100">
        <v>36.9</v>
      </c>
    </row>
    <row r="5101" spans="1:16">
      <c r="A5101" s="1" t="s">
        <v>4735</v>
      </c>
      <c r="B5101" s="1" t="s">
        <v>5015</v>
      </c>
      <c r="C5101" s="1" t="s">
        <v>1764</v>
      </c>
      <c r="D5101" s="1" t="s">
        <v>44</v>
      </c>
      <c r="E5101" s="1" t="s">
        <v>4944</v>
      </c>
      <c r="F5101">
        <v>5353.4089999999997</v>
      </c>
      <c r="G5101">
        <v>2848.9900000000002</v>
      </c>
      <c r="H5101">
        <v>481.85</v>
      </c>
      <c r="I5101">
        <v>156.12</v>
      </c>
      <c r="J5101">
        <v>13.3576</v>
      </c>
      <c r="K5101">
        <v>266.88</v>
      </c>
      <c r="L5101">
        <v>1.0489999999999999</v>
      </c>
      <c r="M5101">
        <v>23.53</v>
      </c>
      <c r="N5101">
        <v>41.12</v>
      </c>
      <c r="O5101">
        <v>14.218999999999999</v>
      </c>
      <c r="P5101">
        <v>21.75</v>
      </c>
    </row>
    <row r="5102" spans="1:16">
      <c r="A5102" s="1" t="s">
        <v>4735</v>
      </c>
      <c r="B5102" s="1" t="s">
        <v>5016</v>
      </c>
      <c r="C5102" s="1" t="s">
        <v>1764</v>
      </c>
      <c r="D5102" s="1" t="s">
        <v>44</v>
      </c>
      <c r="E5102" s="1" t="s">
        <v>4944</v>
      </c>
      <c r="F5102">
        <v>5689.01</v>
      </c>
      <c r="G5102">
        <v>2757.6529999999998</v>
      </c>
      <c r="H5102">
        <v>534.16999999999996</v>
      </c>
      <c r="I5102">
        <v>180.25</v>
      </c>
      <c r="J5102">
        <v>11.509400000000001</v>
      </c>
      <c r="K5102">
        <v>259.608</v>
      </c>
      <c r="L5102">
        <v>1.125</v>
      </c>
      <c r="M5102">
        <v>27.006999999999998</v>
      </c>
      <c r="N5102">
        <v>39.56</v>
      </c>
      <c r="O5102">
        <v>12.522</v>
      </c>
      <c r="P5102">
        <v>24.76</v>
      </c>
    </row>
    <row r="5103" spans="1:16">
      <c r="A5103" s="1" t="s">
        <v>4735</v>
      </c>
      <c r="B5103" s="1" t="s">
        <v>5017</v>
      </c>
      <c r="C5103" s="1" t="s">
        <v>1764</v>
      </c>
      <c r="D5103" s="1" t="s">
        <v>44</v>
      </c>
      <c r="E5103" s="1" t="s">
        <v>4944</v>
      </c>
      <c r="F5103">
        <v>5960.0360000000001</v>
      </c>
      <c r="G5103">
        <v>4275.4539999999997</v>
      </c>
      <c r="H5103">
        <v>702.1</v>
      </c>
      <c r="I5103">
        <v>416.77</v>
      </c>
      <c r="J5103">
        <v>16.240000000000002</v>
      </c>
      <c r="K5103">
        <v>493.69300000000004</v>
      </c>
      <c r="L5103">
        <v>1.637</v>
      </c>
      <c r="M5103">
        <v>51.234999999999999</v>
      </c>
      <c r="N5103">
        <v>82.066999999999993</v>
      </c>
      <c r="O5103">
        <v>22.372</v>
      </c>
      <c r="P5103">
        <v>28.14</v>
      </c>
    </row>
    <row r="5104" spans="1:16">
      <c r="A5104" s="1" t="s">
        <v>4735</v>
      </c>
      <c r="B5104" s="1" t="s">
        <v>5018</v>
      </c>
      <c r="C5104" s="1" t="s">
        <v>1764</v>
      </c>
      <c r="D5104" s="1" t="s">
        <v>44</v>
      </c>
      <c r="E5104" s="1" t="s">
        <v>4944</v>
      </c>
      <c r="F5104">
        <v>5620.6379999999999</v>
      </c>
      <c r="G5104">
        <v>3159.1849999999999</v>
      </c>
      <c r="H5104">
        <v>599.16999999999996</v>
      </c>
      <c r="I5104">
        <v>227.4</v>
      </c>
      <c r="J5104">
        <v>33.557299999999998</v>
      </c>
      <c r="K5104">
        <v>410.267</v>
      </c>
      <c r="L5104">
        <v>2.58</v>
      </c>
      <c r="M5104">
        <v>46.180999999999997</v>
      </c>
      <c r="N5104">
        <v>94.195000000000007</v>
      </c>
      <c r="O5104">
        <v>28.962</v>
      </c>
      <c r="P5104">
        <v>29.37</v>
      </c>
    </row>
    <row r="5105" spans="1:16">
      <c r="A5105" s="1" t="s">
        <v>4735</v>
      </c>
      <c r="B5105" s="1" t="s">
        <v>5019</v>
      </c>
      <c r="C5105" s="1" t="s">
        <v>1764</v>
      </c>
      <c r="D5105" s="1" t="s">
        <v>44</v>
      </c>
      <c r="E5105" s="1" t="s">
        <v>4944</v>
      </c>
      <c r="F5105">
        <v>3429.5140000000001</v>
      </c>
      <c r="G5105">
        <v>2418.6999999999998</v>
      </c>
      <c r="H5105">
        <v>585.59</v>
      </c>
      <c r="I5105">
        <v>295.05</v>
      </c>
      <c r="J5105">
        <v>8.5445000000000011</v>
      </c>
      <c r="K5105">
        <v>164.446</v>
      </c>
      <c r="L5105">
        <v>1.016</v>
      </c>
      <c r="M5105">
        <v>24.213000000000001</v>
      </c>
      <c r="N5105">
        <v>22.321999999999999</v>
      </c>
      <c r="O5105">
        <v>11.581999999999999</v>
      </c>
      <c r="P5105">
        <v>11.76</v>
      </c>
    </row>
    <row r="5106" spans="1:16">
      <c r="A5106" s="1" t="s">
        <v>4735</v>
      </c>
      <c r="B5106" s="1" t="s">
        <v>5020</v>
      </c>
      <c r="C5106" s="1" t="s">
        <v>1764</v>
      </c>
      <c r="D5106" s="1" t="s">
        <v>44</v>
      </c>
      <c r="E5106" s="1" t="s">
        <v>4944</v>
      </c>
      <c r="F5106">
        <v>7692.4600000000009</v>
      </c>
      <c r="G5106">
        <v>2319.25</v>
      </c>
      <c r="H5106">
        <v>543.28</v>
      </c>
      <c r="I5106">
        <v>69.03</v>
      </c>
      <c r="J5106">
        <v>4.8499999999999996</v>
      </c>
      <c r="K5106">
        <v>53.391999999999996</v>
      </c>
      <c r="L5106">
        <v>0.43899999999999995</v>
      </c>
      <c r="M5106">
        <v>7.8439999999999994</v>
      </c>
      <c r="N5106">
        <v>7.1849999999999996</v>
      </c>
      <c r="O5106">
        <v>3.9340000000000002</v>
      </c>
      <c r="P5106">
        <v>10.64</v>
      </c>
    </row>
    <row r="5107" spans="1:16">
      <c r="A5107" s="1" t="s">
        <v>4735</v>
      </c>
      <c r="B5107" s="1" t="s">
        <v>5021</v>
      </c>
      <c r="C5107" s="1" t="s">
        <v>1764</v>
      </c>
      <c r="D5107" s="1" t="s">
        <v>44</v>
      </c>
      <c r="E5107" s="1" t="s">
        <v>4944</v>
      </c>
      <c r="F5107">
        <v>4424.9220000000005</v>
      </c>
      <c r="G5107">
        <v>1448.665</v>
      </c>
      <c r="H5107">
        <v>343.12</v>
      </c>
      <c r="I5107">
        <v>41.33</v>
      </c>
      <c r="J5107">
        <v>3.8353999999999999</v>
      </c>
      <c r="K5107">
        <v>45.798999999999999</v>
      </c>
      <c r="L5107">
        <v>0.32500000000000001</v>
      </c>
      <c r="M5107">
        <v>5.7789999999999999</v>
      </c>
      <c r="N5107">
        <v>5.7990000000000004</v>
      </c>
      <c r="O5107">
        <v>3.2359999999999998</v>
      </c>
      <c r="P5107">
        <v>7.42</v>
      </c>
    </row>
    <row r="5108" spans="1:16">
      <c r="A5108" s="1" t="s">
        <v>4735</v>
      </c>
      <c r="B5108" s="1" t="s">
        <v>5022</v>
      </c>
      <c r="C5108" s="1" t="s">
        <v>1764</v>
      </c>
      <c r="D5108" s="1" t="s">
        <v>44</v>
      </c>
      <c r="E5108" s="1" t="s">
        <v>4944</v>
      </c>
      <c r="F5108">
        <v>4799.6710000000003</v>
      </c>
      <c r="G5108">
        <v>1901.663</v>
      </c>
      <c r="H5108">
        <v>588.77</v>
      </c>
      <c r="I5108">
        <v>189.36</v>
      </c>
      <c r="J5108">
        <v>17.8292</v>
      </c>
      <c r="K5108">
        <v>199.43299999999999</v>
      </c>
      <c r="L5108">
        <v>0.875</v>
      </c>
      <c r="M5108">
        <v>15.853</v>
      </c>
      <c r="N5108">
        <v>25.983999999999998</v>
      </c>
      <c r="O5108">
        <v>8.9160000000000004</v>
      </c>
      <c r="P5108">
        <v>19.13</v>
      </c>
    </row>
    <row r="5109" spans="1:16">
      <c r="A5109" s="1" t="s">
        <v>4735</v>
      </c>
      <c r="B5109" s="1" t="s">
        <v>5023</v>
      </c>
      <c r="C5109" s="1" t="s">
        <v>1764</v>
      </c>
      <c r="D5109" s="1" t="s">
        <v>44</v>
      </c>
      <c r="E5109" s="1" t="s">
        <v>4944</v>
      </c>
      <c r="F5109">
        <v>5588.4339999999993</v>
      </c>
      <c r="G5109">
        <v>1856.3849999999998</v>
      </c>
      <c r="H5109">
        <v>362.88</v>
      </c>
      <c r="I5109">
        <v>60.76</v>
      </c>
      <c r="J5109">
        <v>5.1106999999999996</v>
      </c>
      <c r="K5109">
        <v>69.496000000000009</v>
      </c>
      <c r="L5109">
        <v>0.45300000000000001</v>
      </c>
      <c r="M5109">
        <v>6.2380000000000004</v>
      </c>
      <c r="N5109">
        <v>14.443999999999999</v>
      </c>
      <c r="O5109">
        <v>3.7329999999999997</v>
      </c>
      <c r="P5109">
        <v>10.77</v>
      </c>
    </row>
    <row r="5110" spans="1:16">
      <c r="A5110" s="1" t="s">
        <v>4735</v>
      </c>
      <c r="B5110" s="1" t="s">
        <v>5024</v>
      </c>
      <c r="C5110" s="1" t="s">
        <v>1764</v>
      </c>
      <c r="D5110" s="1" t="s">
        <v>44</v>
      </c>
      <c r="E5110" s="1" t="s">
        <v>4944</v>
      </c>
      <c r="F5110">
        <v>3705.357</v>
      </c>
      <c r="G5110">
        <v>1684.384</v>
      </c>
      <c r="H5110">
        <v>433.95</v>
      </c>
      <c r="I5110">
        <v>132.79</v>
      </c>
      <c r="J5110">
        <v>11.159200000000002</v>
      </c>
      <c r="K5110">
        <v>274.096</v>
      </c>
      <c r="L5110">
        <v>3.6770000000000005</v>
      </c>
      <c r="M5110">
        <v>19.100000000000001</v>
      </c>
      <c r="N5110">
        <v>49.301000000000002</v>
      </c>
      <c r="O5110">
        <v>12.928000000000001</v>
      </c>
      <c r="P5110">
        <v>29.94</v>
      </c>
    </row>
    <row r="5111" spans="1:16">
      <c r="A5111" s="1" t="s">
        <v>4735</v>
      </c>
      <c r="B5111" s="1" t="s">
        <v>5025</v>
      </c>
      <c r="C5111" s="1" t="s">
        <v>1764</v>
      </c>
      <c r="D5111" s="1" t="s">
        <v>44</v>
      </c>
      <c r="E5111" s="1" t="s">
        <v>4944</v>
      </c>
      <c r="F5111">
        <v>4820.241</v>
      </c>
      <c r="G5111">
        <v>2780.7139999999999</v>
      </c>
      <c r="H5111">
        <v>363.16</v>
      </c>
      <c r="I5111">
        <v>112.27</v>
      </c>
      <c r="J5111">
        <v>16.021899999999999</v>
      </c>
      <c r="K5111">
        <v>318.41700000000003</v>
      </c>
      <c r="L5111">
        <v>2.3559999999999999</v>
      </c>
      <c r="M5111">
        <v>23.994999999999997</v>
      </c>
      <c r="N5111">
        <v>44.72</v>
      </c>
      <c r="O5111">
        <v>14.257</v>
      </c>
      <c r="P5111">
        <v>20.14</v>
      </c>
    </row>
    <row r="5112" spans="1:16">
      <c r="A5112" s="1" t="s">
        <v>4735</v>
      </c>
      <c r="B5112" s="1" t="s">
        <v>5026</v>
      </c>
      <c r="C5112" s="1" t="s">
        <v>1764</v>
      </c>
      <c r="D5112" s="1" t="s">
        <v>44</v>
      </c>
      <c r="E5112" s="1" t="s">
        <v>4944</v>
      </c>
      <c r="F5112">
        <v>5382.01</v>
      </c>
      <c r="G5112">
        <v>3253.826</v>
      </c>
      <c r="H5112">
        <v>847.11</v>
      </c>
      <c r="I5112">
        <v>459.33</v>
      </c>
      <c r="J5112">
        <v>29.689600000000002</v>
      </c>
      <c r="K5112">
        <v>676.45600000000002</v>
      </c>
      <c r="L5112">
        <v>2.6879999999999997</v>
      </c>
      <c r="M5112">
        <v>32.976999999999997</v>
      </c>
      <c r="N5112">
        <v>91.605999999999995</v>
      </c>
      <c r="O5112">
        <v>32.573</v>
      </c>
      <c r="P5112">
        <v>53.99</v>
      </c>
    </row>
    <row r="5113" spans="1:16">
      <c r="A5113" s="1" t="s">
        <v>4735</v>
      </c>
      <c r="B5113" s="1" t="s">
        <v>5027</v>
      </c>
      <c r="C5113" s="1" t="s">
        <v>1764</v>
      </c>
      <c r="D5113" s="1" t="s">
        <v>44</v>
      </c>
      <c r="E5113" s="1" t="s">
        <v>4944</v>
      </c>
      <c r="F5113">
        <v>5791.5949999999993</v>
      </c>
      <c r="G5113">
        <v>2560.8990000000003</v>
      </c>
      <c r="H5113">
        <v>500.03</v>
      </c>
      <c r="I5113">
        <v>148.57</v>
      </c>
      <c r="J5113">
        <v>7.3537000000000008</v>
      </c>
      <c r="K5113">
        <v>195.209</v>
      </c>
      <c r="L5113">
        <v>0.97799999999999998</v>
      </c>
      <c r="M5113">
        <v>26.848000000000003</v>
      </c>
      <c r="N5113">
        <v>25.565999999999999</v>
      </c>
      <c r="O5113">
        <v>9.016</v>
      </c>
      <c r="P5113">
        <v>9.94</v>
      </c>
    </row>
    <row r="5114" spans="1:16">
      <c r="A5114" s="1" t="s">
        <v>4735</v>
      </c>
      <c r="B5114" s="1" t="s">
        <v>5028</v>
      </c>
      <c r="C5114" s="1" t="s">
        <v>1764</v>
      </c>
      <c r="D5114" s="1" t="s">
        <v>44</v>
      </c>
      <c r="E5114" s="1" t="s">
        <v>4944</v>
      </c>
      <c r="F5114">
        <v>5326.1559999999999</v>
      </c>
      <c r="G5114">
        <v>2939.6909999999998</v>
      </c>
      <c r="H5114">
        <v>473.93</v>
      </c>
      <c r="I5114">
        <v>83.6</v>
      </c>
      <c r="J5114">
        <v>6.4111999999999991</v>
      </c>
      <c r="K5114">
        <v>171.55799999999999</v>
      </c>
      <c r="L5114">
        <v>0.73299999999999998</v>
      </c>
      <c r="M5114">
        <v>10.458</v>
      </c>
      <c r="N5114">
        <v>24.157</v>
      </c>
      <c r="O5114">
        <v>10.041</v>
      </c>
      <c r="P5114">
        <v>11.48</v>
      </c>
    </row>
    <row r="5115" spans="1:16">
      <c r="A5115" s="1" t="s">
        <v>4735</v>
      </c>
      <c r="B5115" s="1" t="s">
        <v>5029</v>
      </c>
      <c r="C5115" s="1" t="s">
        <v>1764</v>
      </c>
      <c r="D5115" s="1" t="s">
        <v>44</v>
      </c>
      <c r="E5115" s="1" t="s">
        <v>4944</v>
      </c>
      <c r="F5115">
        <v>8136.6630000000005</v>
      </c>
      <c r="G5115">
        <v>3323.5389999999998</v>
      </c>
      <c r="H5115">
        <v>633.19000000000005</v>
      </c>
      <c r="I5115">
        <v>137.59</v>
      </c>
      <c r="J5115">
        <v>13.6998</v>
      </c>
      <c r="K5115">
        <v>245.517</v>
      </c>
      <c r="L5115">
        <v>1.349</v>
      </c>
      <c r="M5115">
        <v>24.746000000000002</v>
      </c>
      <c r="N5115">
        <v>40.075000000000003</v>
      </c>
      <c r="O5115">
        <v>17.380000000000003</v>
      </c>
      <c r="P5115">
        <v>14.94</v>
      </c>
    </row>
    <row r="5116" spans="1:16">
      <c r="A5116" s="1" t="s">
        <v>4735</v>
      </c>
      <c r="B5116" s="1" t="s">
        <v>5030</v>
      </c>
      <c r="C5116" s="1" t="s">
        <v>1764</v>
      </c>
      <c r="D5116" s="1" t="s">
        <v>44</v>
      </c>
      <c r="E5116" s="1" t="s">
        <v>4944</v>
      </c>
      <c r="F5116">
        <v>4904.607</v>
      </c>
      <c r="G5116">
        <v>2751.4749999999999</v>
      </c>
      <c r="H5116">
        <v>655.49</v>
      </c>
      <c r="I5116">
        <v>254.65</v>
      </c>
      <c r="J5116">
        <v>29.370899999999999</v>
      </c>
      <c r="K5116">
        <v>573.42100000000005</v>
      </c>
      <c r="L5116">
        <v>1.466</v>
      </c>
      <c r="M5116">
        <v>34.204000000000001</v>
      </c>
      <c r="N5116">
        <v>54.690999999999995</v>
      </c>
      <c r="O5116">
        <v>23.423999999999999</v>
      </c>
      <c r="P5116">
        <v>26.03</v>
      </c>
    </row>
    <row r="5117" spans="1:16">
      <c r="A5117" s="1" t="s">
        <v>4735</v>
      </c>
      <c r="B5117" s="1" t="s">
        <v>5031</v>
      </c>
      <c r="C5117" s="1" t="s">
        <v>1764</v>
      </c>
      <c r="D5117" s="1" t="s">
        <v>44</v>
      </c>
      <c r="E5117" s="1" t="s">
        <v>4944</v>
      </c>
      <c r="F5117">
        <v>7682.4770000000008</v>
      </c>
      <c r="G5117">
        <v>2709.3630000000003</v>
      </c>
      <c r="H5117">
        <v>639.73</v>
      </c>
      <c r="I5117">
        <v>119.8</v>
      </c>
      <c r="J5117">
        <v>8.0699000000000005</v>
      </c>
      <c r="K5117">
        <v>188.90199999999999</v>
      </c>
      <c r="L5117">
        <v>1.629</v>
      </c>
      <c r="M5117">
        <v>14.475999999999999</v>
      </c>
      <c r="N5117">
        <v>30.582999999999998</v>
      </c>
      <c r="O5117">
        <v>10.769</v>
      </c>
      <c r="P5117">
        <v>14.56</v>
      </c>
    </row>
    <row r="5118" spans="1:16">
      <c r="A5118" s="1" t="s">
        <v>4735</v>
      </c>
      <c r="B5118" s="1" t="s">
        <v>5032</v>
      </c>
      <c r="C5118" s="1" t="s">
        <v>1764</v>
      </c>
      <c r="D5118" s="1" t="s">
        <v>44</v>
      </c>
      <c r="E5118" s="1" t="s">
        <v>4944</v>
      </c>
      <c r="F5118">
        <v>3060.297</v>
      </c>
      <c r="G5118">
        <v>1229.741</v>
      </c>
      <c r="H5118">
        <v>729.82</v>
      </c>
      <c r="I5118">
        <v>181.83</v>
      </c>
      <c r="J5118">
        <v>5.8944000000000001</v>
      </c>
      <c r="K5118">
        <v>88.453000000000003</v>
      </c>
      <c r="L5118">
        <v>0.57800000000000007</v>
      </c>
      <c r="M5118">
        <v>10.747</v>
      </c>
      <c r="N5118">
        <v>12.248999999999999</v>
      </c>
      <c r="O5118">
        <v>13.536000000000001</v>
      </c>
      <c r="P5118">
        <v>49.71</v>
      </c>
    </row>
    <row r="5119" spans="1:16">
      <c r="A5119" s="1" t="s">
        <v>4735</v>
      </c>
      <c r="B5119" s="1" t="s">
        <v>5033</v>
      </c>
      <c r="C5119" s="1" t="s">
        <v>1764</v>
      </c>
      <c r="D5119" s="1" t="s">
        <v>44</v>
      </c>
      <c r="E5119" s="1" t="s">
        <v>4944</v>
      </c>
      <c r="F5119">
        <v>5758.0730000000003</v>
      </c>
      <c r="G5119">
        <v>2198.1860000000001</v>
      </c>
      <c r="H5119">
        <v>741.89</v>
      </c>
      <c r="I5119">
        <v>713.43</v>
      </c>
      <c r="J5119">
        <v>12.508399999999998</v>
      </c>
      <c r="K5119">
        <v>239.04499999999999</v>
      </c>
      <c r="L5119">
        <v>1.264</v>
      </c>
      <c r="M5119">
        <v>22.609000000000002</v>
      </c>
      <c r="N5119">
        <v>30.320999999999998</v>
      </c>
      <c r="O5119">
        <v>14.494999999999999</v>
      </c>
      <c r="P5119">
        <v>9.77</v>
      </c>
    </row>
    <row r="5120" spans="1:16">
      <c r="A5120" s="1" t="s">
        <v>4735</v>
      </c>
      <c r="B5120" s="1" t="s">
        <v>5034</v>
      </c>
      <c r="C5120" s="1" t="s">
        <v>1764</v>
      </c>
      <c r="D5120" s="1" t="s">
        <v>44</v>
      </c>
      <c r="E5120" s="1" t="s">
        <v>4944</v>
      </c>
      <c r="F5120">
        <v>1189.037</v>
      </c>
      <c r="G5120">
        <v>1140.3330000000001</v>
      </c>
      <c r="H5120">
        <v>739.68</v>
      </c>
      <c r="I5120">
        <v>105.86</v>
      </c>
      <c r="J5120">
        <v>7.6741000000000001</v>
      </c>
      <c r="K5120">
        <v>87.563000000000002</v>
      </c>
      <c r="L5120">
        <v>0.81300000000000006</v>
      </c>
      <c r="M5120">
        <v>14.456</v>
      </c>
      <c r="N5120">
        <v>12.623000000000001</v>
      </c>
      <c r="O5120">
        <v>6.8379999999999992</v>
      </c>
      <c r="P5120">
        <v>5.13</v>
      </c>
    </row>
    <row r="5121" spans="1:16">
      <c r="A5121" s="1" t="s">
        <v>4735</v>
      </c>
      <c r="B5121" s="1" t="s">
        <v>5035</v>
      </c>
      <c r="C5121" s="1" t="s">
        <v>1764</v>
      </c>
      <c r="D5121" s="1" t="s">
        <v>44</v>
      </c>
      <c r="E5121" s="1" t="s">
        <v>4944</v>
      </c>
      <c r="F5121">
        <v>1078.855</v>
      </c>
      <c r="G5121">
        <v>1003.8059999999999</v>
      </c>
      <c r="H5121">
        <v>674.06</v>
      </c>
      <c r="I5121">
        <v>54.89</v>
      </c>
      <c r="J5121">
        <v>6.6864999999999997</v>
      </c>
      <c r="K5121">
        <v>132.476</v>
      </c>
      <c r="L5121">
        <v>0.63</v>
      </c>
      <c r="M5121">
        <v>20.036999999999999</v>
      </c>
      <c r="N5121">
        <v>11.608000000000001</v>
      </c>
      <c r="O5121">
        <v>6.0469999999999997</v>
      </c>
      <c r="P5121">
        <v>6.78</v>
      </c>
    </row>
    <row r="5122" spans="1:16">
      <c r="A5122" s="1" t="s">
        <v>4735</v>
      </c>
      <c r="B5122" s="1" t="s">
        <v>5036</v>
      </c>
      <c r="C5122" s="1" t="s">
        <v>1764</v>
      </c>
      <c r="D5122" s="1" t="s">
        <v>44</v>
      </c>
      <c r="E5122" s="1" t="s">
        <v>4944</v>
      </c>
      <c r="F5122">
        <v>3669.0160000000005</v>
      </c>
      <c r="G5122">
        <v>1648.4720000000002</v>
      </c>
      <c r="H5122">
        <v>622.30999999999995</v>
      </c>
      <c r="I5122">
        <v>669.59</v>
      </c>
      <c r="J5122">
        <v>12.256199999999998</v>
      </c>
      <c r="K5122">
        <v>198.63</v>
      </c>
      <c r="L5122">
        <v>1.105</v>
      </c>
      <c r="M5122">
        <v>20.577000000000002</v>
      </c>
      <c r="N5122">
        <v>26.970999999999997</v>
      </c>
      <c r="O5122">
        <v>12.473000000000001</v>
      </c>
      <c r="P5122">
        <v>11.03</v>
      </c>
    </row>
    <row r="5123" spans="1:16">
      <c r="A5123" s="1" t="s">
        <v>4735</v>
      </c>
      <c r="B5123" s="1" t="s">
        <v>5037</v>
      </c>
      <c r="C5123" s="1" t="s">
        <v>1764</v>
      </c>
      <c r="D5123" s="1" t="s">
        <v>44</v>
      </c>
      <c r="E5123" s="1" t="s">
        <v>4944</v>
      </c>
      <c r="F5123">
        <v>10186.089</v>
      </c>
      <c r="G5123">
        <v>5126.8109999999997</v>
      </c>
      <c r="H5123">
        <v>580.67999999999995</v>
      </c>
      <c r="I5123">
        <v>522.82000000000005</v>
      </c>
      <c r="J5123">
        <v>7.5541</v>
      </c>
      <c r="K5123">
        <v>667.65899999999999</v>
      </c>
      <c r="L5123">
        <v>0.69100000000000006</v>
      </c>
      <c r="M5123">
        <v>11.824</v>
      </c>
      <c r="N5123">
        <v>98.501999999999995</v>
      </c>
      <c r="O5123">
        <v>12.479000000000001</v>
      </c>
      <c r="P5123">
        <v>19.62</v>
      </c>
    </row>
    <row r="5124" spans="1:16">
      <c r="A5124" s="1" t="s">
        <v>4735</v>
      </c>
      <c r="B5124" s="1" t="s">
        <v>5038</v>
      </c>
      <c r="C5124" s="1" t="s">
        <v>1764</v>
      </c>
      <c r="D5124" s="1" t="s">
        <v>44</v>
      </c>
      <c r="E5124" s="1" t="s">
        <v>4944</v>
      </c>
      <c r="F5124">
        <v>2082.346</v>
      </c>
      <c r="G5124">
        <v>1333.1790000000001</v>
      </c>
      <c r="H5124">
        <v>624.14</v>
      </c>
      <c r="I5124">
        <v>325.01</v>
      </c>
      <c r="J5124">
        <v>7.4049999999999994</v>
      </c>
      <c r="K5124">
        <v>168.25399999999999</v>
      </c>
      <c r="L5124">
        <v>0.76900000000000002</v>
      </c>
      <c r="M5124">
        <v>13.946000000000002</v>
      </c>
      <c r="N5124">
        <v>23.527999999999999</v>
      </c>
      <c r="O5124">
        <v>8.0410000000000004</v>
      </c>
      <c r="P5124">
        <v>8.24</v>
      </c>
    </row>
    <row r="5125" spans="1:16">
      <c r="A5125" s="1" t="s">
        <v>4735</v>
      </c>
      <c r="B5125" s="1" t="s">
        <v>5039</v>
      </c>
      <c r="C5125" s="1" t="s">
        <v>1764</v>
      </c>
      <c r="D5125" s="1" t="s">
        <v>44</v>
      </c>
      <c r="E5125" s="1" t="s">
        <v>4944</v>
      </c>
      <c r="F5125">
        <v>685.98699999999997</v>
      </c>
      <c r="G5125">
        <v>767.61300000000006</v>
      </c>
      <c r="H5125">
        <v>646.48</v>
      </c>
      <c r="I5125">
        <v>83.67</v>
      </c>
      <c r="J5125">
        <v>8.2277999999999984</v>
      </c>
      <c r="K5125">
        <v>105.9</v>
      </c>
      <c r="L5125">
        <v>0.91799999999999993</v>
      </c>
      <c r="M5125">
        <v>18.372999999999998</v>
      </c>
      <c r="N5125">
        <v>25.643999999999998</v>
      </c>
      <c r="O5125">
        <v>7.0349999999999993</v>
      </c>
      <c r="P5125">
        <v>6.13</v>
      </c>
    </row>
    <row r="5126" spans="1:16">
      <c r="A5126" s="1" t="s">
        <v>4735</v>
      </c>
      <c r="B5126" s="1" t="s">
        <v>5040</v>
      </c>
      <c r="C5126" s="1" t="s">
        <v>1764</v>
      </c>
      <c r="D5126" s="1" t="s">
        <v>44</v>
      </c>
      <c r="E5126" s="1" t="s">
        <v>4944</v>
      </c>
      <c r="F5126">
        <v>1324.5520000000001</v>
      </c>
      <c r="G5126">
        <v>712.25699999999995</v>
      </c>
      <c r="H5126">
        <v>656.02</v>
      </c>
      <c r="I5126">
        <v>74.13</v>
      </c>
      <c r="J5126">
        <v>5.3761999999999999</v>
      </c>
      <c r="K5126">
        <v>75.528999999999996</v>
      </c>
      <c r="L5126">
        <v>0.98100000000000009</v>
      </c>
      <c r="M5126">
        <v>15.654</v>
      </c>
      <c r="N5126">
        <v>13.315999999999999</v>
      </c>
      <c r="O5126">
        <v>4.9550000000000001</v>
      </c>
      <c r="P5126">
        <v>5.94</v>
      </c>
    </row>
    <row r="5127" spans="1:16">
      <c r="A5127" s="1" t="s">
        <v>4735</v>
      </c>
      <c r="B5127" s="1" t="s">
        <v>5041</v>
      </c>
      <c r="C5127" s="1" t="s">
        <v>1764</v>
      </c>
      <c r="D5127" s="1" t="s">
        <v>44</v>
      </c>
      <c r="E5127" s="1" t="s">
        <v>4944</v>
      </c>
      <c r="F5127">
        <v>2618.2370000000001</v>
      </c>
      <c r="G5127">
        <v>2821.0830000000001</v>
      </c>
      <c r="H5127">
        <v>594.48</v>
      </c>
      <c r="I5127">
        <v>303.58</v>
      </c>
      <c r="J5127">
        <v>5.7029999999999994</v>
      </c>
      <c r="K5127">
        <v>354.86099999999999</v>
      </c>
      <c r="L5127">
        <v>0.58499999999999996</v>
      </c>
      <c r="M5127">
        <v>11.5</v>
      </c>
      <c r="N5127">
        <v>28.945999999999998</v>
      </c>
      <c r="O5127">
        <v>7.6370000000000005</v>
      </c>
      <c r="P5127">
        <v>12.58</v>
      </c>
    </row>
    <row r="5128" spans="1:16">
      <c r="A5128" s="1" t="s">
        <v>4735</v>
      </c>
      <c r="B5128" s="1" t="s">
        <v>5042</v>
      </c>
      <c r="C5128" s="1" t="s">
        <v>1764</v>
      </c>
      <c r="D5128" s="1" t="s">
        <v>44</v>
      </c>
      <c r="E5128" s="1" t="s">
        <v>4944</v>
      </c>
      <c r="F5128">
        <v>705.77299999999991</v>
      </c>
      <c r="G5128">
        <v>594.61300000000006</v>
      </c>
      <c r="H5128">
        <v>543.46</v>
      </c>
      <c r="I5128">
        <v>84.66</v>
      </c>
      <c r="J5128">
        <v>6.6179999999999994</v>
      </c>
      <c r="K5128">
        <v>87.409000000000006</v>
      </c>
      <c r="L5128">
        <v>0.76300000000000001</v>
      </c>
      <c r="M5128">
        <v>15.599</v>
      </c>
      <c r="N5128">
        <v>16.419</v>
      </c>
      <c r="O5128">
        <v>6.0209999999999999</v>
      </c>
      <c r="P5128">
        <v>5.05</v>
      </c>
    </row>
    <row r="5129" spans="1:16">
      <c r="A5129" s="1" t="s">
        <v>4735</v>
      </c>
      <c r="B5129" s="1" t="s">
        <v>5043</v>
      </c>
      <c r="C5129" s="1" t="s">
        <v>1764</v>
      </c>
      <c r="D5129" s="1" t="s">
        <v>44</v>
      </c>
      <c r="E5129" s="1" t="s">
        <v>4944</v>
      </c>
      <c r="F5129">
        <v>969.84300000000007</v>
      </c>
      <c r="G5129">
        <v>713.88599999999997</v>
      </c>
      <c r="H5129">
        <v>653.45000000000005</v>
      </c>
      <c r="I5129">
        <v>126.15</v>
      </c>
      <c r="J5129">
        <v>7.2395000000000014</v>
      </c>
      <c r="K5129">
        <v>95.796000000000006</v>
      </c>
      <c r="L5129">
        <v>1.083</v>
      </c>
      <c r="M5129">
        <v>24.678999999999998</v>
      </c>
      <c r="N5129">
        <v>12.268000000000001</v>
      </c>
      <c r="O5129">
        <v>6.67</v>
      </c>
      <c r="P5129">
        <v>5.34</v>
      </c>
    </row>
    <row r="5130" spans="1:16">
      <c r="A5130" s="1" t="s">
        <v>4735</v>
      </c>
      <c r="B5130" s="1" t="s">
        <v>5044</v>
      </c>
      <c r="C5130" s="1" t="s">
        <v>1764</v>
      </c>
      <c r="D5130" s="1" t="s">
        <v>44</v>
      </c>
      <c r="E5130" s="1" t="s">
        <v>4944</v>
      </c>
      <c r="F5130">
        <v>1255.2739999999999</v>
      </c>
      <c r="G5130">
        <v>878.71699999999998</v>
      </c>
      <c r="H5130">
        <v>704.24</v>
      </c>
      <c r="I5130">
        <v>94.92</v>
      </c>
      <c r="J5130">
        <v>8.5243000000000002</v>
      </c>
      <c r="K5130">
        <v>117.25399999999999</v>
      </c>
      <c r="L5130">
        <v>0.75600000000000001</v>
      </c>
      <c r="M5130">
        <v>25.358000000000001</v>
      </c>
      <c r="N5130">
        <v>20.442</v>
      </c>
      <c r="O5130">
        <v>6.806</v>
      </c>
      <c r="P5130">
        <v>8</v>
      </c>
    </row>
    <row r="5131" spans="1:16">
      <c r="A5131" s="1" t="s">
        <v>4735</v>
      </c>
      <c r="B5131" s="1" t="s">
        <v>5045</v>
      </c>
      <c r="C5131" s="1" t="s">
        <v>1764</v>
      </c>
      <c r="D5131" s="1" t="s">
        <v>44</v>
      </c>
      <c r="E5131" s="1" t="s">
        <v>4944</v>
      </c>
      <c r="F5131">
        <v>2960.569</v>
      </c>
      <c r="G5131">
        <v>769.93100000000004</v>
      </c>
      <c r="H5131">
        <v>587.41999999999996</v>
      </c>
      <c r="I5131">
        <v>884.91</v>
      </c>
      <c r="J5131">
        <v>17.121600000000001</v>
      </c>
      <c r="K5131">
        <v>527.28399999999999</v>
      </c>
      <c r="L5131">
        <v>1.375</v>
      </c>
      <c r="M5131">
        <v>25.216000000000001</v>
      </c>
      <c r="N5131">
        <v>41.825000000000003</v>
      </c>
      <c r="O5131">
        <v>15.097999999999999</v>
      </c>
      <c r="P5131">
        <v>11.14</v>
      </c>
    </row>
    <row r="5132" spans="1:16">
      <c r="A5132" s="1" t="s">
        <v>4735</v>
      </c>
      <c r="B5132" s="1" t="s">
        <v>5046</v>
      </c>
      <c r="C5132" s="1" t="s">
        <v>1764</v>
      </c>
      <c r="D5132" s="1" t="s">
        <v>44</v>
      </c>
      <c r="E5132" s="1" t="s">
        <v>4944</v>
      </c>
      <c r="F5132">
        <v>925.90400000000011</v>
      </c>
      <c r="G5132">
        <v>1002.557</v>
      </c>
      <c r="H5132">
        <v>708.03</v>
      </c>
      <c r="I5132">
        <v>83.72</v>
      </c>
      <c r="J5132">
        <v>6.8846000000000007</v>
      </c>
      <c r="K5132">
        <v>95.902999999999992</v>
      </c>
      <c r="L5132">
        <v>0.8640000000000001</v>
      </c>
      <c r="M5132">
        <v>25.619999999999997</v>
      </c>
      <c r="N5132">
        <v>44.948</v>
      </c>
      <c r="O5132">
        <v>7.5069999999999997</v>
      </c>
      <c r="P5132">
        <v>8.4499999999999993</v>
      </c>
    </row>
    <row r="5133" spans="1:16">
      <c r="A5133" s="1" t="s">
        <v>4735</v>
      </c>
      <c r="B5133" s="1" t="s">
        <v>5047</v>
      </c>
      <c r="C5133" s="1" t="s">
        <v>1764</v>
      </c>
      <c r="D5133" s="1" t="s">
        <v>44</v>
      </c>
      <c r="E5133" s="1" t="s">
        <v>4944</v>
      </c>
      <c r="F5133">
        <v>2695.0140000000001</v>
      </c>
      <c r="G5133">
        <v>1282.576</v>
      </c>
      <c r="H5133">
        <v>534.39</v>
      </c>
      <c r="I5133">
        <v>492.08</v>
      </c>
      <c r="J5133">
        <v>9.7774000000000001</v>
      </c>
      <c r="K5133">
        <v>285.13200000000001</v>
      </c>
      <c r="L5133">
        <v>0.98599999999999999</v>
      </c>
      <c r="M5133">
        <v>16.922000000000001</v>
      </c>
      <c r="N5133">
        <v>32.64</v>
      </c>
      <c r="O5133">
        <v>13.444999999999999</v>
      </c>
      <c r="P5133">
        <v>6.2</v>
      </c>
    </row>
    <row r="5134" spans="1:16">
      <c r="A5134" s="1" t="s">
        <v>4735</v>
      </c>
      <c r="B5134" s="1" t="s">
        <v>5048</v>
      </c>
      <c r="C5134" s="1" t="s">
        <v>1764</v>
      </c>
      <c r="D5134" s="1" t="s">
        <v>44</v>
      </c>
      <c r="E5134" s="1" t="s">
        <v>4944</v>
      </c>
      <c r="F5134">
        <v>1444.6129999999998</v>
      </c>
      <c r="G5134">
        <v>988.00800000000004</v>
      </c>
      <c r="H5134">
        <v>753.67</v>
      </c>
      <c r="I5134">
        <v>58.77</v>
      </c>
      <c r="J5134">
        <v>7.1776999999999997</v>
      </c>
      <c r="K5134">
        <v>128.09800000000001</v>
      </c>
      <c r="L5134">
        <v>0.87200000000000011</v>
      </c>
      <c r="M5134">
        <v>23.219000000000001</v>
      </c>
      <c r="N5134">
        <v>19.413</v>
      </c>
      <c r="O5134">
        <v>7.8340000000000005</v>
      </c>
      <c r="P5134">
        <v>11.14</v>
      </c>
    </row>
    <row r="5135" spans="1:16">
      <c r="A5135" s="1" t="s">
        <v>4735</v>
      </c>
      <c r="B5135" s="1" t="s">
        <v>5049</v>
      </c>
      <c r="C5135" s="1" t="s">
        <v>1764</v>
      </c>
      <c r="D5135" s="1" t="s">
        <v>44</v>
      </c>
      <c r="E5135" s="1" t="s">
        <v>4944</v>
      </c>
      <c r="F5135">
        <v>964.39699999999993</v>
      </c>
      <c r="G5135">
        <v>881.26200000000006</v>
      </c>
      <c r="H5135">
        <v>487.68</v>
      </c>
      <c r="I5135">
        <v>248.93</v>
      </c>
      <c r="J5135">
        <v>3.3980000000000006</v>
      </c>
      <c r="K5135">
        <v>106.245</v>
      </c>
      <c r="L5135">
        <v>0.35899999999999999</v>
      </c>
      <c r="M5135">
        <v>6.7129999999999992</v>
      </c>
      <c r="N5135">
        <v>11.679</v>
      </c>
      <c r="O5135">
        <v>6.5569999999999995</v>
      </c>
      <c r="P5135">
        <v>4.92</v>
      </c>
    </row>
    <row r="5136" spans="1:16">
      <c r="A5136" s="1" t="s">
        <v>4735</v>
      </c>
      <c r="B5136" s="1" t="s">
        <v>5050</v>
      </c>
      <c r="C5136" s="1" t="s">
        <v>1764</v>
      </c>
      <c r="D5136" s="1" t="s">
        <v>44</v>
      </c>
      <c r="E5136" s="1" t="s">
        <v>4944</v>
      </c>
      <c r="F5136">
        <v>386.60700000000003</v>
      </c>
      <c r="G5136">
        <v>456.26099999999997</v>
      </c>
      <c r="H5136">
        <v>660.93</v>
      </c>
      <c r="I5136">
        <v>26.88</v>
      </c>
      <c r="J5136">
        <v>3.6089999999999995</v>
      </c>
      <c r="K5136">
        <v>45.4</v>
      </c>
      <c r="L5136">
        <v>0.61699999999999999</v>
      </c>
      <c r="M5136">
        <v>8.4830000000000005</v>
      </c>
      <c r="N5136">
        <v>5.5960000000000001</v>
      </c>
      <c r="O5136">
        <v>2.41</v>
      </c>
      <c r="P5136">
        <v>3.52</v>
      </c>
    </row>
    <row r="5137" spans="1:16">
      <c r="A5137" s="1" t="s">
        <v>4735</v>
      </c>
      <c r="B5137" s="1" t="s">
        <v>5051</v>
      </c>
      <c r="C5137" s="1" t="s">
        <v>1764</v>
      </c>
      <c r="D5137" s="1" t="s">
        <v>44</v>
      </c>
      <c r="E5137" s="1" t="s">
        <v>4944</v>
      </c>
      <c r="F5137">
        <v>1088.1209999999999</v>
      </c>
      <c r="G5137">
        <v>1007.872</v>
      </c>
      <c r="H5137">
        <v>745.3</v>
      </c>
      <c r="I5137">
        <v>214.72</v>
      </c>
      <c r="J5137">
        <v>7.6998000000000006</v>
      </c>
      <c r="K5137">
        <v>281.63400000000001</v>
      </c>
      <c r="L5137">
        <v>0.627</v>
      </c>
      <c r="M5137">
        <v>11.68</v>
      </c>
      <c r="N5137">
        <v>12.481</v>
      </c>
      <c r="O5137">
        <v>4.5810000000000004</v>
      </c>
      <c r="P5137">
        <v>8.76</v>
      </c>
    </row>
    <row r="5138" spans="1:16">
      <c r="A5138" s="1" t="s">
        <v>4735</v>
      </c>
      <c r="B5138" s="1" t="s">
        <v>5052</v>
      </c>
      <c r="C5138" s="1" t="s">
        <v>1764</v>
      </c>
      <c r="D5138" s="1" t="s">
        <v>44</v>
      </c>
      <c r="E5138" s="1" t="s">
        <v>4944</v>
      </c>
      <c r="F5138">
        <v>577.70600000000002</v>
      </c>
      <c r="G5138">
        <v>494.67600000000004</v>
      </c>
      <c r="H5138">
        <v>475.1</v>
      </c>
      <c r="I5138">
        <v>58.77</v>
      </c>
      <c r="J5138">
        <v>4.6326000000000001</v>
      </c>
      <c r="K5138">
        <v>44.963999999999999</v>
      </c>
      <c r="L5138">
        <v>0.59800000000000009</v>
      </c>
      <c r="M5138">
        <v>11.382</v>
      </c>
      <c r="N5138">
        <v>4.6959999999999997</v>
      </c>
      <c r="O5138">
        <v>2.4790000000000001</v>
      </c>
      <c r="P5138">
        <v>4.8499999999999996</v>
      </c>
    </row>
    <row r="5139" spans="1:16">
      <c r="A5139" s="1" t="s">
        <v>4735</v>
      </c>
      <c r="B5139" s="1" t="s">
        <v>5053</v>
      </c>
      <c r="C5139" s="1" t="s">
        <v>1764</v>
      </c>
      <c r="D5139" s="1" t="s">
        <v>44</v>
      </c>
      <c r="E5139" s="1" t="s">
        <v>4944</v>
      </c>
      <c r="F5139">
        <v>9315.1990000000005</v>
      </c>
      <c r="G5139">
        <v>17006.226999999999</v>
      </c>
      <c r="H5139">
        <v>1432.7</v>
      </c>
      <c r="I5139">
        <v>191.49</v>
      </c>
      <c r="J5139">
        <v>9.4284999999999997</v>
      </c>
      <c r="K5139">
        <v>435.65699999999998</v>
      </c>
      <c r="L5139">
        <v>1.2589999999999999</v>
      </c>
      <c r="M5139">
        <v>23.106000000000002</v>
      </c>
      <c r="N5139">
        <v>33.102999999999994</v>
      </c>
      <c r="O5139">
        <v>20.05</v>
      </c>
      <c r="P5139">
        <v>35.520000000000003</v>
      </c>
    </row>
    <row r="5140" spans="1:16">
      <c r="A5140" s="1" t="s">
        <v>4735</v>
      </c>
      <c r="B5140" s="1" t="s">
        <v>5054</v>
      </c>
      <c r="C5140" s="1" t="s">
        <v>1764</v>
      </c>
      <c r="D5140" s="1" t="s">
        <v>44</v>
      </c>
      <c r="E5140" s="1" t="s">
        <v>4944</v>
      </c>
      <c r="F5140">
        <v>2282.3319999999999</v>
      </c>
      <c r="G5140">
        <v>1444.54</v>
      </c>
      <c r="H5140">
        <v>660.5</v>
      </c>
      <c r="I5140">
        <v>494.09</v>
      </c>
      <c r="J5140">
        <v>7.6445999999999996</v>
      </c>
      <c r="K5140">
        <v>207.98899999999998</v>
      </c>
      <c r="L5140">
        <v>1.056</v>
      </c>
      <c r="M5140">
        <v>18.402999999999999</v>
      </c>
      <c r="N5140">
        <v>38.213999999999999</v>
      </c>
      <c r="O5140">
        <v>13.963999999999999</v>
      </c>
      <c r="P5140">
        <v>11.73</v>
      </c>
    </row>
    <row r="5141" spans="1:16">
      <c r="A5141" s="1" t="s">
        <v>4735</v>
      </c>
      <c r="B5141" s="1" t="s">
        <v>5055</v>
      </c>
      <c r="C5141" s="1" t="s">
        <v>1764</v>
      </c>
      <c r="D5141" s="1" t="s">
        <v>44</v>
      </c>
      <c r="E5141" s="1" t="s">
        <v>4944</v>
      </c>
      <c r="F5141">
        <v>3464.4389999999999</v>
      </c>
      <c r="G5141">
        <v>5019.7480000000005</v>
      </c>
      <c r="H5141">
        <v>579.03</v>
      </c>
      <c r="I5141">
        <v>373.78</v>
      </c>
      <c r="J5141">
        <v>6.045700000000001</v>
      </c>
      <c r="K5141">
        <v>253.23000000000002</v>
      </c>
      <c r="L5141">
        <v>0.52900000000000003</v>
      </c>
      <c r="M5141">
        <v>9.3090000000000011</v>
      </c>
      <c r="N5141">
        <v>38.585999999999999</v>
      </c>
      <c r="O5141">
        <v>11.195</v>
      </c>
      <c r="P5141">
        <v>10.84</v>
      </c>
    </row>
    <row r="5142" spans="1:16">
      <c r="A5142" s="1" t="s">
        <v>4735</v>
      </c>
      <c r="B5142" s="1" t="s">
        <v>5056</v>
      </c>
      <c r="C5142" s="1" t="s">
        <v>1764</v>
      </c>
      <c r="D5142" s="1" t="s">
        <v>44</v>
      </c>
      <c r="E5142" s="1" t="s">
        <v>4944</v>
      </c>
      <c r="F5142">
        <v>5547.2749999999996</v>
      </c>
      <c r="G5142">
        <v>3341.6629999999996</v>
      </c>
      <c r="H5142">
        <v>816.03</v>
      </c>
      <c r="I5142">
        <v>367.24</v>
      </c>
      <c r="J5142">
        <v>5.3723000000000001</v>
      </c>
      <c r="K5142">
        <v>388.17399999999998</v>
      </c>
      <c r="L5142">
        <v>0.72399999999999998</v>
      </c>
      <c r="M5142">
        <v>14.25</v>
      </c>
      <c r="N5142">
        <v>147.94300000000001</v>
      </c>
      <c r="O5142">
        <v>10.123000000000001</v>
      </c>
      <c r="P5142">
        <v>14.25</v>
      </c>
    </row>
    <row r="5143" spans="1:16">
      <c r="A5143" s="1" t="s">
        <v>4735</v>
      </c>
      <c r="B5143" s="1" t="s">
        <v>5057</v>
      </c>
      <c r="C5143" s="1" t="s">
        <v>1764</v>
      </c>
      <c r="D5143" s="1" t="s">
        <v>44</v>
      </c>
      <c r="E5143" s="1" t="s">
        <v>4944</v>
      </c>
      <c r="F5143">
        <v>700.82399999999996</v>
      </c>
      <c r="G5143">
        <v>469.44499999999999</v>
      </c>
      <c r="H5143">
        <v>751.57</v>
      </c>
      <c r="I5143">
        <v>62.51</v>
      </c>
      <c r="J5143">
        <v>4.9679000000000002</v>
      </c>
      <c r="K5143">
        <v>60.852999999999994</v>
      </c>
      <c r="L5143">
        <v>0.44699999999999995</v>
      </c>
      <c r="M5143">
        <v>10.870999999999999</v>
      </c>
      <c r="N5143">
        <v>17.029</v>
      </c>
      <c r="O5143">
        <v>4.5709999999999997</v>
      </c>
      <c r="P5143">
        <v>2.88</v>
      </c>
    </row>
    <row r="5144" spans="1:16">
      <c r="A5144" s="1" t="s">
        <v>4735</v>
      </c>
      <c r="B5144" s="1" t="s">
        <v>5058</v>
      </c>
      <c r="C5144" s="1" t="s">
        <v>1764</v>
      </c>
      <c r="D5144" s="1" t="s">
        <v>44</v>
      </c>
      <c r="E5144" s="1" t="s">
        <v>4944</v>
      </c>
      <c r="F5144">
        <v>853.41000000000008</v>
      </c>
      <c r="G5144">
        <v>724.97500000000002</v>
      </c>
      <c r="H5144">
        <v>735.68</v>
      </c>
      <c r="I5144">
        <v>73.92</v>
      </c>
      <c r="J5144">
        <v>6.7467999999999986</v>
      </c>
      <c r="K5144">
        <v>95.89</v>
      </c>
      <c r="L5144">
        <v>0.94499999999999995</v>
      </c>
      <c r="M5144">
        <v>36.393000000000001</v>
      </c>
      <c r="N5144">
        <v>19.600999999999999</v>
      </c>
      <c r="O5144">
        <v>7.1029999999999998</v>
      </c>
      <c r="P5144">
        <v>4.8899999999999997</v>
      </c>
    </row>
    <row r="5145" spans="1:16">
      <c r="A5145" s="1" t="s">
        <v>4735</v>
      </c>
      <c r="B5145" s="1" t="s">
        <v>5059</v>
      </c>
      <c r="C5145" s="1" t="s">
        <v>1764</v>
      </c>
      <c r="D5145" s="1" t="s">
        <v>44</v>
      </c>
      <c r="E5145" s="1" t="s">
        <v>4944</v>
      </c>
      <c r="F5145">
        <v>1117.4829999999999</v>
      </c>
      <c r="G5145">
        <v>670.95100000000002</v>
      </c>
      <c r="H5145">
        <v>789.32</v>
      </c>
      <c r="I5145">
        <v>50.44</v>
      </c>
      <c r="J5145">
        <v>3.8085</v>
      </c>
      <c r="K5145">
        <v>66.355999999999995</v>
      </c>
      <c r="L5145">
        <v>1.1000000000000001</v>
      </c>
      <c r="M5145">
        <v>11.134</v>
      </c>
      <c r="N5145">
        <v>11.846</v>
      </c>
      <c r="O5145">
        <v>5.0119999999999996</v>
      </c>
      <c r="P5145">
        <v>4.28</v>
      </c>
    </row>
    <row r="5146" spans="1:16">
      <c r="A5146" s="1" t="s">
        <v>4735</v>
      </c>
      <c r="B5146" s="1" t="s">
        <v>5060</v>
      </c>
      <c r="C5146" s="1" t="s">
        <v>1764</v>
      </c>
      <c r="D5146" s="1" t="s">
        <v>44</v>
      </c>
      <c r="E5146" s="1" t="s">
        <v>4944</v>
      </c>
      <c r="F5146">
        <v>869.93899999999996</v>
      </c>
      <c r="G5146">
        <v>598.90899999999999</v>
      </c>
      <c r="H5146">
        <v>495.66</v>
      </c>
      <c r="I5146">
        <v>57.89</v>
      </c>
      <c r="J5146">
        <v>3.0185000000000004</v>
      </c>
      <c r="K5146">
        <v>124.077</v>
      </c>
      <c r="L5146">
        <v>0.52500000000000002</v>
      </c>
      <c r="M5146">
        <v>8.0220000000000002</v>
      </c>
      <c r="N5146">
        <v>9.6810000000000009</v>
      </c>
      <c r="O5146">
        <v>7.2510000000000003</v>
      </c>
      <c r="P5146">
        <v>5.09</v>
      </c>
    </row>
    <row r="5147" spans="1:16">
      <c r="A5147" s="1" t="s">
        <v>4735</v>
      </c>
      <c r="B5147" s="1" t="s">
        <v>5061</v>
      </c>
      <c r="C5147" s="1" t="s">
        <v>1764</v>
      </c>
      <c r="D5147" s="1" t="s">
        <v>44</v>
      </c>
      <c r="E5147" s="1" t="s">
        <v>4944</v>
      </c>
      <c r="F5147">
        <v>461.98900000000003</v>
      </c>
      <c r="G5147">
        <v>470.72799999999995</v>
      </c>
      <c r="H5147">
        <v>554.07000000000005</v>
      </c>
      <c r="I5147">
        <v>90.82</v>
      </c>
      <c r="J5147">
        <v>6.1604000000000001</v>
      </c>
      <c r="K5147">
        <v>64.915999999999997</v>
      </c>
      <c r="L5147">
        <v>0.64600000000000002</v>
      </c>
      <c r="M5147">
        <v>12.044</v>
      </c>
      <c r="N5147">
        <v>8.1849999999999987</v>
      </c>
      <c r="O5147">
        <v>4.907</v>
      </c>
      <c r="P5147">
        <v>3.77</v>
      </c>
    </row>
    <row r="5148" spans="1:16">
      <c r="A5148" s="1" t="s">
        <v>4735</v>
      </c>
      <c r="B5148" s="1" t="s">
        <v>5062</v>
      </c>
      <c r="C5148" s="1" t="s">
        <v>1764</v>
      </c>
      <c r="D5148" s="1" t="s">
        <v>44</v>
      </c>
      <c r="E5148" s="1" t="s">
        <v>4944</v>
      </c>
      <c r="F5148">
        <v>1070.712</v>
      </c>
      <c r="G5148">
        <v>1064.9079999999999</v>
      </c>
      <c r="H5148">
        <v>534.41</v>
      </c>
      <c r="I5148">
        <v>396.36</v>
      </c>
      <c r="J5148">
        <v>3.7655000000000003</v>
      </c>
      <c r="K5148">
        <v>97.986999999999995</v>
      </c>
      <c r="L5148">
        <v>0.55999999999999994</v>
      </c>
      <c r="M5148">
        <v>10.465</v>
      </c>
      <c r="N5148">
        <v>9.5090000000000003</v>
      </c>
      <c r="O5148">
        <v>7.1420000000000003</v>
      </c>
      <c r="P5148">
        <v>9.17</v>
      </c>
    </row>
    <row r="5149" spans="1:16">
      <c r="A5149" s="1" t="s">
        <v>4735</v>
      </c>
      <c r="B5149" s="1" t="s">
        <v>5063</v>
      </c>
      <c r="C5149" s="1" t="s">
        <v>1764</v>
      </c>
      <c r="D5149" s="1" t="s">
        <v>44</v>
      </c>
      <c r="E5149" s="1" t="s">
        <v>4944</v>
      </c>
      <c r="F5149">
        <v>290.14999999999998</v>
      </c>
      <c r="G5149">
        <v>204.464</v>
      </c>
      <c r="H5149">
        <v>862.97</v>
      </c>
      <c r="I5149">
        <v>45.7</v>
      </c>
      <c r="J5149">
        <v>5.0766000000000009</v>
      </c>
      <c r="K5149">
        <v>49.411999999999999</v>
      </c>
      <c r="L5149">
        <v>0.60699999999999998</v>
      </c>
      <c r="M5149">
        <v>10.818999999999999</v>
      </c>
      <c r="N5149">
        <v>4.4380000000000006</v>
      </c>
      <c r="O5149">
        <v>3.3119999999999998</v>
      </c>
      <c r="P5149">
        <v>10.83</v>
      </c>
    </row>
    <row r="5150" spans="1:16">
      <c r="A5150" s="1" t="s">
        <v>4735</v>
      </c>
      <c r="B5150" s="1" t="s">
        <v>5064</v>
      </c>
      <c r="C5150" s="1" t="s">
        <v>1764</v>
      </c>
      <c r="D5150" s="1" t="s">
        <v>44</v>
      </c>
      <c r="E5150" s="1" t="s">
        <v>4944</v>
      </c>
      <c r="F5150">
        <v>885.13600000000008</v>
      </c>
      <c r="G5150">
        <v>771.09699999999998</v>
      </c>
      <c r="H5150">
        <v>717.59</v>
      </c>
      <c r="I5150">
        <v>60.37</v>
      </c>
      <c r="J5150">
        <v>3.9206000000000003</v>
      </c>
      <c r="K5150">
        <v>69.724000000000004</v>
      </c>
      <c r="L5150">
        <v>0.624</v>
      </c>
      <c r="M5150">
        <v>21.670999999999999</v>
      </c>
      <c r="N5150">
        <v>14.330000000000002</v>
      </c>
      <c r="O5150">
        <v>4.2090000000000005</v>
      </c>
      <c r="P5150">
        <v>7.15</v>
      </c>
    </row>
    <row r="5151" spans="1:16">
      <c r="A5151" s="1" t="s">
        <v>4735</v>
      </c>
      <c r="B5151" s="1" t="s">
        <v>5065</v>
      </c>
      <c r="C5151" s="1" t="s">
        <v>1764</v>
      </c>
      <c r="D5151" s="1" t="s">
        <v>44</v>
      </c>
      <c r="E5151" s="1" t="s">
        <v>4944</v>
      </c>
      <c r="F5151">
        <v>2761.43</v>
      </c>
      <c r="G5151">
        <v>1597.8120000000001</v>
      </c>
      <c r="H5151">
        <v>484.39</v>
      </c>
      <c r="I5151">
        <v>296.02999999999997</v>
      </c>
      <c r="J5151">
        <v>5.6785000000000005</v>
      </c>
      <c r="K5151">
        <v>201.14400000000001</v>
      </c>
      <c r="L5151">
        <v>0.49099999999999999</v>
      </c>
      <c r="M5151">
        <v>9.5340000000000007</v>
      </c>
      <c r="N5151">
        <v>34.975999999999999</v>
      </c>
      <c r="O5151">
        <v>7.3900000000000006</v>
      </c>
      <c r="P5151">
        <v>7.72</v>
      </c>
    </row>
    <row r="5152" spans="1:16">
      <c r="A5152" s="1" t="s">
        <v>4735</v>
      </c>
      <c r="B5152" s="1" t="s">
        <v>5066</v>
      </c>
      <c r="C5152" s="1" t="s">
        <v>1764</v>
      </c>
      <c r="D5152" s="1" t="s">
        <v>44</v>
      </c>
      <c r="E5152" s="1" t="s">
        <v>4944</v>
      </c>
      <c r="F5152">
        <v>3037.2538548153102</v>
      </c>
      <c r="G5152">
        <v>5294.3770807586097</v>
      </c>
      <c r="H5152">
        <v>474.18493948179298</v>
      </c>
      <c r="I5152">
        <v>46.725882571993203</v>
      </c>
      <c r="J5152">
        <v>1.68804553972972</v>
      </c>
      <c r="K5152">
        <v>323.60183959802202</v>
      </c>
      <c r="L5152">
        <v>1.75614047080825</v>
      </c>
      <c r="M5152">
        <v>6.5992526021031193</v>
      </c>
      <c r="N5152">
        <v>6.9062422144529609</v>
      </c>
      <c r="O5152">
        <v>26.309847142800795</v>
      </c>
      <c r="P5152">
        <v>8.6273676990777695</v>
      </c>
    </row>
    <row r="5153" spans="1:16">
      <c r="A5153" s="1" t="s">
        <v>4735</v>
      </c>
      <c r="B5153" s="1" t="s">
        <v>5067</v>
      </c>
      <c r="C5153" s="1" t="s">
        <v>1764</v>
      </c>
      <c r="D5153" s="1" t="s">
        <v>44</v>
      </c>
      <c r="E5153" s="1" t="s">
        <v>4944</v>
      </c>
      <c r="F5153">
        <v>5915.1305469736399</v>
      </c>
      <c r="G5153">
        <v>4531.1501392779901</v>
      </c>
      <c r="H5153">
        <v>601.04488670817796</v>
      </c>
      <c r="I5153">
        <v>29.9518469362995</v>
      </c>
      <c r="J5153">
        <v>2.94702322444122</v>
      </c>
      <c r="K5153">
        <v>248.27886561594201</v>
      </c>
      <c r="L5153">
        <v>3.68944439984661</v>
      </c>
      <c r="M5153">
        <v>17.874117265750701</v>
      </c>
      <c r="N5153">
        <v>12.5621001028388</v>
      </c>
      <c r="O5153">
        <v>25.479206376073957</v>
      </c>
      <c r="P5153">
        <v>4.2561403757161997</v>
      </c>
    </row>
    <row r="5154" spans="1:16">
      <c r="A5154" s="1" t="s">
        <v>4735</v>
      </c>
      <c r="B5154" s="1" t="s">
        <v>5068</v>
      </c>
      <c r="C5154" s="1" t="s">
        <v>1764</v>
      </c>
      <c r="D5154" s="1" t="s">
        <v>44</v>
      </c>
      <c r="E5154" s="1" t="s">
        <v>4944</v>
      </c>
      <c r="F5154">
        <v>1388.3014396875999</v>
      </c>
      <c r="G5154">
        <v>1762.6653601411999</v>
      </c>
      <c r="H5154">
        <v>363.42087094622701</v>
      </c>
      <c r="I5154">
        <v>33.1832310581188</v>
      </c>
      <c r="J5154">
        <v>5.7295948618471497</v>
      </c>
      <c r="K5154">
        <v>137.497271474477</v>
      </c>
      <c r="L5154">
        <v>1.48579396031958</v>
      </c>
      <c r="M5154">
        <v>14.426057156800999</v>
      </c>
      <c r="N5154">
        <v>4.8304737003335498</v>
      </c>
      <c r="O5154">
        <v>20.312479572456024</v>
      </c>
      <c r="P5154">
        <v>4.1613025775107904</v>
      </c>
    </row>
    <row r="5155" spans="1:16">
      <c r="A5155" s="1" t="s">
        <v>4735</v>
      </c>
      <c r="B5155" s="1" t="s">
        <v>5069</v>
      </c>
      <c r="C5155" s="1" t="s">
        <v>1764</v>
      </c>
      <c r="D5155" s="1" t="s">
        <v>44</v>
      </c>
      <c r="E5155" s="1" t="s">
        <v>4944</v>
      </c>
      <c r="F5155">
        <v>2638.6398602171098</v>
      </c>
      <c r="G5155">
        <v>5011.7272039638101</v>
      </c>
      <c r="H5155">
        <v>409.83410171403801</v>
      </c>
      <c r="I5155">
        <v>40.928912965694003</v>
      </c>
      <c r="J5155">
        <v>1.5505719495368799</v>
      </c>
      <c r="K5155">
        <v>176.129555995537</v>
      </c>
      <c r="L5155">
        <v>1.28463362441677</v>
      </c>
      <c r="M5155">
        <v>5.9980286762976593</v>
      </c>
      <c r="N5155">
        <v>3.7744807564351701</v>
      </c>
      <c r="O5155">
        <v>20.641480915374668</v>
      </c>
      <c r="P5155">
        <v>8.9827830300159395</v>
      </c>
    </row>
    <row r="5156" spans="1:16">
      <c r="A5156" s="1" t="s">
        <v>4735</v>
      </c>
      <c r="B5156" s="1" t="s">
        <v>5070</v>
      </c>
      <c r="C5156" s="1" t="s">
        <v>1764</v>
      </c>
      <c r="D5156" s="1" t="s">
        <v>44</v>
      </c>
      <c r="E5156" s="1" t="s">
        <v>4944</v>
      </c>
      <c r="F5156">
        <v>2229.3191500350199</v>
      </c>
      <c r="G5156">
        <v>2922.5528079542501</v>
      </c>
      <c r="H5156">
        <v>546.35660261623605</v>
      </c>
      <c r="I5156">
        <v>31.378105818840702</v>
      </c>
      <c r="J5156">
        <v>5.2991803884786401</v>
      </c>
      <c r="K5156">
        <v>233.70814246124601</v>
      </c>
      <c r="L5156">
        <v>2.6343057883008201</v>
      </c>
      <c r="M5156">
        <v>16.577638163421</v>
      </c>
      <c r="N5156">
        <v>8.4510616976952413</v>
      </c>
      <c r="O5156">
        <v>24.833745521400299</v>
      </c>
      <c r="P5156">
        <v>5.0586253456138897</v>
      </c>
    </row>
    <row r="5157" spans="1:16">
      <c r="A5157" s="1" t="s">
        <v>5071</v>
      </c>
      <c r="B5157" s="1" t="s">
        <v>5072</v>
      </c>
      <c r="C5157" s="1" t="s">
        <v>1764</v>
      </c>
      <c r="D5157" s="1" t="s">
        <v>44</v>
      </c>
      <c r="E5157" s="1" t="s">
        <v>5073</v>
      </c>
      <c r="F5157">
        <v>5535.9665491151909</v>
      </c>
      <c r="G5157">
        <v>1018.9295630983268</v>
      </c>
      <c r="H5157">
        <v>96.407711023739111</v>
      </c>
      <c r="I5157">
        <v>4.4879630455636335</v>
      </c>
      <c r="J5157">
        <v>2.1058495500148773</v>
      </c>
      <c r="K5157">
        <v>4674.4000721330685</v>
      </c>
      <c r="L5157">
        <v>4.4218018813449067</v>
      </c>
      <c r="M5157">
        <v>6.5693145275549849</v>
      </c>
      <c r="N5157">
        <v>22.218652207538298</v>
      </c>
      <c r="O5157">
        <v>3.0628129716974337</v>
      </c>
      <c r="P5157">
        <v>1.9808854130420153</v>
      </c>
    </row>
    <row r="5158" spans="1:16">
      <c r="A5158" s="1" t="s">
        <v>5071</v>
      </c>
      <c r="B5158" s="1" t="s">
        <v>5074</v>
      </c>
      <c r="C5158" s="1" t="s">
        <v>1764</v>
      </c>
      <c r="D5158" s="1" t="s">
        <v>44</v>
      </c>
      <c r="E5158" s="1" t="s">
        <v>5073</v>
      </c>
      <c r="F5158">
        <v>6432.4766028297254</v>
      </c>
      <c r="G5158">
        <v>733.03421826601129</v>
      </c>
      <c r="H5158">
        <v>85.613073199481107</v>
      </c>
      <c r="I5158">
        <v>1.8189122626072038</v>
      </c>
      <c r="J5158">
        <v>0.4059160376384337</v>
      </c>
      <c r="K5158">
        <v>5793.8482710226126</v>
      </c>
      <c r="L5158">
        <v>4.229242468991524</v>
      </c>
      <c r="M5158">
        <v>5.1020758417914784</v>
      </c>
      <c r="N5158">
        <v>25.222427659375828</v>
      </c>
      <c r="O5158">
        <v>3.3744971512901309</v>
      </c>
      <c r="P5158">
        <v>2.6988597124832179</v>
      </c>
    </row>
    <row r="5159" spans="1:16">
      <c r="A5159" s="1" t="s">
        <v>5071</v>
      </c>
      <c r="B5159" s="1" t="s">
        <v>5075</v>
      </c>
      <c r="C5159" s="1" t="s">
        <v>1764</v>
      </c>
      <c r="D5159" s="1" t="s">
        <v>44</v>
      </c>
      <c r="E5159" s="1" t="s">
        <v>5076</v>
      </c>
      <c r="F5159">
        <v>6340.1376858896492</v>
      </c>
      <c r="G5159">
        <v>846.55514619439759</v>
      </c>
      <c r="H5159">
        <v>67.724375101551558</v>
      </c>
      <c r="I5159">
        <v>1.8407536156361017</v>
      </c>
      <c r="J5159">
        <v>2.7400412616425127</v>
      </c>
      <c r="K5159">
        <v>6356.7616854639718</v>
      </c>
      <c r="L5159">
        <v>4.1830621761088969</v>
      </c>
      <c r="M5159">
        <v>4.1621157377514892</v>
      </c>
      <c r="N5159">
        <v>23.254555140464038</v>
      </c>
      <c r="O5159">
        <v>2.4932717572170287</v>
      </c>
      <c r="P5159">
        <v>1.8672905495508394</v>
      </c>
    </row>
    <row r="5160" spans="1:16">
      <c r="A5160" s="1" t="s">
        <v>5071</v>
      </c>
      <c r="B5160" s="1" t="s">
        <v>5077</v>
      </c>
      <c r="C5160" s="1" t="s">
        <v>1764</v>
      </c>
      <c r="D5160" s="1" t="s">
        <v>44</v>
      </c>
      <c r="E5160" s="1" t="s">
        <v>5076</v>
      </c>
      <c r="F5160">
        <v>7011.2783726921652</v>
      </c>
      <c r="G5160">
        <v>607.89354375703886</v>
      </c>
      <c r="H5160">
        <v>227.71770616734463</v>
      </c>
      <c r="I5160">
        <v>2.9163353664972256</v>
      </c>
      <c r="J5160">
        <v>1.1159615899132178</v>
      </c>
      <c r="K5160">
        <v>5670.7386819003868</v>
      </c>
      <c r="L5160">
        <v>3.8642034965510672</v>
      </c>
      <c r="M5160">
        <v>4.5530738244802293</v>
      </c>
      <c r="N5160">
        <v>18.537934365968759</v>
      </c>
      <c r="O5160">
        <v>2.2702005146360027</v>
      </c>
      <c r="P5160">
        <v>2.7659590156210601</v>
      </c>
    </row>
    <row r="5161" spans="1:16">
      <c r="A5161" s="1" t="s">
        <v>5071</v>
      </c>
      <c r="B5161" s="1" t="s">
        <v>5078</v>
      </c>
      <c r="C5161" s="1" t="s">
        <v>1764</v>
      </c>
      <c r="D5161" s="1" t="s">
        <v>44</v>
      </c>
      <c r="E5161" s="1" t="s">
        <v>5076</v>
      </c>
      <c r="F5161">
        <v>7618.8139843319113</v>
      </c>
      <c r="G5161">
        <v>638.3115719494333</v>
      </c>
      <c r="H5161">
        <v>166.81595118837606</v>
      </c>
      <c r="I5161">
        <v>8.0247169931646187</v>
      </c>
      <c r="J5161">
        <v>3.3191351553537323</v>
      </c>
      <c r="K5161">
        <v>5918.3444498449135</v>
      </c>
      <c r="L5161">
        <v>3.8250927239951276</v>
      </c>
      <c r="M5161">
        <v>4.3255490277293491</v>
      </c>
      <c r="N5161">
        <v>21.913374523005881</v>
      </c>
      <c r="O5161">
        <v>2.3387242092450129</v>
      </c>
      <c r="P5161">
        <v>1.873456539959605</v>
      </c>
    </row>
    <row r="5162" spans="1:16">
      <c r="A5162" s="1" t="s">
        <v>5071</v>
      </c>
      <c r="B5162" s="1" t="s">
        <v>5079</v>
      </c>
      <c r="C5162" s="1" t="s">
        <v>1764</v>
      </c>
      <c r="D5162" s="1" t="s">
        <v>44</v>
      </c>
      <c r="E5162" s="1" t="s">
        <v>5076</v>
      </c>
      <c r="F5162">
        <v>6988.0877801249044</v>
      </c>
      <c r="G5162">
        <v>784.87771212677433</v>
      </c>
      <c r="H5162">
        <v>157.66703203571646</v>
      </c>
      <c r="I5162">
        <v>6.1019810710826325</v>
      </c>
      <c r="J5162">
        <v>0.2023233349765437</v>
      </c>
      <c r="K5162">
        <v>5255.051169049284</v>
      </c>
      <c r="L5162">
        <v>3.5045348481604792</v>
      </c>
      <c r="M5162">
        <v>4.9576732517577371</v>
      </c>
      <c r="N5162">
        <v>18.219925072385063</v>
      </c>
      <c r="O5162">
        <v>2.5759791374717209</v>
      </c>
      <c r="P5162">
        <v>4.0754317176957739</v>
      </c>
    </row>
    <row r="5163" spans="1:16">
      <c r="A5163" s="1" t="s">
        <v>5071</v>
      </c>
      <c r="B5163" s="1" t="s">
        <v>5080</v>
      </c>
      <c r="C5163" s="1" t="s">
        <v>1764</v>
      </c>
      <c r="D5163" s="1" t="s">
        <v>44</v>
      </c>
      <c r="E5163" s="1" t="s">
        <v>5076</v>
      </c>
      <c r="F5163">
        <v>5383.47597542315</v>
      </c>
      <c r="G5163">
        <v>591.13383435775029</v>
      </c>
      <c r="H5163">
        <v>251.44825265650104</v>
      </c>
      <c r="I5163">
        <v>5.0663387719870645</v>
      </c>
      <c r="J5163">
        <v>2.4087187249261239</v>
      </c>
      <c r="K5163">
        <v>4976.0591429365668</v>
      </c>
      <c r="L5163">
        <v>4.54119685112423</v>
      </c>
      <c r="M5163">
        <v>5.04432577195265</v>
      </c>
      <c r="N5163">
        <v>23.501561725194662</v>
      </c>
      <c r="O5163">
        <v>2.1908739481134933</v>
      </c>
      <c r="P5163">
        <v>2.5204821077965311</v>
      </c>
    </row>
    <row r="5164" spans="1:16">
      <c r="A5164" s="1" t="s">
        <v>5071</v>
      </c>
      <c r="B5164" s="1" t="s">
        <v>5081</v>
      </c>
      <c r="C5164" s="1" t="s">
        <v>1764</v>
      </c>
      <c r="D5164" s="1" t="s">
        <v>44</v>
      </c>
      <c r="E5164" s="1" t="s">
        <v>5076</v>
      </c>
      <c r="F5164">
        <v>7270.8256530512035</v>
      </c>
      <c r="G5164">
        <v>831.10200909920889</v>
      </c>
      <c r="H5164">
        <v>100.17763650710579</v>
      </c>
      <c r="I5164">
        <v>14.091788424712307</v>
      </c>
      <c r="J5164">
        <v>8.9542652126269111</v>
      </c>
      <c r="K5164">
        <v>6082.251835025213</v>
      </c>
      <c r="L5164">
        <v>4.3121453110887344</v>
      </c>
      <c r="M5164">
        <v>5.2154531854798112</v>
      </c>
      <c r="N5164">
        <v>29.14487505909749</v>
      </c>
      <c r="O5164">
        <v>2.7590591343502262</v>
      </c>
      <c r="P5164">
        <v>2.2154976448674879</v>
      </c>
    </row>
    <row r="5165" spans="1:16">
      <c r="A5165" s="1" t="s">
        <v>5071</v>
      </c>
      <c r="B5165" s="1" t="s">
        <v>5082</v>
      </c>
      <c r="C5165" s="1" t="s">
        <v>1764</v>
      </c>
      <c r="D5165" s="1" t="s">
        <v>44</v>
      </c>
      <c r="E5165" s="1" t="s">
        <v>5076</v>
      </c>
      <c r="F5165">
        <v>7167.4300386133227</v>
      </c>
      <c r="G5165">
        <v>709.83241599339487</v>
      </c>
      <c r="H5165">
        <v>105.57955403078167</v>
      </c>
      <c r="I5165">
        <v>14.265631764227457</v>
      </c>
      <c r="J5165">
        <v>23.361680109661659</v>
      </c>
      <c r="K5165">
        <v>5632.4877363767027</v>
      </c>
      <c r="L5165">
        <v>4.4382244478588246</v>
      </c>
      <c r="M5165">
        <v>5.5780416830525468</v>
      </c>
      <c r="N5165">
        <v>20.98453899225759</v>
      </c>
      <c r="O5165">
        <v>2.8921596774126765</v>
      </c>
      <c r="P5165">
        <v>2.735881616466088</v>
      </c>
    </row>
    <row r="5166" spans="1:16">
      <c r="A5166" s="1" t="s">
        <v>5071</v>
      </c>
      <c r="B5166" s="1" t="s">
        <v>5083</v>
      </c>
      <c r="C5166" s="1" t="s">
        <v>1764</v>
      </c>
      <c r="D5166" s="1" t="s">
        <v>44</v>
      </c>
      <c r="E5166" s="1" t="s">
        <v>5076</v>
      </c>
      <c r="F5166">
        <v>5995.4628288343602</v>
      </c>
      <c r="G5166">
        <v>630.6691873958323</v>
      </c>
      <c r="H5166">
        <v>94.539495795100493</v>
      </c>
      <c r="I5166">
        <v>2.9445778622594503</v>
      </c>
      <c r="J5166">
        <v>3.9878962490495993</v>
      </c>
      <c r="K5166">
        <v>5848.2722790659473</v>
      </c>
      <c r="L5166">
        <v>4.7060501066214897</v>
      </c>
      <c r="M5166">
        <v>5.5754096592992699</v>
      </c>
      <c r="N5166">
        <v>28.73980715965925</v>
      </c>
      <c r="O5166">
        <v>2.6564197219364405</v>
      </c>
      <c r="P5166">
        <v>2.1626956063067326</v>
      </c>
    </row>
    <row r="5167" spans="1:16">
      <c r="A5167" s="1" t="s">
        <v>5071</v>
      </c>
      <c r="B5167" s="1" t="s">
        <v>5084</v>
      </c>
      <c r="C5167" s="1" t="s">
        <v>1764</v>
      </c>
      <c r="D5167" s="1" t="s">
        <v>44</v>
      </c>
      <c r="E5167" s="1" t="s">
        <v>5076</v>
      </c>
      <c r="F5167">
        <v>6895.9790921134945</v>
      </c>
      <c r="G5167">
        <v>684.38628475915425</v>
      </c>
      <c r="H5167">
        <v>76.494814355289989</v>
      </c>
      <c r="I5167">
        <v>4.9924730595588898</v>
      </c>
      <c r="J5167">
        <v>0.92412167910196596</v>
      </c>
      <c r="K5167">
        <v>5539.0710410962065</v>
      </c>
      <c r="L5167">
        <v>3.7312386650299221</v>
      </c>
      <c r="M5167">
        <v>5.9527030269153736</v>
      </c>
      <c r="N5167">
        <v>22.054618899652741</v>
      </c>
      <c r="O5167">
        <v>2.9728226974496996</v>
      </c>
      <c r="P5167">
        <v>3.1056161900781061</v>
      </c>
    </row>
    <row r="5168" spans="1:16">
      <c r="A5168" s="1" t="s">
        <v>5071</v>
      </c>
      <c r="B5168" s="1" t="s">
        <v>5085</v>
      </c>
      <c r="C5168" s="1" t="s">
        <v>1764</v>
      </c>
      <c r="D5168" s="1" t="s">
        <v>44</v>
      </c>
      <c r="E5168" s="1" t="s">
        <v>5076</v>
      </c>
      <c r="F5168">
        <v>5637.8988307348145</v>
      </c>
      <c r="G5168">
        <v>967.6354833101517</v>
      </c>
      <c r="H5168">
        <v>86.049068555540401</v>
      </c>
      <c r="I5168">
        <v>13.560074408638565</v>
      </c>
      <c r="J5168">
        <v>9.3207212812157856</v>
      </c>
      <c r="K5168">
        <v>5389.6149957702501</v>
      </c>
      <c r="L5168">
        <v>4.6521676550073314</v>
      </c>
      <c r="M5168">
        <v>3.0750294668392404</v>
      </c>
      <c r="N5168">
        <v>18.333650605838216</v>
      </c>
      <c r="O5168">
        <v>2.1575870581278527</v>
      </c>
      <c r="P5168">
        <v>3.9567360127932525</v>
      </c>
    </row>
    <row r="5169" spans="1:16">
      <c r="A5169" s="1" t="s">
        <v>5071</v>
      </c>
      <c r="B5169" s="1" t="s">
        <v>5086</v>
      </c>
      <c r="C5169" s="1" t="s">
        <v>1764</v>
      </c>
      <c r="D5169" s="1" t="s">
        <v>44</v>
      </c>
      <c r="E5169" s="1" t="s">
        <v>5076</v>
      </c>
      <c r="F5169">
        <v>4127.8145834230772</v>
      </c>
      <c r="G5169">
        <v>543.20501254888268</v>
      </c>
      <c r="H5169">
        <v>144.3470311283566</v>
      </c>
      <c r="I5169">
        <v>7.7070373216953527</v>
      </c>
      <c r="J5169">
        <v>5.7906931841122411</v>
      </c>
      <c r="K5169">
        <v>238.83365401168217</v>
      </c>
      <c r="L5169">
        <v>5.7135696732210013</v>
      </c>
      <c r="M5169">
        <v>6.9551275513288218</v>
      </c>
      <c r="N5169">
        <v>7.9356080492896135</v>
      </c>
      <c r="O5169">
        <v>1.9563041042673881</v>
      </c>
      <c r="P5169">
        <v>2.434708931942914</v>
      </c>
    </row>
    <row r="5170" spans="1:16">
      <c r="A5170" s="1" t="s">
        <v>5071</v>
      </c>
      <c r="B5170" s="1" t="s">
        <v>5087</v>
      </c>
      <c r="C5170" s="1" t="s">
        <v>1764</v>
      </c>
      <c r="D5170" s="1" t="s">
        <v>44</v>
      </c>
      <c r="E5170" s="1" t="s">
        <v>5076</v>
      </c>
      <c r="F5170">
        <v>3920.9682177015152</v>
      </c>
      <c r="G5170">
        <v>621.95219932501868</v>
      </c>
      <c r="H5170">
        <v>133.30146722532714</v>
      </c>
      <c r="I5170">
        <v>4.5958664265086107</v>
      </c>
      <c r="J5170">
        <v>4.1824966194895756</v>
      </c>
      <c r="K5170">
        <v>271.5284241216188</v>
      </c>
      <c r="L5170">
        <v>6.0915211400929605</v>
      </c>
      <c r="M5170">
        <v>5.2677451291555819</v>
      </c>
      <c r="N5170">
        <v>13.330735293647603</v>
      </c>
      <c r="O5170">
        <v>2.5745344803064576</v>
      </c>
      <c r="P5170">
        <v>2.1062579687651959</v>
      </c>
    </row>
    <row r="5171" spans="1:16">
      <c r="A5171" s="1" t="s">
        <v>5071</v>
      </c>
      <c r="B5171" s="1" t="s">
        <v>5088</v>
      </c>
      <c r="C5171" s="1" t="s">
        <v>1764</v>
      </c>
      <c r="D5171" s="1" t="s">
        <v>44</v>
      </c>
      <c r="E5171" s="1" t="s">
        <v>5076</v>
      </c>
      <c r="F5171">
        <v>2941.39585946439</v>
      </c>
      <c r="G5171">
        <v>423.91836861581203</v>
      </c>
      <c r="H5171">
        <v>99.556557209952601</v>
      </c>
      <c r="I5171">
        <v>5.0852558966465935</v>
      </c>
      <c r="J5171">
        <v>9.1581736260777014</v>
      </c>
      <c r="K5171">
        <v>329.10708560799816</v>
      </c>
      <c r="L5171">
        <v>6.1410687823825958</v>
      </c>
      <c r="M5171">
        <v>4.4237130242024234</v>
      </c>
      <c r="N5171">
        <v>12.472221709063538</v>
      </c>
      <c r="O5171">
        <v>2.1830089809091162</v>
      </c>
      <c r="P5171">
        <v>1.853700001950136</v>
      </c>
    </row>
    <row r="5172" spans="1:16">
      <c r="A5172" s="1" t="s">
        <v>5071</v>
      </c>
      <c r="B5172" s="1" t="s">
        <v>5089</v>
      </c>
      <c r="C5172" s="1" t="s">
        <v>1764</v>
      </c>
      <c r="D5172" s="1" t="s">
        <v>44</v>
      </c>
      <c r="E5172" s="1" t="s">
        <v>5076</v>
      </c>
      <c r="F5172">
        <v>1963.9835579319561</v>
      </c>
      <c r="G5172">
        <v>504.10652553868977</v>
      </c>
      <c r="H5172">
        <v>104.55814560712876</v>
      </c>
      <c r="I5172">
        <v>4.205428966223959</v>
      </c>
      <c r="J5172">
        <v>3.3976657169410704</v>
      </c>
      <c r="K5172">
        <v>403.52569757351529</v>
      </c>
      <c r="L5172">
        <v>6.7314510431694021</v>
      </c>
      <c r="M5172">
        <v>4.7946932931356674</v>
      </c>
      <c r="N5172">
        <v>11.153058488810059</v>
      </c>
      <c r="O5172">
        <v>1.9425067056435377</v>
      </c>
      <c r="P5172">
        <v>1.7448312927454908</v>
      </c>
    </row>
    <row r="5173" spans="1:16">
      <c r="A5173" s="1" t="s">
        <v>5071</v>
      </c>
      <c r="B5173" s="1" t="s">
        <v>5090</v>
      </c>
      <c r="C5173" s="1" t="s">
        <v>1764</v>
      </c>
      <c r="D5173" s="1" t="s">
        <v>44</v>
      </c>
      <c r="E5173" s="1" t="s">
        <v>5076</v>
      </c>
      <c r="F5173">
        <v>2396.3968272946618</v>
      </c>
      <c r="G5173">
        <v>432.56018021301497</v>
      </c>
      <c r="H5173">
        <v>116.98609140076849</v>
      </c>
      <c r="I5173">
        <v>6.5935570632456448</v>
      </c>
      <c r="J5173">
        <v>3.7556120912965798</v>
      </c>
      <c r="K5173">
        <v>363.30894620344606</v>
      </c>
      <c r="L5173">
        <v>6.1424177934080975</v>
      </c>
      <c r="M5173">
        <v>7.4912389693156962</v>
      </c>
      <c r="N5173">
        <v>6.5643761463903276</v>
      </c>
      <c r="O5173">
        <v>1.8866136120398938</v>
      </c>
      <c r="P5173">
        <v>1.9358773773260891</v>
      </c>
    </row>
    <row r="5174" spans="1:16">
      <c r="A5174" s="1" t="s">
        <v>5071</v>
      </c>
      <c r="B5174" s="1" t="s">
        <v>5091</v>
      </c>
      <c r="C5174" s="1" t="s">
        <v>1764</v>
      </c>
      <c r="D5174" s="1" t="s">
        <v>44</v>
      </c>
      <c r="E5174" s="1" t="s">
        <v>5076</v>
      </c>
      <c r="F5174">
        <v>1782.0104029077968</v>
      </c>
      <c r="G5174">
        <v>417.89629423015276</v>
      </c>
      <c r="H5174">
        <v>180.67083306140918</v>
      </c>
      <c r="I5174">
        <v>15.529887081794346</v>
      </c>
      <c r="J5174">
        <v>17.915177284925637</v>
      </c>
      <c r="K5174">
        <v>364.60846365202781</v>
      </c>
      <c r="L5174">
        <v>6.2239754720349634</v>
      </c>
      <c r="M5174">
        <v>6.4206021057825513</v>
      </c>
      <c r="N5174">
        <v>10.767417566858605</v>
      </c>
      <c r="O5174">
        <v>2.2411514892335513</v>
      </c>
      <c r="P5174">
        <v>1.5964516373973365</v>
      </c>
    </row>
    <row r="5175" spans="1:16">
      <c r="A5175" s="1" t="s">
        <v>5071</v>
      </c>
      <c r="B5175" s="1" t="s">
        <v>5092</v>
      </c>
      <c r="C5175" s="1" t="s">
        <v>1764</v>
      </c>
      <c r="D5175" s="1" t="s">
        <v>44</v>
      </c>
      <c r="E5175" s="1" t="s">
        <v>5076</v>
      </c>
      <c r="F5175">
        <v>3380.3036446042779</v>
      </c>
      <c r="G5175">
        <v>435.32418417221601</v>
      </c>
      <c r="H5175">
        <v>116.83591024494866</v>
      </c>
      <c r="I5175">
        <v>5.881735125810815</v>
      </c>
      <c r="J5175">
        <v>10.158318008528825</v>
      </c>
      <c r="K5175">
        <v>351.15521391244192</v>
      </c>
      <c r="L5175">
        <v>4.6643909320696633</v>
      </c>
      <c r="M5175">
        <v>7.3730545428803387</v>
      </c>
      <c r="N5175">
        <v>8.2666854770783864</v>
      </c>
      <c r="O5175">
        <v>2.8337346297674957</v>
      </c>
      <c r="P5175">
        <v>0.96380173229734201</v>
      </c>
    </row>
    <row r="5176" spans="1:16">
      <c r="A5176" s="1" t="s">
        <v>5071</v>
      </c>
      <c r="B5176" s="1" t="s">
        <v>5093</v>
      </c>
      <c r="C5176" s="1" t="s">
        <v>1764</v>
      </c>
      <c r="D5176" s="1" t="s">
        <v>44</v>
      </c>
      <c r="E5176" s="1" t="s">
        <v>5076</v>
      </c>
      <c r="F5176">
        <v>3709.49228790496</v>
      </c>
      <c r="G5176">
        <v>541.20971955440427</v>
      </c>
      <c r="H5176">
        <v>122.21683382116247</v>
      </c>
      <c r="I5176">
        <v>4.6289986840511137</v>
      </c>
      <c r="J5176">
        <v>6.0883526091711184</v>
      </c>
      <c r="K5176">
        <v>257.08591131226632</v>
      </c>
      <c r="L5176">
        <v>5.9152250831923547</v>
      </c>
      <c r="M5176">
        <v>6.012388722388244</v>
      </c>
      <c r="N5176">
        <v>10.992508925372723</v>
      </c>
      <c r="O5176">
        <v>3.2346861134505747</v>
      </c>
      <c r="P5176">
        <v>1.436592666273379</v>
      </c>
    </row>
    <row r="5177" spans="1:16">
      <c r="A5177" s="1" t="s">
        <v>5071</v>
      </c>
      <c r="B5177" s="1" t="s">
        <v>5094</v>
      </c>
      <c r="C5177" s="1" t="s">
        <v>1764</v>
      </c>
      <c r="D5177" s="1" t="s">
        <v>44</v>
      </c>
      <c r="E5177" s="1" t="s">
        <v>5076</v>
      </c>
      <c r="F5177">
        <v>2720.9744894808969</v>
      </c>
      <c r="G5177">
        <v>540.31182913292048</v>
      </c>
      <c r="H5177">
        <v>138.47989132400429</v>
      </c>
      <c r="I5177">
        <v>6.844329307906988</v>
      </c>
      <c r="J5177">
        <v>10.124260898251674</v>
      </c>
      <c r="K5177">
        <v>366.91112961477216</v>
      </c>
      <c r="L5177">
        <v>6.6230220136537499</v>
      </c>
      <c r="M5177">
        <v>6.2564434522797354</v>
      </c>
      <c r="N5177">
        <v>10.320828199419969</v>
      </c>
      <c r="O5177">
        <v>2.4636795666681595</v>
      </c>
      <c r="P5177">
        <v>2.3872282776078886</v>
      </c>
    </row>
    <row r="5178" spans="1:16">
      <c r="A5178" s="1" t="s">
        <v>5071</v>
      </c>
      <c r="B5178" s="1" t="s">
        <v>5095</v>
      </c>
      <c r="C5178" s="1" t="s">
        <v>1764</v>
      </c>
      <c r="D5178" s="1" t="s">
        <v>44</v>
      </c>
      <c r="E5178" s="1" t="s">
        <v>5076</v>
      </c>
      <c r="F5178">
        <v>1455.1491993671636</v>
      </c>
      <c r="G5178">
        <v>523.22490332967595</v>
      </c>
      <c r="H5178">
        <v>161.90745909593949</v>
      </c>
      <c r="I5178">
        <v>8.9417212435026361</v>
      </c>
      <c r="J5178">
        <v>6.781446383800585</v>
      </c>
      <c r="K5178">
        <v>346.84093386114381</v>
      </c>
      <c r="L5178">
        <v>7.5752941237251088</v>
      </c>
      <c r="M5178">
        <v>5.3918998832543181</v>
      </c>
      <c r="N5178">
        <v>9.372825540977713</v>
      </c>
      <c r="O5178">
        <v>2.1229151842992438</v>
      </c>
      <c r="P5178">
        <v>2.0541252035162292</v>
      </c>
    </row>
    <row r="5179" spans="1:16">
      <c r="A5179" s="1" t="s">
        <v>5071</v>
      </c>
      <c r="B5179" s="1" t="s">
        <v>5096</v>
      </c>
      <c r="C5179" s="1" t="s">
        <v>1764</v>
      </c>
      <c r="D5179" s="1" t="s">
        <v>44</v>
      </c>
      <c r="E5179" s="1" t="s">
        <v>5076</v>
      </c>
      <c r="F5179">
        <v>2094.3085666855877</v>
      </c>
      <c r="G5179">
        <v>421.29829305540255</v>
      </c>
      <c r="H5179">
        <v>145.88828125123294</v>
      </c>
      <c r="I5179">
        <v>15.785476285653003</v>
      </c>
      <c r="J5179">
        <v>44.201336819908924</v>
      </c>
      <c r="K5179">
        <v>318.51075834791368</v>
      </c>
      <c r="L5179">
        <v>6.1225164413478446</v>
      </c>
      <c r="M5179">
        <v>3.9810781099158423</v>
      </c>
      <c r="N5179">
        <v>10.81519779194096</v>
      </c>
      <c r="O5179">
        <v>3.1599084797130099</v>
      </c>
      <c r="P5179">
        <v>2.1845663386514951</v>
      </c>
    </row>
    <row r="5180" spans="1:16">
      <c r="A5180" s="1" t="s">
        <v>5071</v>
      </c>
      <c r="B5180" s="1" t="s">
        <v>5097</v>
      </c>
      <c r="C5180" s="1" t="s">
        <v>1764</v>
      </c>
      <c r="D5180" s="1" t="s">
        <v>44</v>
      </c>
      <c r="E5180" s="1" t="s">
        <v>5076</v>
      </c>
      <c r="F5180">
        <v>3799.4819372422517</v>
      </c>
      <c r="G5180">
        <v>471.47177418849384</v>
      </c>
      <c r="H5180">
        <v>124.62124384742553</v>
      </c>
      <c r="I5180">
        <v>13.15134174521711</v>
      </c>
      <c r="J5180">
        <v>22.161135765787353</v>
      </c>
      <c r="K5180">
        <v>257.49291402232097</v>
      </c>
      <c r="L5180">
        <v>6.1354495451590481</v>
      </c>
      <c r="M5180">
        <v>6.5932864179649862</v>
      </c>
      <c r="N5180">
        <v>8.9378464686336176</v>
      </c>
      <c r="O5180">
        <v>2.4861759769138372</v>
      </c>
      <c r="P5180">
        <v>1.1712469281788001</v>
      </c>
    </row>
    <row r="5181" spans="1:16">
      <c r="A5181" s="1" t="s">
        <v>5071</v>
      </c>
      <c r="B5181" s="1" t="s">
        <v>5098</v>
      </c>
      <c r="C5181" s="1" t="s">
        <v>1764</v>
      </c>
      <c r="D5181" s="1" t="s">
        <v>44</v>
      </c>
      <c r="E5181" s="1" t="s">
        <v>5076</v>
      </c>
      <c r="F5181">
        <v>3353.5613816349401</v>
      </c>
      <c r="G5181">
        <v>464.24213457277745</v>
      </c>
      <c r="H5181">
        <v>136.28903444308332</v>
      </c>
      <c r="I5181">
        <v>12.215595434815514</v>
      </c>
      <c r="J5181">
        <v>20.900378068102121</v>
      </c>
      <c r="K5181">
        <v>308.6560841310058</v>
      </c>
      <c r="L5181">
        <v>6.8313601666196826</v>
      </c>
      <c r="M5181">
        <v>5.1657832136406086</v>
      </c>
      <c r="N5181">
        <v>7.4819709169212105</v>
      </c>
      <c r="O5181">
        <v>3.0091483872248355</v>
      </c>
      <c r="P5181">
        <v>1.9438018174256708</v>
      </c>
    </row>
    <row r="5182" spans="1:16">
      <c r="A5182" s="1" t="s">
        <v>5071</v>
      </c>
      <c r="B5182" s="1" t="s">
        <v>5099</v>
      </c>
      <c r="C5182" s="1" t="s">
        <v>1764</v>
      </c>
      <c r="D5182" s="1" t="s">
        <v>44</v>
      </c>
      <c r="E5182" s="1" t="s">
        <v>5076</v>
      </c>
      <c r="F5182">
        <v>4259.5631310678909</v>
      </c>
      <c r="G5182">
        <v>478.42610061975876</v>
      </c>
      <c r="H5182">
        <v>92.779557734165266</v>
      </c>
      <c r="I5182">
        <v>6.2625263730941461</v>
      </c>
      <c r="J5182">
        <v>2.3354639393655452</v>
      </c>
      <c r="K5182">
        <v>294.45424185123926</v>
      </c>
      <c r="L5182">
        <v>6.7012142088454194</v>
      </c>
      <c r="M5182">
        <v>5.6471624268171317</v>
      </c>
      <c r="N5182">
        <v>5.9091693017188556</v>
      </c>
      <c r="O5182">
        <v>2.18083215413353</v>
      </c>
      <c r="P5182">
        <v>1.6664702660067385</v>
      </c>
    </row>
    <row r="5183" spans="1:16">
      <c r="A5183" s="1" t="s">
        <v>5071</v>
      </c>
      <c r="B5183" s="1" t="s">
        <v>5100</v>
      </c>
      <c r="C5183" s="1" t="s">
        <v>1764</v>
      </c>
      <c r="D5183" s="1" t="s">
        <v>44</v>
      </c>
      <c r="E5183" s="1" t="s">
        <v>5076</v>
      </c>
      <c r="F5183">
        <v>2877.8731154415177</v>
      </c>
      <c r="G5183">
        <v>11073.764990806207</v>
      </c>
      <c r="H5183">
        <v>215.7924403291932</v>
      </c>
      <c r="I5183">
        <v>5.6683460321679728</v>
      </c>
      <c r="J5183">
        <v>0.2836348470134254</v>
      </c>
      <c r="K5183">
        <v>40631.662686944124</v>
      </c>
      <c r="L5183">
        <v>2.0705708336804038</v>
      </c>
      <c r="M5183">
        <v>3.572728849932127</v>
      </c>
      <c r="N5183">
        <v>211.31110750248939</v>
      </c>
      <c r="O5183">
        <v>2.4044517095416733</v>
      </c>
      <c r="P5183">
        <v>2.6354633693085208</v>
      </c>
    </row>
    <row r="5184" spans="1:16">
      <c r="A5184" s="1" t="s">
        <v>5071</v>
      </c>
      <c r="B5184" s="1" t="s">
        <v>5101</v>
      </c>
      <c r="C5184" s="1" t="s">
        <v>1764</v>
      </c>
      <c r="D5184" s="1" t="s">
        <v>44</v>
      </c>
      <c r="E5184" s="1" t="s">
        <v>5076</v>
      </c>
      <c r="F5184">
        <v>3204.6876476687034</v>
      </c>
      <c r="G5184">
        <v>13951.871833571055</v>
      </c>
      <c r="H5184">
        <v>212.45044701898047</v>
      </c>
      <c r="I5184">
        <v>8.9370642450180622</v>
      </c>
      <c r="J5184">
        <v>3.2212863394086755</v>
      </c>
      <c r="K5184">
        <v>44658.949153590569</v>
      </c>
      <c r="L5184">
        <v>2.1892469295333941</v>
      </c>
      <c r="M5184">
        <v>6.0446122621853471</v>
      </c>
      <c r="N5184">
        <v>299.59158501064047</v>
      </c>
      <c r="O5184">
        <v>2.3746523684447123</v>
      </c>
      <c r="P5184">
        <v>3.4093301109467635</v>
      </c>
    </row>
    <row r="5185" spans="1:16">
      <c r="A5185" s="1" t="s">
        <v>5071</v>
      </c>
      <c r="B5185" s="1" t="s">
        <v>5102</v>
      </c>
      <c r="C5185" s="1" t="s">
        <v>1764</v>
      </c>
      <c r="D5185" s="1" t="s">
        <v>44</v>
      </c>
      <c r="E5185" s="1" t="s">
        <v>5076</v>
      </c>
      <c r="F5185">
        <v>2912.0424965479574</v>
      </c>
      <c r="G5185">
        <v>8929.9273431309557</v>
      </c>
      <c r="H5185">
        <v>110.9968588255591</v>
      </c>
      <c r="I5185">
        <v>4.1971413475047497</v>
      </c>
      <c r="J5185">
        <v>4.4916281084691159</v>
      </c>
      <c r="K5185">
        <v>36607.058002091871</v>
      </c>
      <c r="L5185">
        <v>2.5846662754018532</v>
      </c>
      <c r="M5185">
        <v>5.8752490458243241</v>
      </c>
      <c r="N5185">
        <v>196.22229549141375</v>
      </c>
      <c r="O5185">
        <v>2.1997962286592516</v>
      </c>
      <c r="P5185">
        <v>2.5484718114553044</v>
      </c>
    </row>
    <row r="5186" spans="1:16">
      <c r="A5186" s="1" t="s">
        <v>5071</v>
      </c>
      <c r="B5186" s="1" t="s">
        <v>5103</v>
      </c>
      <c r="C5186" s="1" t="s">
        <v>1764</v>
      </c>
      <c r="D5186" s="1" t="s">
        <v>44</v>
      </c>
      <c r="E5186" s="1" t="s">
        <v>5076</v>
      </c>
      <c r="F5186">
        <v>2617.9835189676182</v>
      </c>
      <c r="G5186">
        <v>9277.3739020225748</v>
      </c>
      <c r="H5186">
        <v>234.94469891942251</v>
      </c>
      <c r="I5186">
        <v>14.971184163628534</v>
      </c>
      <c r="J5186">
        <v>17.820966842687373</v>
      </c>
      <c r="K5186">
        <v>41247.328826567798</v>
      </c>
      <c r="L5186">
        <v>2.3823328057818811</v>
      </c>
      <c r="M5186">
        <v>3.8451791931931316</v>
      </c>
      <c r="N5186">
        <v>243.90174110181832</v>
      </c>
      <c r="O5186">
        <v>2.2588369540343729</v>
      </c>
      <c r="P5186">
        <v>3.8009308300445817</v>
      </c>
    </row>
    <row r="5187" spans="1:16">
      <c r="A5187" s="1" t="s">
        <v>5071</v>
      </c>
      <c r="B5187" s="1" t="s">
        <v>5104</v>
      </c>
      <c r="C5187" s="1" t="s">
        <v>1764</v>
      </c>
      <c r="D5187" s="1" t="s">
        <v>44</v>
      </c>
      <c r="E5187" s="1" t="s">
        <v>5076</v>
      </c>
      <c r="F5187">
        <v>2563.0181639509901</v>
      </c>
      <c r="G5187">
        <v>8458.793614585662</v>
      </c>
      <c r="H5187">
        <v>169.2368319109822</v>
      </c>
      <c r="I5187">
        <v>9.4661081959739359</v>
      </c>
      <c r="J5187">
        <v>2.2776903324755255</v>
      </c>
      <c r="K5187">
        <v>40950.459155675082</v>
      </c>
      <c r="L5187">
        <v>2.3439507768429415</v>
      </c>
      <c r="M5187">
        <v>4.107792065445973</v>
      </c>
      <c r="N5187">
        <v>215.25997805551935</v>
      </c>
      <c r="O5187">
        <v>1.8460161700411395</v>
      </c>
      <c r="P5187">
        <v>3.3308444092864478</v>
      </c>
    </row>
    <row r="5188" spans="1:16">
      <c r="A5188" s="1" t="s">
        <v>5071</v>
      </c>
      <c r="B5188" s="1" t="s">
        <v>5105</v>
      </c>
      <c r="C5188" s="1" t="s">
        <v>1764</v>
      </c>
      <c r="D5188" s="1" t="s">
        <v>44</v>
      </c>
      <c r="E5188" s="1" t="s">
        <v>5076</v>
      </c>
      <c r="F5188">
        <v>3480.2361871428134</v>
      </c>
      <c r="G5188">
        <v>8241.1062493736226</v>
      </c>
      <c r="H5188">
        <v>135.66392197099898</v>
      </c>
      <c r="I5188">
        <v>9.618710376014171</v>
      </c>
      <c r="J5188">
        <v>7.4652887833658985</v>
      </c>
      <c r="K5188">
        <v>39404.718105807602</v>
      </c>
      <c r="L5188">
        <v>2.08101470836572</v>
      </c>
      <c r="M5188">
        <v>4.6217426562978812</v>
      </c>
      <c r="N5188">
        <v>222.15109009341353</v>
      </c>
      <c r="O5188">
        <v>1.8691970797618875</v>
      </c>
      <c r="P5188">
        <v>2.6245868560605667</v>
      </c>
    </row>
    <row r="5189" spans="1:16">
      <c r="A5189" s="1" t="s">
        <v>5071</v>
      </c>
      <c r="B5189" s="1" t="s">
        <v>5106</v>
      </c>
      <c r="C5189" s="1" t="s">
        <v>1764</v>
      </c>
      <c r="D5189" s="1" t="s">
        <v>44</v>
      </c>
      <c r="E5189" s="1" t="s">
        <v>5076</v>
      </c>
      <c r="F5189">
        <v>2757.8753936250509</v>
      </c>
      <c r="G5189">
        <v>8272.3565310456906</v>
      </c>
      <c r="H5189">
        <v>138.31883328993089</v>
      </c>
      <c r="I5189">
        <v>10.433650485229474</v>
      </c>
      <c r="J5189">
        <v>11.212332371527216</v>
      </c>
      <c r="K5189">
        <v>40827.788540085807</v>
      </c>
      <c r="L5189">
        <v>2.5638504620154872</v>
      </c>
      <c r="M5189">
        <v>1.9438976269256241</v>
      </c>
      <c r="N5189">
        <v>257.42318792589492</v>
      </c>
      <c r="O5189">
        <v>2.3979313687604695</v>
      </c>
      <c r="P5189">
        <v>3.2052165678753766</v>
      </c>
    </row>
    <row r="5190" spans="1:16">
      <c r="A5190" s="1" t="s">
        <v>5071</v>
      </c>
      <c r="B5190" s="1" t="s">
        <v>5107</v>
      </c>
      <c r="C5190" s="1" t="s">
        <v>1764</v>
      </c>
      <c r="D5190" s="1" t="s">
        <v>44</v>
      </c>
      <c r="E5190" s="1" t="s">
        <v>5076</v>
      </c>
      <c r="F5190">
        <v>1710.7077361528836</v>
      </c>
      <c r="G5190">
        <v>7694.2632195885253</v>
      </c>
      <c r="H5190">
        <v>251.06325453701351</v>
      </c>
      <c r="I5190">
        <v>12.594386324744738</v>
      </c>
      <c r="J5190">
        <v>44.374915322409358</v>
      </c>
      <c r="K5190">
        <v>35531.993270361556</v>
      </c>
      <c r="L5190">
        <v>1.7504683869832214</v>
      </c>
      <c r="M5190">
        <v>2.6621938335378021</v>
      </c>
      <c r="N5190">
        <v>196.64784029221309</v>
      </c>
      <c r="O5190">
        <v>2.0358206377611734</v>
      </c>
      <c r="P5190">
        <v>3.8174705124988115</v>
      </c>
    </row>
    <row r="5191" spans="1:16">
      <c r="A5191" s="1" t="s">
        <v>5071</v>
      </c>
      <c r="B5191" s="1" t="s">
        <v>5108</v>
      </c>
      <c r="C5191" s="1" t="s">
        <v>1764</v>
      </c>
      <c r="D5191" s="1" t="s">
        <v>44</v>
      </c>
      <c r="E5191" s="1" t="s">
        <v>5076</v>
      </c>
      <c r="F5191">
        <v>1924.985833520084</v>
      </c>
      <c r="G5191">
        <v>7696.0834355210845</v>
      </c>
      <c r="H5191">
        <v>210.53867642949527</v>
      </c>
      <c r="I5191">
        <v>11.512418537348751</v>
      </c>
      <c r="J5191">
        <v>25.981149484514891</v>
      </c>
      <c r="K5191">
        <v>37041.470136397205</v>
      </c>
      <c r="L5191">
        <v>1.897448273971903</v>
      </c>
      <c r="M5191">
        <v>4.4159865368149989</v>
      </c>
      <c r="N5191">
        <v>206.98457367305798</v>
      </c>
      <c r="O5191">
        <v>2.2630532394597132</v>
      </c>
      <c r="P5191">
        <v>3.8625969221319543</v>
      </c>
    </row>
    <row r="5192" spans="1:16">
      <c r="A5192" s="1" t="s">
        <v>5071</v>
      </c>
      <c r="B5192" s="1" t="s">
        <v>5109</v>
      </c>
      <c r="C5192" s="1" t="s">
        <v>1764</v>
      </c>
      <c r="D5192" s="1" t="s">
        <v>44</v>
      </c>
      <c r="E5192" s="1" t="s">
        <v>5076</v>
      </c>
      <c r="F5192">
        <v>2115.2770037801797</v>
      </c>
      <c r="G5192">
        <v>7715.8155511846435</v>
      </c>
      <c r="H5192">
        <v>225.14417085075448</v>
      </c>
      <c r="I5192">
        <v>11.003553047377002</v>
      </c>
      <c r="J5192">
        <v>19.316239880933928</v>
      </c>
      <c r="K5192">
        <v>37985.433415503714</v>
      </c>
      <c r="L5192">
        <v>2.5127388944437032</v>
      </c>
      <c r="M5192">
        <v>4.121866001881143</v>
      </c>
      <c r="N5192">
        <v>235.14820840486487</v>
      </c>
      <c r="O5192">
        <v>2.0907885373924997</v>
      </c>
      <c r="P5192">
        <v>3.5812804708563988</v>
      </c>
    </row>
    <row r="5193" spans="1:16">
      <c r="A5193" s="1" t="s">
        <v>5071</v>
      </c>
      <c r="B5193" s="5" t="s">
        <v>5110</v>
      </c>
      <c r="C5193" s="1" t="s">
        <v>1764</v>
      </c>
      <c r="D5193" s="1" t="s">
        <v>44</v>
      </c>
      <c r="E5193" s="1" t="s">
        <v>5076</v>
      </c>
      <c r="F5193">
        <v>5756.4602935430339</v>
      </c>
      <c r="G5193">
        <v>1111.3263451215691</v>
      </c>
      <c r="H5193">
        <v>17.69963153758636</v>
      </c>
      <c r="I5193">
        <v>1.7756432336153898</v>
      </c>
      <c r="J5193">
        <v>1.1715474754502437</v>
      </c>
      <c r="K5193">
        <v>32400.455070407512</v>
      </c>
      <c r="L5193">
        <v>1.9332358561022716</v>
      </c>
      <c r="M5193">
        <v>4.0321062493264241</v>
      </c>
      <c r="N5193">
        <v>191.24130495589716</v>
      </c>
      <c r="O5193">
        <v>1.4273930081010486</v>
      </c>
      <c r="P5193">
        <v>2.9390905539871541</v>
      </c>
    </row>
    <row r="5194" spans="1:16">
      <c r="A5194" s="1" t="s">
        <v>5071</v>
      </c>
      <c r="B5194" s="5" t="s">
        <v>5111</v>
      </c>
      <c r="C5194" s="1" t="s">
        <v>1764</v>
      </c>
      <c r="D5194" s="1" t="s">
        <v>44</v>
      </c>
      <c r="E5194" s="1" t="s">
        <v>5076</v>
      </c>
      <c r="F5194">
        <v>6302.1195801882259</v>
      </c>
      <c r="G5194">
        <v>969.70183285497194</v>
      </c>
      <c r="H5194">
        <v>6.1274788276304228</v>
      </c>
      <c r="I5194">
        <v>1.3042970696742719</v>
      </c>
      <c r="J5194">
        <v>4.9337851264365167</v>
      </c>
      <c r="K5194">
        <v>38292.752616300604</v>
      </c>
      <c r="L5194">
        <v>1.5538284853950652</v>
      </c>
      <c r="M5194">
        <v>4.4549957096903885</v>
      </c>
      <c r="N5194">
        <v>171.14311445820081</v>
      </c>
      <c r="O5194">
        <v>1.443291624530761</v>
      </c>
      <c r="P5194">
        <v>2.8935407899902383</v>
      </c>
    </row>
    <row r="5195" spans="1:16">
      <c r="A5195" s="1" t="s">
        <v>5071</v>
      </c>
      <c r="B5195" s="5" t="s">
        <v>5112</v>
      </c>
      <c r="C5195" s="1" t="s">
        <v>1764</v>
      </c>
      <c r="D5195" s="1" t="s">
        <v>44</v>
      </c>
      <c r="E5195" s="1" t="s">
        <v>5076</v>
      </c>
      <c r="F5195">
        <v>6410.5595432177734</v>
      </c>
      <c r="G5195">
        <v>1068.3342956827109</v>
      </c>
      <c r="H5195">
        <v>6.8762461293600721</v>
      </c>
      <c r="I5195">
        <v>2.4911387532181704</v>
      </c>
      <c r="J5195">
        <v>2.2526063995180201</v>
      </c>
      <c r="K5195">
        <v>31044.952769422773</v>
      </c>
      <c r="L5195">
        <v>1.8481382986438604</v>
      </c>
      <c r="M5195">
        <v>4.5483341540697477</v>
      </c>
      <c r="N5195">
        <v>198.84590581457439</v>
      </c>
      <c r="O5195">
        <v>1.3627784415772752</v>
      </c>
      <c r="P5195">
        <v>2.7370138585677597</v>
      </c>
    </row>
    <row r="5196" spans="1:16">
      <c r="A5196" s="1" t="s">
        <v>5071</v>
      </c>
      <c r="B5196" s="5" t="s">
        <v>5113</v>
      </c>
      <c r="C5196" s="1" t="s">
        <v>1764</v>
      </c>
      <c r="D5196" s="1" t="s">
        <v>44</v>
      </c>
      <c r="E5196" s="1" t="s">
        <v>5076</v>
      </c>
      <c r="F5196">
        <v>9687.0335070753481</v>
      </c>
      <c r="G5196">
        <v>1075.142733173944</v>
      </c>
      <c r="H5196">
        <v>4.4462676023604848</v>
      </c>
      <c r="I5196">
        <v>3.116590193792574</v>
      </c>
      <c r="J5196">
        <v>5.0686777114575561</v>
      </c>
      <c r="K5196">
        <v>34332.814611106827</v>
      </c>
      <c r="L5196">
        <v>1.499404865356482</v>
      </c>
      <c r="M5196">
        <v>3.4447003016687003</v>
      </c>
      <c r="N5196">
        <v>171.90012876791496</v>
      </c>
      <c r="O5196">
        <v>1.2393967388757765</v>
      </c>
      <c r="P5196">
        <v>2.9975256247040143</v>
      </c>
    </row>
    <row r="5197" spans="1:16">
      <c r="A5197" s="1" t="s">
        <v>5071</v>
      </c>
      <c r="B5197" s="5" t="s">
        <v>5114</v>
      </c>
      <c r="C5197" s="1" t="s">
        <v>1764</v>
      </c>
      <c r="D5197" s="1" t="s">
        <v>44</v>
      </c>
      <c r="E5197" s="1" t="s">
        <v>5076</v>
      </c>
      <c r="F5197">
        <v>8552.4823368300513</v>
      </c>
      <c r="G5197">
        <v>1091.6186192744856</v>
      </c>
      <c r="H5197">
        <v>8.9438102264775416</v>
      </c>
      <c r="I5197">
        <v>2.8854384713770513</v>
      </c>
      <c r="J5197">
        <v>2.1656195801371645</v>
      </c>
      <c r="K5197">
        <v>37635.865456070824</v>
      </c>
      <c r="L5197">
        <v>1.3368147968126971</v>
      </c>
      <c r="M5197">
        <v>3.495616902417749</v>
      </c>
      <c r="N5197">
        <v>149.61260963726281</v>
      </c>
      <c r="O5197">
        <v>1.2605757852809922</v>
      </c>
      <c r="P5197">
        <v>2.8140299592506302</v>
      </c>
    </row>
    <row r="5198" spans="1:16">
      <c r="A5198" s="1" t="s">
        <v>5071</v>
      </c>
      <c r="B5198" s="5" t="s">
        <v>5115</v>
      </c>
      <c r="C5198" s="1" t="s">
        <v>1764</v>
      </c>
      <c r="D5198" s="1" t="s">
        <v>44</v>
      </c>
      <c r="E5198" s="1" t="s">
        <v>5076</v>
      </c>
      <c r="F5198">
        <v>8351.0137135559198</v>
      </c>
      <c r="G5198">
        <v>1049.9466926458174</v>
      </c>
      <c r="H5198">
        <v>22.843305657947379</v>
      </c>
      <c r="I5198">
        <v>3.8973665271109992</v>
      </c>
      <c r="J5198">
        <v>6.588761912460507</v>
      </c>
      <c r="K5198">
        <v>42175.921708487411</v>
      </c>
      <c r="L5198">
        <v>1.8730821370556137</v>
      </c>
      <c r="M5198">
        <v>4.3471382214402876</v>
      </c>
      <c r="N5198">
        <v>129.82386851616863</v>
      </c>
      <c r="O5198">
        <v>0.83344822935417084</v>
      </c>
      <c r="P5198">
        <v>2.4434380266473266</v>
      </c>
    </row>
    <row r="5199" spans="1:16">
      <c r="A5199" s="1" t="s">
        <v>5071</v>
      </c>
      <c r="B5199" s="5" t="s">
        <v>5116</v>
      </c>
      <c r="C5199" s="1" t="s">
        <v>1764</v>
      </c>
      <c r="D5199" s="1" t="s">
        <v>44</v>
      </c>
      <c r="E5199" s="1" t="s">
        <v>5076</v>
      </c>
      <c r="F5199">
        <v>7301.4803581963861</v>
      </c>
      <c r="G5199">
        <v>1234.2474359681758</v>
      </c>
      <c r="H5199">
        <v>17.006881728935358</v>
      </c>
      <c r="I5199">
        <v>1.6886611462360148</v>
      </c>
      <c r="J5199">
        <v>3.9117734589016315</v>
      </c>
      <c r="K5199">
        <v>40268.886475469189</v>
      </c>
      <c r="L5199">
        <v>1.8388541089213561</v>
      </c>
      <c r="M5199">
        <v>3.2452418534703771</v>
      </c>
      <c r="N5199">
        <v>143.11811632190037</v>
      </c>
      <c r="O5199">
        <v>1.857067624309038</v>
      </c>
      <c r="P5199">
        <v>2.9624187728077649</v>
      </c>
    </row>
    <row r="5200" spans="1:16">
      <c r="A5200" s="1" t="s">
        <v>5071</v>
      </c>
      <c r="B5200" s="5" t="s">
        <v>5117</v>
      </c>
      <c r="C5200" s="1" t="s">
        <v>1764</v>
      </c>
      <c r="D5200" s="1" t="s">
        <v>44</v>
      </c>
      <c r="E5200" s="1" t="s">
        <v>5076</v>
      </c>
      <c r="F5200">
        <v>6526.860852891672</v>
      </c>
      <c r="G5200">
        <v>1257.0330611610145</v>
      </c>
      <c r="H5200">
        <v>19.752639421774209</v>
      </c>
      <c r="I5200">
        <v>1.6556126425134925</v>
      </c>
      <c r="J5200">
        <v>2.9641333663704339</v>
      </c>
      <c r="K5200">
        <v>38329.792422330684</v>
      </c>
      <c r="L5200">
        <v>1.59497368824674</v>
      </c>
      <c r="M5200">
        <v>2.1525330443673485</v>
      </c>
      <c r="N5200">
        <v>146.50241724690571</v>
      </c>
      <c r="O5200">
        <v>1.3742547412571116</v>
      </c>
      <c r="P5200">
        <v>2.5945656382964719</v>
      </c>
    </row>
    <row r="5201" spans="1:16">
      <c r="A5201" s="1" t="s">
        <v>5071</v>
      </c>
      <c r="B5201" s="5" t="s">
        <v>5118</v>
      </c>
      <c r="C5201" s="1" t="s">
        <v>1764</v>
      </c>
      <c r="D5201" s="1" t="s">
        <v>44</v>
      </c>
      <c r="E5201" s="1" t="s">
        <v>5076</v>
      </c>
      <c r="F5201">
        <v>9481.3783015437893</v>
      </c>
      <c r="G5201">
        <v>1210.0365115719528</v>
      </c>
      <c r="H5201">
        <v>12.032639221250101</v>
      </c>
      <c r="I5201">
        <v>2.3591171685040715</v>
      </c>
      <c r="J5201">
        <v>3.1636242636135545</v>
      </c>
      <c r="K5201">
        <v>33951.199500007773</v>
      </c>
      <c r="L5201">
        <v>1.6468767805347548</v>
      </c>
      <c r="M5201">
        <v>4.0070649512787204</v>
      </c>
      <c r="N5201">
        <v>181.54311202913658</v>
      </c>
      <c r="O5201">
        <v>1.2096751140556965</v>
      </c>
      <c r="P5201">
        <v>2.7977673332705781</v>
      </c>
    </row>
    <row r="5202" spans="1:16">
      <c r="A5202" s="1" t="s">
        <v>5071</v>
      </c>
      <c r="B5202" s="5" t="s">
        <v>5119</v>
      </c>
      <c r="C5202" s="1" t="s">
        <v>1764</v>
      </c>
      <c r="D5202" s="1" t="s">
        <v>44</v>
      </c>
      <c r="E5202" s="1" t="s">
        <v>5076</v>
      </c>
      <c r="F5202">
        <v>7054.4356079043573</v>
      </c>
      <c r="G5202">
        <v>1268.2082664526815</v>
      </c>
      <c r="H5202">
        <v>27.094909486002212</v>
      </c>
      <c r="I5202">
        <v>2.6999118513235891</v>
      </c>
      <c r="J5202">
        <v>3.9660286677418242</v>
      </c>
      <c r="K5202">
        <v>28389.089074422907</v>
      </c>
      <c r="L5202">
        <v>1.3238965842035011</v>
      </c>
      <c r="M5202">
        <v>3.706153654999107</v>
      </c>
      <c r="N5202">
        <v>204.66176618744635</v>
      </c>
      <c r="O5202">
        <v>1.2147908103853635</v>
      </c>
      <c r="P5202">
        <v>2.9495266839927314</v>
      </c>
    </row>
    <row r="5203" spans="1:16">
      <c r="A5203" s="1" t="s">
        <v>5071</v>
      </c>
      <c r="B5203" s="5" t="s">
        <v>5120</v>
      </c>
      <c r="C5203" s="1" t="s">
        <v>1764</v>
      </c>
      <c r="D5203" s="1" t="s">
        <v>44</v>
      </c>
      <c r="E5203" s="1" t="s">
        <v>5076</v>
      </c>
      <c r="F5203">
        <v>5200.9726015145197</v>
      </c>
      <c r="G5203">
        <v>1169.0933052650194</v>
      </c>
      <c r="H5203">
        <v>20.527875703120607</v>
      </c>
      <c r="I5203">
        <v>2.8817969952138385</v>
      </c>
      <c r="J5203">
        <v>3.3627182951077845</v>
      </c>
      <c r="K5203">
        <v>27027.672952168796</v>
      </c>
      <c r="L5203">
        <v>1.4993585326923282</v>
      </c>
      <c r="M5203">
        <v>4.1978184052801284</v>
      </c>
      <c r="N5203">
        <v>232.07133348556093</v>
      </c>
      <c r="O5203">
        <v>1.2900867238285012</v>
      </c>
      <c r="P5203">
        <v>3.0609412794513746</v>
      </c>
    </row>
    <row r="5204" spans="1:16">
      <c r="A5204" s="1" t="s">
        <v>5121</v>
      </c>
      <c r="B5204" s="1" t="s">
        <v>5122</v>
      </c>
      <c r="C5204" s="1" t="s">
        <v>5594</v>
      </c>
      <c r="D5204" s="1" t="s">
        <v>106</v>
      </c>
      <c r="E5204" s="1" t="s">
        <v>5123</v>
      </c>
      <c r="F5204">
        <v>69.527908673164418</v>
      </c>
      <c r="G5204">
        <v>93.548598991880951</v>
      </c>
      <c r="H5204">
        <v>3.6306316682319428</v>
      </c>
      <c r="I5204">
        <v>0.83933689467446726</v>
      </c>
      <c r="J5204">
        <v>0.72167053586639829</v>
      </c>
      <c r="K5204">
        <v>811.72839543526163</v>
      </c>
      <c r="L5204">
        <v>3.0058923314666788</v>
      </c>
      <c r="M5204">
        <v>0.1883608292155427</v>
      </c>
      <c r="N5204">
        <v>11.042169262264423</v>
      </c>
      <c r="O5204">
        <v>0.42691738005280583</v>
      </c>
      <c r="P5204">
        <v>1.7472193750622296</v>
      </c>
    </row>
    <row r="5205" spans="1:16">
      <c r="A5205" s="1" t="s">
        <v>5121</v>
      </c>
      <c r="B5205" s="1" t="s">
        <v>5124</v>
      </c>
      <c r="C5205" s="1" t="s">
        <v>5594</v>
      </c>
      <c r="D5205" s="1" t="s">
        <v>106</v>
      </c>
      <c r="E5205" s="1" t="s">
        <v>5123</v>
      </c>
      <c r="F5205">
        <v>48.066779151721136</v>
      </c>
      <c r="G5205">
        <v>99.088569048624208</v>
      </c>
      <c r="H5205">
        <v>9.5936009577749761</v>
      </c>
      <c r="I5205">
        <v>0.66855567358771828</v>
      </c>
      <c r="J5205">
        <v>13.249980734819813</v>
      </c>
      <c r="K5205">
        <v>869.10420140741007</v>
      </c>
      <c r="L5205">
        <v>5.7024216930394385</v>
      </c>
      <c r="M5205">
        <v>2.6102892382858816</v>
      </c>
      <c r="N5205">
        <v>13.859981832186792</v>
      </c>
      <c r="O5205">
        <v>0.22661750758541119</v>
      </c>
      <c r="P5205">
        <v>2.2570492880624067</v>
      </c>
    </row>
    <row r="5206" spans="1:16">
      <c r="A5206" s="1" t="s">
        <v>5121</v>
      </c>
      <c r="B5206" s="1" t="s">
        <v>5125</v>
      </c>
      <c r="C5206" s="1" t="s">
        <v>5594</v>
      </c>
      <c r="D5206" s="1" t="s">
        <v>106</v>
      </c>
      <c r="E5206" s="1" t="s">
        <v>5123</v>
      </c>
      <c r="F5206">
        <v>42.398192385599344</v>
      </c>
      <c r="G5206">
        <v>74.014249438545505</v>
      </c>
      <c r="H5206">
        <v>6.4126293222176489</v>
      </c>
      <c r="I5206">
        <v>3.1496030429976472</v>
      </c>
      <c r="J5206">
        <v>4.2745684564677262</v>
      </c>
      <c r="K5206">
        <v>682.74125114351898</v>
      </c>
      <c r="L5206">
        <v>3.3985379027317353</v>
      </c>
      <c r="M5206">
        <v>3.1878370396721385</v>
      </c>
      <c r="N5206">
        <v>13.344149968934975</v>
      </c>
      <c r="O5206">
        <v>0.39268468642412419</v>
      </c>
      <c r="P5206">
        <v>2.6352525724963596</v>
      </c>
    </row>
    <row r="5207" spans="1:16">
      <c r="A5207" s="1" t="s">
        <v>5121</v>
      </c>
      <c r="B5207" s="1" t="s">
        <v>5126</v>
      </c>
      <c r="C5207" s="1" t="s">
        <v>5594</v>
      </c>
      <c r="D5207" s="1" t="s">
        <v>106</v>
      </c>
      <c r="E5207" s="1" t="s">
        <v>5123</v>
      </c>
      <c r="F5207">
        <v>53.126669644602757</v>
      </c>
      <c r="G5207">
        <v>85.409757071514278</v>
      </c>
      <c r="H5207">
        <v>7.0000321633746942</v>
      </c>
      <c r="I5207">
        <v>0.67600195110399419</v>
      </c>
      <c r="J5207">
        <v>10.122300730586609</v>
      </c>
      <c r="K5207">
        <v>834.36264423774628</v>
      </c>
      <c r="L5207">
        <v>3.8135213015838083</v>
      </c>
      <c r="M5207">
        <v>0.97256963781522521</v>
      </c>
      <c r="N5207">
        <v>12.611361361420354</v>
      </c>
      <c r="O5207">
        <v>4.8644041679326309E-2</v>
      </c>
      <c r="P5207">
        <v>1.532685405241313</v>
      </c>
    </row>
    <row r="5208" spans="1:16">
      <c r="A5208" s="1" t="s">
        <v>5121</v>
      </c>
      <c r="B5208" s="1" t="s">
        <v>5127</v>
      </c>
      <c r="C5208" s="1" t="s">
        <v>5594</v>
      </c>
      <c r="D5208" s="1" t="s">
        <v>106</v>
      </c>
      <c r="E5208" s="1" t="s">
        <v>5123</v>
      </c>
      <c r="F5208">
        <v>66.095885838714963</v>
      </c>
      <c r="G5208">
        <v>86.078488162981984</v>
      </c>
      <c r="H5208">
        <v>8.224078341029168</v>
      </c>
      <c r="I5208">
        <v>0.78221060178628732</v>
      </c>
      <c r="J5208">
        <v>0.7712779199764791</v>
      </c>
      <c r="K5208">
        <v>671.72275470904458</v>
      </c>
      <c r="L5208">
        <v>0.64349020117708489</v>
      </c>
      <c r="M5208">
        <v>0.69798143504896104</v>
      </c>
      <c r="N5208">
        <v>4.0702737081436542</v>
      </c>
      <c r="O5208">
        <v>3.0483483141909493E-2</v>
      </c>
      <c r="P5208">
        <v>0.50807294007810022</v>
      </c>
    </row>
    <row r="5209" spans="1:16">
      <c r="A5209" s="1" t="s">
        <v>5121</v>
      </c>
      <c r="B5209" s="1" t="s">
        <v>5128</v>
      </c>
      <c r="C5209" s="1" t="s">
        <v>5594</v>
      </c>
      <c r="D5209" s="1" t="s">
        <v>106</v>
      </c>
      <c r="E5209" s="1" t="s">
        <v>5123</v>
      </c>
      <c r="F5209">
        <v>37.585891881399228</v>
      </c>
      <c r="G5209">
        <v>53.496240621806798</v>
      </c>
      <c r="H5209">
        <v>8.5190803259600951</v>
      </c>
      <c r="I5209">
        <v>0.73780780374355703</v>
      </c>
      <c r="J5209">
        <v>2.6292331258918766</v>
      </c>
      <c r="K5209">
        <v>635.00052254395337</v>
      </c>
      <c r="L5209">
        <v>0.64333161545654582</v>
      </c>
      <c r="M5209">
        <v>0.88113359959957127</v>
      </c>
      <c r="N5209">
        <v>7.8679683615422453</v>
      </c>
      <c r="O5209">
        <v>0.10653742242074252</v>
      </c>
      <c r="P5209">
        <v>0.34299686624607406</v>
      </c>
    </row>
    <row r="5210" spans="1:16">
      <c r="A5210" s="1" t="s">
        <v>5121</v>
      </c>
      <c r="B5210" s="1" t="s">
        <v>5129</v>
      </c>
      <c r="C5210" s="1" t="s">
        <v>5594</v>
      </c>
      <c r="D5210" s="1" t="s">
        <v>106</v>
      </c>
      <c r="E5210" s="1" t="s">
        <v>5123</v>
      </c>
      <c r="F5210">
        <v>52.672969340079483</v>
      </c>
      <c r="G5210">
        <v>74.07872167637845</v>
      </c>
      <c r="H5210">
        <v>9.8770057487853364</v>
      </c>
      <c r="I5210">
        <v>0.88760224143680189</v>
      </c>
      <c r="J5210">
        <v>0.57394097484140238</v>
      </c>
      <c r="K5210">
        <v>661.48375913599716</v>
      </c>
      <c r="L5210">
        <v>0.78002502235767934</v>
      </c>
      <c r="M5210">
        <v>1.0685199166781874</v>
      </c>
      <c r="N5210">
        <v>9.2175229854319696</v>
      </c>
      <c r="O5210">
        <v>9.4143104794834023E-2</v>
      </c>
      <c r="P5210">
        <v>0.37813836390921374</v>
      </c>
    </row>
    <row r="5211" spans="1:16">
      <c r="A5211" s="1" t="s">
        <v>5121</v>
      </c>
      <c r="B5211" s="1" t="s">
        <v>5130</v>
      </c>
      <c r="C5211" s="1" t="s">
        <v>5594</v>
      </c>
      <c r="D5211" s="1" t="s">
        <v>106</v>
      </c>
      <c r="E5211" s="1" t="s">
        <v>5123</v>
      </c>
      <c r="F5211">
        <v>47.605700226206402</v>
      </c>
      <c r="G5211">
        <v>72.84326155549563</v>
      </c>
      <c r="H5211">
        <v>11.583072447236505</v>
      </c>
      <c r="I5211">
        <v>0.77814656769152091</v>
      </c>
      <c r="J5211">
        <v>1.2543996792691283</v>
      </c>
      <c r="K5211">
        <v>758.78377143729904</v>
      </c>
      <c r="L5211">
        <v>0.6334235745336193</v>
      </c>
      <c r="M5211">
        <v>0.90463557529109651</v>
      </c>
      <c r="N5211">
        <v>8.3365940366839855</v>
      </c>
      <c r="O5211">
        <v>0.173843840354024</v>
      </c>
      <c r="P5211">
        <v>0.50801736182838908</v>
      </c>
    </row>
    <row r="5212" spans="1:16">
      <c r="A5212" s="1" t="s">
        <v>5121</v>
      </c>
      <c r="B5212" s="1" t="s">
        <v>5131</v>
      </c>
      <c r="C5212" s="1" t="s">
        <v>5594</v>
      </c>
      <c r="D5212" s="1" t="s">
        <v>106</v>
      </c>
      <c r="E5212" s="1" t="s">
        <v>5123</v>
      </c>
      <c r="F5212">
        <v>56.415784644558023</v>
      </c>
      <c r="G5212">
        <v>77.130257457960226</v>
      </c>
      <c r="H5212">
        <v>10.569677379047933</v>
      </c>
      <c r="I5212">
        <v>0.78667628730865535</v>
      </c>
      <c r="J5212">
        <v>1.0874179966298845</v>
      </c>
      <c r="K5212">
        <v>729.20529848035198</v>
      </c>
      <c r="L5212">
        <v>0.72329068358791004</v>
      </c>
      <c r="M5212">
        <v>0.67649009829627516</v>
      </c>
      <c r="N5212">
        <v>9.9623079017453939</v>
      </c>
      <c r="O5212">
        <v>8.9738821199633736E-2</v>
      </c>
      <c r="P5212">
        <v>0.45997554455137013</v>
      </c>
    </row>
    <row r="5213" spans="1:16">
      <c r="A5213" s="1" t="s">
        <v>5121</v>
      </c>
      <c r="B5213" s="1" t="s">
        <v>5132</v>
      </c>
      <c r="C5213" s="1" t="s">
        <v>5594</v>
      </c>
      <c r="D5213" s="1" t="s">
        <v>106</v>
      </c>
      <c r="E5213" s="1" t="s">
        <v>5123</v>
      </c>
      <c r="F5213">
        <v>114.71179542627317</v>
      </c>
      <c r="G5213">
        <v>849.25458695045324</v>
      </c>
      <c r="H5213">
        <v>104.45548172548295</v>
      </c>
      <c r="I5213">
        <v>2.9889338311191933</v>
      </c>
      <c r="J5213">
        <v>5.4071822293222214</v>
      </c>
      <c r="K5213">
        <v>657.79848036965438</v>
      </c>
      <c r="L5213">
        <v>0.12704066889231441</v>
      </c>
      <c r="M5213">
        <v>3.0668165303900996</v>
      </c>
      <c r="N5213">
        <v>21.51502800176435</v>
      </c>
      <c r="O5213">
        <v>0.48775572231722492</v>
      </c>
      <c r="P5213">
        <v>1.6690023453253111</v>
      </c>
    </row>
    <row r="5214" spans="1:16">
      <c r="A5214" s="1" t="s">
        <v>5121</v>
      </c>
      <c r="B5214" s="1" t="s">
        <v>5133</v>
      </c>
      <c r="C5214" s="1" t="s">
        <v>5594</v>
      </c>
      <c r="D5214" s="1" t="s">
        <v>106</v>
      </c>
      <c r="E5214" s="1" t="s">
        <v>5123</v>
      </c>
      <c r="F5214">
        <v>86.22360518839055</v>
      </c>
      <c r="G5214">
        <v>842.12575128374044</v>
      </c>
      <c r="H5214">
        <v>89.122561177740778</v>
      </c>
      <c r="I5214">
        <v>4.2174546649657687</v>
      </c>
      <c r="J5214">
        <v>8.4178877826240956</v>
      </c>
      <c r="K5214">
        <v>605.53790616260824</v>
      </c>
      <c r="L5214">
        <v>5.4984865245229502</v>
      </c>
      <c r="M5214">
        <v>3.7610543473748539</v>
      </c>
      <c r="N5214">
        <v>23.998525784911571</v>
      </c>
      <c r="O5214">
        <v>0.61862157545081364</v>
      </c>
      <c r="P5214">
        <v>1.6478614194026533</v>
      </c>
    </row>
    <row r="5215" spans="1:16">
      <c r="A5215" s="1" t="s">
        <v>5121</v>
      </c>
      <c r="B5215" s="1" t="s">
        <v>5134</v>
      </c>
      <c r="C5215" s="1" t="s">
        <v>5594</v>
      </c>
      <c r="D5215" s="1" t="s">
        <v>106</v>
      </c>
      <c r="E5215" s="1" t="s">
        <v>5123</v>
      </c>
      <c r="F5215">
        <v>162.49195456591443</v>
      </c>
      <c r="G5215">
        <v>589.95728502284283</v>
      </c>
      <c r="H5215">
        <v>117.60546199933502</v>
      </c>
      <c r="I5215">
        <v>4.0237942142186878</v>
      </c>
      <c r="J5215">
        <v>2.4080720488535601</v>
      </c>
      <c r="K5215">
        <v>650.36928376809203</v>
      </c>
      <c r="L5215">
        <v>0.21889849033169934</v>
      </c>
      <c r="M5215">
        <v>2.5506423948228427</v>
      </c>
      <c r="N5215">
        <v>23.046730445391599</v>
      </c>
      <c r="O5215">
        <v>0.5751520036503136</v>
      </c>
      <c r="P5215">
        <v>0.36621155163451313</v>
      </c>
    </row>
    <row r="5216" spans="1:16">
      <c r="A5216" s="1" t="s">
        <v>5121</v>
      </c>
      <c r="B5216" s="1" t="s">
        <v>5135</v>
      </c>
      <c r="C5216" s="1" t="s">
        <v>5594</v>
      </c>
      <c r="D5216" s="1" t="s">
        <v>106</v>
      </c>
      <c r="E5216" s="1" t="s">
        <v>5123</v>
      </c>
      <c r="F5216">
        <v>133.73933525238812</v>
      </c>
      <c r="G5216">
        <v>642.1589905784092</v>
      </c>
      <c r="H5216">
        <v>98.788776916727286</v>
      </c>
      <c r="I5216">
        <v>4.9668060127188216</v>
      </c>
      <c r="J5216">
        <v>11.276768110312673</v>
      </c>
      <c r="K5216">
        <v>617.80706146582941</v>
      </c>
      <c r="L5216">
        <v>0.6474631441785188</v>
      </c>
      <c r="M5216">
        <v>2.7843783868336254</v>
      </c>
      <c r="N5216">
        <v>19.022881481075437</v>
      </c>
      <c r="O5216">
        <v>0.47694412953210219</v>
      </c>
      <c r="P5216">
        <v>1.5996760609466589</v>
      </c>
    </row>
    <row r="5217" spans="1:16">
      <c r="A5217" s="1" t="s">
        <v>5121</v>
      </c>
      <c r="B5217" s="1" t="s">
        <v>5136</v>
      </c>
      <c r="C5217" s="1" t="s">
        <v>5594</v>
      </c>
      <c r="D5217" s="1" t="s">
        <v>106</v>
      </c>
      <c r="E5217" s="1" t="s">
        <v>5123</v>
      </c>
      <c r="F5217">
        <v>145.6024139720368</v>
      </c>
      <c r="G5217">
        <v>607.71418107078966</v>
      </c>
      <c r="H5217">
        <v>86.167113562545055</v>
      </c>
      <c r="I5217">
        <v>3.4988159914507069</v>
      </c>
      <c r="J5217">
        <v>6.1286475776748226</v>
      </c>
      <c r="K5217">
        <v>661.62829652698224</v>
      </c>
      <c r="L5217">
        <v>0.47424666584832353</v>
      </c>
      <c r="M5217">
        <v>0.86267057243350931</v>
      </c>
      <c r="N5217">
        <v>28.240200193870173</v>
      </c>
      <c r="O5217">
        <v>0.71567255039249511</v>
      </c>
      <c r="P5217">
        <v>4.3292109642540106</v>
      </c>
    </row>
    <row r="5218" spans="1:16">
      <c r="A5218" s="1" t="s">
        <v>5121</v>
      </c>
      <c r="B5218" s="1" t="s">
        <v>5137</v>
      </c>
      <c r="C5218" s="1" t="s">
        <v>5594</v>
      </c>
      <c r="D5218" s="1" t="s">
        <v>106</v>
      </c>
      <c r="E5218" s="1" t="s">
        <v>5123</v>
      </c>
      <c r="F5218">
        <v>38.078391617189979</v>
      </c>
      <c r="G5218">
        <v>358.63620290716432</v>
      </c>
      <c r="H5218">
        <v>107.34719019157743</v>
      </c>
      <c r="I5218">
        <v>3.8557340531558641</v>
      </c>
      <c r="J5218">
        <v>7.1364495720939312</v>
      </c>
      <c r="K5218">
        <v>385.0340849690258</v>
      </c>
      <c r="L5218">
        <v>5.6680719801064479</v>
      </c>
      <c r="M5218">
        <v>9.9778663086791308</v>
      </c>
      <c r="N5218">
        <v>19.987380833441204</v>
      </c>
      <c r="O5218">
        <v>1.2614346955335303</v>
      </c>
      <c r="P5218">
        <v>0.32988808970607059</v>
      </c>
    </row>
    <row r="5219" spans="1:16">
      <c r="A5219" s="1" t="s">
        <v>5121</v>
      </c>
      <c r="B5219" s="1" t="s">
        <v>5138</v>
      </c>
      <c r="C5219" s="1" t="s">
        <v>5594</v>
      </c>
      <c r="D5219" s="1" t="s">
        <v>106</v>
      </c>
      <c r="E5219" s="1" t="s">
        <v>5123</v>
      </c>
      <c r="F5219">
        <v>73.394995126866121</v>
      </c>
      <c r="G5219">
        <v>623.80972378337697</v>
      </c>
      <c r="H5219">
        <v>73.85818380532811</v>
      </c>
      <c r="I5219">
        <v>4.7763499830521328</v>
      </c>
      <c r="J5219">
        <v>4.6491195119886264</v>
      </c>
      <c r="K5219">
        <v>477.22269099364007</v>
      </c>
      <c r="L5219">
        <v>6.9059574169884677</v>
      </c>
      <c r="M5219">
        <v>1.4180495202334178</v>
      </c>
      <c r="N5219">
        <v>25.648523949821413</v>
      </c>
      <c r="O5219">
        <v>0.72493977505701157</v>
      </c>
      <c r="P5219">
        <v>0.27836398908011822</v>
      </c>
    </row>
    <row r="5220" spans="1:16">
      <c r="A5220" s="1" t="s">
        <v>5121</v>
      </c>
      <c r="B5220" s="1" t="s">
        <v>5139</v>
      </c>
      <c r="C5220" s="1" t="s">
        <v>5594</v>
      </c>
      <c r="D5220" s="1" t="s">
        <v>106</v>
      </c>
      <c r="E5220" s="1" t="s">
        <v>5123</v>
      </c>
      <c r="F5220">
        <v>40.114845508141897</v>
      </c>
      <c r="G5220">
        <v>421.39393712046501</v>
      </c>
      <c r="H5220">
        <v>98.790657841673422</v>
      </c>
      <c r="I5220">
        <v>4.3033309252935474</v>
      </c>
      <c r="J5220">
        <v>8.0116909088749377</v>
      </c>
      <c r="K5220">
        <v>425.29354052007051</v>
      </c>
      <c r="L5220">
        <v>8.1581424852767075</v>
      </c>
      <c r="M5220">
        <v>1.3310160135853646</v>
      </c>
      <c r="N5220">
        <v>19.992446962476421</v>
      </c>
      <c r="O5220">
        <v>1.7002823060675407</v>
      </c>
      <c r="P5220">
        <v>1.5692215083705947</v>
      </c>
    </row>
    <row r="5221" spans="1:16">
      <c r="A5221" s="1" t="s">
        <v>5121</v>
      </c>
      <c r="B5221" s="1" t="s">
        <v>5140</v>
      </c>
      <c r="C5221" s="1" t="s">
        <v>5594</v>
      </c>
      <c r="D5221" s="1" t="s">
        <v>106</v>
      </c>
      <c r="E5221" s="1" t="s">
        <v>5123</v>
      </c>
      <c r="F5221">
        <v>49.373901273385144</v>
      </c>
      <c r="G5221">
        <v>357.86475020544128</v>
      </c>
      <c r="H5221">
        <v>125.49594379354305</v>
      </c>
      <c r="I5221">
        <v>2.8739880969364986</v>
      </c>
      <c r="J5221">
        <v>6.2794894042545364</v>
      </c>
      <c r="K5221">
        <v>472.27720865614305</v>
      </c>
      <c r="L5221">
        <v>6.0819636300707423</v>
      </c>
      <c r="M5221">
        <v>4.6739066709215251</v>
      </c>
      <c r="N5221">
        <v>22.451360036141853</v>
      </c>
      <c r="O5221">
        <v>0.71517472942391702</v>
      </c>
      <c r="P5221">
        <v>2.9678713171402658</v>
      </c>
    </row>
    <row r="5222" spans="1:16">
      <c r="A5222" s="1" t="s">
        <v>5121</v>
      </c>
      <c r="B5222" s="1" t="s">
        <v>5141</v>
      </c>
      <c r="C5222" s="1" t="s">
        <v>5594</v>
      </c>
      <c r="D5222" s="1" t="s">
        <v>106</v>
      </c>
      <c r="E5222" s="1" t="s">
        <v>5123</v>
      </c>
      <c r="F5222">
        <v>37.462107711363956</v>
      </c>
      <c r="G5222">
        <v>471.49592843477723</v>
      </c>
      <c r="H5222">
        <v>91.771439684692126</v>
      </c>
      <c r="I5222">
        <v>3.4679756112611191</v>
      </c>
      <c r="J5222">
        <v>9.7005932889693067</v>
      </c>
      <c r="K5222">
        <v>596.1698183535517</v>
      </c>
      <c r="L5222">
        <v>4.9739024851101812</v>
      </c>
      <c r="M5222">
        <v>4.1943239566463211</v>
      </c>
      <c r="N5222">
        <v>18.934183042978713</v>
      </c>
      <c r="O5222">
        <v>1.5043928261408395</v>
      </c>
      <c r="P5222">
        <v>0.65113217182437866</v>
      </c>
    </row>
    <row r="5223" spans="1:16">
      <c r="A5223" s="1" t="s">
        <v>5121</v>
      </c>
      <c r="B5223" s="1" t="s">
        <v>5142</v>
      </c>
      <c r="C5223" s="1" t="s">
        <v>5594</v>
      </c>
      <c r="D5223" s="1" t="s">
        <v>106</v>
      </c>
      <c r="E5223" s="1" t="s">
        <v>5123</v>
      </c>
      <c r="F5223">
        <v>232.79296412442969</v>
      </c>
      <c r="G5223">
        <v>623.20835798034568</v>
      </c>
      <c r="H5223">
        <v>123.89694667781012</v>
      </c>
      <c r="I5223">
        <v>5.0934966234817924</v>
      </c>
      <c r="J5223">
        <v>5.8048938889634769</v>
      </c>
      <c r="K5223">
        <v>778.84677992265176</v>
      </c>
      <c r="L5223">
        <v>1.4247846646752456</v>
      </c>
      <c r="M5223">
        <v>3.438999939459829</v>
      </c>
      <c r="N5223">
        <v>16.042594426149119</v>
      </c>
      <c r="O5223">
        <v>0.68767912178134549</v>
      </c>
      <c r="P5223">
        <v>0.25922782465508221</v>
      </c>
    </row>
    <row r="5224" spans="1:16">
      <c r="A5224" s="1" t="s">
        <v>5121</v>
      </c>
      <c r="B5224" s="1" t="s">
        <v>5143</v>
      </c>
      <c r="C5224" s="1" t="s">
        <v>5594</v>
      </c>
      <c r="D5224" s="1" t="s">
        <v>106</v>
      </c>
      <c r="E5224" s="1" t="s">
        <v>5123</v>
      </c>
      <c r="F5224">
        <v>229.4779407490548</v>
      </c>
      <c r="G5224">
        <v>652.41478594874854</v>
      </c>
      <c r="H5224">
        <v>121.68421996020173</v>
      </c>
      <c r="I5224">
        <v>5.0378828634403137</v>
      </c>
      <c r="J5224">
        <v>6.3043294667292749</v>
      </c>
      <c r="K5224">
        <v>777.35425956485244</v>
      </c>
      <c r="L5224">
        <v>1.4079375152064044</v>
      </c>
      <c r="M5224">
        <v>3.6023710417641479</v>
      </c>
      <c r="N5224">
        <v>15.808711659571241</v>
      </c>
      <c r="O5224">
        <v>0.70669669920468103</v>
      </c>
      <c r="P5224">
        <v>0.21131850845792027</v>
      </c>
    </row>
    <row r="5225" spans="1:16">
      <c r="A5225" s="1" t="s">
        <v>5121</v>
      </c>
      <c r="B5225" s="1" t="s">
        <v>5144</v>
      </c>
      <c r="C5225" s="1" t="s">
        <v>5594</v>
      </c>
      <c r="D5225" s="1" t="s">
        <v>106</v>
      </c>
      <c r="E5225" s="1" t="s">
        <v>5123</v>
      </c>
      <c r="F5225">
        <v>179.2612333452463</v>
      </c>
      <c r="G5225">
        <v>627.34097978139505</v>
      </c>
      <c r="H5225">
        <v>118.00800672367534</v>
      </c>
      <c r="I5225">
        <v>4.8098413553919519</v>
      </c>
      <c r="J5225">
        <v>5.323761604504317</v>
      </c>
      <c r="K5225">
        <v>768.81255811826668</v>
      </c>
      <c r="L5225">
        <v>1.4304686366352848</v>
      </c>
      <c r="M5225">
        <v>3.7025798884772696</v>
      </c>
      <c r="N5225">
        <v>13.411979145893172</v>
      </c>
      <c r="O5225">
        <v>0.73926196135300071</v>
      </c>
      <c r="P5225">
        <v>0.21713218374331844</v>
      </c>
    </row>
    <row r="5226" spans="1:16">
      <c r="A5226" s="1" t="s">
        <v>5121</v>
      </c>
      <c r="B5226" s="1" t="s">
        <v>5145</v>
      </c>
      <c r="C5226" s="1" t="s">
        <v>5594</v>
      </c>
      <c r="D5226" s="1" t="s">
        <v>106</v>
      </c>
      <c r="E5226" s="1" t="s">
        <v>5123</v>
      </c>
      <c r="F5226">
        <v>315.90203262921347</v>
      </c>
      <c r="G5226">
        <v>656.31926105747164</v>
      </c>
      <c r="H5226">
        <v>117.99937134936866</v>
      </c>
      <c r="I5226">
        <v>4.9539091492589433</v>
      </c>
      <c r="J5226">
        <v>5.4093930130790486</v>
      </c>
      <c r="K5226">
        <v>723.61766992609944</v>
      </c>
      <c r="L5226">
        <v>1.4201464756674753</v>
      </c>
      <c r="M5226">
        <v>3.8742700673256949</v>
      </c>
      <c r="N5226">
        <v>11.76647445763755</v>
      </c>
      <c r="O5226">
        <v>0.78413756394793765</v>
      </c>
      <c r="P5226">
        <v>0.23895991912033487</v>
      </c>
    </row>
    <row r="5227" spans="1:16">
      <c r="A5227" s="1" t="s">
        <v>5121</v>
      </c>
      <c r="B5227" s="1" t="s">
        <v>5146</v>
      </c>
      <c r="C5227" s="1" t="s">
        <v>5594</v>
      </c>
      <c r="D5227" s="1" t="s">
        <v>106</v>
      </c>
      <c r="E5227" s="1" t="s">
        <v>5123</v>
      </c>
      <c r="F5227">
        <v>269.54264135279118</v>
      </c>
      <c r="G5227">
        <v>622.87053421762562</v>
      </c>
      <c r="H5227">
        <v>120.33000751224769</v>
      </c>
      <c r="I5227">
        <v>4.8712643324415428</v>
      </c>
      <c r="J5227">
        <v>5.3215069704913809</v>
      </c>
      <c r="K5227">
        <v>758.5871399207723</v>
      </c>
      <c r="L5227">
        <v>1.3454444839784405</v>
      </c>
      <c r="M5227">
        <v>3.4392834572518738</v>
      </c>
      <c r="N5227">
        <v>13.153893847613324</v>
      </c>
      <c r="O5227">
        <v>0.74889107787844689</v>
      </c>
      <c r="P5227">
        <v>0.20351499615976873</v>
      </c>
    </row>
    <row r="5228" spans="1:16">
      <c r="A5228" s="1" t="s">
        <v>5121</v>
      </c>
      <c r="B5228" s="1" t="s">
        <v>5147</v>
      </c>
      <c r="C5228" s="1" t="s">
        <v>5594</v>
      </c>
      <c r="D5228" s="1" t="s">
        <v>106</v>
      </c>
      <c r="E5228" s="1" t="s">
        <v>5123</v>
      </c>
      <c r="F5228">
        <v>356.34251147916154</v>
      </c>
      <c r="G5228">
        <v>642.50082346866179</v>
      </c>
      <c r="H5228">
        <v>123.51009879450643</v>
      </c>
      <c r="I5228">
        <v>4.9860109008826692</v>
      </c>
      <c r="J5228">
        <v>6.6286236832166505</v>
      </c>
      <c r="K5228">
        <v>682.96691176663978</v>
      </c>
      <c r="L5228">
        <v>1.4078697969351219</v>
      </c>
      <c r="M5228">
        <v>3.6395690369432527</v>
      </c>
      <c r="N5228">
        <v>16.355562999040522</v>
      </c>
      <c r="O5228">
        <v>0.78522557026278483</v>
      </c>
      <c r="P5228">
        <v>0.25699192664779069</v>
      </c>
    </row>
    <row r="5229" spans="1:16">
      <c r="A5229" s="1" t="s">
        <v>5121</v>
      </c>
      <c r="B5229" s="1" t="s">
        <v>5148</v>
      </c>
      <c r="C5229" s="1" t="s">
        <v>5594</v>
      </c>
      <c r="D5229" s="1" t="s">
        <v>106</v>
      </c>
      <c r="E5229" s="1" t="s">
        <v>5123</v>
      </c>
      <c r="F5229">
        <v>590.66313755948886</v>
      </c>
      <c r="G5229">
        <v>612.78518025981191</v>
      </c>
      <c r="H5229">
        <v>114.86493444092991</v>
      </c>
      <c r="I5229">
        <v>4.6884087661121239</v>
      </c>
      <c r="J5229">
        <v>3.9423806557237393</v>
      </c>
      <c r="K5229">
        <v>526.22093898623984</v>
      </c>
      <c r="L5229">
        <v>1.3424272737730307</v>
      </c>
      <c r="M5229">
        <v>3.6399971160329874</v>
      </c>
      <c r="N5229">
        <v>14.643829993070229</v>
      </c>
      <c r="O5229">
        <v>0.78379234920879792</v>
      </c>
      <c r="P5229">
        <v>0.21418972373854081</v>
      </c>
    </row>
    <row r="5230" spans="1:16">
      <c r="A5230" s="1" t="s">
        <v>5121</v>
      </c>
      <c r="B5230" s="1" t="s">
        <v>5149</v>
      </c>
      <c r="C5230" s="1" t="s">
        <v>5594</v>
      </c>
      <c r="D5230" s="1" t="s">
        <v>106</v>
      </c>
      <c r="E5230" s="1" t="s">
        <v>5123</v>
      </c>
      <c r="F5230">
        <v>520.51161357963326</v>
      </c>
      <c r="G5230">
        <v>577.62778552674797</v>
      </c>
      <c r="H5230">
        <v>122.91909108487283</v>
      </c>
      <c r="I5230">
        <v>5.1420187213147868</v>
      </c>
      <c r="J5230">
        <v>6.8784067331044181</v>
      </c>
      <c r="K5230">
        <v>489.02078791705219</v>
      </c>
      <c r="L5230">
        <v>1.3707925729917778</v>
      </c>
      <c r="M5230">
        <v>3.6823797685335524</v>
      </c>
      <c r="N5230">
        <v>16.19006720577249</v>
      </c>
      <c r="O5230">
        <v>0.85650833541906957</v>
      </c>
      <c r="P5230">
        <v>0.23065761546756616</v>
      </c>
    </row>
    <row r="5231" spans="1:16">
      <c r="A5231" s="1" t="s">
        <v>5121</v>
      </c>
      <c r="B5231" s="1" t="s">
        <v>5150</v>
      </c>
      <c r="C5231" s="1" t="s">
        <v>5594</v>
      </c>
      <c r="D5231" s="1" t="s">
        <v>106</v>
      </c>
      <c r="E5231" s="1" t="s">
        <v>5123</v>
      </c>
      <c r="F5231">
        <v>545.42511646862988</v>
      </c>
      <c r="G5231">
        <v>690.28979530302081</v>
      </c>
      <c r="H5231">
        <v>111.0596553033436</v>
      </c>
      <c r="I5231">
        <v>4.5467190205499426</v>
      </c>
      <c r="J5231">
        <v>3.1935653206603232</v>
      </c>
      <c r="K5231">
        <v>550.79992567707643</v>
      </c>
      <c r="L5231">
        <v>1.3434302714707884</v>
      </c>
      <c r="M5231">
        <v>3.6722162586217273</v>
      </c>
      <c r="N5231">
        <v>14.087000600661177</v>
      </c>
      <c r="O5231">
        <v>0.82387723370036192</v>
      </c>
      <c r="P5231">
        <v>0.21649037424641229</v>
      </c>
    </row>
    <row r="5232" spans="1:16">
      <c r="A5232" s="1" t="s">
        <v>5121</v>
      </c>
      <c r="B5232" s="1" t="s">
        <v>5151</v>
      </c>
      <c r="C5232" s="1" t="s">
        <v>5594</v>
      </c>
      <c r="D5232" s="1" t="s">
        <v>106</v>
      </c>
      <c r="E5232" s="1" t="s">
        <v>5123</v>
      </c>
      <c r="F5232">
        <v>555.40253190601709</v>
      </c>
      <c r="G5232">
        <v>656.44043406471826</v>
      </c>
      <c r="H5232">
        <v>112.89212545684836</v>
      </c>
      <c r="I5232">
        <v>4.5830626445114113</v>
      </c>
      <c r="J5232">
        <v>3.8590741577495762</v>
      </c>
      <c r="K5232">
        <v>518.30676986751064</v>
      </c>
      <c r="L5232">
        <v>1.3679263108662139</v>
      </c>
      <c r="M5232">
        <v>3.8025639986729631</v>
      </c>
      <c r="N5232">
        <v>14.18402439028616</v>
      </c>
      <c r="O5232">
        <v>0.82305097302281494</v>
      </c>
      <c r="P5232">
        <v>0.17887071742652835</v>
      </c>
    </row>
    <row r="5233" spans="1:16">
      <c r="A5233" s="1" t="s">
        <v>5121</v>
      </c>
      <c r="B5233" s="1" t="s">
        <v>5152</v>
      </c>
      <c r="C5233" s="1" t="s">
        <v>5594</v>
      </c>
      <c r="D5233" s="1" t="s">
        <v>106</v>
      </c>
      <c r="E5233" s="1" t="s">
        <v>5123</v>
      </c>
      <c r="F5233">
        <v>273.86879477221589</v>
      </c>
      <c r="G5233">
        <v>800.2985742380024</v>
      </c>
      <c r="H5233">
        <v>115.47077008630038</v>
      </c>
      <c r="I5233">
        <v>4.3863645707137504</v>
      </c>
      <c r="J5233">
        <v>3.1207744062611504</v>
      </c>
      <c r="K5233">
        <v>782.18191367865506</v>
      </c>
      <c r="L5233">
        <v>1.5076197794874762</v>
      </c>
      <c r="M5233">
        <v>3.4516580862771784</v>
      </c>
      <c r="N5233">
        <v>15.790453012763214</v>
      </c>
      <c r="O5233">
        <v>1.0418878595859848</v>
      </c>
      <c r="P5233">
        <v>0.15079381178813825</v>
      </c>
    </row>
    <row r="5234" spans="1:16">
      <c r="A5234" s="1" t="s">
        <v>5121</v>
      </c>
      <c r="B5234" s="1" t="s">
        <v>5153</v>
      </c>
      <c r="C5234" s="1" t="s">
        <v>5594</v>
      </c>
      <c r="D5234" s="1" t="s">
        <v>106</v>
      </c>
      <c r="E5234" s="1" t="s">
        <v>5123</v>
      </c>
      <c r="F5234">
        <v>414.64724764585509</v>
      </c>
      <c r="G5234">
        <v>753.38770269205725</v>
      </c>
      <c r="H5234">
        <v>112.21207046260329</v>
      </c>
      <c r="I5234">
        <v>4.5162737763507224</v>
      </c>
      <c r="J5234">
        <v>1.8108826125623971</v>
      </c>
      <c r="K5234">
        <v>704.83081735604992</v>
      </c>
      <c r="L5234">
        <v>1.4424902311049377</v>
      </c>
      <c r="M5234">
        <v>2.7986330165704376</v>
      </c>
      <c r="N5234">
        <v>14.342431893152956</v>
      </c>
      <c r="O5234">
        <v>0.98448596992734083</v>
      </c>
      <c r="P5234">
        <v>0.25179008764406385</v>
      </c>
    </row>
    <row r="5235" spans="1:16">
      <c r="A5235" s="1" t="s">
        <v>5121</v>
      </c>
      <c r="B5235" s="1" t="s">
        <v>5154</v>
      </c>
      <c r="C5235" s="1" t="s">
        <v>5594</v>
      </c>
      <c r="D5235" s="1" t="s">
        <v>106</v>
      </c>
      <c r="E5235" s="1" t="s">
        <v>5123</v>
      </c>
      <c r="F5235">
        <v>113.27506931829198</v>
      </c>
      <c r="G5235">
        <v>730.89307269592689</v>
      </c>
      <c r="H5235">
        <v>115.51464327708638</v>
      </c>
      <c r="I5235">
        <v>4.237060954320139</v>
      </c>
      <c r="J5235">
        <v>2.6785232998105983</v>
      </c>
      <c r="K5235">
        <v>819.41876009797272</v>
      </c>
      <c r="L5235">
        <v>1.6557516637954737</v>
      </c>
      <c r="M5235">
        <v>3.2148360437200747</v>
      </c>
      <c r="N5235">
        <v>18.363688271944802</v>
      </c>
      <c r="O5235">
        <v>0.90797264858929538</v>
      </c>
      <c r="P5235">
        <v>0.21012646580692762</v>
      </c>
    </row>
    <row r="5236" spans="1:16">
      <c r="A5236" s="1" t="s">
        <v>5121</v>
      </c>
      <c r="B5236" s="1" t="s">
        <v>5155</v>
      </c>
      <c r="C5236" s="1" t="s">
        <v>5594</v>
      </c>
      <c r="D5236" s="1" t="s">
        <v>106</v>
      </c>
      <c r="E5236" s="1" t="s">
        <v>5123</v>
      </c>
      <c r="F5236">
        <v>130.33380046035984</v>
      </c>
      <c r="G5236">
        <v>885.84852355758028</v>
      </c>
      <c r="H5236">
        <v>306.68989847712095</v>
      </c>
      <c r="I5236">
        <v>8.5384170650045359</v>
      </c>
      <c r="J5236">
        <v>14.555753125585795</v>
      </c>
      <c r="K5236">
        <v>907.73997785235144</v>
      </c>
      <c r="L5236">
        <v>3.4036738868534737</v>
      </c>
      <c r="M5236">
        <v>4.7195251069430499</v>
      </c>
      <c r="N5236">
        <v>20.336574886888297</v>
      </c>
      <c r="O5236">
        <v>7.0285855361191167</v>
      </c>
      <c r="P5236">
        <v>2.0507837313985497</v>
      </c>
    </row>
    <row r="5237" spans="1:16">
      <c r="A5237" s="1" t="s">
        <v>5121</v>
      </c>
      <c r="B5237" s="1" t="s">
        <v>5156</v>
      </c>
      <c r="C5237" s="1" t="s">
        <v>5594</v>
      </c>
      <c r="D5237" s="1" t="s">
        <v>106</v>
      </c>
      <c r="E5237" s="1" t="s">
        <v>5123</v>
      </c>
      <c r="F5237">
        <v>150.08695278749667</v>
      </c>
      <c r="G5237">
        <v>864.59480043603367</v>
      </c>
      <c r="H5237">
        <v>296.78230157300277</v>
      </c>
      <c r="I5237">
        <v>8.4001037411166077</v>
      </c>
      <c r="J5237">
        <v>13.877470905167305</v>
      </c>
      <c r="K5237">
        <v>890.61241584721893</v>
      </c>
      <c r="L5237">
        <v>3.2384585639865224</v>
      </c>
      <c r="M5237">
        <v>4.2795321758072546</v>
      </c>
      <c r="N5237">
        <v>10.935251805453053</v>
      </c>
      <c r="O5237">
        <v>6.9251212140168779</v>
      </c>
      <c r="P5237">
        <v>1.9616634026370234</v>
      </c>
    </row>
    <row r="5238" spans="1:16">
      <c r="A5238" s="1" t="s">
        <v>5121</v>
      </c>
      <c r="B5238" s="1" t="s">
        <v>5157</v>
      </c>
      <c r="C5238" s="1" t="s">
        <v>5594</v>
      </c>
      <c r="D5238" s="1" t="s">
        <v>106</v>
      </c>
      <c r="E5238" s="1" t="s">
        <v>5123</v>
      </c>
      <c r="F5238">
        <v>86.937932108119881</v>
      </c>
      <c r="G5238">
        <v>620.6842560378393</v>
      </c>
      <c r="H5238">
        <v>294.58832651286406</v>
      </c>
      <c r="I5238">
        <v>8.3663307653870564</v>
      </c>
      <c r="J5238">
        <v>11.468635603258612</v>
      </c>
      <c r="K5238">
        <v>914.6264907094112</v>
      </c>
      <c r="L5238">
        <v>3.3917025210905241</v>
      </c>
      <c r="M5238">
        <v>4.1044483160441292</v>
      </c>
      <c r="N5238">
        <v>10.25459500662652</v>
      </c>
      <c r="O5238">
        <v>6.423594876488135</v>
      </c>
      <c r="P5238">
        <v>1.9927859061924831</v>
      </c>
    </row>
    <row r="5239" spans="1:16">
      <c r="A5239" s="1" t="s">
        <v>5121</v>
      </c>
      <c r="B5239" s="1" t="s">
        <v>5158</v>
      </c>
      <c r="C5239" s="1" t="s">
        <v>5594</v>
      </c>
      <c r="D5239" s="1" t="s">
        <v>106</v>
      </c>
      <c r="E5239" s="1" t="s">
        <v>5123</v>
      </c>
      <c r="F5239">
        <v>23.765542417282244</v>
      </c>
      <c r="G5239">
        <v>764.5011161240277</v>
      </c>
      <c r="H5239">
        <v>283.42886048568113</v>
      </c>
      <c r="I5239">
        <v>8.3626152027838945</v>
      </c>
      <c r="J5239">
        <v>9.9006973715418756</v>
      </c>
      <c r="K5239">
        <v>946.01282587718526</v>
      </c>
      <c r="L5239">
        <v>3.4025539327800796</v>
      </c>
      <c r="M5239">
        <v>4.8816794970148036</v>
      </c>
      <c r="N5239">
        <v>16.974613884506979</v>
      </c>
      <c r="O5239">
        <v>5.6955667384808093</v>
      </c>
      <c r="P5239">
        <v>1.9909042187690933</v>
      </c>
    </row>
    <row r="5240" spans="1:16">
      <c r="A5240" s="1" t="s">
        <v>5121</v>
      </c>
      <c r="B5240" s="1" t="s">
        <v>5159</v>
      </c>
      <c r="C5240" s="1" t="s">
        <v>5594</v>
      </c>
      <c r="D5240" s="1" t="s">
        <v>106</v>
      </c>
      <c r="E5240" s="1" t="s">
        <v>5123</v>
      </c>
      <c r="F5240">
        <v>38.289783069823137</v>
      </c>
      <c r="G5240">
        <v>981.62555362561329</v>
      </c>
      <c r="H5240">
        <v>310.0797040472803</v>
      </c>
      <c r="I5240">
        <v>8.5291994140501295</v>
      </c>
      <c r="J5240">
        <v>10.877808836537184</v>
      </c>
      <c r="K5240">
        <v>949.08666791362384</v>
      </c>
      <c r="L5240">
        <v>3.5414110853210978</v>
      </c>
      <c r="M5240">
        <v>4.4995472153528331</v>
      </c>
      <c r="N5240">
        <v>17.332572039831486</v>
      </c>
      <c r="O5240">
        <v>6.5868082104459633</v>
      </c>
      <c r="P5240">
        <v>2.1733687848908008</v>
      </c>
    </row>
    <row r="5241" spans="1:16">
      <c r="A5241" s="1" t="s">
        <v>5121</v>
      </c>
      <c r="B5241" s="1" t="s">
        <v>5160</v>
      </c>
      <c r="C5241" s="1" t="s">
        <v>5594</v>
      </c>
      <c r="D5241" s="1" t="s">
        <v>106</v>
      </c>
      <c r="E5241" s="1" t="s">
        <v>5123</v>
      </c>
      <c r="F5241">
        <v>102.9935899114389</v>
      </c>
      <c r="G5241">
        <v>996.68943089627237</v>
      </c>
      <c r="H5241">
        <v>320.39952848062785</v>
      </c>
      <c r="I5241">
        <v>8.56333180914935</v>
      </c>
      <c r="J5241">
        <v>12.857095846060787</v>
      </c>
      <c r="K5241">
        <v>960.56168088489392</v>
      </c>
      <c r="L5241">
        <v>3.6167636842000133</v>
      </c>
      <c r="M5241">
        <v>4.6315342510986754</v>
      </c>
      <c r="N5241">
        <v>14.164828385039838</v>
      </c>
      <c r="O5241">
        <v>6.0686903302065121</v>
      </c>
      <c r="P5241">
        <v>2.1045304884682938</v>
      </c>
    </row>
    <row r="5242" spans="1:16">
      <c r="A5242" s="1" t="s">
        <v>5121</v>
      </c>
      <c r="B5242" s="1" t="s">
        <v>5161</v>
      </c>
      <c r="C5242" s="1" t="s">
        <v>5594</v>
      </c>
      <c r="D5242" s="1" t="s">
        <v>106</v>
      </c>
      <c r="E5242" s="1" t="s">
        <v>5123</v>
      </c>
      <c r="F5242">
        <v>22.652820957721264</v>
      </c>
      <c r="G5242">
        <v>477.17969669300982</v>
      </c>
      <c r="H5242">
        <v>310.90206907809215</v>
      </c>
      <c r="I5242">
        <v>8.556341370949788</v>
      </c>
      <c r="J5242">
        <v>13.521555206331643</v>
      </c>
      <c r="K5242">
        <v>918.1069952783547</v>
      </c>
      <c r="L5242">
        <v>3.7446730180129379</v>
      </c>
      <c r="M5242">
        <v>4.9224138779724838</v>
      </c>
      <c r="N5242">
        <v>11.685098672868449</v>
      </c>
      <c r="O5242">
        <v>4.651716631475165</v>
      </c>
      <c r="P5242">
        <v>2.0205615925699032</v>
      </c>
    </row>
    <row r="5243" spans="1:16">
      <c r="A5243" s="1" t="s">
        <v>5121</v>
      </c>
      <c r="B5243" s="1" t="s">
        <v>5162</v>
      </c>
      <c r="C5243" s="1" t="s">
        <v>5594</v>
      </c>
      <c r="D5243" s="1" t="s">
        <v>106</v>
      </c>
      <c r="E5243" s="1" t="s">
        <v>5123</v>
      </c>
      <c r="F5243">
        <v>50.777482600265799</v>
      </c>
      <c r="G5243">
        <v>790.15114171626692</v>
      </c>
      <c r="H5243">
        <v>302.34418031847713</v>
      </c>
      <c r="I5243">
        <v>8.4974201826140892</v>
      </c>
      <c r="J5243">
        <v>12.525522269844981</v>
      </c>
      <c r="K5243">
        <v>847.3256299459315</v>
      </c>
      <c r="L5243">
        <v>3.294326301235925</v>
      </c>
      <c r="M5243">
        <v>4.9529461365803131</v>
      </c>
      <c r="N5243">
        <v>11.934887469438031</v>
      </c>
      <c r="O5243">
        <v>6.2411883480266823</v>
      </c>
      <c r="P5243">
        <v>1.9476146271509387</v>
      </c>
    </row>
    <row r="5244" spans="1:16">
      <c r="A5244" s="1" t="s">
        <v>5121</v>
      </c>
      <c r="B5244" s="10" t="s">
        <v>5163</v>
      </c>
      <c r="C5244" s="1" t="s">
        <v>5594</v>
      </c>
      <c r="D5244" s="1" t="s">
        <v>106</v>
      </c>
      <c r="E5244" s="1" t="s">
        <v>5123</v>
      </c>
      <c r="F5244">
        <v>80.072630855450541</v>
      </c>
      <c r="G5244">
        <v>392.61797530031902</v>
      </c>
      <c r="H5244">
        <v>131.7266629011676</v>
      </c>
      <c r="I5244">
        <v>5.5627559726442506</v>
      </c>
      <c r="J5244">
        <v>10.232263447145321</v>
      </c>
      <c r="K5244">
        <v>2661.5539233618133</v>
      </c>
      <c r="L5244">
        <v>0.62230762372838577</v>
      </c>
      <c r="M5244">
        <v>6.6599917711470642</v>
      </c>
      <c r="N5244">
        <v>20.176318589697885</v>
      </c>
      <c r="O5244">
        <v>0.66567028772450776</v>
      </c>
      <c r="P5244">
        <v>1.8250762569238848</v>
      </c>
    </row>
    <row r="5245" spans="1:16">
      <c r="A5245" s="1" t="s">
        <v>5121</v>
      </c>
      <c r="B5245" s="10" t="s">
        <v>5164</v>
      </c>
      <c r="C5245" s="1" t="s">
        <v>5594</v>
      </c>
      <c r="D5245" s="1" t="s">
        <v>106</v>
      </c>
      <c r="E5245" s="1" t="s">
        <v>5123</v>
      </c>
      <c r="F5245">
        <v>34.603061180666053</v>
      </c>
      <c r="G5245">
        <v>256.41433896680684</v>
      </c>
      <c r="H5245">
        <v>130.02701752642321</v>
      </c>
      <c r="I5245">
        <v>4.818411169027442</v>
      </c>
      <c r="J5245">
        <v>12.59393180407298</v>
      </c>
      <c r="K5245">
        <v>2635.0290843740868</v>
      </c>
      <c r="L5245">
        <v>0.98024547002222417</v>
      </c>
      <c r="M5245">
        <v>4.1806426635998335</v>
      </c>
      <c r="N5245">
        <v>12.012132615132625</v>
      </c>
      <c r="O5245">
        <v>0.16906558952725134</v>
      </c>
      <c r="P5245">
        <v>0.90424812519541897</v>
      </c>
    </row>
    <row r="5246" spans="1:16">
      <c r="A5246" s="1" t="s">
        <v>5121</v>
      </c>
      <c r="B5246" s="10" t="s">
        <v>5165</v>
      </c>
      <c r="C5246" s="1" t="s">
        <v>5594</v>
      </c>
      <c r="D5246" s="1" t="s">
        <v>106</v>
      </c>
      <c r="E5246" s="1" t="s">
        <v>5123</v>
      </c>
      <c r="F5246">
        <v>22.870881839523726</v>
      </c>
      <c r="G5246">
        <v>408.47856850030348</v>
      </c>
      <c r="H5246">
        <v>86.592613844944353</v>
      </c>
      <c r="I5246">
        <v>4.4460974100261375</v>
      </c>
      <c r="J5246">
        <v>7.0253523496433399</v>
      </c>
      <c r="K5246">
        <v>2592.6202779504538</v>
      </c>
      <c r="L5246">
        <v>0.42088926459937553</v>
      </c>
      <c r="M5246">
        <v>7.1761797910096181</v>
      </c>
      <c r="N5246">
        <v>5.0820022067989896</v>
      </c>
      <c r="O5246">
        <v>0.9005141814556723</v>
      </c>
      <c r="P5246">
        <v>1.4681065219240184</v>
      </c>
    </row>
    <row r="5247" spans="1:16">
      <c r="A5247" s="1" t="s">
        <v>5121</v>
      </c>
      <c r="B5247" s="10" t="s">
        <v>5166</v>
      </c>
      <c r="C5247" s="1" t="s">
        <v>5594</v>
      </c>
      <c r="D5247" s="1" t="s">
        <v>106</v>
      </c>
      <c r="E5247" s="1" t="s">
        <v>5123</v>
      </c>
      <c r="F5247">
        <v>24.492453521983322</v>
      </c>
      <c r="G5247">
        <v>401.6807817112014</v>
      </c>
      <c r="H5247">
        <v>76.680476312836277</v>
      </c>
      <c r="I5247">
        <v>3.665877792585321</v>
      </c>
      <c r="J5247">
        <v>11.03011673153793</v>
      </c>
      <c r="K5247">
        <v>2721.1229340262425</v>
      </c>
      <c r="L5247">
        <v>0.56481322670281331</v>
      </c>
      <c r="M5247">
        <v>3.6696911335230213</v>
      </c>
      <c r="N5247">
        <v>12.142431329214411</v>
      </c>
      <c r="O5247">
        <v>0.57035786780518738</v>
      </c>
      <c r="P5247">
        <v>3.3621671236254023</v>
      </c>
    </row>
    <row r="5248" spans="1:16">
      <c r="A5248" s="1" t="s">
        <v>5121</v>
      </c>
      <c r="B5248" s="10" t="s">
        <v>5167</v>
      </c>
      <c r="C5248" s="1" t="s">
        <v>5594</v>
      </c>
      <c r="D5248" s="1" t="s">
        <v>106</v>
      </c>
      <c r="E5248" s="1" t="s">
        <v>5123</v>
      </c>
      <c r="F5248">
        <v>52.207757604900031</v>
      </c>
      <c r="G5248">
        <v>153.91820419296437</v>
      </c>
      <c r="H5248">
        <v>167.53286567926443</v>
      </c>
      <c r="I5248">
        <v>6.6278457154542725</v>
      </c>
      <c r="J5248">
        <v>8.5583153033568955</v>
      </c>
      <c r="K5248">
        <v>556.5940395704846</v>
      </c>
      <c r="L5248">
        <v>7.3427892723107311</v>
      </c>
      <c r="M5248">
        <v>2.9309740943850446</v>
      </c>
      <c r="N5248">
        <v>39.983436996321387</v>
      </c>
      <c r="O5248">
        <v>2.1873421643368682</v>
      </c>
      <c r="P5248">
        <v>1.8850337771320869</v>
      </c>
    </row>
    <row r="5249" spans="1:16">
      <c r="A5249" s="1" t="s">
        <v>5121</v>
      </c>
      <c r="B5249" s="10" t="s">
        <v>5168</v>
      </c>
      <c r="C5249" s="1" t="s">
        <v>5594</v>
      </c>
      <c r="D5249" s="1" t="s">
        <v>106</v>
      </c>
      <c r="E5249" s="1" t="s">
        <v>5123</v>
      </c>
      <c r="F5249">
        <v>70.280661686393472</v>
      </c>
      <c r="G5249">
        <v>177.50492743439577</v>
      </c>
      <c r="H5249">
        <v>195.51316364593188</v>
      </c>
      <c r="I5249">
        <v>7.7340844694387236</v>
      </c>
      <c r="J5249">
        <v>4.2243316376383646</v>
      </c>
      <c r="K5249">
        <v>510.60532209990419</v>
      </c>
      <c r="L5249">
        <v>4.6237647355200062</v>
      </c>
      <c r="M5249">
        <v>3.0581344157706436</v>
      </c>
      <c r="N5249">
        <v>29.727043615210629</v>
      </c>
      <c r="O5249">
        <v>2.0068915787619654</v>
      </c>
      <c r="P5249">
        <v>3.077131710373127</v>
      </c>
    </row>
    <row r="5250" spans="1:16">
      <c r="A5250" s="1" t="s">
        <v>5121</v>
      </c>
      <c r="B5250" s="10" t="s">
        <v>5169</v>
      </c>
      <c r="C5250" s="1" t="s">
        <v>5594</v>
      </c>
      <c r="D5250" s="1" t="s">
        <v>106</v>
      </c>
      <c r="E5250" s="1" t="s">
        <v>5123</v>
      </c>
      <c r="F5250">
        <v>53.147153577624543</v>
      </c>
      <c r="G5250">
        <v>148.55518181794235</v>
      </c>
      <c r="H5250">
        <v>147.58064580497449</v>
      </c>
      <c r="I5250">
        <v>6.2138291624280368</v>
      </c>
      <c r="J5250">
        <v>5.2292059148887562</v>
      </c>
      <c r="K5250">
        <v>488.41607794032558</v>
      </c>
      <c r="L5250">
        <v>4.9697436480034938</v>
      </c>
      <c r="M5250">
        <v>7.4483998594041969</v>
      </c>
      <c r="N5250">
        <v>23.851169654751676</v>
      </c>
      <c r="O5250">
        <v>1.5218370241933792</v>
      </c>
      <c r="P5250">
        <v>1.4710803225363589</v>
      </c>
    </row>
    <row r="5251" spans="1:16">
      <c r="A5251" s="1" t="s">
        <v>5121</v>
      </c>
      <c r="B5251" s="10" t="s">
        <v>5170</v>
      </c>
      <c r="C5251" s="1" t="s">
        <v>5594</v>
      </c>
      <c r="D5251" s="1" t="s">
        <v>106</v>
      </c>
      <c r="E5251" s="1" t="s">
        <v>5123</v>
      </c>
      <c r="F5251">
        <v>46.669326953645687</v>
      </c>
      <c r="G5251">
        <v>168.12973418122135</v>
      </c>
      <c r="H5251">
        <v>130.28312832091666</v>
      </c>
      <c r="I5251">
        <v>5.0055127329321962</v>
      </c>
      <c r="J5251">
        <v>2.3421068499612439</v>
      </c>
      <c r="K5251">
        <v>481.34411811317835</v>
      </c>
      <c r="L5251">
        <v>4.3577441314697376</v>
      </c>
      <c r="M5251">
        <v>8.7235596916037021</v>
      </c>
      <c r="N5251">
        <v>28.141797689195695</v>
      </c>
      <c r="O5251">
        <v>1.9020132097435392</v>
      </c>
      <c r="P5251">
        <v>0.98129351635800666</v>
      </c>
    </row>
    <row r="5252" spans="1:16">
      <c r="A5252" s="1" t="s">
        <v>5121</v>
      </c>
      <c r="B5252" s="10" t="s">
        <v>5171</v>
      </c>
      <c r="C5252" s="1" t="s">
        <v>5594</v>
      </c>
      <c r="D5252" s="1" t="s">
        <v>106</v>
      </c>
      <c r="E5252" s="1" t="s">
        <v>5123</v>
      </c>
      <c r="F5252">
        <v>30.790549484204195</v>
      </c>
      <c r="G5252">
        <v>145.38219905342748</v>
      </c>
      <c r="H5252">
        <v>171.84530148879338</v>
      </c>
      <c r="I5252">
        <v>6.4944735155104345</v>
      </c>
      <c r="J5252">
        <v>6.9740878109085589</v>
      </c>
      <c r="K5252">
        <v>436.18039961253953</v>
      </c>
      <c r="L5252">
        <v>5.118395532567825</v>
      </c>
      <c r="M5252">
        <v>10.82963013848323</v>
      </c>
      <c r="N5252">
        <v>36.846585298998818</v>
      </c>
      <c r="O5252">
        <v>1.0516841526449956</v>
      </c>
      <c r="P5252">
        <v>0.76582948998407663</v>
      </c>
    </row>
    <row r="5253" spans="1:16">
      <c r="A5253" s="1" t="s">
        <v>5121</v>
      </c>
      <c r="B5253" s="10" t="s">
        <v>5172</v>
      </c>
      <c r="C5253" s="1" t="s">
        <v>5594</v>
      </c>
      <c r="D5253" s="1" t="s">
        <v>106</v>
      </c>
      <c r="E5253" s="1" t="s">
        <v>5123</v>
      </c>
      <c r="F5253">
        <v>48.78057359713673</v>
      </c>
      <c r="G5253">
        <v>130.90235394286785</v>
      </c>
      <c r="H5253">
        <v>128.10368174218678</v>
      </c>
      <c r="I5253">
        <v>7.1929267823436209</v>
      </c>
      <c r="J5253">
        <v>6.6394052204198761</v>
      </c>
      <c r="K5253">
        <v>487.00969688436146</v>
      </c>
      <c r="L5253">
        <v>5.2632578773304193</v>
      </c>
      <c r="M5253">
        <v>7.9188936924140743</v>
      </c>
      <c r="N5253">
        <v>26.042925486142721</v>
      </c>
      <c r="O5253">
        <v>1.5120134987321174</v>
      </c>
      <c r="P5253">
        <v>0.44847492732415245</v>
      </c>
    </row>
    <row r="5254" spans="1:16">
      <c r="A5254" s="1" t="s">
        <v>5121</v>
      </c>
      <c r="B5254" s="5" t="s">
        <v>5173</v>
      </c>
      <c r="C5254" s="1" t="s">
        <v>5594</v>
      </c>
      <c r="D5254" s="1" t="s">
        <v>106</v>
      </c>
      <c r="E5254" s="1" t="s">
        <v>5123</v>
      </c>
      <c r="F5254">
        <v>34.047528891617318</v>
      </c>
      <c r="G5254">
        <v>401.99402157145568</v>
      </c>
      <c r="H5254">
        <v>604.20433801549757</v>
      </c>
      <c r="I5254">
        <v>19.872842538113655</v>
      </c>
      <c r="J5254">
        <v>15.343323827675007</v>
      </c>
      <c r="K5254">
        <v>846.95502284398992</v>
      </c>
      <c r="L5254">
        <v>0.54099421999453945</v>
      </c>
      <c r="M5254">
        <v>2.3097762635399208</v>
      </c>
      <c r="N5254">
        <v>55.006800217745251</v>
      </c>
      <c r="O5254">
        <v>1.8230983178879268</v>
      </c>
      <c r="P5254">
        <v>0.40508120884693138</v>
      </c>
    </row>
    <row r="5255" spans="1:16">
      <c r="A5255" s="1" t="s">
        <v>5121</v>
      </c>
      <c r="B5255" s="5" t="s">
        <v>5174</v>
      </c>
      <c r="C5255" s="1" t="s">
        <v>5594</v>
      </c>
      <c r="D5255" s="1" t="s">
        <v>106</v>
      </c>
      <c r="E5255" s="1" t="s">
        <v>5123</v>
      </c>
      <c r="F5255">
        <v>29.979998488819934</v>
      </c>
      <c r="G5255">
        <v>488.56157880157673</v>
      </c>
      <c r="H5255">
        <v>670.24085015196079</v>
      </c>
      <c r="I5255">
        <v>21.663995451333179</v>
      </c>
      <c r="J5255">
        <v>10.53092496990841</v>
      </c>
      <c r="K5255">
        <v>878.32832831097903</v>
      </c>
      <c r="L5255">
        <v>0.39032123660527945</v>
      </c>
      <c r="M5255">
        <v>2.7945013357124378</v>
      </c>
      <c r="N5255">
        <v>67.250269852684099</v>
      </c>
      <c r="O5255">
        <v>2.127794056411175</v>
      </c>
      <c r="P5255">
        <v>0.35491718300636449</v>
      </c>
    </row>
    <row r="5256" spans="1:16">
      <c r="A5256" s="1" t="s">
        <v>5121</v>
      </c>
      <c r="B5256" s="5" t="s">
        <v>5175</v>
      </c>
      <c r="C5256" s="1" t="s">
        <v>5594</v>
      </c>
      <c r="D5256" s="1" t="s">
        <v>106</v>
      </c>
      <c r="E5256" s="1" t="s">
        <v>5123</v>
      </c>
      <c r="F5256">
        <v>23.632322235744393</v>
      </c>
      <c r="G5256">
        <v>443.37091230442826</v>
      </c>
      <c r="H5256">
        <v>630.85902286353723</v>
      </c>
      <c r="I5256">
        <v>20.10429871771246</v>
      </c>
      <c r="J5256">
        <v>10.942359992504079</v>
      </c>
      <c r="K5256">
        <v>795.50727117137023</v>
      </c>
      <c r="L5256">
        <v>0.45364534278003882</v>
      </c>
      <c r="M5256">
        <v>2.594451615229413</v>
      </c>
      <c r="N5256">
        <v>56.473334803642828</v>
      </c>
      <c r="O5256">
        <v>1.9359900600660422</v>
      </c>
      <c r="P5256">
        <v>0.39663582020423138</v>
      </c>
    </row>
    <row r="5257" spans="1:16">
      <c r="A5257" s="1" t="s">
        <v>5121</v>
      </c>
      <c r="B5257" s="5" t="s">
        <v>5176</v>
      </c>
      <c r="C5257" s="1" t="s">
        <v>5594</v>
      </c>
      <c r="D5257" s="1" t="s">
        <v>106</v>
      </c>
      <c r="E5257" s="1" t="s">
        <v>5123</v>
      </c>
      <c r="F5257">
        <v>222.86740847410033</v>
      </c>
      <c r="G5257">
        <v>605.5018394819142</v>
      </c>
      <c r="H5257">
        <v>522.28146989800746</v>
      </c>
      <c r="I5257">
        <v>18.921120447205105</v>
      </c>
      <c r="J5257">
        <v>10.441343472389876</v>
      </c>
      <c r="K5257">
        <v>816.0118857211047</v>
      </c>
      <c r="L5257">
        <v>0.2336337468089793</v>
      </c>
      <c r="M5257">
        <v>3.3624260815541254</v>
      </c>
      <c r="N5257">
        <v>33.884186641665309</v>
      </c>
      <c r="O5257">
        <v>1.7215485795550007</v>
      </c>
      <c r="P5257">
        <v>0.25583491321609581</v>
      </c>
    </row>
    <row r="5258" spans="1:16">
      <c r="A5258" s="1" t="s">
        <v>5121</v>
      </c>
      <c r="B5258" s="5" t="s">
        <v>5177</v>
      </c>
      <c r="C5258" s="1" t="s">
        <v>5594</v>
      </c>
      <c r="D5258" s="1" t="s">
        <v>106</v>
      </c>
      <c r="E5258" s="1" t="s">
        <v>5123</v>
      </c>
      <c r="F5258">
        <v>36.160116137208099</v>
      </c>
      <c r="G5258">
        <v>558.34900532032668</v>
      </c>
      <c r="H5258">
        <v>417.60925965893153</v>
      </c>
      <c r="I5258">
        <v>15.30389324691448</v>
      </c>
      <c r="J5258">
        <v>8.1342267356388493</v>
      </c>
      <c r="K5258">
        <v>815.4192714042706</v>
      </c>
      <c r="L5258">
        <v>0.33692565997344415</v>
      </c>
      <c r="M5258">
        <v>2.0143713864224577</v>
      </c>
      <c r="N5258">
        <v>63.654675131316225</v>
      </c>
      <c r="O5258">
        <v>2.1796986094134745</v>
      </c>
      <c r="P5258">
        <v>0.36986115215778326</v>
      </c>
    </row>
    <row r="5259" spans="1:16">
      <c r="A5259" s="1" t="s">
        <v>5121</v>
      </c>
      <c r="B5259" s="5" t="s">
        <v>5178</v>
      </c>
      <c r="C5259" s="1" t="s">
        <v>5594</v>
      </c>
      <c r="D5259" s="1" t="s">
        <v>106</v>
      </c>
      <c r="E5259" s="1" t="s">
        <v>5123</v>
      </c>
      <c r="F5259">
        <v>125.69835528273934</v>
      </c>
      <c r="G5259">
        <v>785.47394585059044</v>
      </c>
      <c r="H5259">
        <v>466.8641172811333</v>
      </c>
      <c r="I5259">
        <v>15.927449829852252</v>
      </c>
      <c r="J5259">
        <v>8.0923802362432493</v>
      </c>
      <c r="K5259">
        <v>847.61292286405182</v>
      </c>
      <c r="L5259">
        <v>0.35392477204675021</v>
      </c>
      <c r="M5259">
        <v>2.4230382197680997</v>
      </c>
      <c r="N5259">
        <v>78.966275599654509</v>
      </c>
      <c r="O5259">
        <v>2.2200248476301603</v>
      </c>
      <c r="P5259">
        <v>0.34248342326684733</v>
      </c>
    </row>
    <row r="5260" spans="1:16">
      <c r="A5260" s="1" t="s">
        <v>5121</v>
      </c>
      <c r="B5260" s="1" t="s">
        <v>5179</v>
      </c>
      <c r="C5260" s="1" t="s">
        <v>5594</v>
      </c>
      <c r="D5260" s="1" t="s">
        <v>106</v>
      </c>
      <c r="E5260" s="1" t="s">
        <v>5123</v>
      </c>
      <c r="F5260">
        <v>95.750378882109231</v>
      </c>
      <c r="G5260">
        <v>74.674147122487611</v>
      </c>
      <c r="H5260">
        <v>403.50745644440559</v>
      </c>
      <c r="I5260">
        <v>19.5794816040485</v>
      </c>
      <c r="J5260">
        <v>5.5487078613840941</v>
      </c>
      <c r="K5260">
        <v>1233.0556104207558</v>
      </c>
      <c r="L5260">
        <v>2.2231334569108778</v>
      </c>
      <c r="M5260">
        <v>6.1629659010837727</v>
      </c>
      <c r="N5260">
        <v>50.934281631524442</v>
      </c>
      <c r="O5260">
        <v>2.7496964529469681</v>
      </c>
      <c r="P5260">
        <v>1.6101195997867137</v>
      </c>
    </row>
    <row r="5261" spans="1:16">
      <c r="A5261" s="1" t="s">
        <v>5121</v>
      </c>
      <c r="B5261" s="1" t="s">
        <v>5180</v>
      </c>
      <c r="C5261" s="1" t="s">
        <v>5594</v>
      </c>
      <c r="D5261" s="1" t="s">
        <v>106</v>
      </c>
      <c r="E5261" s="1" t="s">
        <v>5123</v>
      </c>
      <c r="F5261">
        <v>125.20646414661283</v>
      </c>
      <c r="G5261">
        <v>127.86997471965608</v>
      </c>
      <c r="H5261">
        <v>424.96461760940946</v>
      </c>
      <c r="I5261">
        <v>19.700990609425446</v>
      </c>
      <c r="J5261">
        <v>5.0272642788004838</v>
      </c>
      <c r="K5261">
        <v>1267.3910655527075</v>
      </c>
      <c r="L5261">
        <v>2.3119738291419405</v>
      </c>
      <c r="M5261">
        <v>6.3623458438750111</v>
      </c>
      <c r="N5261">
        <v>65.413687435939778</v>
      </c>
      <c r="O5261">
        <v>2.6744182647729171</v>
      </c>
      <c r="P5261">
        <v>1.5527311429142812</v>
      </c>
    </row>
    <row r="5262" spans="1:16">
      <c r="A5262" s="1" t="s">
        <v>5121</v>
      </c>
      <c r="B5262" s="1" t="s">
        <v>5181</v>
      </c>
      <c r="C5262" s="1" t="s">
        <v>5594</v>
      </c>
      <c r="D5262" s="1" t="s">
        <v>106</v>
      </c>
      <c r="E5262" s="1" t="s">
        <v>5123</v>
      </c>
      <c r="F5262">
        <v>184.37083531078511</v>
      </c>
      <c r="G5262">
        <v>147.08446873299496</v>
      </c>
      <c r="H5262">
        <v>357.68635343509487</v>
      </c>
      <c r="I5262">
        <v>19.374329358491085</v>
      </c>
      <c r="J5262">
        <v>4.9733985403563246</v>
      </c>
      <c r="K5262">
        <v>1246.535935953189</v>
      </c>
      <c r="L5262">
        <v>2.4761196140512309</v>
      </c>
      <c r="M5262">
        <v>6.341296823301982</v>
      </c>
      <c r="N5262">
        <v>76.154788187877841</v>
      </c>
      <c r="O5262">
        <v>2.6449149126967724</v>
      </c>
      <c r="P5262">
        <v>1.3586787221053822</v>
      </c>
    </row>
    <row r="5263" spans="1:16">
      <c r="A5263" s="1" t="s">
        <v>5121</v>
      </c>
      <c r="B5263" s="1" t="s">
        <v>5182</v>
      </c>
      <c r="C5263" s="1" t="s">
        <v>5594</v>
      </c>
      <c r="D5263" s="1" t="s">
        <v>106</v>
      </c>
      <c r="E5263" s="1" t="s">
        <v>5123</v>
      </c>
      <c r="F5263">
        <v>135.33450679150945</v>
      </c>
      <c r="G5263">
        <v>183.1752028729386</v>
      </c>
      <c r="H5263">
        <v>399.59707267478194</v>
      </c>
      <c r="I5263">
        <v>20.056238177292613</v>
      </c>
      <c r="J5263">
        <v>4.6091769598728121</v>
      </c>
      <c r="K5263">
        <v>1337.3374815321238</v>
      </c>
      <c r="L5263">
        <v>2.454815221383071</v>
      </c>
      <c r="M5263">
        <v>5.8645014525202983</v>
      </c>
      <c r="N5263">
        <v>75.312377113157027</v>
      </c>
      <c r="O5263">
        <v>2.4683222140603394</v>
      </c>
      <c r="P5263">
        <v>2.3563158508597111</v>
      </c>
    </row>
    <row r="5264" spans="1:16">
      <c r="A5264" s="1" t="s">
        <v>5121</v>
      </c>
      <c r="B5264" s="1" t="s">
        <v>5183</v>
      </c>
      <c r="C5264" s="1" t="s">
        <v>5594</v>
      </c>
      <c r="D5264" s="1" t="s">
        <v>106</v>
      </c>
      <c r="E5264" s="1" t="s">
        <v>5123</v>
      </c>
      <c r="F5264">
        <v>75.009357631024699</v>
      </c>
      <c r="G5264">
        <v>93.794699647660352</v>
      </c>
      <c r="H5264">
        <v>328.46709888888432</v>
      </c>
      <c r="I5264">
        <v>19.832582574263057</v>
      </c>
      <c r="J5264">
        <v>4.1085798745749669</v>
      </c>
      <c r="K5264">
        <v>1247.4338457228525</v>
      </c>
      <c r="L5264">
        <v>1.8560333483046019</v>
      </c>
      <c r="M5264">
        <v>5.7339526931432099</v>
      </c>
      <c r="N5264">
        <v>94.611312061319296</v>
      </c>
      <c r="O5264">
        <v>2.3934123962002118</v>
      </c>
      <c r="P5264">
        <v>1.4695434594929169</v>
      </c>
    </row>
    <row r="5265" spans="1:16">
      <c r="A5265" s="1" t="s">
        <v>5121</v>
      </c>
      <c r="B5265" s="1" t="s">
        <v>5184</v>
      </c>
      <c r="C5265" s="1" t="s">
        <v>5594</v>
      </c>
      <c r="D5265" s="1" t="s">
        <v>106</v>
      </c>
      <c r="E5265" s="1" t="s">
        <v>5123</v>
      </c>
      <c r="F5265">
        <v>58.083936827204248</v>
      </c>
      <c r="G5265">
        <v>82.737597639939409</v>
      </c>
      <c r="H5265">
        <v>301.90513195754386</v>
      </c>
      <c r="I5265">
        <v>19.121854333644073</v>
      </c>
      <c r="J5265">
        <v>4.3471293248642979</v>
      </c>
      <c r="K5265">
        <v>1129.0728697761881</v>
      </c>
      <c r="L5265">
        <v>1.4367196355789724</v>
      </c>
      <c r="M5265">
        <v>7.0719205885321079</v>
      </c>
      <c r="N5265">
        <v>87.629270815275504</v>
      </c>
      <c r="O5265">
        <v>2.1833261128322197</v>
      </c>
      <c r="P5265">
        <v>0.73132902938281552</v>
      </c>
    </row>
    <row r="5266" spans="1:16">
      <c r="A5266" s="1" t="s">
        <v>5121</v>
      </c>
      <c r="B5266" s="1" t="s">
        <v>5185</v>
      </c>
      <c r="C5266" s="1" t="s">
        <v>5594</v>
      </c>
      <c r="D5266" s="1" t="s">
        <v>106</v>
      </c>
      <c r="E5266" s="1" t="s">
        <v>5123</v>
      </c>
      <c r="F5266">
        <v>49.519517133414894</v>
      </c>
      <c r="G5266">
        <v>52.845234871540804</v>
      </c>
      <c r="H5266">
        <v>264.38453335252296</v>
      </c>
      <c r="I5266">
        <v>15.412172991889944</v>
      </c>
      <c r="J5266">
        <v>4.0734100330472538</v>
      </c>
      <c r="K5266">
        <v>1274.9013880569446</v>
      </c>
      <c r="L5266">
        <v>1.7349748541895254</v>
      </c>
      <c r="M5266">
        <v>7.3587825908659887</v>
      </c>
      <c r="N5266">
        <v>72.02116854899576</v>
      </c>
      <c r="O5266">
        <v>2.0670348317442544</v>
      </c>
      <c r="P5266">
        <v>0.31894971748724865</v>
      </c>
    </row>
    <row r="5267" spans="1:16">
      <c r="A5267" s="1" t="s">
        <v>5121</v>
      </c>
      <c r="B5267" s="1" t="s">
        <v>5186</v>
      </c>
      <c r="C5267" s="1" t="s">
        <v>5594</v>
      </c>
      <c r="D5267" s="1" t="s">
        <v>106</v>
      </c>
      <c r="E5267" s="1" t="s">
        <v>5123</v>
      </c>
      <c r="F5267">
        <v>248.35201051218107</v>
      </c>
      <c r="G5267">
        <v>163.15068248686248</v>
      </c>
      <c r="H5267">
        <v>438.06062425155375</v>
      </c>
      <c r="I5267">
        <v>24.474912473169194</v>
      </c>
      <c r="J5267">
        <v>11.04537646024151</v>
      </c>
      <c r="K5267">
        <v>1291.7210668503471</v>
      </c>
      <c r="L5267">
        <v>2.3673029477009226</v>
      </c>
      <c r="M5267">
        <v>6.4874161658453726</v>
      </c>
      <c r="N5267">
        <v>54.001072087915695</v>
      </c>
      <c r="O5267">
        <v>3.2079877454684977</v>
      </c>
      <c r="P5267">
        <v>1.7021929876203565</v>
      </c>
    </row>
    <row r="5268" spans="1:16">
      <c r="A5268" s="1" t="s">
        <v>5121</v>
      </c>
      <c r="B5268" s="1" t="s">
        <v>5187</v>
      </c>
      <c r="C5268" s="1" t="s">
        <v>5594</v>
      </c>
      <c r="D5268" s="1" t="s">
        <v>106</v>
      </c>
      <c r="E5268" s="1" t="s">
        <v>5123</v>
      </c>
      <c r="F5268">
        <v>159.02612229712457</v>
      </c>
      <c r="G5268">
        <v>154.37200566758293</v>
      </c>
      <c r="H5268">
        <v>517.52064602640564</v>
      </c>
      <c r="I5268">
        <v>24.305466359288349</v>
      </c>
      <c r="J5268">
        <v>5.6886184963484965</v>
      </c>
      <c r="K5268">
        <v>1201.5443935952567</v>
      </c>
      <c r="L5268">
        <v>1.9343724071254647</v>
      </c>
      <c r="M5268">
        <v>6.7745934720585312</v>
      </c>
      <c r="N5268">
        <v>47.160631612344467</v>
      </c>
      <c r="O5268">
        <v>2.6941106539620856</v>
      </c>
      <c r="P5268">
        <v>1.5920937285812244</v>
      </c>
    </row>
    <row r="5269" spans="1:16">
      <c r="A5269" s="1" t="s">
        <v>5121</v>
      </c>
      <c r="B5269" s="1" t="s">
        <v>5188</v>
      </c>
      <c r="C5269" s="1" t="s">
        <v>5594</v>
      </c>
      <c r="D5269" s="1" t="s">
        <v>106</v>
      </c>
      <c r="E5269" s="1" t="s">
        <v>5123</v>
      </c>
      <c r="F5269">
        <v>263.50054542089151</v>
      </c>
      <c r="G5269">
        <v>169.23532289797978</v>
      </c>
      <c r="H5269">
        <v>420.11210095302459</v>
      </c>
      <c r="I5269">
        <v>23.955801335180119</v>
      </c>
      <c r="J5269">
        <v>6.9695439834143968</v>
      </c>
      <c r="K5269">
        <v>1295.9721803149641</v>
      </c>
      <c r="L5269">
        <v>2.2362648313956157</v>
      </c>
      <c r="M5269">
        <v>6.6700406776878358</v>
      </c>
      <c r="N5269">
        <v>54.235574507527097</v>
      </c>
      <c r="O5269">
        <v>2.8726816699620867</v>
      </c>
      <c r="P5269">
        <v>1.1030837852975504</v>
      </c>
    </row>
    <row r="5270" spans="1:16">
      <c r="A5270" s="1" t="s">
        <v>5121</v>
      </c>
      <c r="B5270" s="1" t="s">
        <v>5189</v>
      </c>
      <c r="C5270" s="1" t="s">
        <v>5594</v>
      </c>
      <c r="D5270" s="1" t="s">
        <v>106</v>
      </c>
      <c r="E5270" s="1" t="s">
        <v>5123</v>
      </c>
      <c r="F5270">
        <v>87.513710130069612</v>
      </c>
      <c r="G5270">
        <v>93.665385283858015</v>
      </c>
      <c r="H5270">
        <v>464.99450416385861</v>
      </c>
      <c r="I5270">
        <v>24.385952365245267</v>
      </c>
      <c r="J5270">
        <v>6.2446438793580485</v>
      </c>
      <c r="K5270">
        <v>1346.5061659377486</v>
      </c>
      <c r="L5270">
        <v>2.1780601812705456</v>
      </c>
      <c r="M5270">
        <v>6.1111965386243954</v>
      </c>
      <c r="N5270">
        <v>38.250599887856993</v>
      </c>
      <c r="O5270">
        <v>3.2204825614473007</v>
      </c>
      <c r="P5270">
        <v>1.2476560675002071</v>
      </c>
    </row>
    <row r="5271" spans="1:16">
      <c r="A5271" s="1" t="s">
        <v>5121</v>
      </c>
      <c r="B5271" s="1" t="s">
        <v>5190</v>
      </c>
      <c r="C5271" s="1" t="s">
        <v>5594</v>
      </c>
      <c r="D5271" s="1" t="s">
        <v>106</v>
      </c>
      <c r="E5271" s="1" t="s">
        <v>5123</v>
      </c>
      <c r="F5271">
        <v>138.04427828720324</v>
      </c>
      <c r="G5271">
        <v>186.60530765625845</v>
      </c>
      <c r="H5271">
        <v>485.33700516781971</v>
      </c>
      <c r="I5271">
        <v>23.98565148371733</v>
      </c>
      <c r="J5271">
        <v>4.7475580099103478</v>
      </c>
      <c r="K5271">
        <v>1295.128071724507</v>
      </c>
      <c r="L5271">
        <v>2.2731630254212627</v>
      </c>
      <c r="M5271">
        <v>6.7330811728904694</v>
      </c>
      <c r="N5271">
        <v>45.957293853597932</v>
      </c>
      <c r="O5271">
        <v>3.3637476337364522</v>
      </c>
      <c r="P5271">
        <v>1.7880760602969887</v>
      </c>
    </row>
    <row r="5272" spans="1:16">
      <c r="A5272" s="1" t="s">
        <v>5121</v>
      </c>
      <c r="B5272" s="1" t="s">
        <v>5191</v>
      </c>
      <c r="C5272" s="1" t="s">
        <v>5594</v>
      </c>
      <c r="D5272" s="1" t="s">
        <v>106</v>
      </c>
      <c r="E5272" s="1" t="s">
        <v>5123</v>
      </c>
      <c r="F5272">
        <v>151.55676539916715</v>
      </c>
      <c r="G5272">
        <v>127.0054217194352</v>
      </c>
      <c r="H5272">
        <v>460.55237637662617</v>
      </c>
      <c r="I5272">
        <v>24.029869320643538</v>
      </c>
      <c r="J5272">
        <v>6.8072551913037023</v>
      </c>
      <c r="K5272">
        <v>1262.350112149137</v>
      </c>
      <c r="L5272">
        <v>2.249974909320871</v>
      </c>
      <c r="M5272">
        <v>6.3480551589287488</v>
      </c>
      <c r="N5272">
        <v>37.56228385933909</v>
      </c>
      <c r="O5272">
        <v>3.2663841092046852</v>
      </c>
      <c r="P5272">
        <v>1.9021786805615728</v>
      </c>
    </row>
    <row r="5273" spans="1:16">
      <c r="A5273" s="1" t="s">
        <v>5121</v>
      </c>
      <c r="B5273" s="1" t="s">
        <v>5192</v>
      </c>
      <c r="C5273" s="1" t="s">
        <v>5594</v>
      </c>
      <c r="D5273" s="1" t="s">
        <v>106</v>
      </c>
      <c r="E5273" s="1" t="s">
        <v>5123</v>
      </c>
      <c r="F5273">
        <v>140.79596967511412</v>
      </c>
      <c r="G5273">
        <v>102.55082845593942</v>
      </c>
      <c r="H5273">
        <v>511.72325715433948</v>
      </c>
      <c r="I5273">
        <v>23.30668950307928</v>
      </c>
      <c r="J5273">
        <v>7.2483325344340832</v>
      </c>
      <c r="K5273">
        <v>1376.6207109502175</v>
      </c>
      <c r="L5273">
        <v>2.1584934095176709</v>
      </c>
      <c r="M5273">
        <v>6.1871978023028129</v>
      </c>
      <c r="N5273">
        <v>47.33821080960422</v>
      </c>
      <c r="O5273">
        <v>3.2003197475582255</v>
      </c>
      <c r="P5273">
        <v>2.0424015029270404</v>
      </c>
    </row>
    <row r="5274" spans="1:16">
      <c r="A5274" s="1" t="s">
        <v>5121</v>
      </c>
      <c r="B5274" s="1" t="s">
        <v>5193</v>
      </c>
      <c r="C5274" s="1" t="s">
        <v>5594</v>
      </c>
      <c r="D5274" s="1" t="s">
        <v>106</v>
      </c>
      <c r="E5274" s="1" t="s">
        <v>5123</v>
      </c>
      <c r="F5274">
        <v>64.701127596661181</v>
      </c>
      <c r="G5274">
        <v>58.187889062132683</v>
      </c>
      <c r="H5274">
        <v>502.77680172606324</v>
      </c>
      <c r="I5274">
        <v>23.820192968047923</v>
      </c>
      <c r="J5274">
        <v>3.6757823655506967</v>
      </c>
      <c r="K5274">
        <v>1306.0922962984159</v>
      </c>
      <c r="L5274">
        <v>2.2768384152202232</v>
      </c>
      <c r="M5274">
        <v>5.7663639328937295</v>
      </c>
      <c r="N5274">
        <v>54.182310875628893</v>
      </c>
      <c r="O5274">
        <v>3.0386857315015314</v>
      </c>
      <c r="P5274">
        <v>1.6170354586339704</v>
      </c>
    </row>
    <row r="5275" spans="1:16">
      <c r="A5275" s="1" t="s">
        <v>5121</v>
      </c>
      <c r="B5275" s="1" t="s">
        <v>5194</v>
      </c>
      <c r="C5275" s="1" t="s">
        <v>5594</v>
      </c>
      <c r="D5275" s="1" t="s">
        <v>106</v>
      </c>
      <c r="E5275" s="1" t="s">
        <v>5123</v>
      </c>
      <c r="F5275">
        <v>217.84392492097422</v>
      </c>
      <c r="G5275">
        <v>250.09929336845502</v>
      </c>
      <c r="H5275">
        <v>554.11967468138982</v>
      </c>
      <c r="I5275">
        <v>24.808676109875368</v>
      </c>
      <c r="J5275">
        <v>5.0883316641636434</v>
      </c>
      <c r="K5275">
        <v>1316.0737755771886</v>
      </c>
      <c r="L5275">
        <v>2.1972260293787476</v>
      </c>
      <c r="M5275">
        <v>5.7918002448017019</v>
      </c>
      <c r="N5275">
        <v>51.730224311670504</v>
      </c>
      <c r="O5275">
        <v>3.0163396918482728</v>
      </c>
      <c r="P5275">
        <v>2.1730150198199132</v>
      </c>
    </row>
    <row r="5276" spans="1:16">
      <c r="A5276" s="1" t="s">
        <v>5121</v>
      </c>
      <c r="B5276" s="1" t="s">
        <v>5195</v>
      </c>
      <c r="C5276" s="1" t="s">
        <v>5594</v>
      </c>
      <c r="D5276" s="1" t="s">
        <v>106</v>
      </c>
      <c r="E5276" s="1" t="s">
        <v>5123</v>
      </c>
      <c r="F5276">
        <v>97.631721505615801</v>
      </c>
      <c r="G5276">
        <v>61.74381835217995</v>
      </c>
      <c r="H5276">
        <v>364.33148700966376</v>
      </c>
      <c r="I5276">
        <v>19.817850829867744</v>
      </c>
      <c r="J5276">
        <v>4.0195251080572802</v>
      </c>
      <c r="K5276">
        <v>1148.6735270387655</v>
      </c>
      <c r="L5276">
        <v>2.23674375119325</v>
      </c>
      <c r="M5276">
        <v>6.4116052557770855</v>
      </c>
      <c r="N5276">
        <v>43.118451156329222</v>
      </c>
      <c r="O5276">
        <v>3.3327682701196708</v>
      </c>
      <c r="P5276">
        <v>1.33748868968136</v>
      </c>
    </row>
    <row r="5277" spans="1:16">
      <c r="A5277" s="1" t="s">
        <v>5121</v>
      </c>
      <c r="B5277" s="1" t="s">
        <v>5196</v>
      </c>
      <c r="C5277" s="1" t="s">
        <v>5594</v>
      </c>
      <c r="D5277" s="1" t="s">
        <v>106</v>
      </c>
      <c r="E5277" s="1" t="s">
        <v>5123</v>
      </c>
      <c r="F5277">
        <v>147.68100652474274</v>
      </c>
      <c r="G5277">
        <v>71.867302268642177</v>
      </c>
      <c r="H5277">
        <v>506.8359239551524</v>
      </c>
      <c r="I5277">
        <v>20.788166937549953</v>
      </c>
      <c r="J5277">
        <v>5.2249396339871161</v>
      </c>
      <c r="K5277">
        <v>1230.0822148089078</v>
      </c>
      <c r="L5277">
        <v>2.0853859629055598</v>
      </c>
      <c r="M5277">
        <v>6.4140274656648462</v>
      </c>
      <c r="N5277">
        <v>41.619813537310414</v>
      </c>
      <c r="O5277">
        <v>3.1701282588464164</v>
      </c>
      <c r="P5277">
        <v>1.4288347209867862</v>
      </c>
    </row>
    <row r="5278" spans="1:16">
      <c r="A5278" s="1" t="s">
        <v>5121</v>
      </c>
      <c r="B5278" s="1" t="s">
        <v>5197</v>
      </c>
      <c r="C5278" s="1" t="s">
        <v>5594</v>
      </c>
      <c r="D5278" s="1" t="s">
        <v>106</v>
      </c>
      <c r="E5278" s="1" t="s">
        <v>5123</v>
      </c>
      <c r="F5278">
        <v>441.91577108547125</v>
      </c>
      <c r="G5278">
        <v>273.12026478009585</v>
      </c>
      <c r="H5278">
        <v>421.71647608188783</v>
      </c>
      <c r="I5278">
        <v>21.038592952927672</v>
      </c>
      <c r="J5278">
        <v>3.3087842664231748</v>
      </c>
      <c r="K5278">
        <v>1139.0666382300981</v>
      </c>
      <c r="L5278">
        <v>2.041594691553243</v>
      </c>
      <c r="M5278">
        <v>7.1984247171011742</v>
      </c>
      <c r="N5278">
        <v>40.122313717198267</v>
      </c>
      <c r="O5278">
        <v>3.4565284249735799</v>
      </c>
      <c r="P5278">
        <v>2.5012719508067467</v>
      </c>
    </row>
    <row r="5279" spans="1:16">
      <c r="A5279" s="1" t="s">
        <v>5121</v>
      </c>
      <c r="B5279" s="1" t="s">
        <v>5198</v>
      </c>
      <c r="C5279" s="1" t="s">
        <v>5594</v>
      </c>
      <c r="D5279" s="1" t="s">
        <v>106</v>
      </c>
      <c r="E5279" s="1" t="s">
        <v>5123</v>
      </c>
      <c r="F5279">
        <v>123.46299878577555</v>
      </c>
      <c r="G5279">
        <v>81.552178497416946</v>
      </c>
      <c r="H5279">
        <v>358.65252603041984</v>
      </c>
      <c r="I5279">
        <v>20.821747646707895</v>
      </c>
      <c r="J5279">
        <v>4.5897989836449575</v>
      </c>
      <c r="K5279">
        <v>1129.7999003485593</v>
      </c>
      <c r="L5279">
        <v>2.028991082956765</v>
      </c>
      <c r="M5279">
        <v>5.8779624994060313</v>
      </c>
      <c r="N5279">
        <v>26.284153350396195</v>
      </c>
      <c r="O5279">
        <v>3.3200043145948643</v>
      </c>
      <c r="P5279">
        <v>1.2982260727378001</v>
      </c>
    </row>
    <row r="5280" spans="1:16">
      <c r="A5280" s="1" t="s">
        <v>5121</v>
      </c>
      <c r="B5280" s="1" t="s">
        <v>5199</v>
      </c>
      <c r="C5280" s="1" t="s">
        <v>5594</v>
      </c>
      <c r="D5280" s="1" t="s">
        <v>106</v>
      </c>
      <c r="E5280" s="1" t="s">
        <v>5123</v>
      </c>
      <c r="F5280">
        <v>112.94289276864684</v>
      </c>
      <c r="G5280">
        <v>63.775871001959409</v>
      </c>
      <c r="H5280">
        <v>386.05573209892736</v>
      </c>
      <c r="I5280">
        <v>20.406118586746906</v>
      </c>
      <c r="J5280">
        <v>4.0834927518870732</v>
      </c>
      <c r="K5280">
        <v>1085.8627929204495</v>
      </c>
      <c r="L5280">
        <v>2.0043446723088931</v>
      </c>
      <c r="M5280">
        <v>5.7787574829594366</v>
      </c>
      <c r="N5280">
        <v>29.781301233220614</v>
      </c>
      <c r="O5280">
        <v>3.116365633095882</v>
      </c>
      <c r="P5280">
        <v>1.4162297982694521</v>
      </c>
    </row>
    <row r="5281" spans="1:16">
      <c r="A5281" s="1" t="s">
        <v>5121</v>
      </c>
      <c r="B5281" s="1" t="s">
        <v>5200</v>
      </c>
      <c r="C5281" s="1" t="s">
        <v>1764</v>
      </c>
      <c r="D5281" s="1" t="s">
        <v>2646</v>
      </c>
      <c r="E5281" s="1" t="s">
        <v>5123</v>
      </c>
      <c r="F5281">
        <v>957.0852800908508</v>
      </c>
      <c r="G5281">
        <v>1333.7060297054304</v>
      </c>
      <c r="H5281">
        <v>3225.4926302867239</v>
      </c>
      <c r="I5281">
        <v>68.948213467318297</v>
      </c>
      <c r="J5281">
        <v>7.4503992200746669</v>
      </c>
      <c r="K5281">
        <v>2138.4662927723666</v>
      </c>
      <c r="L5281">
        <v>9.1301194107787147</v>
      </c>
      <c r="M5281">
        <v>21.700370267013017</v>
      </c>
      <c r="N5281">
        <v>11.979536864928399</v>
      </c>
      <c r="O5281">
        <v>10.170837098604441</v>
      </c>
      <c r="P5281">
        <v>2.4926428055745755</v>
      </c>
    </row>
    <row r="5282" spans="1:16">
      <c r="A5282" s="1" t="s">
        <v>5121</v>
      </c>
      <c r="B5282" s="1" t="s">
        <v>5201</v>
      </c>
      <c r="C5282" s="1" t="s">
        <v>1764</v>
      </c>
      <c r="D5282" s="1" t="s">
        <v>2646</v>
      </c>
      <c r="E5282" s="1" t="s">
        <v>5123</v>
      </c>
      <c r="F5282">
        <v>1029.1942514324901</v>
      </c>
      <c r="G5282">
        <v>1290.6957327093598</v>
      </c>
      <c r="H5282">
        <v>3613.0511676387805</v>
      </c>
      <c r="I5282">
        <v>68.604625188492051</v>
      </c>
      <c r="J5282">
        <v>7.439519605831971</v>
      </c>
      <c r="K5282">
        <v>2136.2016871236656</v>
      </c>
      <c r="L5282">
        <v>9.1368888335268164</v>
      </c>
      <c r="M5282">
        <v>23.597903293917788</v>
      </c>
      <c r="N5282">
        <v>17.154707444543824</v>
      </c>
      <c r="O5282">
        <v>10.883114854768285</v>
      </c>
      <c r="P5282">
        <v>2.7419490913223674</v>
      </c>
    </row>
    <row r="5283" spans="1:16">
      <c r="A5283" s="1" t="s">
        <v>5121</v>
      </c>
      <c r="B5283" s="1" t="s">
        <v>5202</v>
      </c>
      <c r="C5283" s="1" t="s">
        <v>1764</v>
      </c>
      <c r="D5283" s="1" t="s">
        <v>2646</v>
      </c>
      <c r="E5283" s="1" t="s">
        <v>5123</v>
      </c>
      <c r="F5283">
        <v>711.41966748210552</v>
      </c>
      <c r="G5283">
        <v>1316.1494845584646</v>
      </c>
      <c r="H5283">
        <v>3095.9726302386093</v>
      </c>
      <c r="I5283">
        <v>69.57452832857355</v>
      </c>
      <c r="J5283">
        <v>6.4475442822584093</v>
      </c>
      <c r="K5283">
        <v>1578.0862331539442</v>
      </c>
      <c r="L5283">
        <v>8.6072952991682712</v>
      </c>
      <c r="M5283">
        <v>23.97853848566028</v>
      </c>
      <c r="N5283">
        <v>19.998315579941636</v>
      </c>
      <c r="O5283">
        <v>10.250693623579444</v>
      </c>
      <c r="P5283">
        <v>2.5319922573432949</v>
      </c>
    </row>
    <row r="5284" spans="1:16">
      <c r="A5284" s="1" t="s">
        <v>5121</v>
      </c>
      <c r="B5284" s="1" t="s">
        <v>5203</v>
      </c>
      <c r="C5284" s="1" t="s">
        <v>1764</v>
      </c>
      <c r="D5284" s="1" t="s">
        <v>2646</v>
      </c>
      <c r="E5284" s="1" t="s">
        <v>5123</v>
      </c>
      <c r="F5284">
        <v>1035.806526401662</v>
      </c>
      <c r="G5284">
        <v>1317.6377507391151</v>
      </c>
      <c r="H5284">
        <v>3395.1449496588252</v>
      </c>
      <c r="I5284">
        <v>67.219040584876439</v>
      </c>
      <c r="J5284">
        <v>7.1612834137807173</v>
      </c>
      <c r="K5284">
        <v>1816.5506666140404</v>
      </c>
      <c r="L5284">
        <v>9.1998294694535154</v>
      </c>
      <c r="M5284">
        <v>21.373288693181422</v>
      </c>
      <c r="N5284">
        <v>16.293981810080606</v>
      </c>
      <c r="O5284">
        <v>10.752630013209977</v>
      </c>
      <c r="P5284">
        <v>2.3352327778688418</v>
      </c>
    </row>
    <row r="5285" spans="1:16">
      <c r="A5285" s="1" t="s">
        <v>5121</v>
      </c>
      <c r="B5285" s="1" t="s">
        <v>5204</v>
      </c>
      <c r="C5285" s="1" t="s">
        <v>1764</v>
      </c>
      <c r="D5285" s="1" t="s">
        <v>2646</v>
      </c>
      <c r="E5285" s="1" t="s">
        <v>5123</v>
      </c>
      <c r="F5285">
        <v>991.59578562028366</v>
      </c>
      <c r="G5285">
        <v>1301.1556343551749</v>
      </c>
      <c r="H5285">
        <v>3056.0307826745866</v>
      </c>
      <c r="I5285">
        <v>68.251089937210608</v>
      </c>
      <c r="J5285">
        <v>7.0756363240748765</v>
      </c>
      <c r="K5285">
        <v>1421.2316922519756</v>
      </c>
      <c r="L5285">
        <v>9.2134545019274796</v>
      </c>
      <c r="M5285">
        <v>23.614689589015942</v>
      </c>
      <c r="N5285">
        <v>15.887028645403126</v>
      </c>
      <c r="O5285">
        <v>10.746759526818957</v>
      </c>
      <c r="P5285">
        <v>2.5887857663590896</v>
      </c>
    </row>
    <row r="5286" spans="1:16">
      <c r="A5286" s="1" t="s">
        <v>5121</v>
      </c>
      <c r="B5286" s="1" t="s">
        <v>5205</v>
      </c>
      <c r="C5286" s="1" t="s">
        <v>1764</v>
      </c>
      <c r="D5286" s="1" t="s">
        <v>2646</v>
      </c>
      <c r="E5286" s="1" t="s">
        <v>5123</v>
      </c>
      <c r="F5286">
        <v>1014.6248989381597</v>
      </c>
      <c r="G5286">
        <v>1314.0517911134027</v>
      </c>
      <c r="H5286">
        <v>3567.2697333045257</v>
      </c>
      <c r="I5286">
        <v>67.474675623901121</v>
      </c>
      <c r="J5286">
        <v>6.8830595408594961</v>
      </c>
      <c r="K5286">
        <v>1886.111546411458</v>
      </c>
      <c r="L5286">
        <v>9.5105657658631202</v>
      </c>
      <c r="M5286">
        <v>23.411850207711552</v>
      </c>
      <c r="N5286">
        <v>22.55748457941095</v>
      </c>
      <c r="O5286">
        <v>10.928800381981523</v>
      </c>
      <c r="P5286">
        <v>2.6588061173352417</v>
      </c>
    </row>
    <row r="5287" spans="1:16">
      <c r="A5287" s="1" t="s">
        <v>5121</v>
      </c>
      <c r="B5287" s="1" t="s">
        <v>5206</v>
      </c>
      <c r="C5287" s="1" t="s">
        <v>1764</v>
      </c>
      <c r="D5287" s="1" t="s">
        <v>2646</v>
      </c>
      <c r="E5287" s="1" t="s">
        <v>5123</v>
      </c>
      <c r="F5287">
        <v>868.31043540056532</v>
      </c>
      <c r="G5287">
        <v>1316.0752367835473</v>
      </c>
      <c r="H5287">
        <v>3380.8387634069036</v>
      </c>
      <c r="I5287">
        <v>67.467062866594162</v>
      </c>
      <c r="J5287">
        <v>6.9551761046488059</v>
      </c>
      <c r="K5287">
        <v>2028.6511207777683</v>
      </c>
      <c r="L5287">
        <v>8.8274006463359793</v>
      </c>
      <c r="M5287">
        <v>23.508373919086257</v>
      </c>
      <c r="N5287">
        <v>15.926345619631892</v>
      </c>
      <c r="O5287">
        <v>11.034984385313246</v>
      </c>
      <c r="P5287">
        <v>2.4473383183621178</v>
      </c>
    </row>
    <row r="5288" spans="1:16">
      <c r="A5288" s="1" t="s">
        <v>5121</v>
      </c>
      <c r="B5288" s="1" t="s">
        <v>5207</v>
      </c>
      <c r="C5288" s="1" t="s">
        <v>1764</v>
      </c>
      <c r="D5288" s="1" t="s">
        <v>2646</v>
      </c>
      <c r="E5288" s="1" t="s">
        <v>5123</v>
      </c>
      <c r="F5288">
        <v>938.28501609543173</v>
      </c>
      <c r="G5288">
        <v>1277.1695695134611</v>
      </c>
      <c r="H5288">
        <v>3229.0428155076415</v>
      </c>
      <c r="I5288">
        <v>67.51425244207428</v>
      </c>
      <c r="J5288">
        <v>8.5048746087317078</v>
      </c>
      <c r="K5288">
        <v>2307.831524314885</v>
      </c>
      <c r="L5288">
        <v>9.2215667203071305</v>
      </c>
      <c r="M5288">
        <v>22.155303485024259</v>
      </c>
      <c r="N5288">
        <v>15.417173644027589</v>
      </c>
      <c r="O5288">
        <v>10.575352072043032</v>
      </c>
      <c r="P5288">
        <v>2.3570619518764842</v>
      </c>
    </row>
    <row r="5289" spans="1:16">
      <c r="A5289" s="1" t="s">
        <v>5121</v>
      </c>
      <c r="B5289" s="1" t="s">
        <v>5208</v>
      </c>
      <c r="C5289" s="1" t="s">
        <v>1764</v>
      </c>
      <c r="D5289" s="1" t="s">
        <v>2646</v>
      </c>
      <c r="E5289" s="1" t="s">
        <v>5123</v>
      </c>
      <c r="F5289">
        <v>1050.0738269366864</v>
      </c>
      <c r="G5289">
        <v>1337.2530897650181</v>
      </c>
      <c r="H5289">
        <v>3187.2881022745987</v>
      </c>
      <c r="I5289">
        <v>67.741982678354674</v>
      </c>
      <c r="J5289">
        <v>8.3070453479665556</v>
      </c>
      <c r="K5289">
        <v>2127.6449291087151</v>
      </c>
      <c r="L5289">
        <v>9.183567800372467</v>
      </c>
      <c r="M5289">
        <v>23.207371698470308</v>
      </c>
      <c r="N5289">
        <v>18.802033909397249</v>
      </c>
      <c r="O5289">
        <v>10.944135351439005</v>
      </c>
      <c r="P5289">
        <v>2.5550092643251081</v>
      </c>
    </row>
    <row r="5290" spans="1:16">
      <c r="A5290" s="1" t="s">
        <v>5121</v>
      </c>
      <c r="B5290" s="1" t="s">
        <v>5209</v>
      </c>
      <c r="C5290" s="1" t="s">
        <v>1764</v>
      </c>
      <c r="D5290" s="1" t="s">
        <v>2646</v>
      </c>
      <c r="E5290" s="1" t="s">
        <v>5123</v>
      </c>
      <c r="F5290">
        <v>1090.3195586644827</v>
      </c>
      <c r="G5290">
        <v>1276.919714693732</v>
      </c>
      <c r="H5290">
        <v>3478.3193548459303</v>
      </c>
      <c r="I5290">
        <v>68.0270191709252</v>
      </c>
      <c r="J5290">
        <v>7.6972501138089831</v>
      </c>
      <c r="K5290">
        <v>2040.2911975439345</v>
      </c>
      <c r="L5290">
        <v>9.2519108294907522</v>
      </c>
      <c r="M5290">
        <v>22.268705928315939</v>
      </c>
      <c r="N5290">
        <v>17.260056410085621</v>
      </c>
      <c r="O5290">
        <v>11.12828999296962</v>
      </c>
      <c r="P5290">
        <v>2.5738498587636296</v>
      </c>
    </row>
    <row r="5291" spans="1:16">
      <c r="A5291" s="1" t="s">
        <v>5121</v>
      </c>
      <c r="B5291" s="1" t="s">
        <v>5210</v>
      </c>
      <c r="C5291" s="1" t="s">
        <v>1764</v>
      </c>
      <c r="D5291" s="1" t="s">
        <v>2646</v>
      </c>
      <c r="E5291" s="1" t="s">
        <v>5123</v>
      </c>
      <c r="F5291">
        <v>1042.3093399153938</v>
      </c>
      <c r="G5291">
        <v>1282.6944717310248</v>
      </c>
      <c r="H5291">
        <v>3605.5828677282916</v>
      </c>
      <c r="I5291">
        <v>68.977401432319908</v>
      </c>
      <c r="J5291">
        <v>9.3440993239086509</v>
      </c>
      <c r="K5291">
        <v>1973.2758364448769</v>
      </c>
      <c r="L5291">
        <v>9.5904948008947866</v>
      </c>
      <c r="M5291">
        <v>21.996763388706665</v>
      </c>
      <c r="N5291">
        <v>16.51706328552423</v>
      </c>
      <c r="O5291">
        <v>10.790357838956121</v>
      </c>
      <c r="P5291">
        <v>2.5576577108029781</v>
      </c>
    </row>
    <row r="5292" spans="1:16">
      <c r="A5292" s="1" t="s">
        <v>5121</v>
      </c>
      <c r="B5292" s="1" t="s">
        <v>5211</v>
      </c>
      <c r="C5292" s="1" t="s">
        <v>1764</v>
      </c>
      <c r="D5292" s="1" t="s">
        <v>2646</v>
      </c>
      <c r="E5292" s="1" t="s">
        <v>5123</v>
      </c>
      <c r="F5292">
        <v>1134.2620699407075</v>
      </c>
      <c r="G5292">
        <v>1301.3123317302741</v>
      </c>
      <c r="H5292">
        <v>3219.134019432649</v>
      </c>
      <c r="I5292">
        <v>68.883603961759462</v>
      </c>
      <c r="J5292">
        <v>6.0834368942529542</v>
      </c>
      <c r="K5292">
        <v>1861.5102587599665</v>
      </c>
      <c r="L5292">
        <v>9.5363071098538459</v>
      </c>
      <c r="M5292">
        <v>22.717745231496895</v>
      </c>
      <c r="N5292">
        <v>15.154327840345047</v>
      </c>
      <c r="O5292">
        <v>11.307849246960798</v>
      </c>
      <c r="P5292">
        <v>2.525163557094666</v>
      </c>
    </row>
    <row r="5293" spans="1:16">
      <c r="A5293" s="1" t="s">
        <v>5212</v>
      </c>
      <c r="B5293" s="1" t="s">
        <v>5213</v>
      </c>
      <c r="C5293" s="1" t="s">
        <v>38</v>
      </c>
      <c r="D5293" s="1" t="s">
        <v>5600</v>
      </c>
      <c r="E5293" s="1" t="s">
        <v>5214</v>
      </c>
      <c r="F5293">
        <v>1520</v>
      </c>
      <c r="G5293">
        <v>2900</v>
      </c>
      <c r="H5293">
        <v>4290</v>
      </c>
      <c r="I5293">
        <v>1823</v>
      </c>
      <c r="J5293">
        <v>607</v>
      </c>
      <c r="K5293">
        <v>1190</v>
      </c>
      <c r="L5293">
        <v>31.4</v>
      </c>
      <c r="M5293">
        <v>64.2</v>
      </c>
      <c r="N5293">
        <v>106</v>
      </c>
      <c r="O5293">
        <v>70.400000000000006</v>
      </c>
      <c r="P5293">
        <v>2.41</v>
      </c>
    </row>
    <row r="5294" spans="1:16">
      <c r="A5294" s="1" t="s">
        <v>5212</v>
      </c>
      <c r="B5294" s="1" t="s">
        <v>5215</v>
      </c>
      <c r="C5294" s="1" t="s">
        <v>38</v>
      </c>
      <c r="D5294" s="1" t="s">
        <v>5600</v>
      </c>
      <c r="E5294" s="1" t="s">
        <v>5214</v>
      </c>
      <c r="F5294">
        <v>570</v>
      </c>
      <c r="G5294">
        <v>2880</v>
      </c>
      <c r="H5294">
        <v>5300</v>
      </c>
      <c r="I5294">
        <v>1754</v>
      </c>
      <c r="J5294">
        <v>586</v>
      </c>
      <c r="K5294">
        <v>1228</v>
      </c>
      <c r="L5294">
        <v>31</v>
      </c>
      <c r="M5294">
        <v>73.900000000000006</v>
      </c>
      <c r="N5294">
        <v>121</v>
      </c>
      <c r="O5294">
        <v>74.400000000000006</v>
      </c>
      <c r="P5294">
        <v>1.94</v>
      </c>
    </row>
    <row r="5295" spans="1:16">
      <c r="A5295" s="1" t="s">
        <v>5212</v>
      </c>
      <c r="B5295" s="1" t="s">
        <v>5216</v>
      </c>
      <c r="C5295" s="1" t="s">
        <v>38</v>
      </c>
      <c r="D5295" s="1" t="s">
        <v>5600</v>
      </c>
      <c r="E5295" s="1" t="s">
        <v>5217</v>
      </c>
      <c r="F5295">
        <v>550</v>
      </c>
      <c r="G5295">
        <v>1480</v>
      </c>
      <c r="H5295">
        <v>1489</v>
      </c>
      <c r="I5295">
        <v>2347</v>
      </c>
      <c r="J5295">
        <v>525</v>
      </c>
      <c r="K5295">
        <v>1079</v>
      </c>
      <c r="L5295">
        <v>32.200000000000003</v>
      </c>
      <c r="M5295">
        <v>50.3</v>
      </c>
      <c r="N5295">
        <v>183</v>
      </c>
      <c r="O5295">
        <v>91.5</v>
      </c>
      <c r="P5295">
        <v>3.6</v>
      </c>
    </row>
    <row r="5296" spans="1:16">
      <c r="A5296" s="1" t="s">
        <v>5212</v>
      </c>
      <c r="B5296" s="1" t="s">
        <v>5218</v>
      </c>
      <c r="C5296" s="1" t="s">
        <v>38</v>
      </c>
      <c r="D5296" s="1" t="s">
        <v>5600</v>
      </c>
      <c r="E5296" s="1" t="s">
        <v>5217</v>
      </c>
      <c r="F5296">
        <v>1370</v>
      </c>
      <c r="G5296">
        <v>3440</v>
      </c>
      <c r="H5296">
        <v>1212</v>
      </c>
      <c r="I5296">
        <v>2424</v>
      </c>
      <c r="J5296">
        <v>479</v>
      </c>
      <c r="K5296">
        <v>1117</v>
      </c>
      <c r="L5296">
        <v>25.8</v>
      </c>
      <c r="M5296">
        <v>51.9</v>
      </c>
      <c r="N5296">
        <v>208</v>
      </c>
      <c r="O5296">
        <v>80.8</v>
      </c>
      <c r="P5296">
        <v>2.57</v>
      </c>
    </row>
    <row r="5297" spans="1:16">
      <c r="A5297" s="1" t="s">
        <v>5212</v>
      </c>
      <c r="B5297" s="1" t="s">
        <v>5219</v>
      </c>
      <c r="C5297" s="1" t="s">
        <v>38</v>
      </c>
      <c r="D5297" s="1" t="s">
        <v>5600</v>
      </c>
      <c r="E5297" s="1" t="s">
        <v>5217</v>
      </c>
      <c r="F5297">
        <v>1780</v>
      </c>
      <c r="G5297">
        <v>3270</v>
      </c>
      <c r="H5297">
        <v>7200</v>
      </c>
      <c r="I5297">
        <v>2495</v>
      </c>
      <c r="J5297">
        <v>542</v>
      </c>
      <c r="K5297">
        <v>867</v>
      </c>
      <c r="L5297">
        <v>29.2</v>
      </c>
      <c r="M5297">
        <v>57.9</v>
      </c>
      <c r="N5297">
        <v>195</v>
      </c>
      <c r="O5297">
        <v>86.2</v>
      </c>
      <c r="P5297">
        <v>2.6</v>
      </c>
    </row>
    <row r="5298" spans="1:16">
      <c r="A5298" s="1" t="s">
        <v>5212</v>
      </c>
      <c r="B5298" s="1" t="s">
        <v>5220</v>
      </c>
      <c r="C5298" s="1" t="s">
        <v>38</v>
      </c>
      <c r="D5298" s="1" t="s">
        <v>5600</v>
      </c>
      <c r="E5298" s="1" t="s">
        <v>5217</v>
      </c>
      <c r="F5298">
        <v>890</v>
      </c>
      <c r="G5298">
        <v>3690</v>
      </c>
      <c r="H5298">
        <v>6200</v>
      </c>
      <c r="I5298">
        <v>2464</v>
      </c>
      <c r="J5298">
        <v>529</v>
      </c>
      <c r="K5298">
        <v>908</v>
      </c>
      <c r="L5298">
        <v>27.6</v>
      </c>
      <c r="M5298">
        <v>60.2</v>
      </c>
      <c r="N5298">
        <v>161</v>
      </c>
      <c r="O5298">
        <v>82.3</v>
      </c>
      <c r="P5298">
        <v>3.05</v>
      </c>
    </row>
    <row r="5299" spans="1:16">
      <c r="A5299" s="1" t="s">
        <v>5212</v>
      </c>
      <c r="B5299" s="1" t="s">
        <v>5221</v>
      </c>
      <c r="C5299" s="1" t="s">
        <v>1764</v>
      </c>
      <c r="D5299" s="1" t="s">
        <v>2646</v>
      </c>
      <c r="E5299" s="1" t="s">
        <v>5217</v>
      </c>
      <c r="F5299">
        <v>1206</v>
      </c>
      <c r="G5299">
        <v>4390</v>
      </c>
      <c r="H5299">
        <v>1560</v>
      </c>
      <c r="I5299">
        <v>2300</v>
      </c>
      <c r="J5299">
        <v>1427</v>
      </c>
      <c r="K5299">
        <v>1403</v>
      </c>
      <c r="L5299">
        <v>58.5</v>
      </c>
      <c r="M5299">
        <v>112</v>
      </c>
      <c r="N5299">
        <v>781</v>
      </c>
      <c r="O5299">
        <v>99.9</v>
      </c>
      <c r="P5299">
        <v>1.9</v>
      </c>
    </row>
    <row r="5300" spans="1:16">
      <c r="A5300" s="1" t="s">
        <v>5212</v>
      </c>
      <c r="B5300" s="1" t="s">
        <v>5222</v>
      </c>
      <c r="C5300" s="1" t="s">
        <v>1764</v>
      </c>
      <c r="D5300" s="1" t="s">
        <v>2646</v>
      </c>
      <c r="E5300" s="1" t="s">
        <v>5217</v>
      </c>
      <c r="F5300">
        <v>716</v>
      </c>
      <c r="G5300">
        <v>5650</v>
      </c>
      <c r="H5300">
        <v>857</v>
      </c>
      <c r="I5300">
        <v>2196</v>
      </c>
      <c r="J5300">
        <v>1357</v>
      </c>
      <c r="K5300">
        <v>1298</v>
      </c>
      <c r="L5300">
        <v>53.1</v>
      </c>
      <c r="M5300">
        <v>104.4</v>
      </c>
      <c r="N5300">
        <v>1270</v>
      </c>
      <c r="O5300">
        <v>94.2</v>
      </c>
      <c r="P5300">
        <v>2.11</v>
      </c>
    </row>
    <row r="5301" spans="1:16">
      <c r="A5301" s="1" t="s">
        <v>5212</v>
      </c>
      <c r="B5301" s="1" t="s">
        <v>5223</v>
      </c>
      <c r="C5301" s="1" t="s">
        <v>1764</v>
      </c>
      <c r="D5301" s="1" t="s">
        <v>2646</v>
      </c>
      <c r="E5301" s="1" t="s">
        <v>5217</v>
      </c>
      <c r="F5301">
        <v>2960</v>
      </c>
      <c r="G5301">
        <v>5350</v>
      </c>
      <c r="H5301">
        <v>1940</v>
      </c>
      <c r="I5301">
        <v>2357</v>
      </c>
      <c r="J5301">
        <v>1559</v>
      </c>
      <c r="K5301">
        <v>1727</v>
      </c>
      <c r="L5301">
        <v>55.1</v>
      </c>
      <c r="M5301">
        <v>112</v>
      </c>
      <c r="N5301">
        <v>453</v>
      </c>
      <c r="O5301">
        <v>100.8</v>
      </c>
      <c r="P5301">
        <v>1.93</v>
      </c>
    </row>
    <row r="5302" spans="1:16">
      <c r="A5302" s="1" t="s">
        <v>5212</v>
      </c>
      <c r="B5302" s="1" t="s">
        <v>5224</v>
      </c>
      <c r="C5302" s="1" t="s">
        <v>1764</v>
      </c>
      <c r="D5302" s="1" t="s">
        <v>2646</v>
      </c>
      <c r="E5302" s="1" t="s">
        <v>5217</v>
      </c>
      <c r="F5302">
        <v>1241</v>
      </c>
      <c r="G5302">
        <v>6860</v>
      </c>
      <c r="H5302">
        <v>836</v>
      </c>
      <c r="I5302">
        <v>2176</v>
      </c>
      <c r="J5302">
        <v>1409</v>
      </c>
      <c r="K5302">
        <v>1535</v>
      </c>
      <c r="L5302">
        <v>49.5</v>
      </c>
      <c r="M5302">
        <v>101.1</v>
      </c>
      <c r="N5302">
        <v>680</v>
      </c>
      <c r="O5302">
        <v>98.7</v>
      </c>
      <c r="P5302">
        <v>2.46</v>
      </c>
    </row>
    <row r="5303" spans="1:16">
      <c r="A5303" s="1" t="s">
        <v>5212</v>
      </c>
      <c r="B5303" s="1" t="s">
        <v>5225</v>
      </c>
      <c r="C5303" s="1" t="s">
        <v>1764</v>
      </c>
      <c r="D5303" s="1" t="s">
        <v>2646</v>
      </c>
      <c r="E5303" s="1" t="s">
        <v>5217</v>
      </c>
      <c r="F5303">
        <v>330</v>
      </c>
      <c r="G5303">
        <v>1330</v>
      </c>
      <c r="H5303">
        <v>973</v>
      </c>
      <c r="I5303">
        <v>2019</v>
      </c>
      <c r="J5303">
        <v>555</v>
      </c>
      <c r="K5303">
        <v>1114</v>
      </c>
      <c r="L5303">
        <v>38</v>
      </c>
      <c r="M5303">
        <v>75</v>
      </c>
      <c r="N5303">
        <v>90</v>
      </c>
      <c r="O5303">
        <v>79.7</v>
      </c>
      <c r="P5303">
        <v>1.92</v>
      </c>
    </row>
    <row r="5304" spans="1:16">
      <c r="A5304" s="1" t="s">
        <v>5212</v>
      </c>
      <c r="B5304" s="1" t="s">
        <v>5226</v>
      </c>
      <c r="C5304" s="1" t="s">
        <v>1764</v>
      </c>
      <c r="D5304" s="1" t="s">
        <v>2646</v>
      </c>
      <c r="E5304" s="1" t="s">
        <v>5217</v>
      </c>
      <c r="F5304">
        <v>146</v>
      </c>
      <c r="G5304">
        <v>2200</v>
      </c>
      <c r="H5304">
        <v>473</v>
      </c>
      <c r="I5304">
        <v>1983</v>
      </c>
      <c r="J5304">
        <v>546</v>
      </c>
      <c r="K5304">
        <v>631</v>
      </c>
      <c r="L5304">
        <v>28.4</v>
      </c>
      <c r="M5304">
        <v>64</v>
      </c>
      <c r="N5304">
        <v>420</v>
      </c>
      <c r="O5304">
        <v>55</v>
      </c>
      <c r="P5304">
        <v>2.33</v>
      </c>
    </row>
    <row r="5305" spans="1:16">
      <c r="A5305" s="1" t="s">
        <v>5212</v>
      </c>
      <c r="B5305" s="1" t="s">
        <v>5227</v>
      </c>
      <c r="C5305" s="1" t="s">
        <v>1764</v>
      </c>
      <c r="D5305" s="1" t="s">
        <v>2646</v>
      </c>
      <c r="E5305" s="1" t="s">
        <v>5217</v>
      </c>
      <c r="F5305">
        <v>405</v>
      </c>
      <c r="G5305">
        <v>940</v>
      </c>
      <c r="H5305">
        <v>869</v>
      </c>
      <c r="I5305">
        <v>1809</v>
      </c>
      <c r="J5305">
        <v>510</v>
      </c>
      <c r="K5305">
        <v>1088</v>
      </c>
      <c r="L5305">
        <v>39.5</v>
      </c>
      <c r="M5305">
        <v>68.599999999999994</v>
      </c>
      <c r="N5305">
        <v>80.8</v>
      </c>
      <c r="O5305">
        <v>82</v>
      </c>
      <c r="P5305">
        <v>1.91</v>
      </c>
    </row>
    <row r="5306" spans="1:16">
      <c r="A5306" s="1" t="s">
        <v>5212</v>
      </c>
      <c r="B5306" s="1" t="s">
        <v>5228</v>
      </c>
      <c r="C5306" s="1" t="s">
        <v>1764</v>
      </c>
      <c r="D5306" s="1" t="s">
        <v>2646</v>
      </c>
      <c r="E5306" s="1" t="s">
        <v>5217</v>
      </c>
      <c r="F5306">
        <v>233</v>
      </c>
      <c r="G5306">
        <v>1240</v>
      </c>
      <c r="H5306">
        <v>525</v>
      </c>
      <c r="I5306">
        <v>1805</v>
      </c>
      <c r="J5306">
        <v>495</v>
      </c>
      <c r="K5306">
        <v>949</v>
      </c>
      <c r="L5306">
        <v>37.5</v>
      </c>
      <c r="M5306">
        <v>63.7</v>
      </c>
      <c r="N5306">
        <v>132</v>
      </c>
      <c r="O5306">
        <v>65.2</v>
      </c>
      <c r="P5306">
        <v>2.21</v>
      </c>
    </row>
    <row r="5307" spans="1:16">
      <c r="A5307" s="1" t="s">
        <v>5212</v>
      </c>
      <c r="B5307" s="1" t="s">
        <v>5229</v>
      </c>
      <c r="C5307" s="1" t="s">
        <v>1764</v>
      </c>
      <c r="D5307" s="1" t="s">
        <v>2646</v>
      </c>
      <c r="E5307" s="1" t="s">
        <v>5217</v>
      </c>
      <c r="F5307">
        <v>61.4</v>
      </c>
      <c r="G5307">
        <v>917</v>
      </c>
      <c r="H5307">
        <v>922</v>
      </c>
      <c r="I5307">
        <v>1790</v>
      </c>
      <c r="J5307">
        <v>537</v>
      </c>
      <c r="K5307">
        <v>1310</v>
      </c>
      <c r="L5307">
        <v>43.3</v>
      </c>
      <c r="M5307">
        <v>73.8</v>
      </c>
      <c r="N5307">
        <v>191</v>
      </c>
      <c r="O5307">
        <v>83.6</v>
      </c>
      <c r="P5307">
        <v>1.67</v>
      </c>
    </row>
    <row r="5308" spans="1:16">
      <c r="A5308" s="1" t="s">
        <v>5212</v>
      </c>
      <c r="B5308" s="1" t="s">
        <v>5230</v>
      </c>
      <c r="C5308" s="1" t="s">
        <v>1764</v>
      </c>
      <c r="D5308" s="1" t="s">
        <v>2646</v>
      </c>
      <c r="E5308" s="1" t="s">
        <v>5217</v>
      </c>
      <c r="F5308">
        <v>284</v>
      </c>
      <c r="G5308">
        <v>1390</v>
      </c>
      <c r="H5308">
        <v>856</v>
      </c>
      <c r="I5308">
        <v>2042</v>
      </c>
      <c r="J5308">
        <v>533</v>
      </c>
      <c r="K5308">
        <v>910</v>
      </c>
      <c r="L5308">
        <v>30.3</v>
      </c>
      <c r="M5308">
        <v>62.6</v>
      </c>
      <c r="N5308">
        <v>182</v>
      </c>
      <c r="O5308">
        <v>69.5</v>
      </c>
      <c r="P5308">
        <v>3.38</v>
      </c>
    </row>
    <row r="5309" spans="1:16">
      <c r="A5309" s="1" t="s">
        <v>5212</v>
      </c>
      <c r="B5309" s="1" t="s">
        <v>5231</v>
      </c>
      <c r="C5309" s="1" t="s">
        <v>1764</v>
      </c>
      <c r="D5309" s="1" t="s">
        <v>2646</v>
      </c>
      <c r="E5309" s="1" t="s">
        <v>5217</v>
      </c>
      <c r="F5309">
        <v>58.6</v>
      </c>
      <c r="G5309">
        <v>661</v>
      </c>
      <c r="H5309">
        <v>952</v>
      </c>
      <c r="I5309">
        <v>3273</v>
      </c>
      <c r="J5309">
        <v>1240</v>
      </c>
      <c r="K5309">
        <v>735</v>
      </c>
      <c r="L5309">
        <v>20.399999999999999</v>
      </c>
      <c r="M5309">
        <v>42.9</v>
      </c>
      <c r="N5309">
        <v>115.2</v>
      </c>
      <c r="O5309">
        <v>47.2</v>
      </c>
      <c r="P5309">
        <v>1.43</v>
      </c>
    </row>
    <row r="5310" spans="1:16">
      <c r="A5310" s="1" t="s">
        <v>5212</v>
      </c>
      <c r="B5310" s="1" t="s">
        <v>5232</v>
      </c>
      <c r="C5310" s="1" t="s">
        <v>1764</v>
      </c>
      <c r="D5310" s="1" t="s">
        <v>2646</v>
      </c>
      <c r="E5310" s="1" t="s">
        <v>5217</v>
      </c>
      <c r="F5310">
        <v>60.7</v>
      </c>
      <c r="G5310">
        <v>641</v>
      </c>
      <c r="H5310">
        <v>980</v>
      </c>
      <c r="I5310">
        <v>3320</v>
      </c>
      <c r="J5310">
        <v>1801</v>
      </c>
      <c r="K5310">
        <v>673</v>
      </c>
      <c r="L5310">
        <v>19.7</v>
      </c>
      <c r="M5310">
        <v>47.6</v>
      </c>
      <c r="N5310">
        <v>90.6</v>
      </c>
      <c r="O5310">
        <v>46.5</v>
      </c>
      <c r="P5310">
        <v>1.31</v>
      </c>
    </row>
    <row r="5311" spans="1:16">
      <c r="A5311" s="1" t="s">
        <v>5212</v>
      </c>
      <c r="B5311" s="1" t="s">
        <v>5233</v>
      </c>
      <c r="C5311" s="1" t="s">
        <v>1764</v>
      </c>
      <c r="D5311" s="1" t="s">
        <v>2646</v>
      </c>
      <c r="E5311" s="1" t="s">
        <v>5217</v>
      </c>
      <c r="F5311">
        <v>64.8</v>
      </c>
      <c r="G5311">
        <v>656</v>
      </c>
      <c r="H5311">
        <v>897</v>
      </c>
      <c r="I5311">
        <v>3282</v>
      </c>
      <c r="J5311">
        <v>1043</v>
      </c>
      <c r="K5311">
        <v>723</v>
      </c>
      <c r="L5311">
        <v>18.399999999999999</v>
      </c>
      <c r="M5311">
        <v>42</v>
      </c>
      <c r="N5311">
        <v>111.3</v>
      </c>
      <c r="O5311">
        <v>46.8</v>
      </c>
      <c r="P5311">
        <v>3.3</v>
      </c>
    </row>
    <row r="5312" spans="1:16">
      <c r="A5312" s="1" t="s">
        <v>5234</v>
      </c>
      <c r="B5312" s="1" t="s">
        <v>5235</v>
      </c>
      <c r="C5312" s="1" t="s">
        <v>1764</v>
      </c>
      <c r="D5312" s="1" t="s">
        <v>2646</v>
      </c>
      <c r="E5312" s="1" t="s">
        <v>5236</v>
      </c>
      <c r="F5312">
        <v>1067</v>
      </c>
      <c r="G5312">
        <v>412</v>
      </c>
      <c r="H5312">
        <v>24.63</v>
      </c>
      <c r="I5312">
        <v>1513</v>
      </c>
      <c r="J5312">
        <v>9284</v>
      </c>
      <c r="K5312">
        <v>12.25</v>
      </c>
      <c r="L5312">
        <v>96.33</v>
      </c>
      <c r="M5312">
        <v>2203</v>
      </c>
      <c r="N5312">
        <v>13.79</v>
      </c>
      <c r="O5312">
        <v>3.43</v>
      </c>
      <c r="P5312">
        <v>0.02</v>
      </c>
    </row>
    <row r="5313" spans="1:16">
      <c r="A5313" s="1" t="s">
        <v>5234</v>
      </c>
      <c r="B5313" s="1" t="s">
        <v>5237</v>
      </c>
      <c r="C5313" s="1" t="s">
        <v>1764</v>
      </c>
      <c r="D5313" s="1" t="s">
        <v>2646</v>
      </c>
      <c r="E5313" s="1" t="s">
        <v>5236</v>
      </c>
      <c r="F5313">
        <v>971</v>
      </c>
      <c r="G5313">
        <v>420</v>
      </c>
      <c r="H5313">
        <v>27.46</v>
      </c>
      <c r="I5313">
        <v>1436</v>
      </c>
      <c r="J5313">
        <v>5509</v>
      </c>
      <c r="K5313">
        <v>12</v>
      </c>
      <c r="L5313">
        <v>98.54</v>
      </c>
      <c r="M5313">
        <v>2471</v>
      </c>
      <c r="N5313">
        <v>17.71</v>
      </c>
      <c r="O5313">
        <v>4.74</v>
      </c>
      <c r="P5313">
        <v>0.11</v>
      </c>
    </row>
    <row r="5314" spans="1:16">
      <c r="A5314" s="1" t="s">
        <v>5234</v>
      </c>
      <c r="B5314" s="1" t="s">
        <v>5238</v>
      </c>
      <c r="C5314" s="1" t="s">
        <v>1764</v>
      </c>
      <c r="D5314" s="1" t="s">
        <v>2646</v>
      </c>
      <c r="E5314" s="1" t="s">
        <v>5239</v>
      </c>
      <c r="F5314">
        <v>134</v>
      </c>
      <c r="G5314">
        <v>33.93</v>
      </c>
      <c r="H5314">
        <v>55.01</v>
      </c>
      <c r="I5314">
        <v>1599</v>
      </c>
      <c r="J5314">
        <v>2884</v>
      </c>
      <c r="K5314">
        <v>18.27</v>
      </c>
      <c r="L5314">
        <v>159</v>
      </c>
      <c r="M5314">
        <v>3868</v>
      </c>
      <c r="N5314">
        <v>14.83</v>
      </c>
      <c r="O5314">
        <v>6.22</v>
      </c>
      <c r="P5314" s="11">
        <v>0.02</v>
      </c>
    </row>
    <row r="5315" spans="1:16">
      <c r="A5315" s="1" t="s">
        <v>5234</v>
      </c>
      <c r="B5315" s="1" t="s">
        <v>5240</v>
      </c>
      <c r="C5315" s="1" t="s">
        <v>1764</v>
      </c>
      <c r="D5315" s="1" t="s">
        <v>2646</v>
      </c>
      <c r="E5315" s="1" t="s">
        <v>5239</v>
      </c>
      <c r="F5315">
        <v>254</v>
      </c>
      <c r="G5315">
        <v>37.74</v>
      </c>
      <c r="H5315">
        <v>47.03</v>
      </c>
      <c r="I5315">
        <v>1396</v>
      </c>
      <c r="J5315">
        <v>5875</v>
      </c>
      <c r="K5315">
        <v>11.43</v>
      </c>
      <c r="L5315">
        <v>102</v>
      </c>
      <c r="M5315">
        <v>3387</v>
      </c>
      <c r="N5315">
        <v>9.2799999999999994</v>
      </c>
      <c r="O5315">
        <v>5.14</v>
      </c>
      <c r="P5315">
        <v>0.42</v>
      </c>
    </row>
    <row r="5316" spans="1:16">
      <c r="A5316" s="1" t="s">
        <v>5234</v>
      </c>
      <c r="B5316" s="1" t="s">
        <v>5241</v>
      </c>
      <c r="C5316" s="1" t="s">
        <v>1764</v>
      </c>
      <c r="D5316" s="1" t="s">
        <v>2646</v>
      </c>
      <c r="E5316" s="1" t="s">
        <v>5239</v>
      </c>
      <c r="F5316">
        <v>324</v>
      </c>
      <c r="G5316">
        <v>301</v>
      </c>
      <c r="H5316">
        <v>51.18</v>
      </c>
      <c r="I5316">
        <v>2078</v>
      </c>
      <c r="J5316">
        <v>7771</v>
      </c>
      <c r="K5316">
        <v>19.63</v>
      </c>
      <c r="L5316">
        <v>148</v>
      </c>
      <c r="M5316">
        <v>2633</v>
      </c>
      <c r="N5316">
        <v>16.88</v>
      </c>
      <c r="O5316">
        <v>5.96</v>
      </c>
      <c r="P5316" s="11">
        <v>0.02</v>
      </c>
    </row>
    <row r="5317" spans="1:16">
      <c r="A5317" s="1" t="s">
        <v>5234</v>
      </c>
      <c r="B5317" s="1" t="s">
        <v>5242</v>
      </c>
      <c r="C5317" s="1" t="s">
        <v>1764</v>
      </c>
      <c r="D5317" s="1" t="s">
        <v>2646</v>
      </c>
      <c r="E5317" s="1" t="s">
        <v>5239</v>
      </c>
      <c r="F5317">
        <v>297</v>
      </c>
      <c r="G5317">
        <v>69.3</v>
      </c>
      <c r="H5317">
        <v>34.799999999999997</v>
      </c>
      <c r="I5317">
        <v>1459</v>
      </c>
      <c r="J5317">
        <v>9398</v>
      </c>
      <c r="K5317">
        <v>11.28</v>
      </c>
      <c r="L5317">
        <v>114</v>
      </c>
      <c r="M5317">
        <v>1974</v>
      </c>
      <c r="N5317">
        <v>12.6</v>
      </c>
      <c r="O5317">
        <v>10.24</v>
      </c>
      <c r="P5317" s="11">
        <v>0.02</v>
      </c>
    </row>
    <row r="5318" spans="1:16">
      <c r="A5318" s="1" t="s">
        <v>5234</v>
      </c>
      <c r="B5318" s="1" t="s">
        <v>5243</v>
      </c>
      <c r="C5318" s="1" t="s">
        <v>1764</v>
      </c>
      <c r="D5318" s="1" t="s">
        <v>2646</v>
      </c>
      <c r="E5318" s="1" t="s">
        <v>5239</v>
      </c>
      <c r="F5318">
        <v>36.36</v>
      </c>
      <c r="G5318">
        <v>53.35</v>
      </c>
      <c r="H5318">
        <v>39.61</v>
      </c>
      <c r="I5318">
        <v>560</v>
      </c>
      <c r="J5318">
        <v>3977</v>
      </c>
      <c r="K5318">
        <v>8.75</v>
      </c>
      <c r="L5318">
        <v>7.6</v>
      </c>
      <c r="M5318">
        <v>2234</v>
      </c>
      <c r="N5318">
        <v>7.69</v>
      </c>
      <c r="O5318">
        <v>2.4</v>
      </c>
      <c r="P5318" s="11">
        <v>0.02</v>
      </c>
    </row>
    <row r="5319" spans="1:16">
      <c r="A5319" s="1" t="s">
        <v>5234</v>
      </c>
      <c r="B5319" s="1" t="s">
        <v>5244</v>
      </c>
      <c r="C5319" s="1" t="s">
        <v>1764</v>
      </c>
      <c r="D5319" s="1" t="s">
        <v>2646</v>
      </c>
      <c r="E5319" s="1" t="s">
        <v>5239</v>
      </c>
      <c r="F5319">
        <v>124</v>
      </c>
      <c r="G5319">
        <v>54.14</v>
      </c>
      <c r="H5319">
        <v>42.39</v>
      </c>
      <c r="I5319">
        <v>496</v>
      </c>
      <c r="J5319">
        <v>7636</v>
      </c>
      <c r="K5319">
        <v>10.69</v>
      </c>
      <c r="L5319">
        <v>9.6</v>
      </c>
      <c r="M5319">
        <v>2120</v>
      </c>
      <c r="N5319">
        <v>14.52</v>
      </c>
      <c r="O5319">
        <v>3.08</v>
      </c>
      <c r="P5319">
        <v>0.49</v>
      </c>
    </row>
    <row r="5320" spans="1:16">
      <c r="A5320" s="1" t="s">
        <v>5234</v>
      </c>
      <c r="B5320" s="1" t="s">
        <v>5245</v>
      </c>
      <c r="C5320" s="1" t="s">
        <v>1764</v>
      </c>
      <c r="D5320" s="1" t="s">
        <v>2646</v>
      </c>
      <c r="E5320" s="1" t="s">
        <v>5239</v>
      </c>
      <c r="F5320">
        <v>21.6</v>
      </c>
      <c r="G5320">
        <v>43.2</v>
      </c>
      <c r="H5320">
        <v>54.84</v>
      </c>
      <c r="I5320">
        <v>415</v>
      </c>
      <c r="J5320">
        <v>5008</v>
      </c>
      <c r="K5320">
        <v>9.18</v>
      </c>
      <c r="L5320">
        <v>6.09</v>
      </c>
      <c r="M5320">
        <v>2122</v>
      </c>
      <c r="N5320">
        <v>17.98</v>
      </c>
      <c r="O5320">
        <v>3.94</v>
      </c>
      <c r="P5320" s="11">
        <v>0.02</v>
      </c>
    </row>
    <row r="5321" spans="1:16">
      <c r="A5321" s="1" t="s">
        <v>5234</v>
      </c>
      <c r="B5321" s="1" t="s">
        <v>5246</v>
      </c>
      <c r="C5321" s="1" t="s">
        <v>1764</v>
      </c>
      <c r="D5321" s="1" t="s">
        <v>2646</v>
      </c>
      <c r="E5321" s="1" t="s">
        <v>5239</v>
      </c>
      <c r="F5321">
        <v>143</v>
      </c>
      <c r="G5321">
        <v>65.5</v>
      </c>
      <c r="H5321">
        <v>35.25</v>
      </c>
      <c r="I5321">
        <v>361</v>
      </c>
      <c r="J5321">
        <v>670</v>
      </c>
      <c r="K5321">
        <v>8.17</v>
      </c>
      <c r="L5321">
        <v>4.8600000000000003</v>
      </c>
      <c r="M5321">
        <v>1875</v>
      </c>
      <c r="N5321">
        <v>11.27</v>
      </c>
      <c r="O5321">
        <v>2.96</v>
      </c>
      <c r="P5321" s="11">
        <v>0.02</v>
      </c>
    </row>
    <row r="5322" spans="1:16">
      <c r="A5322" s="1" t="s">
        <v>5234</v>
      </c>
      <c r="B5322" s="1" t="s">
        <v>5247</v>
      </c>
      <c r="C5322" s="1" t="s">
        <v>1764</v>
      </c>
      <c r="D5322" s="1" t="s">
        <v>2646</v>
      </c>
      <c r="E5322" s="1" t="s">
        <v>5239</v>
      </c>
      <c r="F5322">
        <v>66.87</v>
      </c>
      <c r="G5322">
        <v>60.44</v>
      </c>
      <c r="H5322">
        <v>646</v>
      </c>
      <c r="I5322">
        <v>336</v>
      </c>
      <c r="J5322">
        <v>3345</v>
      </c>
      <c r="K5322">
        <v>8.66</v>
      </c>
      <c r="L5322">
        <v>5.48</v>
      </c>
      <c r="M5322">
        <v>1900</v>
      </c>
      <c r="N5322">
        <v>11.35</v>
      </c>
      <c r="O5322">
        <v>2.96</v>
      </c>
      <c r="P5322">
        <v>0.1</v>
      </c>
    </row>
    <row r="5323" spans="1:16">
      <c r="A5323" s="1" t="s">
        <v>5234</v>
      </c>
      <c r="B5323" s="1" t="s">
        <v>5248</v>
      </c>
      <c r="C5323" s="1" t="s">
        <v>1764</v>
      </c>
      <c r="D5323" s="1" t="s">
        <v>2646</v>
      </c>
      <c r="E5323" s="1" t="s">
        <v>5239</v>
      </c>
      <c r="F5323">
        <v>8.9</v>
      </c>
      <c r="G5323">
        <v>21.97</v>
      </c>
      <c r="H5323">
        <v>39.24</v>
      </c>
      <c r="I5323">
        <v>335</v>
      </c>
      <c r="J5323">
        <v>834</v>
      </c>
      <c r="K5323">
        <v>7.02</v>
      </c>
      <c r="L5323">
        <v>4.62</v>
      </c>
      <c r="M5323">
        <v>1777</v>
      </c>
      <c r="N5323">
        <v>7.01</v>
      </c>
      <c r="O5323">
        <v>2.04</v>
      </c>
      <c r="P5323" s="11">
        <v>0.02</v>
      </c>
    </row>
    <row r="5324" spans="1:16">
      <c r="A5324" s="1" t="s">
        <v>5234</v>
      </c>
      <c r="B5324" s="1" t="s">
        <v>5249</v>
      </c>
      <c r="C5324" s="1" t="s">
        <v>1764</v>
      </c>
      <c r="D5324" s="1" t="s">
        <v>2646</v>
      </c>
      <c r="E5324" s="1" t="s">
        <v>5239</v>
      </c>
      <c r="F5324">
        <v>40.22</v>
      </c>
      <c r="G5324">
        <v>80.959999999999994</v>
      </c>
      <c r="H5324">
        <v>27.28</v>
      </c>
      <c r="I5324">
        <v>559</v>
      </c>
      <c r="J5324">
        <v>7463</v>
      </c>
      <c r="K5324">
        <v>5.29</v>
      </c>
      <c r="L5324">
        <v>10.39</v>
      </c>
      <c r="M5324">
        <v>2019</v>
      </c>
      <c r="N5324">
        <v>36.090000000000003</v>
      </c>
      <c r="O5324">
        <v>3.06</v>
      </c>
      <c r="P5324">
        <v>0.65</v>
      </c>
    </row>
    <row r="5325" spans="1:16">
      <c r="A5325" s="1" t="s">
        <v>5234</v>
      </c>
      <c r="B5325" s="1" t="s">
        <v>5250</v>
      </c>
      <c r="C5325" s="1" t="s">
        <v>1764</v>
      </c>
      <c r="D5325" s="1" t="s">
        <v>2646</v>
      </c>
      <c r="E5325" s="1" t="s">
        <v>5239</v>
      </c>
      <c r="F5325">
        <v>118</v>
      </c>
      <c r="G5325">
        <v>91.44</v>
      </c>
      <c r="H5325">
        <v>33.57</v>
      </c>
      <c r="I5325">
        <v>498</v>
      </c>
      <c r="J5325">
        <v>4149</v>
      </c>
      <c r="K5325">
        <v>5.13</v>
      </c>
      <c r="L5325">
        <v>7.7</v>
      </c>
      <c r="M5325">
        <v>1721</v>
      </c>
      <c r="N5325">
        <v>3.29</v>
      </c>
      <c r="O5325">
        <v>3.42</v>
      </c>
      <c r="P5325">
        <v>0.56999999999999995</v>
      </c>
    </row>
    <row r="5326" spans="1:16">
      <c r="A5326" s="1" t="s">
        <v>5234</v>
      </c>
      <c r="B5326" s="1" t="s">
        <v>5251</v>
      </c>
      <c r="C5326" s="1" t="s">
        <v>1764</v>
      </c>
      <c r="D5326" s="1" t="s">
        <v>2646</v>
      </c>
      <c r="E5326" s="1" t="s">
        <v>5239</v>
      </c>
      <c r="F5326">
        <v>22.1</v>
      </c>
      <c r="G5326">
        <v>32.93</v>
      </c>
      <c r="H5326">
        <v>16.63</v>
      </c>
      <c r="I5326">
        <v>412</v>
      </c>
      <c r="J5326">
        <v>4998</v>
      </c>
      <c r="K5326">
        <v>7.42</v>
      </c>
      <c r="L5326">
        <v>6.93</v>
      </c>
      <c r="M5326">
        <v>1740</v>
      </c>
      <c r="N5326">
        <v>7.07</v>
      </c>
      <c r="O5326">
        <v>1.64</v>
      </c>
      <c r="P5326" s="11">
        <v>0.02</v>
      </c>
    </row>
    <row r="5327" spans="1:16">
      <c r="A5327" s="1" t="s">
        <v>5234</v>
      </c>
      <c r="B5327" s="1" t="s">
        <v>5252</v>
      </c>
      <c r="C5327" s="1" t="s">
        <v>1764</v>
      </c>
      <c r="D5327" s="1" t="s">
        <v>2646</v>
      </c>
      <c r="E5327" s="1" t="s">
        <v>5239</v>
      </c>
      <c r="F5327">
        <v>44.26</v>
      </c>
      <c r="G5327">
        <v>70.2</v>
      </c>
      <c r="H5327">
        <v>42.11</v>
      </c>
      <c r="I5327">
        <v>463</v>
      </c>
      <c r="J5327">
        <v>4187</v>
      </c>
      <c r="K5327">
        <v>9.2799999999999994</v>
      </c>
      <c r="L5327">
        <v>13.48</v>
      </c>
      <c r="M5327">
        <v>1954</v>
      </c>
      <c r="N5327">
        <v>15.2</v>
      </c>
      <c r="O5327">
        <v>3.64</v>
      </c>
      <c r="P5327">
        <v>0.64</v>
      </c>
    </row>
    <row r="5328" spans="1:16">
      <c r="A5328" s="1" t="s">
        <v>5234</v>
      </c>
      <c r="B5328" s="1" t="s">
        <v>5253</v>
      </c>
      <c r="C5328" s="1" t="s">
        <v>1764</v>
      </c>
      <c r="D5328" s="1" t="s">
        <v>2646</v>
      </c>
      <c r="E5328" s="1" t="s">
        <v>5239</v>
      </c>
      <c r="F5328">
        <v>929</v>
      </c>
      <c r="G5328">
        <v>320</v>
      </c>
      <c r="H5328">
        <v>500.64</v>
      </c>
      <c r="I5328">
        <v>868</v>
      </c>
      <c r="J5328">
        <v>2162</v>
      </c>
      <c r="K5328">
        <v>25.75</v>
      </c>
      <c r="L5328">
        <v>42.83</v>
      </c>
      <c r="M5328">
        <v>1132</v>
      </c>
      <c r="N5328">
        <v>7.28</v>
      </c>
      <c r="O5328">
        <v>3.76</v>
      </c>
      <c r="P5328" s="11">
        <v>0.02</v>
      </c>
    </row>
    <row r="5329" spans="1:16">
      <c r="A5329" s="1" t="s">
        <v>5234</v>
      </c>
      <c r="B5329" s="1" t="s">
        <v>5254</v>
      </c>
      <c r="C5329" s="1" t="s">
        <v>1764</v>
      </c>
      <c r="D5329" s="1" t="s">
        <v>2646</v>
      </c>
      <c r="E5329" s="1" t="s">
        <v>5239</v>
      </c>
      <c r="F5329">
        <v>122</v>
      </c>
      <c r="G5329">
        <v>1726</v>
      </c>
      <c r="H5329">
        <v>58.53</v>
      </c>
      <c r="I5329">
        <v>824</v>
      </c>
      <c r="J5329">
        <v>9146</v>
      </c>
      <c r="K5329">
        <v>20.82</v>
      </c>
      <c r="L5329">
        <v>22.51</v>
      </c>
      <c r="M5329">
        <v>3222</v>
      </c>
      <c r="N5329">
        <v>142</v>
      </c>
      <c r="O5329">
        <v>5.26</v>
      </c>
      <c r="P5329" s="11">
        <v>0.02</v>
      </c>
    </row>
    <row r="5330" spans="1:16">
      <c r="A5330" s="1" t="s">
        <v>5234</v>
      </c>
      <c r="B5330" s="1" t="s">
        <v>5255</v>
      </c>
      <c r="C5330" s="1" t="s">
        <v>1764</v>
      </c>
      <c r="D5330" s="1" t="s">
        <v>2646</v>
      </c>
      <c r="E5330" s="1" t="s">
        <v>5239</v>
      </c>
      <c r="F5330">
        <v>118</v>
      </c>
      <c r="G5330">
        <v>141</v>
      </c>
      <c r="H5330">
        <v>1007</v>
      </c>
      <c r="I5330">
        <v>930</v>
      </c>
      <c r="J5330">
        <v>4169</v>
      </c>
      <c r="K5330">
        <v>26.21</v>
      </c>
      <c r="L5330">
        <v>23.27</v>
      </c>
      <c r="M5330">
        <v>4061</v>
      </c>
      <c r="N5330">
        <v>43.34</v>
      </c>
      <c r="O5330">
        <v>5.48</v>
      </c>
      <c r="P5330">
        <v>0.53</v>
      </c>
    </row>
    <row r="5331" spans="1:16">
      <c r="A5331" s="1" t="s">
        <v>5256</v>
      </c>
      <c r="B5331" s="1" t="s">
        <v>5257</v>
      </c>
      <c r="C5331" s="1" t="s">
        <v>1764</v>
      </c>
      <c r="D5331" s="1" t="s">
        <v>44</v>
      </c>
      <c r="E5331" s="1" t="s">
        <v>5258</v>
      </c>
      <c r="F5331">
        <v>62.499502958945953</v>
      </c>
      <c r="G5331">
        <v>201.23761003742757</v>
      </c>
      <c r="H5331">
        <v>65.591912045828835</v>
      </c>
      <c r="I5331">
        <v>36.524586554349838</v>
      </c>
      <c r="J5331">
        <v>2.5369181738646929</v>
      </c>
      <c r="K5331">
        <v>3102.4024334583096</v>
      </c>
      <c r="L5331">
        <v>7.518276124400332</v>
      </c>
      <c r="M5331">
        <v>1.2998714787814081</v>
      </c>
      <c r="N5331">
        <v>788.77644880162006</v>
      </c>
      <c r="O5331">
        <v>5.7951149752681603</v>
      </c>
      <c r="P5331">
        <v>2.0724006033596556</v>
      </c>
    </row>
    <row r="5332" spans="1:16">
      <c r="A5332" s="1" t="s">
        <v>5256</v>
      </c>
      <c r="B5332" s="1" t="s">
        <v>5259</v>
      </c>
      <c r="C5332" s="1" t="s">
        <v>1764</v>
      </c>
      <c r="D5332" s="1" t="s">
        <v>44</v>
      </c>
      <c r="E5332" s="1" t="s">
        <v>5258</v>
      </c>
      <c r="F5332">
        <v>113.72009394594326</v>
      </c>
      <c r="G5332">
        <v>255.36745461304253</v>
      </c>
      <c r="H5332">
        <v>62.89018324240358</v>
      </c>
      <c r="I5332">
        <v>33.216186117297397</v>
      </c>
      <c r="J5332">
        <v>58.231540652891809</v>
      </c>
      <c r="K5332">
        <v>2199.4017397890748</v>
      </c>
      <c r="L5332">
        <v>3.6888898192673936</v>
      </c>
      <c r="M5332">
        <v>1.3896533265979654</v>
      </c>
      <c r="N5332">
        <v>2898.1255728740098</v>
      </c>
      <c r="O5332">
        <v>4.488775238095065</v>
      </c>
      <c r="P5332">
        <v>4.7161151907358079</v>
      </c>
    </row>
    <row r="5333" spans="1:16">
      <c r="A5333" s="1" t="s">
        <v>5256</v>
      </c>
      <c r="B5333" s="1" t="s">
        <v>5260</v>
      </c>
      <c r="C5333" s="1" t="s">
        <v>1764</v>
      </c>
      <c r="D5333" s="1" t="s">
        <v>44</v>
      </c>
      <c r="E5333" s="1" t="s">
        <v>5258</v>
      </c>
      <c r="F5333">
        <v>2338.0778186233233</v>
      </c>
      <c r="G5333">
        <v>609.39842908440789</v>
      </c>
      <c r="H5333">
        <v>107.93045490628231</v>
      </c>
      <c r="I5333">
        <v>21.860014878741058</v>
      </c>
      <c r="J5333">
        <v>64.500234687520376</v>
      </c>
      <c r="K5333">
        <v>7671.3886882001789</v>
      </c>
      <c r="L5333">
        <v>5.377292663780521</v>
      </c>
      <c r="M5333">
        <v>3.0445880575730837</v>
      </c>
      <c r="N5333">
        <v>224.19238700563423</v>
      </c>
      <c r="O5333">
        <v>6.7823011409164558</v>
      </c>
      <c r="P5333">
        <v>4.9180166914363674</v>
      </c>
    </row>
    <row r="5334" spans="1:16">
      <c r="A5334" s="1" t="s">
        <v>5256</v>
      </c>
      <c r="B5334" s="1" t="s">
        <v>5261</v>
      </c>
      <c r="C5334" s="1" t="s">
        <v>1764</v>
      </c>
      <c r="D5334" s="1" t="s">
        <v>44</v>
      </c>
      <c r="E5334" s="1" t="s">
        <v>5258</v>
      </c>
      <c r="F5334">
        <v>42.463165710947962</v>
      </c>
      <c r="G5334">
        <v>109.0538118901713</v>
      </c>
      <c r="H5334">
        <v>50.329275086517235</v>
      </c>
      <c r="I5334">
        <v>37.423811917148186</v>
      </c>
      <c r="J5334">
        <v>81.682182766295625</v>
      </c>
      <c r="K5334">
        <v>1095.0878228404126</v>
      </c>
      <c r="L5334">
        <v>1.4993238330088621</v>
      </c>
      <c r="M5334">
        <v>1.4803831586311667</v>
      </c>
      <c r="N5334">
        <v>35.308917856989659</v>
      </c>
      <c r="O5334">
        <v>5.5189174774271015</v>
      </c>
      <c r="P5334">
        <v>4.7901074786345594</v>
      </c>
    </row>
    <row r="5335" spans="1:16">
      <c r="A5335" s="1" t="s">
        <v>5256</v>
      </c>
      <c r="B5335" s="1" t="s">
        <v>5262</v>
      </c>
      <c r="C5335" s="1" t="s">
        <v>1764</v>
      </c>
      <c r="D5335" s="1" t="s">
        <v>44</v>
      </c>
      <c r="E5335" s="1" t="s">
        <v>5258</v>
      </c>
      <c r="F5335">
        <v>29.306015293692226</v>
      </c>
      <c r="G5335">
        <v>820.59956116805586</v>
      </c>
      <c r="H5335">
        <v>96.485782578674559</v>
      </c>
      <c r="I5335">
        <v>23.801467615271481</v>
      </c>
      <c r="J5335">
        <v>121.90787861856117</v>
      </c>
      <c r="K5335">
        <v>4638.2415983046521</v>
      </c>
      <c r="L5335">
        <v>13.551285209334333</v>
      </c>
      <c r="M5335">
        <v>1.7165897472000005</v>
      </c>
      <c r="N5335">
        <v>1926.2504521558878</v>
      </c>
      <c r="O5335">
        <v>5.121363922538742</v>
      </c>
      <c r="P5335">
        <v>3.7737871671796586</v>
      </c>
    </row>
    <row r="5336" spans="1:16">
      <c r="A5336" s="1" t="s">
        <v>5256</v>
      </c>
      <c r="B5336" s="1" t="s">
        <v>5263</v>
      </c>
      <c r="C5336" s="1" t="s">
        <v>1764</v>
      </c>
      <c r="D5336" s="1" t="s">
        <v>44</v>
      </c>
      <c r="E5336" s="1" t="s">
        <v>5258</v>
      </c>
      <c r="F5336">
        <v>108.09196543352857</v>
      </c>
      <c r="G5336">
        <v>511.54261741460436</v>
      </c>
      <c r="H5336">
        <v>72.274551963161741</v>
      </c>
      <c r="I5336">
        <v>30.410345051532907</v>
      </c>
      <c r="J5336">
        <v>93.188465296832206</v>
      </c>
      <c r="K5336">
        <v>2697.6979892040517</v>
      </c>
      <c r="L5336">
        <v>11.729379981889014</v>
      </c>
      <c r="M5336">
        <v>1.0694625718170123</v>
      </c>
      <c r="N5336">
        <v>1148.0033913376178</v>
      </c>
      <c r="O5336">
        <v>3.3509833650102707</v>
      </c>
      <c r="P5336">
        <v>1.2795879171206377</v>
      </c>
    </row>
    <row r="5337" spans="1:16">
      <c r="A5337" s="1" t="s">
        <v>5256</v>
      </c>
      <c r="B5337" s="1" t="s">
        <v>5264</v>
      </c>
      <c r="C5337" s="1" t="s">
        <v>1764</v>
      </c>
      <c r="D5337" s="1" t="s">
        <v>44</v>
      </c>
      <c r="E5337" s="1" t="s">
        <v>5258</v>
      </c>
      <c r="F5337">
        <v>15.322162703592802</v>
      </c>
      <c r="G5337">
        <v>143.4807640300096</v>
      </c>
      <c r="H5337">
        <v>51.165545177610461</v>
      </c>
      <c r="I5337">
        <v>4.5512342964161734</v>
      </c>
      <c r="J5337">
        <v>20.175426123340543</v>
      </c>
      <c r="K5337">
        <v>4412.8913816262366</v>
      </c>
      <c r="L5337">
        <v>10.948605883037164</v>
      </c>
      <c r="M5337">
        <v>2.4032155885397852</v>
      </c>
      <c r="N5337">
        <v>150.66751434151226</v>
      </c>
      <c r="O5337">
        <v>3.7174221128711871</v>
      </c>
      <c r="P5337">
        <v>3.1196785979036972</v>
      </c>
    </row>
    <row r="5338" spans="1:16">
      <c r="A5338" s="1" t="s">
        <v>5256</v>
      </c>
      <c r="B5338" s="1" t="s">
        <v>5265</v>
      </c>
      <c r="C5338" s="1" t="s">
        <v>1764</v>
      </c>
      <c r="D5338" s="1" t="s">
        <v>44</v>
      </c>
      <c r="E5338" s="1" t="s">
        <v>5258</v>
      </c>
      <c r="F5338">
        <v>23.187431503284444</v>
      </c>
      <c r="G5338">
        <v>92.450893078672124</v>
      </c>
      <c r="H5338">
        <v>28.886396318510386</v>
      </c>
      <c r="I5338">
        <v>21.809912013957213</v>
      </c>
      <c r="J5338">
        <v>13.349791703966078</v>
      </c>
      <c r="K5338">
        <v>4474.9104186596114</v>
      </c>
      <c r="L5338">
        <v>14.983811753340058</v>
      </c>
      <c r="M5338">
        <v>1.2112309082745774</v>
      </c>
      <c r="N5338">
        <v>98.547016404691732</v>
      </c>
      <c r="O5338">
        <v>3.5220395612604265</v>
      </c>
      <c r="P5338">
        <v>0.63571600393246352</v>
      </c>
    </row>
    <row r="5339" spans="1:16">
      <c r="A5339" s="1" t="s">
        <v>5256</v>
      </c>
      <c r="B5339" s="1" t="s">
        <v>5266</v>
      </c>
      <c r="C5339" s="1" t="s">
        <v>1764</v>
      </c>
      <c r="D5339" s="1" t="s">
        <v>44</v>
      </c>
      <c r="E5339" s="1" t="s">
        <v>5258</v>
      </c>
      <c r="F5339">
        <v>33.214834419093386</v>
      </c>
      <c r="G5339">
        <v>264.70692645676803</v>
      </c>
      <c r="H5339">
        <v>30.405856016887849</v>
      </c>
      <c r="I5339">
        <v>20.827242022451017</v>
      </c>
      <c r="J5339">
        <v>174.89947192207865</v>
      </c>
      <c r="K5339">
        <v>2569.9979223119462</v>
      </c>
      <c r="L5339">
        <v>12.542677182965928</v>
      </c>
      <c r="M5339">
        <v>1.3472905322435242</v>
      </c>
      <c r="N5339">
        <v>32.967686518227474</v>
      </c>
      <c r="O5339">
        <v>2.7540033964876476</v>
      </c>
      <c r="P5339">
        <v>2.3056858735504768</v>
      </c>
    </row>
    <row r="5340" spans="1:16">
      <c r="A5340" s="1" t="s">
        <v>5256</v>
      </c>
      <c r="B5340" s="1" t="s">
        <v>5267</v>
      </c>
      <c r="C5340" s="1" t="s">
        <v>1764</v>
      </c>
      <c r="D5340" s="1" t="s">
        <v>44</v>
      </c>
      <c r="E5340" s="1" t="s">
        <v>5258</v>
      </c>
      <c r="F5340">
        <v>166.86179714253225</v>
      </c>
      <c r="G5340">
        <v>1069.4065256117615</v>
      </c>
      <c r="H5340">
        <v>84.738994006377325</v>
      </c>
      <c r="I5340">
        <v>23.127381393762743</v>
      </c>
      <c r="J5340">
        <v>12.367114068050372</v>
      </c>
      <c r="K5340">
        <v>3908.0875387290339</v>
      </c>
      <c r="L5340">
        <v>22.173622079007281</v>
      </c>
      <c r="M5340">
        <v>15.358656131108342</v>
      </c>
      <c r="N5340">
        <v>12262.001971135351</v>
      </c>
      <c r="O5340">
        <v>5.0620648305444096</v>
      </c>
      <c r="P5340">
        <v>11.072644902899006</v>
      </c>
    </row>
    <row r="5341" spans="1:16">
      <c r="A5341" s="1" t="s">
        <v>5256</v>
      </c>
      <c r="B5341" s="1" t="s">
        <v>5268</v>
      </c>
      <c r="C5341" s="1" t="s">
        <v>1764</v>
      </c>
      <c r="D5341" s="1" t="s">
        <v>44</v>
      </c>
      <c r="E5341" s="1" t="s">
        <v>5258</v>
      </c>
      <c r="F5341">
        <v>148.43063170662563</v>
      </c>
      <c r="G5341">
        <v>922.10532028757427</v>
      </c>
      <c r="H5341">
        <v>65.352874924445956</v>
      </c>
      <c r="I5341">
        <v>7.574414840411797</v>
      </c>
      <c r="J5341">
        <v>8.9879270099315463</v>
      </c>
      <c r="K5341">
        <v>3869.998962484347</v>
      </c>
      <c r="L5341">
        <v>13.266821512643107</v>
      </c>
      <c r="M5341">
        <v>2.2762520029266526</v>
      </c>
      <c r="N5341">
        <v>1159.2724455491548</v>
      </c>
      <c r="O5341">
        <v>5.1603415892585263</v>
      </c>
      <c r="P5341">
        <v>16.114128533987213</v>
      </c>
    </row>
    <row r="5342" spans="1:16">
      <c r="A5342" s="1" t="s">
        <v>5256</v>
      </c>
      <c r="B5342" s="1" t="s">
        <v>5269</v>
      </c>
      <c r="C5342" s="1" t="s">
        <v>1764</v>
      </c>
      <c r="D5342" s="1" t="s">
        <v>44</v>
      </c>
      <c r="E5342" s="1" t="s">
        <v>5258</v>
      </c>
      <c r="F5342">
        <v>127.7327594986437</v>
      </c>
      <c r="G5342">
        <v>349.36591566518246</v>
      </c>
      <c r="H5342">
        <v>14.005275958467928</v>
      </c>
      <c r="I5342">
        <v>7.9275865705750475</v>
      </c>
      <c r="J5342">
        <v>40.249792027520563</v>
      </c>
      <c r="K5342">
        <v>2961.9233080810595</v>
      </c>
      <c r="L5342">
        <v>21.111887320657566</v>
      </c>
      <c r="M5342">
        <v>1.2443312322877389</v>
      </c>
      <c r="N5342">
        <v>303.44707591601843</v>
      </c>
      <c r="O5342">
        <v>3.5522901162730767</v>
      </c>
      <c r="P5342">
        <v>6.8135655695115904</v>
      </c>
    </row>
    <row r="5343" spans="1:16">
      <c r="A5343" s="1" t="s">
        <v>5256</v>
      </c>
      <c r="B5343" s="1" t="s">
        <v>5270</v>
      </c>
      <c r="C5343" s="1" t="s">
        <v>1764</v>
      </c>
      <c r="D5343" s="1" t="s">
        <v>44</v>
      </c>
      <c r="E5343" s="1" t="s">
        <v>5258</v>
      </c>
      <c r="F5343">
        <v>154.30772061903667</v>
      </c>
      <c r="G5343">
        <v>792.26707972739177</v>
      </c>
      <c r="H5343">
        <v>96.674701909197694</v>
      </c>
      <c r="I5343">
        <v>25.498670212500091</v>
      </c>
      <c r="J5343">
        <v>77.12932845049815</v>
      </c>
      <c r="K5343">
        <v>3835.2803138957343</v>
      </c>
      <c r="L5343">
        <v>19.241982844426651</v>
      </c>
      <c r="M5343">
        <v>16.775202372934871</v>
      </c>
      <c r="N5343">
        <v>1128.8692115433425</v>
      </c>
      <c r="O5343">
        <v>3.882090191861856</v>
      </c>
      <c r="P5343">
        <v>5.9421565800179632</v>
      </c>
    </row>
    <row r="5344" spans="1:16">
      <c r="A5344" s="1" t="s">
        <v>5256</v>
      </c>
      <c r="B5344" s="1" t="s">
        <v>5271</v>
      </c>
      <c r="C5344" s="1" t="s">
        <v>1764</v>
      </c>
      <c r="D5344" s="1" t="s">
        <v>44</v>
      </c>
      <c r="E5344" s="1" t="s">
        <v>5258</v>
      </c>
      <c r="F5344">
        <v>77.431612589805241</v>
      </c>
      <c r="G5344">
        <v>643.31657909986075</v>
      </c>
      <c r="H5344">
        <v>121.2741509500315</v>
      </c>
      <c r="I5344">
        <v>14.117249095666226</v>
      </c>
      <c r="J5344">
        <v>18.817968458796503</v>
      </c>
      <c r="K5344">
        <v>6354.6982034972098</v>
      </c>
      <c r="L5344">
        <v>15.441696251936078</v>
      </c>
      <c r="M5344">
        <v>2.6831654793895141</v>
      </c>
      <c r="N5344">
        <v>230.67024365355726</v>
      </c>
      <c r="O5344">
        <v>3.8814861084049275</v>
      </c>
      <c r="P5344">
        <v>13.308305947807888</v>
      </c>
    </row>
    <row r="5345" spans="1:16">
      <c r="A5345" s="1" t="s">
        <v>5256</v>
      </c>
      <c r="B5345" s="1" t="s">
        <v>5272</v>
      </c>
      <c r="C5345" s="1" t="s">
        <v>1764</v>
      </c>
      <c r="D5345" s="1" t="s">
        <v>44</v>
      </c>
      <c r="E5345" s="1" t="s">
        <v>5258</v>
      </c>
      <c r="F5345">
        <v>176.15647494706249</v>
      </c>
      <c r="G5345">
        <v>823.29476091387232</v>
      </c>
      <c r="H5345">
        <v>99.895255128560152</v>
      </c>
      <c r="I5345">
        <v>15.81885334875234</v>
      </c>
      <c r="J5345">
        <v>108.62271963724918</v>
      </c>
      <c r="K5345">
        <v>3690.8105018815113</v>
      </c>
      <c r="L5345">
        <v>24.229392753794286</v>
      </c>
      <c r="M5345">
        <v>3.7178108270379906</v>
      </c>
      <c r="N5345">
        <v>3956.074427656205</v>
      </c>
      <c r="O5345">
        <v>3.6496160296453857</v>
      </c>
      <c r="P5345">
        <v>11.193365069019956</v>
      </c>
    </row>
    <row r="5346" spans="1:16">
      <c r="A5346" s="1" t="s">
        <v>5256</v>
      </c>
      <c r="B5346" s="1" t="s">
        <v>5273</v>
      </c>
      <c r="C5346" s="1" t="s">
        <v>1764</v>
      </c>
      <c r="D5346" s="1" t="s">
        <v>44</v>
      </c>
      <c r="E5346" s="1" t="s">
        <v>5258</v>
      </c>
      <c r="F5346">
        <v>147.68628502502446</v>
      </c>
      <c r="G5346">
        <v>937.690350210784</v>
      </c>
      <c r="H5346">
        <v>95.856599776940627</v>
      </c>
      <c r="I5346">
        <v>3.4708761499780341</v>
      </c>
      <c r="J5346">
        <v>54.501105727965729</v>
      </c>
      <c r="K5346">
        <v>4566.4471132024337</v>
      </c>
      <c r="L5346">
        <v>21.075622320322264</v>
      </c>
      <c r="M5346">
        <v>1.55246504700044</v>
      </c>
      <c r="N5346">
        <v>1193.4174784523573</v>
      </c>
      <c r="O5346">
        <v>4.40672625055611</v>
      </c>
      <c r="P5346">
        <v>10.839617690436514</v>
      </c>
    </row>
    <row r="5347" spans="1:16">
      <c r="A5347" s="1" t="s">
        <v>5256</v>
      </c>
      <c r="B5347" s="1" t="s">
        <v>5274</v>
      </c>
      <c r="C5347" s="1" t="s">
        <v>1764</v>
      </c>
      <c r="D5347" s="1" t="s">
        <v>44</v>
      </c>
      <c r="E5347" s="1" t="s">
        <v>5258</v>
      </c>
      <c r="F5347">
        <v>1823.6179071115189</v>
      </c>
      <c r="G5347">
        <v>3417.4652199020293</v>
      </c>
      <c r="H5347">
        <v>306.31528847810972</v>
      </c>
      <c r="I5347">
        <v>105.21997357009755</v>
      </c>
      <c r="J5347">
        <v>92.188710680052964</v>
      </c>
      <c r="K5347">
        <v>4148.1652745987112</v>
      </c>
      <c r="L5347">
        <v>10.633415956105116</v>
      </c>
      <c r="M5347">
        <v>65.747944637970505</v>
      </c>
      <c r="N5347">
        <v>1611.692614556328</v>
      </c>
      <c r="O5347">
        <v>4.9963536098202521</v>
      </c>
      <c r="P5347">
        <v>19.276221746268913</v>
      </c>
    </row>
    <row r="5348" spans="1:16">
      <c r="A5348" s="1" t="s">
        <v>5256</v>
      </c>
      <c r="B5348" s="1" t="s">
        <v>5275</v>
      </c>
      <c r="C5348" s="1" t="s">
        <v>1764</v>
      </c>
      <c r="D5348" s="1" t="s">
        <v>44</v>
      </c>
      <c r="E5348" s="1" t="s">
        <v>5258</v>
      </c>
      <c r="F5348">
        <v>4329.1234042713559</v>
      </c>
      <c r="G5348">
        <v>6230.4993046576537</v>
      </c>
      <c r="H5348">
        <v>326.93926464276285</v>
      </c>
      <c r="I5348">
        <v>115.45384626885154</v>
      </c>
      <c r="J5348">
        <v>305.14875636992599</v>
      </c>
      <c r="K5348">
        <v>6100.8763495652902</v>
      </c>
      <c r="L5348">
        <v>5.9596378287391492</v>
      </c>
      <c r="M5348">
        <v>26.132197501624105</v>
      </c>
      <c r="N5348">
        <v>2342.1141018461954</v>
      </c>
      <c r="O5348">
        <v>7.6736241520273394</v>
      </c>
      <c r="P5348">
        <v>22.108795616251104</v>
      </c>
    </row>
    <row r="5349" spans="1:16">
      <c r="A5349" s="1" t="s">
        <v>5256</v>
      </c>
      <c r="B5349" s="1" t="s">
        <v>5276</v>
      </c>
      <c r="C5349" s="1" t="s">
        <v>1764</v>
      </c>
      <c r="D5349" s="1" t="s">
        <v>44</v>
      </c>
      <c r="E5349" s="1" t="s">
        <v>5258</v>
      </c>
      <c r="F5349">
        <v>1718.4795768081144</v>
      </c>
      <c r="G5349">
        <v>3474.4050288188846</v>
      </c>
      <c r="H5349">
        <v>216.01868620193366</v>
      </c>
      <c r="I5349">
        <v>88.682775848108079</v>
      </c>
      <c r="J5349">
        <v>47.844633435175503</v>
      </c>
      <c r="K5349">
        <v>2849.4699180627904</v>
      </c>
      <c r="L5349">
        <v>5.2522865993450649</v>
      </c>
      <c r="M5349">
        <v>28.161749319440691</v>
      </c>
      <c r="N5349">
        <v>2022.6741363431936</v>
      </c>
      <c r="O5349">
        <v>6.8685733337190866</v>
      </c>
      <c r="P5349">
        <v>13.859871794201284</v>
      </c>
    </row>
    <row r="5350" spans="1:16">
      <c r="A5350" s="1" t="s">
        <v>5256</v>
      </c>
      <c r="B5350" s="1" t="s">
        <v>5277</v>
      </c>
      <c r="C5350" s="1" t="s">
        <v>1764</v>
      </c>
      <c r="D5350" s="1" t="s">
        <v>44</v>
      </c>
      <c r="E5350" s="1" t="s">
        <v>5258</v>
      </c>
      <c r="F5350">
        <v>32.849983448473992</v>
      </c>
      <c r="G5350">
        <v>568.52128954514626</v>
      </c>
      <c r="H5350">
        <v>1.4294757727150162</v>
      </c>
      <c r="I5350">
        <v>1.8895911441711302</v>
      </c>
      <c r="J5350">
        <v>10.235503150670313</v>
      </c>
      <c r="K5350">
        <v>7380.7100643135682</v>
      </c>
      <c r="L5350">
        <v>4.9320444126185015</v>
      </c>
      <c r="M5350">
        <v>4.6447531816367738</v>
      </c>
      <c r="N5350">
        <v>361.1279826950298</v>
      </c>
      <c r="O5350">
        <v>10.097303475087225</v>
      </c>
      <c r="P5350">
        <v>1.7658777338014389</v>
      </c>
    </row>
    <row r="5351" spans="1:16">
      <c r="A5351" s="1" t="s">
        <v>5256</v>
      </c>
      <c r="B5351" s="1" t="s">
        <v>5278</v>
      </c>
      <c r="C5351" s="1" t="s">
        <v>1764</v>
      </c>
      <c r="D5351" s="1" t="s">
        <v>44</v>
      </c>
      <c r="E5351" s="1" t="s">
        <v>5258</v>
      </c>
      <c r="F5351">
        <v>39.028556804282353</v>
      </c>
      <c r="G5351">
        <v>1052.2086744611283</v>
      </c>
      <c r="H5351">
        <v>430.36947612194342</v>
      </c>
      <c r="I5351">
        <v>105.77429401500714</v>
      </c>
      <c r="J5351">
        <v>10.879610329796895</v>
      </c>
      <c r="K5351">
        <v>7497.8337002777726</v>
      </c>
      <c r="L5351">
        <v>6.1483499371528918</v>
      </c>
      <c r="M5351">
        <v>8.5050191172590406</v>
      </c>
      <c r="N5351">
        <v>179.70580424902587</v>
      </c>
      <c r="O5351">
        <v>11.460291554281044</v>
      </c>
      <c r="P5351">
        <v>1.3191635952736771</v>
      </c>
    </row>
    <row r="5352" spans="1:16">
      <c r="A5352" s="1" t="s">
        <v>5256</v>
      </c>
      <c r="B5352" s="1" t="s">
        <v>5279</v>
      </c>
      <c r="C5352" s="1" t="s">
        <v>1764</v>
      </c>
      <c r="D5352" s="1" t="s">
        <v>44</v>
      </c>
      <c r="E5352" s="1" t="s">
        <v>5258</v>
      </c>
      <c r="F5352">
        <v>76.445812642823171</v>
      </c>
      <c r="G5352">
        <v>176.88685606436715</v>
      </c>
      <c r="H5352">
        <v>22.338672130491364</v>
      </c>
      <c r="I5352">
        <v>13.18816776417064</v>
      </c>
      <c r="J5352">
        <v>58.285886981189414</v>
      </c>
      <c r="K5352">
        <v>3987.0529020518461</v>
      </c>
      <c r="L5352">
        <v>6.6838769639213798</v>
      </c>
      <c r="M5352">
        <v>2.9563893989825409</v>
      </c>
      <c r="N5352">
        <v>266.88981760716621</v>
      </c>
      <c r="O5352">
        <v>3.4825282463555878</v>
      </c>
      <c r="P5352">
        <v>1.7750189750215679</v>
      </c>
    </row>
    <row r="5353" spans="1:16">
      <c r="A5353" s="1" t="s">
        <v>5256</v>
      </c>
      <c r="B5353" s="1" t="s">
        <v>5280</v>
      </c>
      <c r="C5353" s="1" t="s">
        <v>1764</v>
      </c>
      <c r="D5353" s="1" t="s">
        <v>44</v>
      </c>
      <c r="E5353" s="1" t="s">
        <v>5258</v>
      </c>
      <c r="F5353">
        <v>80.060990032515022</v>
      </c>
      <c r="G5353">
        <v>241.83359392567908</v>
      </c>
      <c r="H5353">
        <v>13.418205797322193</v>
      </c>
      <c r="I5353">
        <v>15.596012772998755</v>
      </c>
      <c r="J5353">
        <v>58.017335009075055</v>
      </c>
      <c r="K5353">
        <v>3379.401081630434</v>
      </c>
      <c r="L5353">
        <v>17.158474294632292</v>
      </c>
      <c r="M5353">
        <v>11.628835386995242</v>
      </c>
      <c r="N5353">
        <v>2111.5095012820034</v>
      </c>
      <c r="O5353">
        <v>3.1217640297993805</v>
      </c>
      <c r="P5353">
        <v>3.4628610020674384</v>
      </c>
    </row>
    <row r="5354" spans="1:16">
      <c r="A5354" s="1" t="s">
        <v>5256</v>
      </c>
      <c r="B5354" s="1" t="s">
        <v>5281</v>
      </c>
      <c r="C5354" s="1" t="s">
        <v>1764</v>
      </c>
      <c r="D5354" s="1" t="s">
        <v>44</v>
      </c>
      <c r="E5354" s="1" t="s">
        <v>5258</v>
      </c>
      <c r="F5354">
        <v>3008.9796660889442</v>
      </c>
      <c r="G5354">
        <v>4048.0703476267877</v>
      </c>
      <c r="H5354">
        <v>61.897394557885185</v>
      </c>
      <c r="I5354">
        <v>117.42484696294125</v>
      </c>
      <c r="J5354">
        <v>134.59590747048748</v>
      </c>
      <c r="K5354">
        <v>1296.8834128408901</v>
      </c>
      <c r="L5354">
        <v>14.28952686370028</v>
      </c>
      <c r="M5354">
        <v>10.47082961008155</v>
      </c>
      <c r="N5354">
        <v>885.75485047503901</v>
      </c>
      <c r="O5354">
        <v>5.9678816080981472</v>
      </c>
      <c r="P5354">
        <v>3.1888499857292802</v>
      </c>
    </row>
    <row r="5355" spans="1:16">
      <c r="A5355" s="1" t="s">
        <v>5256</v>
      </c>
      <c r="B5355" s="1" t="s">
        <v>5282</v>
      </c>
      <c r="C5355" s="1" t="s">
        <v>1764</v>
      </c>
      <c r="D5355" s="1" t="s">
        <v>44</v>
      </c>
      <c r="E5355" s="1" t="s">
        <v>5258</v>
      </c>
      <c r="F5355">
        <v>3169.0561502482151</v>
      </c>
      <c r="G5355">
        <v>4485.2533614809699</v>
      </c>
      <c r="H5355">
        <v>127.82381957917327</v>
      </c>
      <c r="I5355">
        <v>111.73080054642688</v>
      </c>
      <c r="J5355">
        <v>65.255302770578751</v>
      </c>
      <c r="K5355">
        <v>1631.2361614615525</v>
      </c>
      <c r="L5355">
        <v>8.8686869601604315</v>
      </c>
      <c r="M5355">
        <v>21.769253722162354</v>
      </c>
      <c r="N5355">
        <v>1319.3365386471555</v>
      </c>
      <c r="O5355">
        <v>6.6569555016485564</v>
      </c>
      <c r="P5355">
        <v>3.5553644441459156</v>
      </c>
    </row>
    <row r="5356" spans="1:16">
      <c r="A5356" s="1" t="s">
        <v>5256</v>
      </c>
      <c r="B5356" s="1" t="s">
        <v>5283</v>
      </c>
      <c r="C5356" s="1" t="s">
        <v>1764</v>
      </c>
      <c r="D5356" s="1" t="s">
        <v>44</v>
      </c>
      <c r="E5356" s="1" t="s">
        <v>5258</v>
      </c>
      <c r="F5356">
        <v>3082.3081041442651</v>
      </c>
      <c r="G5356">
        <v>3964.9222072035109</v>
      </c>
      <c r="H5356">
        <v>304.42398813584913</v>
      </c>
      <c r="I5356">
        <v>104.48346888402298</v>
      </c>
      <c r="J5356">
        <v>201.37458985115069</v>
      </c>
      <c r="K5356">
        <v>1812.4165038186939</v>
      </c>
      <c r="L5356">
        <v>9.6562300459276678</v>
      </c>
      <c r="M5356">
        <v>33.998098751683195</v>
      </c>
      <c r="N5356">
        <v>1018.3320121030487</v>
      </c>
      <c r="O5356">
        <v>6.7117521600941759</v>
      </c>
      <c r="P5356">
        <v>3.5437633586039841</v>
      </c>
    </row>
    <row r="5357" spans="1:16">
      <c r="A5357" s="1" t="s">
        <v>5256</v>
      </c>
      <c r="B5357" s="1" t="s">
        <v>5284</v>
      </c>
      <c r="C5357" s="1" t="s">
        <v>1764</v>
      </c>
      <c r="D5357" s="1" t="s">
        <v>44</v>
      </c>
      <c r="E5357" s="1" t="s">
        <v>5258</v>
      </c>
      <c r="F5357">
        <v>9367.7124404685273</v>
      </c>
      <c r="G5357">
        <v>9300.1347723199906</v>
      </c>
      <c r="H5357">
        <v>306.28459042216173</v>
      </c>
      <c r="I5357">
        <v>156.87105347659548</v>
      </c>
      <c r="J5357">
        <v>436.89061543590822</v>
      </c>
      <c r="K5357">
        <v>3134.0472090466869</v>
      </c>
      <c r="L5357">
        <v>8.190296956653599</v>
      </c>
      <c r="M5357">
        <v>29.21701361871925</v>
      </c>
      <c r="N5357">
        <v>381.29149658588591</v>
      </c>
      <c r="O5357">
        <v>6.8157931187075134</v>
      </c>
      <c r="P5357">
        <v>4.1046271638041372</v>
      </c>
    </row>
    <row r="5358" spans="1:16">
      <c r="A5358" s="1" t="s">
        <v>5256</v>
      </c>
      <c r="B5358" s="1" t="s">
        <v>5285</v>
      </c>
      <c r="C5358" s="1" t="s">
        <v>1764</v>
      </c>
      <c r="D5358" s="1" t="s">
        <v>44</v>
      </c>
      <c r="E5358" s="1" t="s">
        <v>5258</v>
      </c>
      <c r="F5358">
        <v>1264.485666281359</v>
      </c>
      <c r="G5358">
        <v>3559.7683239267026</v>
      </c>
      <c r="H5358">
        <v>52.085299681447211</v>
      </c>
      <c r="I5358">
        <v>52.760108341501081</v>
      </c>
      <c r="J5358">
        <v>250.42963405414773</v>
      </c>
      <c r="K5358">
        <v>5845.6192468992276</v>
      </c>
      <c r="L5358">
        <v>4.2905180130712628</v>
      </c>
      <c r="M5358">
        <v>0.45</v>
      </c>
      <c r="N5358">
        <v>80.550020461960017</v>
      </c>
      <c r="O5358">
        <v>18.000418264298354</v>
      </c>
      <c r="P5358">
        <v>38.184193576260562</v>
      </c>
    </row>
    <row r="5359" spans="1:16">
      <c r="A5359" s="1" t="s">
        <v>5256</v>
      </c>
      <c r="B5359" s="1" t="s">
        <v>5286</v>
      </c>
      <c r="C5359" s="1" t="s">
        <v>1764</v>
      </c>
      <c r="D5359" s="1" t="s">
        <v>44</v>
      </c>
      <c r="E5359" s="1" t="s">
        <v>5258</v>
      </c>
      <c r="F5359">
        <v>2072.3478957501193</v>
      </c>
      <c r="G5359">
        <v>6081.5061926254757</v>
      </c>
      <c r="H5359">
        <v>43.755487025902767</v>
      </c>
      <c r="I5359">
        <v>48.666621311959062</v>
      </c>
      <c r="J5359">
        <v>52.202278118666172</v>
      </c>
      <c r="K5359">
        <v>2795.8168074977521</v>
      </c>
      <c r="L5359">
        <v>13.905331350696946</v>
      </c>
      <c r="M5359">
        <v>0.42</v>
      </c>
      <c r="N5359">
        <v>88.516946275728841</v>
      </c>
      <c r="O5359">
        <v>18.920015660075791</v>
      </c>
      <c r="P5359">
        <v>19.571518066334299</v>
      </c>
    </row>
    <row r="5360" spans="1:16">
      <c r="A5360" s="1" t="s">
        <v>5256</v>
      </c>
      <c r="B5360" s="1" t="s">
        <v>5287</v>
      </c>
      <c r="C5360" s="1" t="s">
        <v>1764</v>
      </c>
      <c r="D5360" s="1" t="s">
        <v>44</v>
      </c>
      <c r="E5360" s="1" t="s">
        <v>5258</v>
      </c>
      <c r="F5360">
        <v>683.87653347622813</v>
      </c>
      <c r="G5360">
        <v>1567.801199282271</v>
      </c>
      <c r="H5360">
        <v>34.186789700312161</v>
      </c>
      <c r="I5360">
        <v>26.525184109105908</v>
      </c>
      <c r="J5360">
        <v>55.740110664575823</v>
      </c>
      <c r="K5360">
        <v>3981.8301103748345</v>
      </c>
      <c r="L5360">
        <v>4.5238128105795976</v>
      </c>
      <c r="M5360">
        <v>0.28999999999999998</v>
      </c>
      <c r="N5360">
        <v>57.685769051635376</v>
      </c>
      <c r="O5360">
        <v>20.333566739785645</v>
      </c>
      <c r="P5360">
        <v>16.90299278923144</v>
      </c>
    </row>
    <row r="5361" spans="1:16">
      <c r="A5361" s="1" t="s">
        <v>5256</v>
      </c>
      <c r="B5361" s="1" t="s">
        <v>5288</v>
      </c>
      <c r="C5361" s="1" t="s">
        <v>1764</v>
      </c>
      <c r="D5361" s="1" t="s">
        <v>44</v>
      </c>
      <c r="E5361" s="1" t="s">
        <v>5258</v>
      </c>
      <c r="F5361">
        <v>425.09576677806439</v>
      </c>
      <c r="G5361">
        <v>1117.3838327886763</v>
      </c>
      <c r="H5361">
        <v>30.580821503514212</v>
      </c>
      <c r="I5361">
        <v>29.590176311779249</v>
      </c>
      <c r="J5361">
        <v>232.08525052718377</v>
      </c>
      <c r="K5361">
        <v>6223.8821403134771</v>
      </c>
      <c r="L5361">
        <v>4.3152301936645099</v>
      </c>
      <c r="M5361">
        <v>0.28000000000000003</v>
      </c>
      <c r="N5361">
        <v>1214.9826323538985</v>
      </c>
      <c r="O5361">
        <v>19.152579968940461</v>
      </c>
      <c r="P5361">
        <v>29.707497941243876</v>
      </c>
    </row>
    <row r="5362" spans="1:16">
      <c r="A5362" s="1" t="s">
        <v>5256</v>
      </c>
      <c r="B5362" s="1" t="s">
        <v>5289</v>
      </c>
      <c r="C5362" s="1" t="s">
        <v>1764</v>
      </c>
      <c r="D5362" s="1" t="s">
        <v>44</v>
      </c>
      <c r="E5362" s="1" t="s">
        <v>5258</v>
      </c>
      <c r="F5362">
        <v>1726.7536265637384</v>
      </c>
      <c r="G5362">
        <v>4190.6547191788795</v>
      </c>
      <c r="H5362">
        <v>47.16980836932531</v>
      </c>
      <c r="I5362">
        <v>35.198520166759771</v>
      </c>
      <c r="J5362">
        <v>346.68367773804692</v>
      </c>
      <c r="K5362">
        <v>8154.0498407855493</v>
      </c>
      <c r="L5362">
        <v>12.798743621396364</v>
      </c>
      <c r="M5362">
        <v>0.43</v>
      </c>
      <c r="N5362">
        <v>67.033865371720154</v>
      </c>
      <c r="O5362">
        <v>19.993913278078391</v>
      </c>
      <c r="P5362">
        <v>24.416331568236128</v>
      </c>
    </row>
    <row r="5363" spans="1:16">
      <c r="A5363" s="1" t="s">
        <v>5256</v>
      </c>
      <c r="B5363" s="1" t="s">
        <v>5290</v>
      </c>
      <c r="C5363" s="1" t="s">
        <v>1764</v>
      </c>
      <c r="D5363" s="1" t="s">
        <v>44</v>
      </c>
      <c r="E5363" s="1" t="s">
        <v>5258</v>
      </c>
      <c r="F5363">
        <v>992.27443952946737</v>
      </c>
      <c r="G5363">
        <v>2803.5907873170563</v>
      </c>
      <c r="H5363">
        <v>369.53074526861252</v>
      </c>
      <c r="I5363">
        <v>13.691032586157627</v>
      </c>
      <c r="J5363">
        <v>175.18054176876498</v>
      </c>
      <c r="K5363">
        <v>2017.6854852105557</v>
      </c>
      <c r="L5363">
        <v>4.2328327118287383</v>
      </c>
      <c r="M5363">
        <v>6.0994379297440151</v>
      </c>
      <c r="N5363">
        <v>420.68884126778113</v>
      </c>
      <c r="O5363">
        <v>12.825305394127867</v>
      </c>
      <c r="P5363">
        <v>42.123921931998417</v>
      </c>
    </row>
    <row r="5364" spans="1:16">
      <c r="A5364" s="1" t="s">
        <v>5256</v>
      </c>
      <c r="B5364" s="1" t="s">
        <v>5291</v>
      </c>
      <c r="C5364" s="1" t="s">
        <v>1764</v>
      </c>
      <c r="D5364" s="1" t="s">
        <v>44</v>
      </c>
      <c r="E5364" s="1" t="s">
        <v>5258</v>
      </c>
      <c r="F5364">
        <v>2050.624922592518</v>
      </c>
      <c r="G5364">
        <v>5032.6707464944375</v>
      </c>
      <c r="H5364">
        <v>356.17644234957396</v>
      </c>
      <c r="I5364">
        <v>14.084529396896997</v>
      </c>
      <c r="J5364">
        <v>134.29727915487035</v>
      </c>
      <c r="K5364">
        <v>1654.9555391899712</v>
      </c>
      <c r="L5364">
        <v>4.787050071298836</v>
      </c>
      <c r="M5364">
        <v>5.6530896385772555</v>
      </c>
      <c r="N5364">
        <v>159.37519496996103</v>
      </c>
      <c r="O5364">
        <v>15.729163548806104</v>
      </c>
      <c r="P5364">
        <v>46.556107946938909</v>
      </c>
    </row>
    <row r="5365" spans="1:16">
      <c r="A5365" s="1" t="s">
        <v>5256</v>
      </c>
      <c r="B5365" s="1" t="s">
        <v>5292</v>
      </c>
      <c r="C5365" s="1" t="s">
        <v>1764</v>
      </c>
      <c r="D5365" s="1" t="s">
        <v>44</v>
      </c>
      <c r="E5365" s="1" t="s">
        <v>5258</v>
      </c>
      <c r="F5365">
        <v>1814.5181187760836</v>
      </c>
      <c r="G5365">
        <v>4795.2308398992109</v>
      </c>
      <c r="H5365">
        <v>299.48832261341568</v>
      </c>
      <c r="I5365">
        <v>13.612409469371205</v>
      </c>
      <c r="J5365">
        <v>126.04937484046471</v>
      </c>
      <c r="K5365">
        <v>1635.6457640508654</v>
      </c>
      <c r="L5365">
        <v>5.3330038905995201</v>
      </c>
      <c r="M5365">
        <v>5.740156694252903</v>
      </c>
      <c r="N5365">
        <v>113.61559499264742</v>
      </c>
      <c r="O5365">
        <v>15.353551654771005</v>
      </c>
      <c r="P5365">
        <v>42.959993260950426</v>
      </c>
    </row>
    <row r="5366" spans="1:16">
      <c r="A5366" s="1" t="s">
        <v>5256</v>
      </c>
      <c r="B5366" s="1" t="s">
        <v>5293</v>
      </c>
      <c r="C5366" s="1" t="s">
        <v>1764</v>
      </c>
      <c r="D5366" s="1" t="s">
        <v>44</v>
      </c>
      <c r="E5366" s="1" t="s">
        <v>5258</v>
      </c>
      <c r="F5366">
        <v>570.41334638502792</v>
      </c>
      <c r="G5366">
        <v>1287.0973337116855</v>
      </c>
      <c r="H5366">
        <v>74.260131237556067</v>
      </c>
      <c r="I5366">
        <v>4.8243720249913027</v>
      </c>
      <c r="J5366">
        <v>17.645337499764473</v>
      </c>
      <c r="K5366">
        <v>2432.1722464153481</v>
      </c>
      <c r="L5366">
        <v>5.6122262891538677</v>
      </c>
      <c r="M5366">
        <v>0.41</v>
      </c>
      <c r="N5366">
        <v>1823.5692773383769</v>
      </c>
      <c r="O5366">
        <v>15.863317102823784</v>
      </c>
      <c r="P5366">
        <v>40.423352458673733</v>
      </c>
    </row>
    <row r="5367" spans="1:16">
      <c r="A5367" s="1" t="s">
        <v>5256</v>
      </c>
      <c r="B5367" s="1" t="s">
        <v>5294</v>
      </c>
      <c r="C5367" s="1" t="s">
        <v>1764</v>
      </c>
      <c r="D5367" s="1" t="s">
        <v>44</v>
      </c>
      <c r="E5367" s="1" t="s">
        <v>5258</v>
      </c>
      <c r="F5367">
        <v>401.48417875369842</v>
      </c>
      <c r="G5367">
        <v>1006.4876754666466</v>
      </c>
      <c r="H5367">
        <v>40.080687342118722</v>
      </c>
      <c r="I5367">
        <v>2.0531915230489788</v>
      </c>
      <c r="J5367">
        <v>8.3839750141568921</v>
      </c>
      <c r="K5367">
        <v>1092.9748592068045</v>
      </c>
      <c r="L5367">
        <v>6.1432152112857521</v>
      </c>
      <c r="M5367">
        <v>0.94524396153621881</v>
      </c>
      <c r="N5367">
        <v>2079.1925453461295</v>
      </c>
      <c r="O5367">
        <v>16.523080613746004</v>
      </c>
      <c r="P5367">
        <v>39.79502918034094</v>
      </c>
    </row>
    <row r="5368" spans="1:16">
      <c r="A5368" s="1" t="s">
        <v>5295</v>
      </c>
      <c r="B5368" s="1" t="s">
        <v>5296</v>
      </c>
      <c r="C5368" s="1" t="s">
        <v>1764</v>
      </c>
      <c r="D5368" s="1" t="s">
        <v>44</v>
      </c>
      <c r="E5368" s="1" t="s">
        <v>5258</v>
      </c>
      <c r="F5368">
        <v>24.590925296043402</v>
      </c>
      <c r="G5368">
        <v>412.11339089503457</v>
      </c>
      <c r="H5368">
        <v>42.921373359988657</v>
      </c>
      <c r="I5368">
        <v>95.612160830908778</v>
      </c>
      <c r="J5368">
        <v>6.4815793114751958</v>
      </c>
      <c r="K5368">
        <v>2699.8885393821238</v>
      </c>
      <c r="L5368">
        <v>32.63671273196686</v>
      </c>
      <c r="M5368">
        <v>5.5623797010068472</v>
      </c>
      <c r="N5368">
        <v>4389.2524977220301</v>
      </c>
      <c r="O5368">
        <v>2.9422981897203089</v>
      </c>
      <c r="P5368">
        <v>13.110143163488244</v>
      </c>
    </row>
    <row r="5369" spans="1:16">
      <c r="A5369" s="1" t="s">
        <v>5295</v>
      </c>
      <c r="B5369" s="1" t="s">
        <v>5297</v>
      </c>
      <c r="C5369" s="1" t="s">
        <v>1764</v>
      </c>
      <c r="D5369" s="1" t="s">
        <v>44</v>
      </c>
      <c r="E5369" s="1" t="s">
        <v>5258</v>
      </c>
      <c r="F5369">
        <v>27.872207110570667</v>
      </c>
      <c r="G5369">
        <v>111.53774189812911</v>
      </c>
      <c r="H5369">
        <v>20.420074138749481</v>
      </c>
      <c r="I5369">
        <v>20.117354066862195</v>
      </c>
      <c r="J5369">
        <v>19.479829494431385</v>
      </c>
      <c r="K5369">
        <v>4408.088111997482</v>
      </c>
      <c r="L5369">
        <v>106.51688176777566</v>
      </c>
      <c r="M5369">
        <v>8.9626180905340256</v>
      </c>
      <c r="N5369">
        <v>12909.827106595852</v>
      </c>
      <c r="O5369">
        <v>2.3192299345889054</v>
      </c>
      <c r="P5369">
        <v>0.70540211022768762</v>
      </c>
    </row>
    <row r="5370" spans="1:16">
      <c r="A5370" s="1" t="s">
        <v>5295</v>
      </c>
      <c r="B5370" s="1" t="s">
        <v>5298</v>
      </c>
      <c r="C5370" s="1" t="s">
        <v>1764</v>
      </c>
      <c r="D5370" s="1" t="s">
        <v>44</v>
      </c>
      <c r="E5370" s="1" t="s">
        <v>5258</v>
      </c>
      <c r="F5370">
        <v>3.3330634431073589</v>
      </c>
      <c r="G5370">
        <v>109.04061099705935</v>
      </c>
      <c r="H5370">
        <v>5.0165152945284861</v>
      </c>
      <c r="I5370">
        <v>5.8013058765463983</v>
      </c>
      <c r="J5370">
        <v>9.4035825089302243</v>
      </c>
      <c r="K5370">
        <v>3479.6604106901932</v>
      </c>
      <c r="L5370">
        <v>22.671419368725783</v>
      </c>
      <c r="M5370">
        <v>16.75273502147418</v>
      </c>
      <c r="N5370">
        <v>464.30158364348853</v>
      </c>
      <c r="O5370">
        <v>2.779813560372792</v>
      </c>
      <c r="P5370">
        <v>0.61057005689888788</v>
      </c>
    </row>
    <row r="5371" spans="1:16">
      <c r="A5371" s="1" t="s">
        <v>5295</v>
      </c>
      <c r="B5371" s="1" t="s">
        <v>5299</v>
      </c>
      <c r="C5371" s="1" t="s">
        <v>1764</v>
      </c>
      <c r="D5371" s="1" t="s">
        <v>44</v>
      </c>
      <c r="E5371" s="1" t="s">
        <v>5258</v>
      </c>
      <c r="F5371">
        <v>7.4152385155459681</v>
      </c>
      <c r="G5371">
        <v>145.0255814860104</v>
      </c>
      <c r="H5371">
        <v>8.7987397132569232</v>
      </c>
      <c r="I5371">
        <v>7.0062757977317043</v>
      </c>
      <c r="J5371">
        <v>36.805882250369528</v>
      </c>
      <c r="K5371">
        <v>2982.6958593878153</v>
      </c>
      <c r="L5371">
        <v>20.505656517411669</v>
      </c>
      <c r="M5371">
        <v>10.43888445141363</v>
      </c>
      <c r="N5371">
        <v>502.7786614335435</v>
      </c>
      <c r="O5371">
        <v>2.5755300738552096</v>
      </c>
      <c r="P5371">
        <v>0.62964123132158201</v>
      </c>
    </row>
    <row r="5372" spans="1:16">
      <c r="A5372" s="1" t="s">
        <v>5295</v>
      </c>
      <c r="B5372" s="1" t="s">
        <v>5300</v>
      </c>
      <c r="C5372" s="1" t="s">
        <v>1764</v>
      </c>
      <c r="D5372" s="1" t="s">
        <v>44</v>
      </c>
      <c r="E5372" s="1" t="s">
        <v>5258</v>
      </c>
      <c r="F5372">
        <v>62.637574698913646</v>
      </c>
      <c r="G5372">
        <v>194.02092419393637</v>
      </c>
      <c r="H5372">
        <v>33.207396981147575</v>
      </c>
      <c r="I5372">
        <v>50.21529833520357</v>
      </c>
      <c r="J5372">
        <v>42.191345930432369</v>
      </c>
      <c r="K5372">
        <v>2817.7480686106242</v>
      </c>
      <c r="L5372">
        <v>6.9311678961009706</v>
      </c>
      <c r="M5372">
        <v>0.5805368077198847</v>
      </c>
      <c r="N5372">
        <v>5029.0550802567141</v>
      </c>
      <c r="O5372">
        <v>3.5001337957561094</v>
      </c>
      <c r="P5372">
        <v>1.7254158965820419</v>
      </c>
    </row>
    <row r="5373" spans="1:16">
      <c r="A5373" s="1" t="s">
        <v>5295</v>
      </c>
      <c r="B5373" s="1" t="s">
        <v>5301</v>
      </c>
      <c r="C5373" s="1" t="s">
        <v>1764</v>
      </c>
      <c r="D5373" s="1" t="s">
        <v>44</v>
      </c>
      <c r="E5373" s="1" t="s">
        <v>5258</v>
      </c>
      <c r="F5373">
        <v>144.57037541805892</v>
      </c>
      <c r="G5373">
        <v>506.0768637835227</v>
      </c>
      <c r="H5373">
        <v>74.273298796812824</v>
      </c>
      <c r="I5373">
        <v>53.431452878226509</v>
      </c>
      <c r="J5373">
        <v>57.351496659718741</v>
      </c>
      <c r="K5373">
        <v>2557.4477745853846</v>
      </c>
      <c r="L5373">
        <v>6.3438235080072642</v>
      </c>
      <c r="M5373">
        <v>0.53040743315228367</v>
      </c>
      <c r="N5373">
        <v>3847.5949771646228</v>
      </c>
      <c r="O5373">
        <v>3.9865652044128872</v>
      </c>
      <c r="P5373">
        <v>1.310720595086069</v>
      </c>
    </row>
    <row r="5374" spans="1:16">
      <c r="A5374" s="1" t="s">
        <v>5295</v>
      </c>
      <c r="B5374" s="1" t="s">
        <v>5302</v>
      </c>
      <c r="C5374" s="1" t="s">
        <v>1764</v>
      </c>
      <c r="D5374" s="1" t="s">
        <v>44</v>
      </c>
      <c r="E5374" s="1" t="s">
        <v>5258</v>
      </c>
      <c r="F5374">
        <v>135.84422865447652</v>
      </c>
      <c r="G5374">
        <v>484.79387139305538</v>
      </c>
      <c r="H5374">
        <v>20.812686688872574</v>
      </c>
      <c r="I5374">
        <v>37.407577292551778</v>
      </c>
      <c r="J5374">
        <v>4.8157749071731928</v>
      </c>
      <c r="K5374">
        <v>5028.7932811232104</v>
      </c>
      <c r="L5374">
        <v>7.8977088679737948</v>
      </c>
      <c r="M5374">
        <v>1.2430445241196069</v>
      </c>
      <c r="N5374">
        <v>1617.5574345336597</v>
      </c>
      <c r="O5374">
        <v>4.0441199184183061</v>
      </c>
      <c r="P5374">
        <v>1.1449862047523329</v>
      </c>
    </row>
    <row r="5375" spans="1:16">
      <c r="A5375" s="1" t="s">
        <v>5295</v>
      </c>
      <c r="B5375" s="1" t="s">
        <v>5303</v>
      </c>
      <c r="C5375" s="1" t="s">
        <v>1764</v>
      </c>
      <c r="D5375" s="1" t="s">
        <v>44</v>
      </c>
      <c r="E5375" s="1" t="s">
        <v>5258</v>
      </c>
      <c r="F5375">
        <v>413.74759007984096</v>
      </c>
      <c r="G5375">
        <v>1577.315183725548</v>
      </c>
      <c r="H5375">
        <v>8.5928742365269652</v>
      </c>
      <c r="I5375">
        <v>32.258485710500423</v>
      </c>
      <c r="J5375">
        <v>9.748601089703385</v>
      </c>
      <c r="K5375">
        <v>3283.3652101733292</v>
      </c>
      <c r="L5375">
        <v>1.7363908641916002</v>
      </c>
      <c r="M5375">
        <v>0.17</v>
      </c>
      <c r="N5375">
        <v>284.20940094525952</v>
      </c>
      <c r="O5375">
        <v>6.3034009599449323</v>
      </c>
      <c r="P5375">
        <v>3.4365881833457195</v>
      </c>
    </row>
    <row r="5376" spans="1:16">
      <c r="A5376" s="1" t="s">
        <v>5295</v>
      </c>
      <c r="B5376" s="1" t="s">
        <v>5304</v>
      </c>
      <c r="C5376" s="1" t="s">
        <v>1764</v>
      </c>
      <c r="D5376" s="1" t="s">
        <v>44</v>
      </c>
      <c r="E5376" s="1" t="s">
        <v>5258</v>
      </c>
      <c r="F5376">
        <v>285.89243989111299</v>
      </c>
      <c r="G5376">
        <v>755.97384435155675</v>
      </c>
      <c r="H5376">
        <v>41.605014075601161</v>
      </c>
      <c r="I5376">
        <v>29.492516579422649</v>
      </c>
      <c r="J5376">
        <v>17.420931504995046</v>
      </c>
      <c r="K5376">
        <v>2989.8147877316605</v>
      </c>
      <c r="L5376">
        <v>2.0962524494612849</v>
      </c>
      <c r="M5376">
        <v>0.59287986969958584</v>
      </c>
      <c r="N5376">
        <v>9472.7502688466393</v>
      </c>
      <c r="O5376">
        <v>3.8904560876257861</v>
      </c>
      <c r="P5376">
        <v>1.9704771907580576</v>
      </c>
    </row>
    <row r="5377" spans="1:16">
      <c r="A5377" s="1" t="s">
        <v>5295</v>
      </c>
      <c r="B5377" s="1" t="s">
        <v>5305</v>
      </c>
      <c r="C5377" s="1" t="s">
        <v>1764</v>
      </c>
      <c r="D5377" s="1" t="s">
        <v>44</v>
      </c>
      <c r="E5377" s="1" t="s">
        <v>5258</v>
      </c>
      <c r="F5377">
        <v>376.84798424356421</v>
      </c>
      <c r="G5377">
        <v>1530.9233045511735</v>
      </c>
      <c r="H5377">
        <v>1.5936858164932419</v>
      </c>
      <c r="I5377">
        <v>21.44449654380767</v>
      </c>
      <c r="J5377">
        <v>18.028349623197787</v>
      </c>
      <c r="K5377">
        <v>3014.3917675962794</v>
      </c>
      <c r="L5377">
        <v>1.9183428650517973</v>
      </c>
      <c r="M5377">
        <v>0.17</v>
      </c>
      <c r="N5377">
        <v>210.27359718147395</v>
      </c>
      <c r="O5377">
        <v>7.3322652342214782</v>
      </c>
      <c r="P5377">
        <v>3.3109815499887483</v>
      </c>
    </row>
    <row r="5378" spans="1:16">
      <c r="A5378" s="1" t="s">
        <v>5295</v>
      </c>
      <c r="B5378" s="1" t="s">
        <v>5306</v>
      </c>
      <c r="C5378" s="1" t="s">
        <v>1764</v>
      </c>
      <c r="D5378" s="1" t="s">
        <v>44</v>
      </c>
      <c r="E5378" s="1" t="s">
        <v>5258</v>
      </c>
      <c r="F5378">
        <v>87.47629446501</v>
      </c>
      <c r="G5378">
        <v>348.78089232990629</v>
      </c>
      <c r="H5378">
        <v>5.7397497053404294</v>
      </c>
      <c r="I5378">
        <v>0.81575658956623309</v>
      </c>
      <c r="J5378">
        <v>104.92002430842855</v>
      </c>
      <c r="K5378">
        <v>2043.7691499656139</v>
      </c>
      <c r="L5378">
        <v>42.096579022365695</v>
      </c>
      <c r="M5378">
        <v>1.4095829355162546</v>
      </c>
      <c r="N5378">
        <v>163.69998082316405</v>
      </c>
      <c r="O5378">
        <v>8.745548672181652</v>
      </c>
      <c r="P5378">
        <v>1.447785822387643</v>
      </c>
    </row>
    <row r="5379" spans="1:16">
      <c r="A5379" s="1" t="s">
        <v>5295</v>
      </c>
      <c r="B5379" s="1" t="s">
        <v>5307</v>
      </c>
      <c r="C5379" s="1" t="s">
        <v>1764</v>
      </c>
      <c r="D5379" s="1" t="s">
        <v>44</v>
      </c>
      <c r="E5379" s="1" t="s">
        <v>5258</v>
      </c>
      <c r="F5379">
        <v>987.47513100899494</v>
      </c>
      <c r="G5379">
        <v>2493.1022156873564</v>
      </c>
      <c r="H5379">
        <v>69.406211752124378</v>
      </c>
      <c r="I5379">
        <v>65.975995656016096</v>
      </c>
      <c r="J5379">
        <v>376.73978003468733</v>
      </c>
      <c r="K5379">
        <v>2556.2026881431716</v>
      </c>
      <c r="L5379">
        <v>0.44338376892610654</v>
      </c>
      <c r="M5379">
        <v>0.5514236024729976</v>
      </c>
      <c r="N5379">
        <v>84.069585271352793</v>
      </c>
      <c r="O5379">
        <v>5.9485502376873551</v>
      </c>
      <c r="P5379">
        <v>11.212301212562947</v>
      </c>
    </row>
    <row r="5380" spans="1:16">
      <c r="A5380" s="1" t="s">
        <v>5295</v>
      </c>
      <c r="B5380" s="1" t="s">
        <v>5308</v>
      </c>
      <c r="C5380" s="1" t="s">
        <v>1764</v>
      </c>
      <c r="D5380" s="1" t="s">
        <v>44</v>
      </c>
      <c r="E5380" s="1" t="s">
        <v>5258</v>
      </c>
      <c r="F5380">
        <v>149.47982033002066</v>
      </c>
      <c r="G5380">
        <v>383.68587616790279</v>
      </c>
      <c r="H5380">
        <v>15.720803499179089</v>
      </c>
      <c r="I5380">
        <v>6.8233992599783857</v>
      </c>
      <c r="J5380">
        <v>76.128237807252873</v>
      </c>
      <c r="K5380">
        <v>1248.1755439738604</v>
      </c>
      <c r="L5380">
        <v>23.917976948978865</v>
      </c>
      <c r="M5380">
        <v>2.1230653199456548</v>
      </c>
      <c r="N5380">
        <v>614.93123944610113</v>
      </c>
      <c r="O5380">
        <v>4.9285152117201241</v>
      </c>
      <c r="P5380">
        <v>3.3542202659036184</v>
      </c>
    </row>
    <row r="5381" spans="1:16">
      <c r="A5381" s="1" t="s">
        <v>5295</v>
      </c>
      <c r="B5381" s="1" t="s">
        <v>5309</v>
      </c>
      <c r="C5381" s="1" t="s">
        <v>1764</v>
      </c>
      <c r="D5381" s="1" t="s">
        <v>44</v>
      </c>
      <c r="E5381" s="1" t="s">
        <v>5258</v>
      </c>
      <c r="F5381">
        <v>2117.7594571617583</v>
      </c>
      <c r="G5381">
        <v>1623.6700732886122</v>
      </c>
      <c r="H5381">
        <v>35.401543877432715</v>
      </c>
      <c r="I5381">
        <v>14.294555578097892</v>
      </c>
      <c r="J5381">
        <v>147.21357647976004</v>
      </c>
      <c r="K5381">
        <v>3837.8687980309837</v>
      </c>
      <c r="L5381">
        <v>21.703326480267389</v>
      </c>
      <c r="M5381">
        <v>2.7523314950998481</v>
      </c>
      <c r="N5381">
        <v>272.19878009174516</v>
      </c>
      <c r="O5381">
        <v>5.1716664269413242</v>
      </c>
      <c r="P5381">
        <v>13.67574792403105</v>
      </c>
    </row>
    <row r="5382" spans="1:16">
      <c r="A5382" s="1" t="s">
        <v>5295</v>
      </c>
      <c r="B5382" s="1" t="s">
        <v>5310</v>
      </c>
      <c r="C5382" s="1" t="s">
        <v>1764</v>
      </c>
      <c r="D5382" s="1" t="s">
        <v>44</v>
      </c>
      <c r="E5382" s="1" t="s">
        <v>5258</v>
      </c>
      <c r="F5382">
        <v>112.5873510146032</v>
      </c>
      <c r="G5382">
        <v>679.32081113985112</v>
      </c>
      <c r="H5382">
        <v>22.165536017921717</v>
      </c>
      <c r="I5382">
        <v>13.730042468274513</v>
      </c>
      <c r="J5382">
        <v>115.296358186148</v>
      </c>
      <c r="K5382">
        <v>2888.3956390121334</v>
      </c>
      <c r="L5382">
        <v>17.642972234489228</v>
      </c>
      <c r="M5382">
        <v>5.2833701639295212</v>
      </c>
      <c r="N5382">
        <v>1319.9720804885262</v>
      </c>
      <c r="O5382">
        <v>5.1410653112027651</v>
      </c>
      <c r="P5382">
        <v>6.89420349802971</v>
      </c>
    </row>
    <row r="5383" spans="1:16">
      <c r="A5383" s="1" t="s">
        <v>5295</v>
      </c>
      <c r="B5383" s="1" t="s">
        <v>5311</v>
      </c>
      <c r="C5383" s="1" t="s">
        <v>1764</v>
      </c>
      <c r="D5383" s="1" t="s">
        <v>44</v>
      </c>
      <c r="E5383" s="1" t="s">
        <v>5258</v>
      </c>
      <c r="F5383">
        <v>357.91667818551025</v>
      </c>
      <c r="G5383">
        <v>751.00836545124685</v>
      </c>
      <c r="H5383">
        <v>51.459156517503502</v>
      </c>
      <c r="I5383">
        <v>7.0435899533366344</v>
      </c>
      <c r="J5383">
        <v>188.86937466468927</v>
      </c>
      <c r="K5383">
        <v>1123.1462614646152</v>
      </c>
      <c r="L5383">
        <v>22.033592090087616</v>
      </c>
      <c r="M5383">
        <v>3.6895296683790879</v>
      </c>
      <c r="N5383">
        <v>1832.8882526870182</v>
      </c>
      <c r="O5383">
        <v>5.3262196050779833</v>
      </c>
      <c r="P5383">
        <v>1.9547812778983189</v>
      </c>
    </row>
    <row r="5384" spans="1:16">
      <c r="A5384" s="1" t="s">
        <v>5295</v>
      </c>
      <c r="B5384" s="1" t="s">
        <v>5312</v>
      </c>
      <c r="C5384" s="1" t="s">
        <v>1764</v>
      </c>
      <c r="D5384" s="1" t="s">
        <v>44</v>
      </c>
      <c r="E5384" s="1" t="s">
        <v>5258</v>
      </c>
      <c r="F5384">
        <v>559.2105400999269</v>
      </c>
      <c r="G5384">
        <v>1308.0339930282464</v>
      </c>
      <c r="H5384">
        <v>49.47544996542188</v>
      </c>
      <c r="I5384">
        <v>5.7311575671223993</v>
      </c>
      <c r="J5384">
        <v>222.1177984289022</v>
      </c>
      <c r="K5384">
        <v>1530.2260722719693</v>
      </c>
      <c r="L5384">
        <v>30.814497295595604</v>
      </c>
      <c r="M5384">
        <v>2.7738067296028688</v>
      </c>
      <c r="N5384">
        <v>6732.9094112638049</v>
      </c>
      <c r="O5384">
        <v>5.0257918026321562</v>
      </c>
      <c r="P5384">
        <v>4.0935484215092908</v>
      </c>
    </row>
    <row r="5385" spans="1:16">
      <c r="A5385" s="1" t="s">
        <v>5295</v>
      </c>
      <c r="B5385" s="1" t="s">
        <v>5313</v>
      </c>
      <c r="C5385" s="1" t="s">
        <v>1764</v>
      </c>
      <c r="D5385" s="1" t="s">
        <v>44</v>
      </c>
      <c r="E5385" s="1" t="s">
        <v>5258</v>
      </c>
      <c r="F5385">
        <v>753.92057147578544</v>
      </c>
      <c r="G5385">
        <v>852.6490630767521</v>
      </c>
      <c r="H5385">
        <v>68.448310137188756</v>
      </c>
      <c r="I5385">
        <v>4.8396322265475948</v>
      </c>
      <c r="J5385">
        <v>148.75165920174089</v>
      </c>
      <c r="K5385">
        <v>1776.2766430265704</v>
      </c>
      <c r="L5385">
        <v>21.485690972602782</v>
      </c>
      <c r="M5385">
        <v>4.1836387558508434</v>
      </c>
      <c r="N5385">
        <v>155.00926144661821</v>
      </c>
      <c r="O5385">
        <v>4.8023704927482163</v>
      </c>
      <c r="P5385">
        <v>3.3916405547354245</v>
      </c>
    </row>
    <row r="5386" spans="1:16">
      <c r="A5386" s="1" t="s">
        <v>5295</v>
      </c>
      <c r="B5386" s="1" t="s">
        <v>5314</v>
      </c>
      <c r="C5386" s="1" t="s">
        <v>1764</v>
      </c>
      <c r="D5386" s="1" t="s">
        <v>44</v>
      </c>
      <c r="E5386" s="1" t="s">
        <v>5258</v>
      </c>
      <c r="F5386">
        <v>116.47188133372303</v>
      </c>
      <c r="G5386">
        <v>284.88741880021053</v>
      </c>
      <c r="H5386">
        <v>15.858434008451006</v>
      </c>
      <c r="I5386">
        <v>3.5036850802370756</v>
      </c>
      <c r="J5386">
        <v>250.68134730538463</v>
      </c>
      <c r="K5386">
        <v>1310.6236364402594</v>
      </c>
      <c r="L5386">
        <v>17.260183086410542</v>
      </c>
      <c r="M5386">
        <v>2.7544696030360578</v>
      </c>
      <c r="N5386">
        <v>418.35841614404268</v>
      </c>
      <c r="O5386">
        <v>3.7669111275460976</v>
      </c>
      <c r="P5386">
        <v>3.9159917218504794</v>
      </c>
    </row>
    <row r="5387" spans="1:16">
      <c r="A5387" s="1" t="s">
        <v>5295</v>
      </c>
      <c r="B5387" s="1" t="s">
        <v>5315</v>
      </c>
      <c r="C5387" s="1" t="s">
        <v>1764</v>
      </c>
      <c r="D5387" s="1" t="s">
        <v>44</v>
      </c>
      <c r="E5387" s="1" t="s">
        <v>5258</v>
      </c>
      <c r="F5387">
        <v>35.992730660960426</v>
      </c>
      <c r="G5387">
        <v>195.8738477544224</v>
      </c>
      <c r="H5387">
        <v>16.227914319477637</v>
      </c>
      <c r="I5387">
        <v>0.99104129339199321</v>
      </c>
      <c r="J5387">
        <v>15.860877838183535</v>
      </c>
      <c r="K5387">
        <v>4409.2696720607</v>
      </c>
      <c r="L5387">
        <v>49.815863660975474</v>
      </c>
      <c r="M5387">
        <v>1.5068378105058633</v>
      </c>
      <c r="N5387">
        <v>16470.56929918507</v>
      </c>
      <c r="O5387">
        <v>7.2615040212134065</v>
      </c>
      <c r="P5387">
        <v>2.1152149019331494</v>
      </c>
    </row>
    <row r="5388" spans="1:16">
      <c r="A5388" s="1" t="s">
        <v>5295</v>
      </c>
      <c r="B5388" s="1" t="s">
        <v>5316</v>
      </c>
      <c r="C5388" s="1" t="s">
        <v>1764</v>
      </c>
      <c r="D5388" s="1" t="s">
        <v>44</v>
      </c>
      <c r="E5388" s="1" t="s">
        <v>5258</v>
      </c>
      <c r="F5388">
        <v>14.149515817663719</v>
      </c>
      <c r="G5388">
        <v>201.07959111327102</v>
      </c>
      <c r="H5388">
        <v>12.267783010849048</v>
      </c>
      <c r="I5388">
        <v>1.5414340121227614</v>
      </c>
      <c r="J5388">
        <v>139.46222990599918</v>
      </c>
      <c r="K5388">
        <v>2526.2919828003674</v>
      </c>
      <c r="L5388">
        <v>5.9656970044764774</v>
      </c>
      <c r="M5388">
        <v>0.88</v>
      </c>
      <c r="N5388">
        <v>8.1861700267343487</v>
      </c>
      <c r="O5388">
        <v>0.21399186511788032</v>
      </c>
      <c r="P5388">
        <v>1.4463528421741336</v>
      </c>
    </row>
    <row r="5389" spans="1:16">
      <c r="A5389" s="1" t="s">
        <v>5317</v>
      </c>
      <c r="B5389" s="1" t="s">
        <v>5318</v>
      </c>
      <c r="C5389" s="1" t="s">
        <v>1764</v>
      </c>
      <c r="D5389" s="1" t="s">
        <v>44</v>
      </c>
      <c r="E5389" s="1" t="s">
        <v>5319</v>
      </c>
      <c r="F5389">
        <v>723.05589999999995</v>
      </c>
      <c r="G5389">
        <v>3114.8031000000001</v>
      </c>
      <c r="H5389">
        <v>5906.1417000000001</v>
      </c>
      <c r="I5389">
        <v>175.6626</v>
      </c>
      <c r="J5389">
        <v>41.402900000000002</v>
      </c>
      <c r="K5389">
        <v>2068.0936000000002</v>
      </c>
      <c r="L5389">
        <v>9.6562000000000001</v>
      </c>
      <c r="M5389">
        <v>1.6940999999999999</v>
      </c>
      <c r="N5389">
        <v>248.1927</v>
      </c>
      <c r="O5389">
        <v>7.2702</v>
      </c>
      <c r="P5389">
        <v>17.4513</v>
      </c>
    </row>
    <row r="5390" spans="1:16">
      <c r="A5390" s="1" t="s">
        <v>5317</v>
      </c>
      <c r="B5390" s="1" t="s">
        <v>5320</v>
      </c>
      <c r="C5390" s="1" t="s">
        <v>1764</v>
      </c>
      <c r="D5390" s="1" t="s">
        <v>44</v>
      </c>
      <c r="E5390" s="1" t="s">
        <v>5319</v>
      </c>
      <c r="F5390">
        <v>2308.8710000000001</v>
      </c>
      <c r="G5390">
        <v>4224.5218000000004</v>
      </c>
      <c r="H5390">
        <v>5712.3145999999997</v>
      </c>
      <c r="I5390">
        <v>203.2363</v>
      </c>
      <c r="J5390">
        <v>51.606999999999999</v>
      </c>
      <c r="K5390">
        <v>1498.5282</v>
      </c>
      <c r="L5390">
        <v>3.9108999999999998</v>
      </c>
      <c r="M5390">
        <v>2.3199000000000001</v>
      </c>
      <c r="N5390">
        <v>324.32650000000001</v>
      </c>
      <c r="O5390">
        <v>5.9295</v>
      </c>
      <c r="P5390">
        <v>19.5548</v>
      </c>
    </row>
    <row r="5391" spans="1:16">
      <c r="A5391" s="1" t="s">
        <v>5317</v>
      </c>
      <c r="B5391" s="1" t="s">
        <v>5321</v>
      </c>
      <c r="C5391" s="1" t="s">
        <v>1764</v>
      </c>
      <c r="D5391" s="1" t="s">
        <v>44</v>
      </c>
      <c r="E5391" s="1" t="s">
        <v>5322</v>
      </c>
      <c r="F5391">
        <v>1135.2646999999999</v>
      </c>
      <c r="G5391">
        <v>3154.0484999999999</v>
      </c>
      <c r="H5391">
        <v>6095.6684999999998</v>
      </c>
      <c r="I5391">
        <v>191.2319</v>
      </c>
      <c r="J5391">
        <v>68.127600000000001</v>
      </c>
      <c r="K5391">
        <v>1591.0082</v>
      </c>
      <c r="L5391">
        <v>4.0232000000000001</v>
      </c>
      <c r="M5391">
        <v>1.6004</v>
      </c>
      <c r="N5391">
        <v>193.5378</v>
      </c>
      <c r="O5391">
        <v>7.5425000000000004</v>
      </c>
      <c r="P5391">
        <v>23.212199999999999</v>
      </c>
    </row>
    <row r="5392" spans="1:16">
      <c r="A5392" s="1" t="s">
        <v>5317</v>
      </c>
      <c r="B5392" s="1" t="s">
        <v>5323</v>
      </c>
      <c r="C5392" s="1" t="s">
        <v>1764</v>
      </c>
      <c r="D5392" s="1" t="s">
        <v>44</v>
      </c>
      <c r="E5392" s="1" t="s">
        <v>5322</v>
      </c>
      <c r="F5392">
        <v>401.49979999999999</v>
      </c>
      <c r="G5392">
        <v>3414.1570999999999</v>
      </c>
      <c r="H5392">
        <v>6242.2115999999996</v>
      </c>
      <c r="I5392">
        <v>266.84980000000002</v>
      </c>
      <c r="J5392">
        <v>35.727200000000003</v>
      </c>
      <c r="K5392">
        <v>2253.2736</v>
      </c>
      <c r="L5392">
        <v>5.5053999999999998</v>
      </c>
      <c r="M5392">
        <v>1.0865</v>
      </c>
      <c r="N5392">
        <v>237.80090000000001</v>
      </c>
      <c r="O5392">
        <v>8.6622000000000003</v>
      </c>
      <c r="P5392">
        <v>21.122399999999999</v>
      </c>
    </row>
    <row r="5393" spans="1:16">
      <c r="A5393" s="1" t="s">
        <v>5317</v>
      </c>
      <c r="B5393" s="1" t="s">
        <v>5324</v>
      </c>
      <c r="C5393" s="1" t="s">
        <v>1764</v>
      </c>
      <c r="D5393" s="1" t="s">
        <v>44</v>
      </c>
      <c r="E5393" s="1" t="s">
        <v>5322</v>
      </c>
      <c r="F5393">
        <v>1237.7768000000001</v>
      </c>
      <c r="G5393">
        <v>3617.8323999999998</v>
      </c>
      <c r="H5393">
        <v>6236.9013999999997</v>
      </c>
      <c r="I5393">
        <v>175.26519999999999</v>
      </c>
      <c r="J5393">
        <v>57.569499999999998</v>
      </c>
      <c r="K5393">
        <v>1837.9912999999999</v>
      </c>
      <c r="L5393">
        <v>6.1590999999999996</v>
      </c>
      <c r="M5393">
        <v>1.5798000000000001</v>
      </c>
      <c r="N5393">
        <v>225.00129999999999</v>
      </c>
      <c r="O5393">
        <v>8.8592999999999993</v>
      </c>
      <c r="P5393">
        <v>18.116800000000001</v>
      </c>
    </row>
    <row r="5394" spans="1:16">
      <c r="A5394" s="1" t="s">
        <v>5317</v>
      </c>
      <c r="B5394" s="1" t="s">
        <v>5325</v>
      </c>
      <c r="C5394" s="1" t="s">
        <v>1764</v>
      </c>
      <c r="D5394" s="1" t="s">
        <v>44</v>
      </c>
      <c r="E5394" s="1" t="s">
        <v>5322</v>
      </c>
      <c r="F5394">
        <v>616.53179999999998</v>
      </c>
      <c r="G5394">
        <v>3157.4668000000001</v>
      </c>
      <c r="H5394">
        <v>5745.9261999999999</v>
      </c>
      <c r="I5394">
        <v>183.45869999999999</v>
      </c>
      <c r="J5394">
        <v>48.244100000000003</v>
      </c>
      <c r="K5394">
        <v>1994.7998</v>
      </c>
      <c r="L5394">
        <v>9.1191999999999993</v>
      </c>
      <c r="M5394">
        <v>1.5762</v>
      </c>
      <c r="N5394">
        <v>212.32589999999999</v>
      </c>
      <c r="O5394">
        <v>11.888</v>
      </c>
      <c r="P5394">
        <v>16.883900000000001</v>
      </c>
    </row>
    <row r="5395" spans="1:16">
      <c r="A5395" s="1" t="s">
        <v>5317</v>
      </c>
      <c r="B5395" s="1" t="s">
        <v>5326</v>
      </c>
      <c r="C5395" s="1" t="s">
        <v>1764</v>
      </c>
      <c r="D5395" s="1" t="s">
        <v>44</v>
      </c>
      <c r="E5395" s="1" t="s">
        <v>5322</v>
      </c>
      <c r="F5395">
        <v>496.76</v>
      </c>
      <c r="G5395">
        <v>2919.0650000000001</v>
      </c>
      <c r="H5395">
        <v>5462.3324000000002</v>
      </c>
      <c r="I5395">
        <v>180.38040000000001</v>
      </c>
      <c r="J5395">
        <v>69.880200000000002</v>
      </c>
      <c r="K5395">
        <v>1774.6445000000001</v>
      </c>
      <c r="L5395">
        <v>7.5444000000000004</v>
      </c>
      <c r="M5395">
        <v>1.5015000000000001</v>
      </c>
      <c r="N5395">
        <v>342.29930000000002</v>
      </c>
      <c r="O5395">
        <v>7.2095000000000002</v>
      </c>
      <c r="P5395">
        <v>15.9567</v>
      </c>
    </row>
    <row r="5396" spans="1:16">
      <c r="A5396" s="1" t="s">
        <v>5317</v>
      </c>
      <c r="B5396" s="1" t="s">
        <v>5327</v>
      </c>
      <c r="C5396" s="1" t="s">
        <v>1764</v>
      </c>
      <c r="D5396" s="1" t="s">
        <v>44</v>
      </c>
      <c r="E5396" s="1" t="s">
        <v>5322</v>
      </c>
      <c r="F5396">
        <v>717.22789999999998</v>
      </c>
      <c r="G5396">
        <v>2757.6003999999998</v>
      </c>
      <c r="H5396">
        <v>5003.0438999999997</v>
      </c>
      <c r="I5396">
        <v>180.38069999999999</v>
      </c>
      <c r="J5396">
        <v>62.031799999999997</v>
      </c>
      <c r="K5396">
        <v>703.02200000000005</v>
      </c>
      <c r="L5396">
        <v>6.2454000000000001</v>
      </c>
      <c r="M5396">
        <v>1.8485</v>
      </c>
      <c r="N5396">
        <v>275.03980000000001</v>
      </c>
      <c r="O5396">
        <v>6.2405999999999997</v>
      </c>
      <c r="P5396">
        <v>15.5097</v>
      </c>
    </row>
    <row r="5397" spans="1:16">
      <c r="A5397" s="1" t="s">
        <v>5317</v>
      </c>
      <c r="B5397" s="1" t="s">
        <v>5328</v>
      </c>
      <c r="C5397" s="1" t="s">
        <v>1764</v>
      </c>
      <c r="D5397" s="1" t="s">
        <v>44</v>
      </c>
      <c r="E5397" s="1" t="s">
        <v>5322</v>
      </c>
      <c r="F5397">
        <v>542.52419999999995</v>
      </c>
      <c r="G5397">
        <v>3268.8235</v>
      </c>
      <c r="H5397">
        <v>5898.2604000000001</v>
      </c>
      <c r="I5397">
        <v>188.97649999999999</v>
      </c>
      <c r="J5397">
        <v>65.580399999999997</v>
      </c>
      <c r="K5397">
        <v>1426.5244</v>
      </c>
      <c r="L5397">
        <v>6.9367999999999999</v>
      </c>
      <c r="M5397">
        <v>1.3764000000000001</v>
      </c>
      <c r="N5397">
        <v>214.73400000000001</v>
      </c>
      <c r="O5397">
        <v>7.1871999999999998</v>
      </c>
      <c r="P5397">
        <v>14.7346</v>
      </c>
    </row>
    <row r="5398" spans="1:16">
      <c r="A5398" s="1" t="s">
        <v>5317</v>
      </c>
      <c r="B5398" s="1" t="s">
        <v>5329</v>
      </c>
      <c r="C5398" s="1" t="s">
        <v>1764</v>
      </c>
      <c r="D5398" s="1" t="s">
        <v>44</v>
      </c>
      <c r="E5398" s="1" t="s">
        <v>5322</v>
      </c>
      <c r="F5398">
        <v>403.05689999999998</v>
      </c>
      <c r="G5398">
        <v>3052.7136999999998</v>
      </c>
      <c r="H5398">
        <v>5722.1374999999998</v>
      </c>
      <c r="I5398">
        <v>179.80459999999999</v>
      </c>
      <c r="J5398">
        <v>70.046999999999997</v>
      </c>
      <c r="K5398">
        <v>1413.6394</v>
      </c>
      <c r="L5398">
        <v>6.7801</v>
      </c>
      <c r="M5398">
        <v>1.6222000000000001</v>
      </c>
      <c r="N5398">
        <v>199.26089999999999</v>
      </c>
      <c r="O5398">
        <v>10.0724</v>
      </c>
      <c r="P5398">
        <v>15.301</v>
      </c>
    </row>
    <row r="5399" spans="1:16">
      <c r="A5399" s="1" t="s">
        <v>5317</v>
      </c>
      <c r="B5399" s="1" t="s">
        <v>5330</v>
      </c>
      <c r="C5399" s="1" t="s">
        <v>1764</v>
      </c>
      <c r="D5399" s="1" t="s">
        <v>44</v>
      </c>
      <c r="E5399" s="1" t="s">
        <v>5322</v>
      </c>
      <c r="F5399">
        <v>165.77590000000001</v>
      </c>
      <c r="G5399">
        <v>2681.1765999999998</v>
      </c>
      <c r="H5399">
        <v>6205.1383999999998</v>
      </c>
      <c r="I5399">
        <v>169.24029999999999</v>
      </c>
      <c r="J5399">
        <v>131.447</v>
      </c>
      <c r="K5399">
        <v>1446.5930000000001</v>
      </c>
      <c r="L5399">
        <v>4.5568999999999997</v>
      </c>
      <c r="M5399">
        <v>1.8401000000000001</v>
      </c>
      <c r="N5399">
        <v>267.51589999999999</v>
      </c>
      <c r="O5399">
        <v>7.5827999999999998</v>
      </c>
      <c r="P5399">
        <v>16.8932</v>
      </c>
    </row>
    <row r="5400" spans="1:16">
      <c r="A5400" s="1" t="s">
        <v>5317</v>
      </c>
      <c r="B5400" s="1" t="s">
        <v>5331</v>
      </c>
      <c r="C5400" s="1" t="s">
        <v>1764</v>
      </c>
      <c r="D5400" s="1" t="s">
        <v>44</v>
      </c>
      <c r="E5400" s="1" t="s">
        <v>5322</v>
      </c>
      <c r="F5400">
        <v>379.8372</v>
      </c>
      <c r="G5400">
        <v>2855.3906999999999</v>
      </c>
      <c r="H5400">
        <v>6172.5407999999998</v>
      </c>
      <c r="I5400">
        <v>169.36519999999999</v>
      </c>
      <c r="J5400">
        <v>66.019099999999995</v>
      </c>
      <c r="K5400">
        <v>1582.0572999999999</v>
      </c>
      <c r="L5400">
        <v>6.2226999999999997</v>
      </c>
      <c r="M5400">
        <v>1.9742</v>
      </c>
      <c r="N5400">
        <v>202.5086</v>
      </c>
      <c r="O5400">
        <v>9.9603999999999999</v>
      </c>
      <c r="P5400">
        <v>17.613199999999999</v>
      </c>
    </row>
    <row r="5401" spans="1:16">
      <c r="A5401" s="1" t="s">
        <v>5317</v>
      </c>
      <c r="B5401" s="1" t="s">
        <v>5332</v>
      </c>
      <c r="C5401" s="1" t="s">
        <v>1764</v>
      </c>
      <c r="D5401" s="1" t="s">
        <v>44</v>
      </c>
      <c r="E5401" s="1" t="s">
        <v>5322</v>
      </c>
      <c r="F5401">
        <v>255.75280000000001</v>
      </c>
      <c r="G5401">
        <v>2644.2114999999999</v>
      </c>
      <c r="H5401">
        <v>6239.9391999999998</v>
      </c>
      <c r="I5401">
        <v>166.01759999999999</v>
      </c>
      <c r="J5401">
        <v>68.904300000000006</v>
      </c>
      <c r="K5401">
        <v>1917.8318999999999</v>
      </c>
      <c r="L5401">
        <v>4.7007000000000003</v>
      </c>
      <c r="M5401">
        <v>1.0361</v>
      </c>
      <c r="N5401">
        <v>221.42429999999999</v>
      </c>
      <c r="O5401">
        <v>11.1317</v>
      </c>
      <c r="P5401">
        <v>17.6739</v>
      </c>
    </row>
    <row r="5402" spans="1:16">
      <c r="A5402" s="1" t="s">
        <v>5317</v>
      </c>
      <c r="B5402" s="1" t="s">
        <v>5333</v>
      </c>
      <c r="C5402" s="1" t="s">
        <v>1764</v>
      </c>
      <c r="D5402" s="1" t="s">
        <v>44</v>
      </c>
      <c r="E5402" s="1" t="s">
        <v>5322</v>
      </c>
      <c r="F5402">
        <v>1853.2927999999999</v>
      </c>
      <c r="G5402">
        <v>3427.6709999999998</v>
      </c>
      <c r="H5402">
        <v>6079.1381000000001</v>
      </c>
      <c r="I5402">
        <v>175.98150000000001</v>
      </c>
      <c r="J5402">
        <v>121.0698</v>
      </c>
      <c r="K5402">
        <v>2050.2779999999998</v>
      </c>
      <c r="L5402">
        <v>8.1584000000000003</v>
      </c>
      <c r="M5402">
        <v>1.8871</v>
      </c>
      <c r="N5402">
        <v>163.29300000000001</v>
      </c>
      <c r="O5402">
        <v>11.2738</v>
      </c>
      <c r="P5402">
        <v>21.801200000000001</v>
      </c>
    </row>
    <row r="5403" spans="1:16">
      <c r="A5403" s="1" t="s">
        <v>5317</v>
      </c>
      <c r="B5403" s="1" t="s">
        <v>5334</v>
      </c>
      <c r="C5403" s="1" t="s">
        <v>1764</v>
      </c>
      <c r="D5403" s="1" t="s">
        <v>44</v>
      </c>
      <c r="E5403" s="1" t="s">
        <v>5322</v>
      </c>
      <c r="F5403">
        <v>451.3965</v>
      </c>
      <c r="G5403">
        <v>2952.4654999999998</v>
      </c>
      <c r="H5403">
        <v>6244.7741999999998</v>
      </c>
      <c r="I5403">
        <v>169.34559999999999</v>
      </c>
      <c r="J5403">
        <v>43.841299999999997</v>
      </c>
      <c r="K5403">
        <v>953.80859999999996</v>
      </c>
      <c r="L5403">
        <v>5.3041</v>
      </c>
      <c r="M5403">
        <v>1.9672000000000001</v>
      </c>
      <c r="N5403">
        <v>207.8202</v>
      </c>
      <c r="O5403">
        <v>9.2838999999999992</v>
      </c>
      <c r="P5403">
        <v>16.973700000000001</v>
      </c>
    </row>
    <row r="5404" spans="1:16">
      <c r="A5404" s="1" t="s">
        <v>5317</v>
      </c>
      <c r="B5404" s="1" t="s">
        <v>5335</v>
      </c>
      <c r="C5404" s="1" t="s">
        <v>1764</v>
      </c>
      <c r="D5404" s="1" t="s">
        <v>44</v>
      </c>
      <c r="E5404" s="1" t="s">
        <v>5322</v>
      </c>
      <c r="F5404">
        <v>299.96480000000003</v>
      </c>
      <c r="G5404">
        <v>3043.2901999999999</v>
      </c>
      <c r="H5404">
        <v>6297.8137999999999</v>
      </c>
      <c r="I5404">
        <v>179.70849999999999</v>
      </c>
      <c r="J5404">
        <v>193.5797</v>
      </c>
      <c r="K5404">
        <v>1900.6501000000001</v>
      </c>
      <c r="L5404">
        <v>7.7317</v>
      </c>
      <c r="M5404">
        <v>1.5448999999999999</v>
      </c>
      <c r="N5404">
        <v>177.8682</v>
      </c>
      <c r="O5404">
        <v>9.9536999999999995</v>
      </c>
      <c r="P5404">
        <v>17.119299999999999</v>
      </c>
    </row>
    <row r="5405" spans="1:16">
      <c r="A5405" s="1" t="s">
        <v>5317</v>
      </c>
      <c r="B5405" s="1" t="s">
        <v>5336</v>
      </c>
      <c r="C5405" s="1" t="s">
        <v>1764</v>
      </c>
      <c r="D5405" s="1" t="s">
        <v>44</v>
      </c>
      <c r="E5405" s="1" t="s">
        <v>5322</v>
      </c>
      <c r="F5405">
        <v>2232.9391000000001</v>
      </c>
      <c r="G5405">
        <v>3694.5814999999998</v>
      </c>
      <c r="H5405">
        <v>6531.5241999999998</v>
      </c>
      <c r="I5405">
        <v>198.97919999999999</v>
      </c>
      <c r="J5405">
        <v>149.58969999999999</v>
      </c>
      <c r="K5405">
        <v>1989.4322</v>
      </c>
      <c r="L5405">
        <v>14.537599999999999</v>
      </c>
      <c r="M5405">
        <v>1.9312</v>
      </c>
      <c r="N5405">
        <v>192.08179999999999</v>
      </c>
      <c r="O5405">
        <v>11.124700000000001</v>
      </c>
      <c r="P5405">
        <v>22.130500000000001</v>
      </c>
    </row>
    <row r="5406" spans="1:16">
      <c r="A5406" s="1" t="s">
        <v>5317</v>
      </c>
      <c r="B5406" s="1" t="s">
        <v>5337</v>
      </c>
      <c r="C5406" s="1" t="s">
        <v>1764</v>
      </c>
      <c r="D5406" s="1" t="s">
        <v>44</v>
      </c>
      <c r="E5406" s="1" t="s">
        <v>5322</v>
      </c>
      <c r="F5406">
        <v>1187.2989</v>
      </c>
      <c r="G5406">
        <v>3065.1505999999999</v>
      </c>
      <c r="H5406">
        <v>6256.2704000000003</v>
      </c>
      <c r="I5406">
        <v>219.1831</v>
      </c>
      <c r="J5406">
        <v>112.0022</v>
      </c>
      <c r="K5406">
        <v>2732.2964000000002</v>
      </c>
      <c r="L5406">
        <v>24.385200000000001</v>
      </c>
      <c r="M5406">
        <v>2.4550000000000001</v>
      </c>
      <c r="N5406">
        <v>216.12219999999999</v>
      </c>
      <c r="O5406">
        <v>14.388</v>
      </c>
      <c r="P5406">
        <v>19.5306</v>
      </c>
    </row>
    <row r="5407" spans="1:16">
      <c r="A5407" s="1" t="s">
        <v>5317</v>
      </c>
      <c r="B5407" s="1" t="s">
        <v>5338</v>
      </c>
      <c r="C5407" s="1" t="s">
        <v>1764</v>
      </c>
      <c r="D5407" s="1" t="s">
        <v>44</v>
      </c>
      <c r="E5407" s="1" t="s">
        <v>5322</v>
      </c>
      <c r="F5407">
        <v>1212.2068999999999</v>
      </c>
      <c r="G5407">
        <v>2793.7469000000001</v>
      </c>
      <c r="H5407">
        <v>5456.7024000000001</v>
      </c>
      <c r="I5407">
        <v>171.54689999999999</v>
      </c>
      <c r="J5407">
        <v>139.2801</v>
      </c>
      <c r="K5407">
        <v>2212.3562000000002</v>
      </c>
      <c r="L5407">
        <v>13.5595</v>
      </c>
      <c r="M5407">
        <v>2.2027000000000001</v>
      </c>
      <c r="N5407">
        <v>199.92009999999999</v>
      </c>
      <c r="O5407">
        <v>12.2941</v>
      </c>
      <c r="P5407">
        <v>19.428599999999999</v>
      </c>
    </row>
    <row r="5408" spans="1:16">
      <c r="A5408" s="1" t="s">
        <v>5317</v>
      </c>
      <c r="B5408" s="1" t="s">
        <v>5339</v>
      </c>
      <c r="C5408" s="1" t="s">
        <v>1764</v>
      </c>
      <c r="D5408" s="1" t="s">
        <v>44</v>
      </c>
      <c r="E5408" s="1" t="s">
        <v>5322</v>
      </c>
      <c r="F5408">
        <v>722.8492</v>
      </c>
      <c r="G5408">
        <v>2710.1777000000002</v>
      </c>
      <c r="H5408">
        <v>5382.6379999999999</v>
      </c>
      <c r="I5408">
        <v>166.63910000000001</v>
      </c>
      <c r="J5408">
        <v>134.06010000000001</v>
      </c>
      <c r="K5408">
        <v>1615.0456999999999</v>
      </c>
      <c r="L5408">
        <v>11.171799999999999</v>
      </c>
      <c r="M5408">
        <v>1.6928000000000001</v>
      </c>
      <c r="N5408">
        <v>164.4538</v>
      </c>
      <c r="O5408">
        <v>9.4232999999999993</v>
      </c>
      <c r="P5408">
        <v>15.831799999999999</v>
      </c>
    </row>
    <row r="5409" spans="1:16">
      <c r="A5409" s="1" t="s">
        <v>5317</v>
      </c>
      <c r="B5409" s="1" t="s">
        <v>5340</v>
      </c>
      <c r="C5409" s="1" t="s">
        <v>1764</v>
      </c>
      <c r="D5409" s="1" t="s">
        <v>44</v>
      </c>
      <c r="E5409" s="1" t="s">
        <v>5322</v>
      </c>
      <c r="F5409">
        <v>3197.4805999999999</v>
      </c>
      <c r="G5409">
        <v>3790.3344999999999</v>
      </c>
      <c r="H5409">
        <v>4861.5491000000002</v>
      </c>
      <c r="I5409">
        <v>183.10419999999999</v>
      </c>
      <c r="J5409">
        <v>41.278100000000002</v>
      </c>
      <c r="K5409">
        <v>2377.5963999999999</v>
      </c>
      <c r="L5409">
        <v>23.431999999999999</v>
      </c>
      <c r="M5409">
        <v>2.0350000000000001</v>
      </c>
      <c r="N5409">
        <v>256.47199999999998</v>
      </c>
      <c r="O5409">
        <v>12.039199999999999</v>
      </c>
      <c r="P5409">
        <v>15.7821</v>
      </c>
    </row>
    <row r="5410" spans="1:16">
      <c r="A5410" s="1" t="s">
        <v>5317</v>
      </c>
      <c r="B5410" s="1" t="s">
        <v>5341</v>
      </c>
      <c r="C5410" s="1" t="s">
        <v>1764</v>
      </c>
      <c r="D5410" s="1" t="s">
        <v>44</v>
      </c>
      <c r="E5410" s="1" t="s">
        <v>5322</v>
      </c>
      <c r="F5410">
        <v>5258.2559000000001</v>
      </c>
      <c r="G5410">
        <v>5260.5014000000001</v>
      </c>
      <c r="H5410">
        <v>6944.9213</v>
      </c>
      <c r="I5410">
        <v>195.23079999999999</v>
      </c>
      <c r="J5410">
        <v>59.645699999999998</v>
      </c>
      <c r="K5410">
        <v>1334.1881000000001</v>
      </c>
      <c r="L5410">
        <v>4.6517999999999997</v>
      </c>
      <c r="M5410">
        <v>1.9292</v>
      </c>
      <c r="N5410">
        <v>135.4314</v>
      </c>
      <c r="O5410">
        <v>6.7294999999999998</v>
      </c>
      <c r="P5410">
        <v>27.666399999999999</v>
      </c>
    </row>
    <row r="5411" spans="1:16">
      <c r="A5411" s="1" t="s">
        <v>5317</v>
      </c>
      <c r="B5411" s="1" t="s">
        <v>5342</v>
      </c>
      <c r="C5411" s="1" t="s">
        <v>1764</v>
      </c>
      <c r="D5411" s="1" t="s">
        <v>44</v>
      </c>
      <c r="E5411" s="1" t="s">
        <v>5322</v>
      </c>
      <c r="F5411">
        <v>535.12120000000004</v>
      </c>
      <c r="G5411">
        <v>2970.0025000000001</v>
      </c>
      <c r="H5411">
        <v>6212.4611999999997</v>
      </c>
      <c r="I5411">
        <v>183.44970000000001</v>
      </c>
      <c r="J5411">
        <v>89.1892</v>
      </c>
      <c r="K5411">
        <v>2306.3164999999999</v>
      </c>
      <c r="L5411">
        <v>8.8651999999999997</v>
      </c>
      <c r="M5411">
        <v>1.3405</v>
      </c>
      <c r="N5411">
        <v>297.97269999999997</v>
      </c>
      <c r="O5411">
        <v>10.710100000000001</v>
      </c>
      <c r="P5411">
        <v>21.256399999999999</v>
      </c>
    </row>
    <row r="5412" spans="1:16">
      <c r="A5412" s="1" t="s">
        <v>5317</v>
      </c>
      <c r="B5412" s="1" t="s">
        <v>5343</v>
      </c>
      <c r="C5412" s="1" t="s">
        <v>1764</v>
      </c>
      <c r="D5412" s="1" t="s">
        <v>44</v>
      </c>
      <c r="E5412" s="1" t="s">
        <v>5322</v>
      </c>
      <c r="F5412">
        <v>1846.34</v>
      </c>
      <c r="G5412">
        <v>3039.0698000000002</v>
      </c>
      <c r="H5412">
        <v>5838.3737000000001</v>
      </c>
      <c r="I5412">
        <v>181.57329999999999</v>
      </c>
      <c r="J5412">
        <v>83.976900000000001</v>
      </c>
      <c r="K5412">
        <v>2231.5396999999998</v>
      </c>
      <c r="L5412">
        <v>12.981199999999999</v>
      </c>
      <c r="M5412">
        <v>2.0788000000000002</v>
      </c>
      <c r="N5412">
        <v>189.6893</v>
      </c>
      <c r="O5412">
        <v>10.6099</v>
      </c>
      <c r="P5412">
        <v>16.201599999999999</v>
      </c>
    </row>
    <row r="5413" spans="1:16">
      <c r="A5413" s="1" t="s">
        <v>5317</v>
      </c>
      <c r="B5413" s="1" t="s">
        <v>5344</v>
      </c>
      <c r="C5413" s="1" t="s">
        <v>1764</v>
      </c>
      <c r="D5413" s="1" t="s">
        <v>44</v>
      </c>
      <c r="E5413" s="1" t="s">
        <v>5322</v>
      </c>
      <c r="F5413">
        <v>302.82350000000002</v>
      </c>
      <c r="G5413">
        <v>2842.2826</v>
      </c>
      <c r="H5413">
        <v>5948.7210999999998</v>
      </c>
      <c r="I5413">
        <v>176.0763</v>
      </c>
      <c r="J5413">
        <v>45.5625</v>
      </c>
      <c r="K5413">
        <v>1115.5468000000001</v>
      </c>
      <c r="L5413">
        <v>7.0495999999999999</v>
      </c>
      <c r="M5413">
        <v>1.8909</v>
      </c>
      <c r="N5413">
        <v>188.40219999999999</v>
      </c>
      <c r="O5413">
        <v>8.8285</v>
      </c>
      <c r="P5413">
        <v>15.815799999999999</v>
      </c>
    </row>
    <row r="5414" spans="1:16">
      <c r="A5414" s="1" t="s">
        <v>5317</v>
      </c>
      <c r="B5414" s="1" t="s">
        <v>5345</v>
      </c>
      <c r="C5414" s="1" t="s">
        <v>1764</v>
      </c>
      <c r="D5414" s="1" t="s">
        <v>44</v>
      </c>
      <c r="E5414" s="1" t="s">
        <v>5322</v>
      </c>
      <c r="F5414">
        <v>270.03640000000001</v>
      </c>
      <c r="G5414">
        <v>2805.3813</v>
      </c>
      <c r="H5414">
        <v>5927.7812999999996</v>
      </c>
      <c r="I5414">
        <v>161.5377</v>
      </c>
      <c r="J5414">
        <v>23.913</v>
      </c>
      <c r="K5414">
        <v>966.25570000000005</v>
      </c>
      <c r="L5414">
        <v>6.6212999999999997</v>
      </c>
      <c r="M5414">
        <v>1.4998</v>
      </c>
      <c r="N5414">
        <v>211.38249999999999</v>
      </c>
      <c r="O5414">
        <v>9.0609000000000002</v>
      </c>
      <c r="P5414">
        <v>17.397200000000002</v>
      </c>
    </row>
    <row r="5415" spans="1:16">
      <c r="A5415" s="1" t="s">
        <v>5317</v>
      </c>
      <c r="B5415" s="1" t="s">
        <v>5346</v>
      </c>
      <c r="C5415" s="1" t="s">
        <v>1764</v>
      </c>
      <c r="D5415" s="1" t="s">
        <v>44</v>
      </c>
      <c r="E5415" s="1" t="s">
        <v>5322</v>
      </c>
      <c r="F5415">
        <v>479.99950000000001</v>
      </c>
      <c r="G5415">
        <v>2819.8211999999999</v>
      </c>
      <c r="H5415">
        <v>6206.2538000000004</v>
      </c>
      <c r="I5415">
        <v>163.22059999999999</v>
      </c>
      <c r="J5415">
        <v>68.240600000000001</v>
      </c>
      <c r="K5415">
        <v>1320.5599</v>
      </c>
      <c r="L5415">
        <v>10.6691</v>
      </c>
      <c r="M5415">
        <v>1.0963000000000001</v>
      </c>
      <c r="N5415">
        <v>268.38830000000002</v>
      </c>
      <c r="O5415">
        <v>8.8795000000000002</v>
      </c>
      <c r="P5415">
        <v>18.258800000000001</v>
      </c>
    </row>
    <row r="5416" spans="1:16">
      <c r="A5416" s="1" t="s">
        <v>5317</v>
      </c>
      <c r="B5416" s="1" t="s">
        <v>5347</v>
      </c>
      <c r="C5416" s="1" t="s">
        <v>1764</v>
      </c>
      <c r="D5416" s="1" t="s">
        <v>44</v>
      </c>
      <c r="E5416" s="1" t="s">
        <v>5322</v>
      </c>
      <c r="F5416">
        <v>4737.5042999999996</v>
      </c>
      <c r="G5416">
        <v>8171.3955999999998</v>
      </c>
      <c r="H5416">
        <v>2531.8762000000002</v>
      </c>
      <c r="I5416">
        <v>85.691999999999993</v>
      </c>
      <c r="J5416">
        <v>6.7842000000000002</v>
      </c>
      <c r="K5416">
        <v>4088.6835999999998</v>
      </c>
      <c r="L5416">
        <v>52.090499999999999</v>
      </c>
      <c r="M5416">
        <v>11.4421</v>
      </c>
      <c r="N5416">
        <v>473.8476</v>
      </c>
      <c r="O5416">
        <v>17.591999999999999</v>
      </c>
      <c r="P5416">
        <v>9.4290000000000003</v>
      </c>
    </row>
    <row r="5417" spans="1:16">
      <c r="A5417" s="1" t="s">
        <v>5317</v>
      </c>
      <c r="B5417" s="1" t="s">
        <v>5348</v>
      </c>
      <c r="C5417" s="1" t="s">
        <v>1764</v>
      </c>
      <c r="D5417" s="1" t="s">
        <v>44</v>
      </c>
      <c r="E5417" s="1" t="s">
        <v>5322</v>
      </c>
      <c r="F5417">
        <v>3879.0551999999998</v>
      </c>
      <c r="G5417">
        <v>6713.6673000000001</v>
      </c>
      <c r="H5417">
        <v>1472.3272999999999</v>
      </c>
      <c r="I5417">
        <v>64.496600000000001</v>
      </c>
      <c r="J5417">
        <v>19.068200000000001</v>
      </c>
      <c r="K5417">
        <v>3205.2854000000002</v>
      </c>
      <c r="L5417">
        <v>44.648699999999998</v>
      </c>
      <c r="M5417">
        <v>9.0558999999999994</v>
      </c>
      <c r="N5417">
        <v>411.90719999999999</v>
      </c>
      <c r="O5417">
        <v>16.264900000000001</v>
      </c>
      <c r="P5417">
        <v>8.6544000000000008</v>
      </c>
    </row>
    <row r="5418" spans="1:16">
      <c r="A5418" s="1" t="s">
        <v>5317</v>
      </c>
      <c r="B5418" s="1" t="s">
        <v>5349</v>
      </c>
      <c r="C5418" s="1" t="s">
        <v>1764</v>
      </c>
      <c r="D5418" s="1" t="s">
        <v>44</v>
      </c>
      <c r="E5418" s="1" t="s">
        <v>5322</v>
      </c>
      <c r="F5418">
        <v>4623.0131000000001</v>
      </c>
      <c r="G5418">
        <v>5927.1585999999998</v>
      </c>
      <c r="H5418">
        <v>1042.1715999999999</v>
      </c>
      <c r="I5418">
        <v>80.374799999999993</v>
      </c>
      <c r="J5418">
        <v>22.6981</v>
      </c>
      <c r="K5418">
        <v>3095.5234</v>
      </c>
      <c r="L5418">
        <v>57.132199999999997</v>
      </c>
      <c r="M5418">
        <v>6.7662000000000004</v>
      </c>
      <c r="N5418">
        <v>352.8021</v>
      </c>
      <c r="O5418">
        <v>16.694099999999999</v>
      </c>
      <c r="P5418">
        <v>6.5285000000000002</v>
      </c>
    </row>
    <row r="5419" spans="1:16">
      <c r="A5419" s="1" t="s">
        <v>5317</v>
      </c>
      <c r="B5419" s="1" t="s">
        <v>5350</v>
      </c>
      <c r="C5419" s="1" t="s">
        <v>1764</v>
      </c>
      <c r="D5419" s="1" t="s">
        <v>44</v>
      </c>
      <c r="E5419" s="1" t="s">
        <v>5322</v>
      </c>
      <c r="F5419">
        <v>3588.9774000000002</v>
      </c>
      <c r="G5419">
        <v>6184.6540999999997</v>
      </c>
      <c r="H5419">
        <v>2867.4991</v>
      </c>
      <c r="I5419">
        <v>117.6587</v>
      </c>
      <c r="J5419">
        <v>2203.0882999999999</v>
      </c>
      <c r="K5419">
        <v>3353.9661999999998</v>
      </c>
      <c r="L5419">
        <v>45.581000000000003</v>
      </c>
      <c r="M5419">
        <v>11.167999999999999</v>
      </c>
      <c r="N5419">
        <v>388.77370000000002</v>
      </c>
      <c r="O5419">
        <v>15.5746</v>
      </c>
      <c r="P5419">
        <v>7.7854999999999999</v>
      </c>
    </row>
    <row r="5420" spans="1:16">
      <c r="A5420" s="1" t="s">
        <v>5317</v>
      </c>
      <c r="B5420" s="1" t="s">
        <v>5351</v>
      </c>
      <c r="C5420" s="1" t="s">
        <v>1764</v>
      </c>
      <c r="D5420" s="1" t="s">
        <v>44</v>
      </c>
      <c r="E5420" s="1" t="s">
        <v>5322</v>
      </c>
      <c r="F5420">
        <v>3918.9703</v>
      </c>
      <c r="G5420">
        <v>8131.5667000000003</v>
      </c>
      <c r="H5420">
        <v>2876.6934999999999</v>
      </c>
      <c r="I5420">
        <v>125.4845</v>
      </c>
      <c r="J5420">
        <v>1739.4577999999999</v>
      </c>
      <c r="K5420">
        <v>3682.6857</v>
      </c>
      <c r="L5420">
        <v>44.2136</v>
      </c>
      <c r="M5420">
        <v>9.8846000000000007</v>
      </c>
      <c r="N5420">
        <v>442.68819999999999</v>
      </c>
      <c r="O5420">
        <v>18.608599999999999</v>
      </c>
      <c r="P5420">
        <v>9.5503</v>
      </c>
    </row>
    <row r="5421" spans="1:16">
      <c r="A5421" s="1" t="s">
        <v>5317</v>
      </c>
      <c r="B5421" s="1" t="s">
        <v>5352</v>
      </c>
      <c r="C5421" s="1" t="s">
        <v>1764</v>
      </c>
      <c r="D5421" s="1" t="s">
        <v>44</v>
      </c>
      <c r="E5421" s="1" t="s">
        <v>5322</v>
      </c>
      <c r="F5421">
        <v>4103.9574000000002</v>
      </c>
      <c r="G5421">
        <v>6929.1238000000003</v>
      </c>
      <c r="H5421">
        <v>2370.4162999999999</v>
      </c>
      <c r="I5421">
        <v>77.509100000000004</v>
      </c>
      <c r="J5421">
        <v>64.172300000000007</v>
      </c>
      <c r="K5421">
        <v>3684.2327</v>
      </c>
      <c r="L5421">
        <v>54.445300000000003</v>
      </c>
      <c r="M5421">
        <v>11.523099999999999</v>
      </c>
      <c r="N5421">
        <v>316.97160000000002</v>
      </c>
      <c r="O5421">
        <v>17.081099999999999</v>
      </c>
      <c r="P5421">
        <v>9.5915999999999997</v>
      </c>
    </row>
    <row r="5422" spans="1:16">
      <c r="A5422" s="1" t="s">
        <v>5317</v>
      </c>
      <c r="B5422" s="1" t="s">
        <v>5353</v>
      </c>
      <c r="C5422" s="1" t="s">
        <v>1764</v>
      </c>
      <c r="D5422" s="1" t="s">
        <v>44</v>
      </c>
      <c r="E5422" s="1" t="s">
        <v>5322</v>
      </c>
      <c r="F5422">
        <v>2876.1723000000002</v>
      </c>
      <c r="G5422">
        <v>5994.6837999999998</v>
      </c>
      <c r="H5422">
        <v>2616.9376999999999</v>
      </c>
      <c r="I5422">
        <v>125.3282</v>
      </c>
      <c r="J5422">
        <v>70.327799999999996</v>
      </c>
      <c r="K5422">
        <v>2649.3908999999999</v>
      </c>
      <c r="L5422">
        <v>35.308500000000002</v>
      </c>
      <c r="M5422">
        <v>14.0936</v>
      </c>
      <c r="N5422">
        <v>283.81470000000002</v>
      </c>
      <c r="O5422">
        <v>15.1371</v>
      </c>
      <c r="P5422">
        <v>9.1865000000000006</v>
      </c>
    </row>
    <row r="5423" spans="1:16">
      <c r="A5423" s="1" t="s">
        <v>5317</v>
      </c>
      <c r="B5423" s="1" t="s">
        <v>5354</v>
      </c>
      <c r="C5423" s="1" t="s">
        <v>1764</v>
      </c>
      <c r="D5423" s="1" t="s">
        <v>44</v>
      </c>
      <c r="E5423" s="1" t="s">
        <v>5322</v>
      </c>
      <c r="F5423">
        <v>4857.2596999999996</v>
      </c>
      <c r="G5423">
        <v>7798.8236999999999</v>
      </c>
      <c r="H5423">
        <v>2705.4110000000001</v>
      </c>
      <c r="I5423">
        <v>99.468000000000004</v>
      </c>
      <c r="J5423">
        <v>177.8065</v>
      </c>
      <c r="K5423">
        <v>4158.82</v>
      </c>
      <c r="L5423">
        <v>64.691699999999997</v>
      </c>
      <c r="M5423">
        <v>12.3752</v>
      </c>
      <c r="N5423">
        <v>360.96370000000002</v>
      </c>
      <c r="O5423">
        <v>18.360700000000001</v>
      </c>
      <c r="P5423">
        <v>10.5091</v>
      </c>
    </row>
    <row r="5424" spans="1:16">
      <c r="A5424" s="1" t="s">
        <v>5317</v>
      </c>
      <c r="B5424" s="1" t="s">
        <v>5355</v>
      </c>
      <c r="C5424" s="1" t="s">
        <v>1764</v>
      </c>
      <c r="D5424" s="1" t="s">
        <v>44</v>
      </c>
      <c r="E5424" s="1" t="s">
        <v>5322</v>
      </c>
      <c r="F5424">
        <v>3686.5610999999999</v>
      </c>
      <c r="G5424">
        <v>7464.6990999999998</v>
      </c>
      <c r="H5424">
        <v>2403.0169000000001</v>
      </c>
      <c r="I5424">
        <v>76.050200000000004</v>
      </c>
      <c r="J5424">
        <v>203.77619999999999</v>
      </c>
      <c r="K5424">
        <v>3212.1617000000001</v>
      </c>
      <c r="L5424">
        <v>47.877200000000002</v>
      </c>
      <c r="M5424">
        <v>11.6776</v>
      </c>
      <c r="N5424">
        <v>391.96249999999998</v>
      </c>
      <c r="O5424">
        <v>17.742999999999999</v>
      </c>
      <c r="P5424">
        <v>10.166399999999999</v>
      </c>
    </row>
    <row r="5425" spans="1:16">
      <c r="A5425" s="1" t="s">
        <v>5317</v>
      </c>
      <c r="B5425" s="1" t="s">
        <v>5356</v>
      </c>
      <c r="C5425" s="1" t="s">
        <v>1764</v>
      </c>
      <c r="D5425" s="1" t="s">
        <v>44</v>
      </c>
      <c r="E5425" s="1" t="s">
        <v>5322</v>
      </c>
      <c r="F5425">
        <v>2919.8400999999999</v>
      </c>
      <c r="G5425">
        <v>4254.2830000000004</v>
      </c>
      <c r="H5425">
        <v>1278.3662999999999</v>
      </c>
      <c r="I5425">
        <v>54.271900000000002</v>
      </c>
      <c r="J5425">
        <v>251.49700000000001</v>
      </c>
      <c r="K5425">
        <v>1692.2293999999999</v>
      </c>
      <c r="L5425">
        <v>24.492899999999999</v>
      </c>
      <c r="M5425">
        <v>7.3304999999999998</v>
      </c>
      <c r="N5425">
        <v>329.70769999999999</v>
      </c>
      <c r="O5425">
        <v>16.139199999999999</v>
      </c>
      <c r="P5425">
        <v>6.8705999999999996</v>
      </c>
    </row>
    <row r="5426" spans="1:16">
      <c r="A5426" s="1" t="s">
        <v>5317</v>
      </c>
      <c r="B5426" s="1" t="s">
        <v>5357</v>
      </c>
      <c r="C5426" s="1" t="s">
        <v>1764</v>
      </c>
      <c r="D5426" s="1" t="s">
        <v>44</v>
      </c>
      <c r="E5426" s="1" t="s">
        <v>5322</v>
      </c>
      <c r="F5426">
        <v>4959.4134000000004</v>
      </c>
      <c r="G5426">
        <v>9493.3086999999996</v>
      </c>
      <c r="H5426">
        <v>2980.1745999999998</v>
      </c>
      <c r="I5426">
        <v>130.5805</v>
      </c>
      <c r="J5426">
        <v>52.3795</v>
      </c>
      <c r="K5426">
        <v>4341.5077000000001</v>
      </c>
      <c r="L5426">
        <v>65.649600000000007</v>
      </c>
      <c r="M5426">
        <v>18.2347</v>
      </c>
      <c r="N5426">
        <v>587.14419999999996</v>
      </c>
      <c r="O5426">
        <v>18.315000000000001</v>
      </c>
      <c r="P5426">
        <v>11.863300000000001</v>
      </c>
    </row>
    <row r="5427" spans="1:16">
      <c r="A5427" s="1" t="s">
        <v>5317</v>
      </c>
      <c r="B5427" s="1" t="s">
        <v>5358</v>
      </c>
      <c r="C5427" s="1" t="s">
        <v>1764</v>
      </c>
      <c r="D5427" s="1" t="s">
        <v>44</v>
      </c>
      <c r="E5427" s="1" t="s">
        <v>5322</v>
      </c>
      <c r="F5427">
        <v>4272.2374</v>
      </c>
      <c r="G5427">
        <v>8269.2837</v>
      </c>
      <c r="H5427">
        <v>2585.6722</v>
      </c>
      <c r="I5427">
        <v>81.051699999999997</v>
      </c>
      <c r="J5427">
        <v>637.80909999999994</v>
      </c>
      <c r="K5427">
        <v>3574.7253000000001</v>
      </c>
      <c r="L5427">
        <v>45.060600000000001</v>
      </c>
      <c r="M5427">
        <v>17.829599999999999</v>
      </c>
      <c r="N5427">
        <v>451.73009999999999</v>
      </c>
      <c r="O5427">
        <v>18.560500000000001</v>
      </c>
      <c r="P5427">
        <v>10.8184</v>
      </c>
    </row>
    <row r="5428" spans="1:16">
      <c r="A5428" s="1" t="s">
        <v>5317</v>
      </c>
      <c r="B5428" s="1" t="s">
        <v>5359</v>
      </c>
      <c r="C5428" s="1" t="s">
        <v>1764</v>
      </c>
      <c r="D5428" s="1" t="s">
        <v>44</v>
      </c>
      <c r="E5428" s="1" t="s">
        <v>5322</v>
      </c>
      <c r="F5428">
        <v>5383.1995999999999</v>
      </c>
      <c r="G5428">
        <v>10187.857400000001</v>
      </c>
      <c r="H5428">
        <v>2750.9861999999998</v>
      </c>
      <c r="I5428">
        <v>82.374200000000002</v>
      </c>
      <c r="J5428">
        <v>497.24990000000003</v>
      </c>
      <c r="K5428">
        <v>3932.5059999999999</v>
      </c>
      <c r="L5428">
        <v>64.355199999999996</v>
      </c>
      <c r="M5428">
        <v>17.09</v>
      </c>
      <c r="N5428">
        <v>1170.4981</v>
      </c>
      <c r="O5428">
        <v>17.286300000000001</v>
      </c>
      <c r="P5428">
        <v>11.7933</v>
      </c>
    </row>
    <row r="5429" spans="1:16">
      <c r="A5429" s="1" t="s">
        <v>5317</v>
      </c>
      <c r="B5429" s="1" t="s">
        <v>5360</v>
      </c>
      <c r="C5429" s="1" t="s">
        <v>1764</v>
      </c>
      <c r="D5429" s="1" t="s">
        <v>44</v>
      </c>
      <c r="E5429" s="1" t="s">
        <v>5322</v>
      </c>
      <c r="F5429">
        <v>3469.3589000000002</v>
      </c>
      <c r="G5429">
        <v>6738.3356999999996</v>
      </c>
      <c r="H5429">
        <v>2274.5137</v>
      </c>
      <c r="I5429">
        <v>33.476300000000002</v>
      </c>
      <c r="J5429">
        <v>3.0278999999999998</v>
      </c>
      <c r="K5429">
        <v>1995.9919</v>
      </c>
      <c r="L5429">
        <v>30.5304</v>
      </c>
      <c r="M5429">
        <v>16.770399999999999</v>
      </c>
      <c r="N5429">
        <v>421.33159999999998</v>
      </c>
      <c r="O5429">
        <v>17.075299999999999</v>
      </c>
      <c r="P5429">
        <v>8.7864000000000004</v>
      </c>
    </row>
    <row r="5430" spans="1:16">
      <c r="A5430" s="1" t="s">
        <v>5317</v>
      </c>
      <c r="B5430" s="1" t="s">
        <v>5361</v>
      </c>
      <c r="C5430" s="1" t="s">
        <v>1764</v>
      </c>
      <c r="D5430" s="1" t="s">
        <v>44</v>
      </c>
      <c r="E5430" s="1" t="s">
        <v>5322</v>
      </c>
      <c r="F5430">
        <v>2698.3116</v>
      </c>
      <c r="G5430">
        <v>5477.1692999999996</v>
      </c>
      <c r="H5430">
        <v>2323.5698000000002</v>
      </c>
      <c r="I5430">
        <v>100.2826</v>
      </c>
      <c r="J5430">
        <v>10.419600000000001</v>
      </c>
      <c r="K5430">
        <v>2383.5259000000001</v>
      </c>
      <c r="L5430">
        <v>42.635899999999999</v>
      </c>
      <c r="M5430">
        <v>13.632300000000001</v>
      </c>
      <c r="N5430">
        <v>277.00529999999998</v>
      </c>
      <c r="O5430">
        <v>15.045999999999999</v>
      </c>
      <c r="P5430">
        <v>8.9336000000000002</v>
      </c>
    </row>
    <row r="5431" spans="1:16">
      <c r="A5431" s="1" t="s">
        <v>5317</v>
      </c>
      <c r="B5431" s="1" t="s">
        <v>5362</v>
      </c>
      <c r="C5431" s="1" t="s">
        <v>1764</v>
      </c>
      <c r="D5431" s="1" t="s">
        <v>44</v>
      </c>
      <c r="E5431" s="1" t="s">
        <v>5322</v>
      </c>
      <c r="F5431">
        <v>3710.5531000000001</v>
      </c>
      <c r="G5431">
        <v>6300.5378000000001</v>
      </c>
      <c r="H5431">
        <v>918.30790000000002</v>
      </c>
      <c r="I5431">
        <v>35.2819</v>
      </c>
      <c r="J5431">
        <v>4477.9516999999996</v>
      </c>
      <c r="K5431">
        <v>2202.8789999999999</v>
      </c>
      <c r="L5431">
        <v>32.501399999999997</v>
      </c>
      <c r="M5431">
        <v>7.9850000000000003</v>
      </c>
      <c r="N5431">
        <v>382.3646</v>
      </c>
      <c r="O5431">
        <v>18.706900000000001</v>
      </c>
      <c r="P5431">
        <v>9.4605999999999995</v>
      </c>
    </row>
    <row r="5432" spans="1:16">
      <c r="A5432" s="1" t="s">
        <v>5317</v>
      </c>
      <c r="B5432" s="1" t="s">
        <v>5363</v>
      </c>
      <c r="C5432" s="1" t="s">
        <v>1764</v>
      </c>
      <c r="D5432" s="1" t="s">
        <v>44</v>
      </c>
      <c r="E5432" s="1" t="s">
        <v>5322</v>
      </c>
      <c r="F5432">
        <v>3707.2159999999999</v>
      </c>
      <c r="G5432">
        <v>6027.2021999999997</v>
      </c>
      <c r="H5432">
        <v>837.44970000000001</v>
      </c>
      <c r="I5432">
        <v>19.194500000000001</v>
      </c>
      <c r="J5432">
        <v>4.0431999999999997</v>
      </c>
      <c r="K5432">
        <v>1924.4734000000001</v>
      </c>
      <c r="L5432">
        <v>27.964400000000001</v>
      </c>
      <c r="M5432">
        <v>7.4028999999999998</v>
      </c>
      <c r="N5432">
        <v>372.83580000000001</v>
      </c>
      <c r="O5432">
        <v>16.520800000000001</v>
      </c>
      <c r="P5432">
        <v>9.0647000000000002</v>
      </c>
    </row>
    <row r="5433" spans="1:16">
      <c r="A5433" s="1" t="s">
        <v>5317</v>
      </c>
      <c r="B5433" s="1" t="s">
        <v>5364</v>
      </c>
      <c r="C5433" s="1" t="s">
        <v>1764</v>
      </c>
      <c r="D5433" s="1" t="s">
        <v>44</v>
      </c>
      <c r="E5433" s="1" t="s">
        <v>5322</v>
      </c>
      <c r="F5433">
        <v>3028.2655</v>
      </c>
      <c r="G5433">
        <v>5599.7879000000003</v>
      </c>
      <c r="H5433">
        <v>885.24980000000005</v>
      </c>
      <c r="I5433">
        <v>21.709499999999998</v>
      </c>
      <c r="J5433">
        <v>10.828799999999999</v>
      </c>
      <c r="K5433">
        <v>1816.2127</v>
      </c>
      <c r="L5433">
        <v>28.5305</v>
      </c>
      <c r="M5433">
        <v>7.1169000000000002</v>
      </c>
      <c r="N5433">
        <v>359.24599999999998</v>
      </c>
      <c r="O5433">
        <v>17.864100000000001</v>
      </c>
      <c r="P5433">
        <v>9.6103000000000005</v>
      </c>
    </row>
    <row r="5434" spans="1:16">
      <c r="A5434" s="1" t="s">
        <v>5317</v>
      </c>
      <c r="B5434" s="1" t="s">
        <v>5365</v>
      </c>
      <c r="C5434" s="1" t="s">
        <v>1764</v>
      </c>
      <c r="D5434" s="1" t="s">
        <v>44</v>
      </c>
      <c r="E5434" s="1" t="s">
        <v>5322</v>
      </c>
      <c r="F5434">
        <v>4957.1144999999997</v>
      </c>
      <c r="G5434">
        <v>6030.8279000000002</v>
      </c>
      <c r="H5434">
        <v>913.15</v>
      </c>
      <c r="I5434">
        <v>20.7742</v>
      </c>
      <c r="J5434">
        <v>15.968400000000001</v>
      </c>
      <c r="K5434">
        <v>2402.4364</v>
      </c>
      <c r="L5434">
        <v>35.398499999999999</v>
      </c>
      <c r="M5434">
        <v>7.1468999999999996</v>
      </c>
      <c r="N5434">
        <v>345.8297</v>
      </c>
      <c r="O5434">
        <v>16.959299999999999</v>
      </c>
      <c r="P5434">
        <v>8.8722999999999992</v>
      </c>
    </row>
    <row r="5435" spans="1:16">
      <c r="A5435" s="1" t="s">
        <v>5317</v>
      </c>
      <c r="B5435" s="1" t="s">
        <v>5366</v>
      </c>
      <c r="C5435" s="1" t="s">
        <v>1764</v>
      </c>
      <c r="D5435" s="1" t="s">
        <v>44</v>
      </c>
      <c r="E5435" s="1" t="s">
        <v>5322</v>
      </c>
      <c r="F5435">
        <v>5077.1381000000001</v>
      </c>
      <c r="G5435">
        <v>6593.1259</v>
      </c>
      <c r="H5435">
        <v>848.07180000000005</v>
      </c>
      <c r="I5435">
        <v>28.719799999999999</v>
      </c>
      <c r="J5435">
        <v>4.4179000000000004</v>
      </c>
      <c r="K5435">
        <v>1170.9564</v>
      </c>
      <c r="L5435">
        <v>10.977399999999999</v>
      </c>
      <c r="M5435">
        <v>6.5833000000000004</v>
      </c>
      <c r="N5435">
        <v>352.41079999999999</v>
      </c>
      <c r="O5435">
        <v>13.992900000000001</v>
      </c>
      <c r="P5435">
        <v>8.4952000000000005</v>
      </c>
    </row>
    <row r="5436" spans="1:16">
      <c r="A5436" s="1" t="s">
        <v>5317</v>
      </c>
      <c r="B5436" s="1" t="s">
        <v>5367</v>
      </c>
      <c r="C5436" s="1" t="s">
        <v>1764</v>
      </c>
      <c r="D5436" s="1" t="s">
        <v>44</v>
      </c>
      <c r="E5436" s="1" t="s">
        <v>5322</v>
      </c>
      <c r="F5436">
        <v>4235.5555999999997</v>
      </c>
      <c r="G5436">
        <v>6872.5576000000001</v>
      </c>
      <c r="H5436">
        <v>7159.5198</v>
      </c>
      <c r="I5436">
        <v>128.71879999999999</v>
      </c>
      <c r="J5436">
        <v>57.956600000000002</v>
      </c>
      <c r="K5436">
        <v>3917.5131999999999</v>
      </c>
      <c r="L5436">
        <v>12.709</v>
      </c>
      <c r="M5436">
        <v>16.169</v>
      </c>
      <c r="N5436">
        <v>363.66430000000003</v>
      </c>
      <c r="O5436">
        <v>13.070499999999999</v>
      </c>
      <c r="P5436">
        <v>8.1951000000000001</v>
      </c>
    </row>
    <row r="5437" spans="1:16">
      <c r="A5437" s="1" t="s">
        <v>5317</v>
      </c>
      <c r="B5437" s="1" t="s">
        <v>5368</v>
      </c>
      <c r="C5437" s="1" t="s">
        <v>1764</v>
      </c>
      <c r="D5437" s="1" t="s">
        <v>44</v>
      </c>
      <c r="E5437" s="1" t="s">
        <v>5322</v>
      </c>
      <c r="F5437">
        <v>3985.7339999999999</v>
      </c>
      <c r="G5437">
        <v>7273.5891000000001</v>
      </c>
      <c r="H5437">
        <v>7638.1067000000003</v>
      </c>
      <c r="I5437">
        <v>143.38759999999999</v>
      </c>
      <c r="J5437">
        <v>215.95699999999999</v>
      </c>
      <c r="K5437">
        <v>4034.1051000000002</v>
      </c>
      <c r="L5437">
        <v>23.351199999999999</v>
      </c>
      <c r="M5437">
        <v>20.514700000000001</v>
      </c>
      <c r="N5437">
        <v>521.55229999999995</v>
      </c>
      <c r="O5437">
        <v>14.548</v>
      </c>
      <c r="P5437">
        <v>9.2624999999999993</v>
      </c>
    </row>
    <row r="5438" spans="1:16">
      <c r="A5438" s="1" t="s">
        <v>5317</v>
      </c>
      <c r="B5438" s="1" t="s">
        <v>5369</v>
      </c>
      <c r="C5438" s="1" t="s">
        <v>1764</v>
      </c>
      <c r="D5438" s="1" t="s">
        <v>44</v>
      </c>
      <c r="E5438" s="1" t="s">
        <v>5322</v>
      </c>
      <c r="F5438">
        <v>6197.0499</v>
      </c>
      <c r="G5438">
        <v>6615.8029999999999</v>
      </c>
      <c r="H5438">
        <v>6508.7592999999997</v>
      </c>
      <c r="I5438">
        <v>138.14080000000001</v>
      </c>
      <c r="J5438">
        <v>21.876799999999999</v>
      </c>
      <c r="K5438">
        <v>4223.8882000000003</v>
      </c>
      <c r="L5438">
        <v>54.556699999999999</v>
      </c>
      <c r="M5438">
        <v>10.3668</v>
      </c>
      <c r="N5438">
        <v>304.52609999999999</v>
      </c>
      <c r="O5438">
        <v>13.100199999999999</v>
      </c>
      <c r="P5438">
        <v>8.3111999999999995</v>
      </c>
    </row>
    <row r="5439" spans="1:16">
      <c r="A5439" s="1" t="s">
        <v>5317</v>
      </c>
      <c r="B5439" s="1" t="s">
        <v>5370</v>
      </c>
      <c r="C5439" s="1" t="s">
        <v>1764</v>
      </c>
      <c r="D5439" s="1" t="s">
        <v>44</v>
      </c>
      <c r="E5439" s="1" t="s">
        <v>5322</v>
      </c>
      <c r="F5439">
        <v>6261.4682000000003</v>
      </c>
      <c r="G5439">
        <v>8792.8655999999992</v>
      </c>
      <c r="H5439">
        <v>6357.2002000000002</v>
      </c>
      <c r="I5439">
        <v>89.421000000000006</v>
      </c>
      <c r="J5439">
        <v>1.4198999999999999</v>
      </c>
      <c r="K5439">
        <v>4687.2182000000003</v>
      </c>
      <c r="L5439">
        <v>60.519199999999998</v>
      </c>
      <c r="M5439">
        <v>25.103899999999999</v>
      </c>
      <c r="N5439">
        <v>611.46119999999996</v>
      </c>
      <c r="O5439">
        <v>15.879200000000001</v>
      </c>
      <c r="P5439">
        <v>11.189299999999999</v>
      </c>
    </row>
    <row r="5440" spans="1:16">
      <c r="A5440" s="1" t="s">
        <v>5317</v>
      </c>
      <c r="B5440" s="1" t="s">
        <v>5371</v>
      </c>
      <c r="C5440" s="1" t="s">
        <v>1764</v>
      </c>
      <c r="D5440" s="1" t="s">
        <v>44</v>
      </c>
      <c r="E5440" s="1" t="s">
        <v>5322</v>
      </c>
      <c r="F5440">
        <v>4920.2322999999997</v>
      </c>
      <c r="G5440">
        <v>7202.3149000000003</v>
      </c>
      <c r="H5440">
        <v>7456.9411</v>
      </c>
      <c r="I5440">
        <v>142.72630000000001</v>
      </c>
      <c r="J5440">
        <v>15.201599999999999</v>
      </c>
      <c r="K5440">
        <v>4719.5294999999996</v>
      </c>
      <c r="L5440">
        <v>32.943300000000001</v>
      </c>
      <c r="M5440">
        <v>15.6686</v>
      </c>
      <c r="N5440">
        <v>356.33120000000002</v>
      </c>
      <c r="O5440">
        <v>13.3201</v>
      </c>
      <c r="P5440">
        <v>11.3712</v>
      </c>
    </row>
    <row r="5441" spans="1:16">
      <c r="A5441" s="1" t="s">
        <v>5317</v>
      </c>
      <c r="B5441" s="1" t="s">
        <v>5372</v>
      </c>
      <c r="C5441" s="1" t="s">
        <v>1764</v>
      </c>
      <c r="D5441" s="1" t="s">
        <v>44</v>
      </c>
      <c r="E5441" s="1" t="s">
        <v>5322</v>
      </c>
      <c r="F5441">
        <v>10821.1134</v>
      </c>
      <c r="G5441">
        <v>18621.8092</v>
      </c>
      <c r="H5441">
        <v>359.26690000000002</v>
      </c>
      <c r="I5441">
        <v>114.3244</v>
      </c>
      <c r="J5441">
        <v>7.7804000000000002</v>
      </c>
      <c r="K5441">
        <v>16376.6517</v>
      </c>
      <c r="L5441">
        <v>95.151799999999994</v>
      </c>
      <c r="M5441">
        <v>3.677</v>
      </c>
      <c r="N5441">
        <v>3415.4801000000002</v>
      </c>
      <c r="O5441">
        <v>3.6806000000000001</v>
      </c>
      <c r="P5441">
        <v>18.8596</v>
      </c>
    </row>
    <row r="5442" spans="1:16">
      <c r="A5442" s="1" t="s">
        <v>5317</v>
      </c>
      <c r="B5442" s="1" t="s">
        <v>5373</v>
      </c>
      <c r="C5442" s="1" t="s">
        <v>1764</v>
      </c>
      <c r="D5442" s="1" t="s">
        <v>44</v>
      </c>
      <c r="E5442" s="1" t="s">
        <v>5322</v>
      </c>
      <c r="F5442">
        <v>10162.900600000001</v>
      </c>
      <c r="G5442">
        <v>16804.154200000001</v>
      </c>
      <c r="H5442">
        <v>289.27339999999998</v>
      </c>
      <c r="I5442">
        <v>92.166399999999996</v>
      </c>
      <c r="J5442">
        <v>10.0939</v>
      </c>
      <c r="K5442">
        <v>11395.5394</v>
      </c>
      <c r="L5442">
        <v>55.031199999999998</v>
      </c>
      <c r="M5442">
        <v>2.5749</v>
      </c>
      <c r="N5442">
        <v>3186.5873999999999</v>
      </c>
      <c r="O5442">
        <v>3.7490000000000001</v>
      </c>
      <c r="P5442">
        <v>20.528199999999998</v>
      </c>
    </row>
    <row r="5443" spans="1:16">
      <c r="A5443" s="1" t="s">
        <v>5317</v>
      </c>
      <c r="B5443" s="1" t="s">
        <v>5374</v>
      </c>
      <c r="C5443" s="1" t="s">
        <v>1764</v>
      </c>
      <c r="D5443" s="1" t="s">
        <v>44</v>
      </c>
      <c r="E5443" s="1" t="s">
        <v>5322</v>
      </c>
      <c r="F5443">
        <v>5097.3861999999999</v>
      </c>
      <c r="G5443">
        <v>8424.0108999999993</v>
      </c>
      <c r="H5443">
        <v>257.20429999999999</v>
      </c>
      <c r="I5443">
        <v>91.630899999999997</v>
      </c>
      <c r="J5443">
        <v>4.6264000000000003</v>
      </c>
      <c r="K5443">
        <v>4494.7611999999999</v>
      </c>
      <c r="L5443">
        <v>23.3752</v>
      </c>
      <c r="M5443">
        <v>1.8443000000000001</v>
      </c>
      <c r="N5443">
        <v>1554.8362</v>
      </c>
      <c r="O5443">
        <v>3.0495999999999999</v>
      </c>
      <c r="P5443">
        <v>13.1501</v>
      </c>
    </row>
    <row r="5444" spans="1:16">
      <c r="A5444" s="1" t="s">
        <v>5317</v>
      </c>
      <c r="B5444" s="1" t="s">
        <v>5375</v>
      </c>
      <c r="C5444" s="1" t="s">
        <v>1764</v>
      </c>
      <c r="D5444" s="1" t="s">
        <v>44</v>
      </c>
      <c r="E5444" s="1" t="s">
        <v>5322</v>
      </c>
      <c r="F5444">
        <v>4494.9552000000003</v>
      </c>
      <c r="G5444">
        <v>6479.2148999999999</v>
      </c>
      <c r="H5444">
        <v>339.36180000000002</v>
      </c>
      <c r="I5444">
        <v>87.3245</v>
      </c>
      <c r="J5444">
        <v>3.3534999999999999</v>
      </c>
      <c r="K5444">
        <v>8294.0038999999997</v>
      </c>
      <c r="L5444">
        <v>54.383400000000002</v>
      </c>
      <c r="M5444">
        <v>3.2776000000000001</v>
      </c>
      <c r="N5444">
        <v>901.94899999999996</v>
      </c>
      <c r="O5444">
        <v>2.7886000000000002</v>
      </c>
      <c r="P5444">
        <v>14.5458</v>
      </c>
    </row>
    <row r="5445" spans="1:16">
      <c r="A5445" s="1" t="s">
        <v>5317</v>
      </c>
      <c r="B5445" s="1" t="s">
        <v>5376</v>
      </c>
      <c r="C5445" s="1" t="s">
        <v>1764</v>
      </c>
      <c r="D5445" s="1" t="s">
        <v>44</v>
      </c>
      <c r="E5445" s="1" t="s">
        <v>5322</v>
      </c>
      <c r="F5445">
        <v>4139.2103999999999</v>
      </c>
      <c r="G5445">
        <v>6505.1851999999999</v>
      </c>
      <c r="H5445">
        <v>878.05119999999999</v>
      </c>
      <c r="I5445">
        <v>114.01560000000001</v>
      </c>
      <c r="J5445">
        <v>29.1312</v>
      </c>
      <c r="K5445">
        <v>3119.0781000000002</v>
      </c>
      <c r="L5445">
        <v>32.380099999999999</v>
      </c>
      <c r="M5445">
        <v>3.2970000000000002</v>
      </c>
      <c r="N5445">
        <v>796.89729999999997</v>
      </c>
      <c r="O5445">
        <v>2.0983000000000001</v>
      </c>
      <c r="P5445">
        <v>8.8125999999999998</v>
      </c>
    </row>
    <row r="5446" spans="1:16">
      <c r="A5446" s="1" t="s">
        <v>5317</v>
      </c>
      <c r="B5446" s="1" t="s">
        <v>5377</v>
      </c>
      <c r="C5446" s="1" t="s">
        <v>1764</v>
      </c>
      <c r="D5446" s="1" t="s">
        <v>44</v>
      </c>
      <c r="E5446" s="1" t="s">
        <v>5322</v>
      </c>
      <c r="F5446">
        <v>3365.7165</v>
      </c>
      <c r="G5446">
        <v>3857.4967999999999</v>
      </c>
      <c r="H5446">
        <v>789.74720000000002</v>
      </c>
      <c r="I5446">
        <v>109.32550000000001</v>
      </c>
      <c r="J5446">
        <v>80.141999999999996</v>
      </c>
      <c r="K5446">
        <v>2292.5612000000001</v>
      </c>
      <c r="L5446">
        <v>34.760199999999998</v>
      </c>
      <c r="M5446">
        <v>2.9117999999999999</v>
      </c>
      <c r="N5446">
        <v>526.38520000000005</v>
      </c>
      <c r="O5446">
        <v>1.2253000000000001</v>
      </c>
      <c r="P5446">
        <v>8.3483000000000001</v>
      </c>
    </row>
    <row r="5447" spans="1:16">
      <c r="A5447" s="1" t="s">
        <v>5317</v>
      </c>
      <c r="B5447" s="1" t="s">
        <v>5378</v>
      </c>
      <c r="C5447" s="1" t="s">
        <v>1764</v>
      </c>
      <c r="D5447" s="1" t="s">
        <v>44</v>
      </c>
      <c r="E5447" s="1" t="s">
        <v>5322</v>
      </c>
      <c r="F5447">
        <v>2984.8357000000001</v>
      </c>
      <c r="G5447">
        <v>3988.2483000000002</v>
      </c>
      <c r="H5447">
        <v>1188.0676000000001</v>
      </c>
      <c r="I5447">
        <v>122.0365</v>
      </c>
      <c r="J5447">
        <v>124.6502</v>
      </c>
      <c r="K5447">
        <v>2637.6385</v>
      </c>
      <c r="L5447">
        <v>30.0169</v>
      </c>
      <c r="M5447">
        <v>4.5220000000000002</v>
      </c>
      <c r="N5447">
        <v>403.64260000000002</v>
      </c>
      <c r="O5447">
        <v>1.6477999999999999</v>
      </c>
      <c r="P5447">
        <v>8.9004999999999992</v>
      </c>
    </row>
    <row r="5448" spans="1:16">
      <c r="A5448" s="1" t="s">
        <v>5317</v>
      </c>
      <c r="B5448" s="1" t="s">
        <v>5379</v>
      </c>
      <c r="C5448" s="1" t="s">
        <v>1764</v>
      </c>
      <c r="D5448" s="1" t="s">
        <v>44</v>
      </c>
      <c r="E5448" s="1" t="s">
        <v>5322</v>
      </c>
      <c r="F5448">
        <v>9853.9035999999996</v>
      </c>
      <c r="G5448">
        <v>10370.233</v>
      </c>
      <c r="H5448">
        <v>724.89459999999997</v>
      </c>
      <c r="I5448">
        <v>109.33580000000001</v>
      </c>
      <c r="J5448">
        <v>86.937399999999997</v>
      </c>
      <c r="K5448">
        <v>5205.54</v>
      </c>
      <c r="L5448">
        <v>44.904299999999999</v>
      </c>
      <c r="M5448">
        <v>2.8123</v>
      </c>
      <c r="N5448">
        <v>828.80640000000005</v>
      </c>
      <c r="O5448">
        <v>2.8902999999999999</v>
      </c>
      <c r="P5448">
        <v>11.588900000000001</v>
      </c>
    </row>
    <row r="5449" spans="1:16">
      <c r="A5449" s="1" t="s">
        <v>5317</v>
      </c>
      <c r="B5449" s="1" t="s">
        <v>5380</v>
      </c>
      <c r="C5449" s="1" t="s">
        <v>1764</v>
      </c>
      <c r="D5449" s="1" t="s">
        <v>44</v>
      </c>
      <c r="E5449" s="1" t="s">
        <v>5322</v>
      </c>
      <c r="F5449">
        <v>4364.1565000000001</v>
      </c>
      <c r="G5449">
        <v>8088.0695999999998</v>
      </c>
      <c r="H5449">
        <v>1014.8695</v>
      </c>
      <c r="I5449">
        <v>117.2722</v>
      </c>
      <c r="J5449">
        <v>3993.8706000000002</v>
      </c>
      <c r="K5449">
        <v>5337.4566000000004</v>
      </c>
      <c r="L5449">
        <v>30.624600000000001</v>
      </c>
      <c r="M5449">
        <v>4.1444999999999999</v>
      </c>
      <c r="N5449">
        <v>675.22900000000004</v>
      </c>
      <c r="O5449">
        <v>2.7275</v>
      </c>
      <c r="P5449">
        <v>11.0746</v>
      </c>
    </row>
    <row r="5450" spans="1:16">
      <c r="A5450" s="1" t="s">
        <v>5317</v>
      </c>
      <c r="B5450" s="1" t="s">
        <v>5381</v>
      </c>
      <c r="C5450" s="1" t="s">
        <v>1764</v>
      </c>
      <c r="D5450" s="1" t="s">
        <v>44</v>
      </c>
      <c r="E5450" s="1" t="s">
        <v>5322</v>
      </c>
      <c r="F5450">
        <v>4999.7327999999998</v>
      </c>
      <c r="G5450">
        <v>7816.8086000000003</v>
      </c>
      <c r="H5450">
        <v>232.0899</v>
      </c>
      <c r="I5450">
        <v>90.743300000000005</v>
      </c>
      <c r="J5450">
        <v>6.0403000000000002</v>
      </c>
      <c r="K5450">
        <v>7104.1854999999996</v>
      </c>
      <c r="L5450">
        <v>23.031400000000001</v>
      </c>
      <c r="M5450">
        <v>1.5579000000000001</v>
      </c>
      <c r="N5450">
        <v>1005.4181</v>
      </c>
      <c r="O5450">
        <v>3.3576999999999999</v>
      </c>
      <c r="P5450">
        <v>14.4641</v>
      </c>
    </row>
    <row r="5451" spans="1:16">
      <c r="A5451" s="1" t="s">
        <v>5317</v>
      </c>
      <c r="B5451" s="1" t="s">
        <v>5382</v>
      </c>
      <c r="C5451" s="1" t="s">
        <v>1764</v>
      </c>
      <c r="D5451" s="1" t="s">
        <v>44</v>
      </c>
      <c r="E5451" s="1" t="s">
        <v>5322</v>
      </c>
      <c r="F5451">
        <v>4090.3717999999999</v>
      </c>
      <c r="G5451">
        <v>11328.841</v>
      </c>
      <c r="H5451">
        <v>218.43960000000001</v>
      </c>
      <c r="I5451">
        <v>85.516999999999996</v>
      </c>
      <c r="J5451">
        <v>11.2921</v>
      </c>
      <c r="K5451">
        <v>4058.4868999999999</v>
      </c>
      <c r="L5451">
        <v>23.386500000000002</v>
      </c>
      <c r="M5451">
        <v>1.5521</v>
      </c>
      <c r="N5451">
        <v>2589.0061999999998</v>
      </c>
      <c r="O5451">
        <v>3.0387</v>
      </c>
      <c r="P5451">
        <v>12.4939</v>
      </c>
    </row>
    <row r="5452" spans="1:16">
      <c r="A5452" s="1" t="s">
        <v>5317</v>
      </c>
      <c r="B5452" s="1" t="s">
        <v>5383</v>
      </c>
      <c r="C5452" s="1" t="s">
        <v>1764</v>
      </c>
      <c r="D5452" s="1" t="s">
        <v>44</v>
      </c>
      <c r="E5452" s="1" t="s">
        <v>5322</v>
      </c>
      <c r="F5452">
        <v>7537.5843999999997</v>
      </c>
      <c r="G5452">
        <v>14584.0218</v>
      </c>
      <c r="H5452">
        <v>233.0214</v>
      </c>
      <c r="I5452">
        <v>92.381900000000002</v>
      </c>
      <c r="J5452">
        <v>4.1928000000000001</v>
      </c>
      <c r="K5452">
        <v>12213.5978</v>
      </c>
      <c r="L5452">
        <v>80.330100000000002</v>
      </c>
      <c r="M5452">
        <v>1.5503</v>
      </c>
      <c r="N5452">
        <v>3187.598</v>
      </c>
      <c r="O5452">
        <v>3.3382999999999998</v>
      </c>
      <c r="P5452">
        <v>11.956799999999999</v>
      </c>
    </row>
    <row r="5453" spans="1:16">
      <c r="A5453" s="1" t="s">
        <v>5317</v>
      </c>
      <c r="B5453" s="1" t="s">
        <v>5384</v>
      </c>
      <c r="C5453" s="1" t="s">
        <v>1764</v>
      </c>
      <c r="D5453" s="1" t="s">
        <v>44</v>
      </c>
      <c r="E5453" s="1" t="s">
        <v>5322</v>
      </c>
      <c r="F5453">
        <v>6592.1917999999996</v>
      </c>
      <c r="G5453">
        <v>12581.2628</v>
      </c>
      <c r="H5453">
        <v>236.46090000000001</v>
      </c>
      <c r="I5453">
        <v>80.363500000000002</v>
      </c>
      <c r="J5453">
        <v>25.543399999999998</v>
      </c>
      <c r="K5453">
        <v>9518.8706000000002</v>
      </c>
      <c r="L5453">
        <v>45.590800000000002</v>
      </c>
      <c r="M5453">
        <v>1.5565</v>
      </c>
      <c r="N5453">
        <v>2870.7872000000002</v>
      </c>
      <c r="O5453">
        <v>3.2786</v>
      </c>
      <c r="P5453">
        <v>13.1401</v>
      </c>
    </row>
    <row r="5454" spans="1:16">
      <c r="A5454" s="1" t="s">
        <v>5317</v>
      </c>
      <c r="B5454" s="1" t="s">
        <v>5385</v>
      </c>
      <c r="C5454" s="1" t="s">
        <v>1764</v>
      </c>
      <c r="D5454" s="1" t="s">
        <v>44</v>
      </c>
      <c r="E5454" s="1" t="s">
        <v>5322</v>
      </c>
      <c r="F5454">
        <v>5358.7097000000003</v>
      </c>
      <c r="G5454">
        <v>10864.845300000001</v>
      </c>
      <c r="H5454">
        <v>217.6224</v>
      </c>
      <c r="I5454">
        <v>69.959599999999995</v>
      </c>
      <c r="J5454">
        <v>2.5863</v>
      </c>
      <c r="K5454">
        <v>8620.74</v>
      </c>
      <c r="L5454">
        <v>45.5764</v>
      </c>
      <c r="M5454">
        <v>1.0871</v>
      </c>
      <c r="N5454">
        <v>2423.1511999999998</v>
      </c>
      <c r="O5454">
        <v>3.0543999999999998</v>
      </c>
      <c r="P5454">
        <v>11.202999999999999</v>
      </c>
    </row>
    <row r="5455" spans="1:16">
      <c r="A5455" s="1" t="s">
        <v>5317</v>
      </c>
      <c r="B5455" s="1" t="s">
        <v>5386</v>
      </c>
      <c r="C5455" s="1" t="s">
        <v>1764</v>
      </c>
      <c r="D5455" s="1" t="s">
        <v>44</v>
      </c>
      <c r="E5455" s="1" t="s">
        <v>5322</v>
      </c>
      <c r="F5455">
        <v>7740.4602999999997</v>
      </c>
      <c r="G5455">
        <v>14770.594999999999</v>
      </c>
      <c r="H5455">
        <v>283.55970000000002</v>
      </c>
      <c r="I5455">
        <v>92.7316</v>
      </c>
      <c r="J5455">
        <v>28.604800000000001</v>
      </c>
      <c r="K5455">
        <v>14149.1747</v>
      </c>
      <c r="L5455">
        <v>88.981300000000005</v>
      </c>
      <c r="M5455">
        <v>1.5441</v>
      </c>
      <c r="N5455">
        <v>3488.0093999999999</v>
      </c>
      <c r="O5455">
        <v>3.0192999999999999</v>
      </c>
      <c r="P5455">
        <v>14.391</v>
      </c>
    </row>
    <row r="5456" spans="1:16">
      <c r="A5456" s="1" t="s">
        <v>5317</v>
      </c>
      <c r="B5456" s="1" t="s">
        <v>5387</v>
      </c>
      <c r="C5456" s="1" t="s">
        <v>1764</v>
      </c>
      <c r="D5456" s="1" t="s">
        <v>44</v>
      </c>
      <c r="E5456" s="1" t="s">
        <v>5322</v>
      </c>
      <c r="F5456">
        <v>5213.6988000000001</v>
      </c>
      <c r="G5456">
        <v>8867.6316000000006</v>
      </c>
      <c r="H5456">
        <v>323.0573</v>
      </c>
      <c r="I5456">
        <v>89.122</v>
      </c>
      <c r="J5456">
        <v>5.6082000000000001</v>
      </c>
      <c r="K5456">
        <v>5240.7879000000003</v>
      </c>
      <c r="L5456">
        <v>46.052</v>
      </c>
      <c r="M5456">
        <v>2.1861999999999999</v>
      </c>
      <c r="N5456">
        <v>1837.9609</v>
      </c>
      <c r="O5456">
        <v>2.4586999999999999</v>
      </c>
      <c r="P5456">
        <v>11.682700000000001</v>
      </c>
    </row>
    <row r="5457" spans="1:16">
      <c r="A5457" s="1" t="s">
        <v>5317</v>
      </c>
      <c r="B5457" s="1" t="s">
        <v>5388</v>
      </c>
      <c r="C5457" s="1" t="s">
        <v>1764</v>
      </c>
      <c r="D5457" s="1" t="s">
        <v>44</v>
      </c>
      <c r="E5457" s="1" t="s">
        <v>5322</v>
      </c>
      <c r="F5457">
        <v>7113.6397999999999</v>
      </c>
      <c r="G5457">
        <v>11360.882600000001</v>
      </c>
      <c r="H5457">
        <v>475.78809999999999</v>
      </c>
      <c r="I5457">
        <v>104.7342</v>
      </c>
      <c r="J5457">
        <v>3.2993000000000001</v>
      </c>
      <c r="K5457">
        <v>8629.4668999999994</v>
      </c>
      <c r="L5457">
        <v>47.612200000000001</v>
      </c>
      <c r="M5457">
        <v>2.3224999999999998</v>
      </c>
      <c r="N5457">
        <v>1951.5581</v>
      </c>
      <c r="O5457">
        <v>2.9872999999999998</v>
      </c>
      <c r="P5457">
        <v>16.1083</v>
      </c>
    </row>
    <row r="5458" spans="1:16">
      <c r="A5458" s="1" t="s">
        <v>5317</v>
      </c>
      <c r="B5458" s="1" t="s">
        <v>5389</v>
      </c>
      <c r="C5458" s="1" t="s">
        <v>1764</v>
      </c>
      <c r="D5458" s="1" t="s">
        <v>44</v>
      </c>
      <c r="E5458" s="1" t="s">
        <v>5322</v>
      </c>
      <c r="F5458">
        <v>35098.800300000003</v>
      </c>
      <c r="G5458">
        <v>22285.463199999998</v>
      </c>
      <c r="H5458">
        <v>721.96500000000003</v>
      </c>
      <c r="I5458">
        <v>114.994</v>
      </c>
      <c r="J5458">
        <v>6.5125999999999999</v>
      </c>
      <c r="K5458">
        <v>10930.9365</v>
      </c>
      <c r="L5458">
        <v>53.840800000000002</v>
      </c>
      <c r="M5458">
        <v>2.2202000000000002</v>
      </c>
      <c r="N5458">
        <v>784.4348</v>
      </c>
      <c r="O5458">
        <v>4.0166000000000004</v>
      </c>
      <c r="P5458">
        <v>15.936400000000001</v>
      </c>
    </row>
    <row r="5459" spans="1:16">
      <c r="A5459" s="1" t="s">
        <v>5317</v>
      </c>
      <c r="B5459" s="1" t="s">
        <v>5390</v>
      </c>
      <c r="C5459" s="1" t="s">
        <v>1764</v>
      </c>
      <c r="D5459" s="1" t="s">
        <v>44</v>
      </c>
      <c r="E5459" s="1" t="s">
        <v>5322</v>
      </c>
      <c r="F5459">
        <v>7272.7299000000003</v>
      </c>
      <c r="G5459">
        <v>16733.300800000001</v>
      </c>
      <c r="H5459">
        <v>306.57380000000001</v>
      </c>
      <c r="I5459">
        <v>86.064300000000003</v>
      </c>
      <c r="J5459">
        <v>249.60980000000001</v>
      </c>
      <c r="K5459">
        <v>10051.3928</v>
      </c>
      <c r="L5459">
        <v>47.9435</v>
      </c>
      <c r="M5459">
        <v>1.5408999999999999</v>
      </c>
      <c r="N5459">
        <v>3941.0241999999998</v>
      </c>
      <c r="O5459">
        <v>3.2883</v>
      </c>
      <c r="P5459">
        <v>14.3535</v>
      </c>
    </row>
    <row r="5460" spans="1:16">
      <c r="A5460" s="1" t="s">
        <v>5317</v>
      </c>
      <c r="B5460" s="1" t="s">
        <v>5391</v>
      </c>
      <c r="C5460" s="1" t="s">
        <v>1764</v>
      </c>
      <c r="D5460" s="1" t="s">
        <v>44</v>
      </c>
      <c r="E5460" s="1" t="s">
        <v>5322</v>
      </c>
      <c r="F5460">
        <v>8008.8019000000004</v>
      </c>
      <c r="G5460">
        <v>16933.943299999999</v>
      </c>
      <c r="H5460">
        <v>206.952</v>
      </c>
      <c r="I5460">
        <v>73.938199999999995</v>
      </c>
      <c r="J5460">
        <v>1.8597999999999999</v>
      </c>
      <c r="K5460">
        <v>13580.109</v>
      </c>
      <c r="L5460">
        <v>76.343900000000005</v>
      </c>
      <c r="M5460">
        <v>1.4259999999999999</v>
      </c>
      <c r="N5460">
        <v>3210.7927</v>
      </c>
      <c r="O5460">
        <v>3.8239000000000001</v>
      </c>
      <c r="P5460">
        <v>14.1891</v>
      </c>
    </row>
    <row r="5461" spans="1:16">
      <c r="A5461" s="1" t="s">
        <v>5317</v>
      </c>
      <c r="B5461" s="1" t="s">
        <v>5392</v>
      </c>
      <c r="C5461" s="1" t="s">
        <v>1764</v>
      </c>
      <c r="D5461" s="1" t="s">
        <v>44</v>
      </c>
      <c r="E5461" s="1" t="s">
        <v>5322</v>
      </c>
      <c r="F5461">
        <v>7802.1656999999996</v>
      </c>
      <c r="G5461">
        <v>12430.739600000001</v>
      </c>
      <c r="H5461">
        <v>205.3811</v>
      </c>
      <c r="I5461">
        <v>77.108099999999993</v>
      </c>
      <c r="J5461">
        <v>1.0709</v>
      </c>
      <c r="K5461">
        <v>10161.975399999999</v>
      </c>
      <c r="L5461">
        <v>64.365200000000002</v>
      </c>
      <c r="M5461">
        <v>1.3431999999999999</v>
      </c>
      <c r="N5461">
        <v>2029.6650999999999</v>
      </c>
      <c r="O5461">
        <v>2.9807000000000001</v>
      </c>
      <c r="P5461">
        <v>13.339700000000001</v>
      </c>
    </row>
    <row r="5462" spans="1:16">
      <c r="A5462" s="1" t="s">
        <v>5317</v>
      </c>
      <c r="B5462" s="1" t="s">
        <v>5393</v>
      </c>
      <c r="C5462" s="1" t="s">
        <v>1764</v>
      </c>
      <c r="D5462" s="1" t="s">
        <v>44</v>
      </c>
      <c r="E5462" s="1" t="s">
        <v>5322</v>
      </c>
      <c r="F5462">
        <v>8043.9327999999996</v>
      </c>
      <c r="G5462">
        <v>14365.823</v>
      </c>
      <c r="H5462">
        <v>231.965</v>
      </c>
      <c r="I5462">
        <v>72.750799999999998</v>
      </c>
      <c r="J5462">
        <v>1.2137</v>
      </c>
      <c r="K5462">
        <v>10979.842000000001</v>
      </c>
      <c r="L5462">
        <v>49.497999999999998</v>
      </c>
      <c r="M5462">
        <v>1.4383999999999999</v>
      </c>
      <c r="N5462">
        <v>2639.4944999999998</v>
      </c>
      <c r="O5462">
        <v>3.9127999999999998</v>
      </c>
      <c r="P5462">
        <v>13.614699999999999</v>
      </c>
    </row>
    <row r="5463" spans="1:16">
      <c r="A5463" s="1" t="s">
        <v>5317</v>
      </c>
      <c r="B5463" s="1" t="s">
        <v>5394</v>
      </c>
      <c r="C5463" s="1" t="s">
        <v>1764</v>
      </c>
      <c r="D5463" s="1" t="s">
        <v>44</v>
      </c>
      <c r="E5463" s="1" t="s">
        <v>5322</v>
      </c>
      <c r="F5463">
        <v>8337.3140999999996</v>
      </c>
      <c r="G5463">
        <v>16743.748200000002</v>
      </c>
      <c r="H5463">
        <v>5042.9862000000003</v>
      </c>
      <c r="I5463">
        <v>183.41120000000001</v>
      </c>
      <c r="J5463">
        <v>98.275300000000001</v>
      </c>
      <c r="K5463">
        <v>2099.9542000000001</v>
      </c>
      <c r="L5463">
        <v>48.093800000000002</v>
      </c>
      <c r="M5463">
        <v>26.1784</v>
      </c>
      <c r="N5463">
        <v>951.35429999999997</v>
      </c>
      <c r="O5463">
        <v>23.666599999999999</v>
      </c>
      <c r="P5463">
        <v>8.6765000000000008</v>
      </c>
    </row>
    <row r="5464" spans="1:16">
      <c r="A5464" s="1" t="s">
        <v>5317</v>
      </c>
      <c r="B5464" s="1" t="s">
        <v>5395</v>
      </c>
      <c r="C5464" s="1" t="s">
        <v>1764</v>
      </c>
      <c r="D5464" s="1" t="s">
        <v>44</v>
      </c>
      <c r="E5464" s="1" t="s">
        <v>5322</v>
      </c>
      <c r="F5464">
        <v>2603.3771999999999</v>
      </c>
      <c r="G5464">
        <v>8934.8081000000002</v>
      </c>
      <c r="H5464">
        <v>4021.5470999999998</v>
      </c>
      <c r="I5464">
        <v>138.48320000000001</v>
      </c>
      <c r="J5464">
        <v>12.2936</v>
      </c>
      <c r="K5464">
        <v>3548.56</v>
      </c>
      <c r="L5464">
        <v>52.801400000000001</v>
      </c>
      <c r="M5464">
        <v>18.4269</v>
      </c>
      <c r="N5464">
        <v>597.92560000000003</v>
      </c>
      <c r="O5464">
        <v>24.9285</v>
      </c>
      <c r="P5464">
        <v>7.3090999999999999</v>
      </c>
    </row>
    <row r="5465" spans="1:16">
      <c r="A5465" s="1" t="s">
        <v>5317</v>
      </c>
      <c r="B5465" s="1" t="s">
        <v>5396</v>
      </c>
      <c r="C5465" s="1" t="s">
        <v>1764</v>
      </c>
      <c r="D5465" s="1" t="s">
        <v>44</v>
      </c>
      <c r="E5465" s="1" t="s">
        <v>5322</v>
      </c>
      <c r="F5465">
        <v>18340.305</v>
      </c>
      <c r="G5465">
        <v>27987.738600000001</v>
      </c>
      <c r="H5465">
        <v>5369.3819000000003</v>
      </c>
      <c r="I5465">
        <v>171.6311</v>
      </c>
      <c r="J5465">
        <v>73.097800000000007</v>
      </c>
      <c r="K5465">
        <v>3317.6640000000002</v>
      </c>
      <c r="L5465">
        <v>59.159399999999998</v>
      </c>
      <c r="M5465">
        <v>24.023099999999999</v>
      </c>
      <c r="N5465">
        <v>1577.1189999999999</v>
      </c>
      <c r="O5465">
        <v>26.1448</v>
      </c>
      <c r="P5465">
        <v>11.526300000000001</v>
      </c>
    </row>
    <row r="5466" spans="1:16">
      <c r="A5466" s="1" t="s">
        <v>5317</v>
      </c>
      <c r="B5466" s="1" t="s">
        <v>5397</v>
      </c>
      <c r="C5466" s="1" t="s">
        <v>1764</v>
      </c>
      <c r="D5466" s="1" t="s">
        <v>44</v>
      </c>
      <c r="E5466" s="1" t="s">
        <v>5322</v>
      </c>
      <c r="F5466">
        <v>13125.450999999999</v>
      </c>
      <c r="G5466">
        <v>17264.020199999999</v>
      </c>
      <c r="H5466">
        <v>4407.6948000000002</v>
      </c>
      <c r="I5466">
        <v>130.2714</v>
      </c>
      <c r="J5466">
        <v>29.241299999999999</v>
      </c>
      <c r="K5466">
        <v>3958.3991000000001</v>
      </c>
      <c r="L5466">
        <v>35.044699999999999</v>
      </c>
      <c r="M5466">
        <v>21.520900000000001</v>
      </c>
      <c r="N5466">
        <v>934.28819999999996</v>
      </c>
      <c r="O5466">
        <v>18.7638</v>
      </c>
      <c r="P5466">
        <v>6.8330000000000002</v>
      </c>
    </row>
    <row r="5467" spans="1:16">
      <c r="A5467" s="1" t="s">
        <v>5317</v>
      </c>
      <c r="B5467" s="1" t="s">
        <v>5398</v>
      </c>
      <c r="C5467" s="1" t="s">
        <v>1764</v>
      </c>
      <c r="D5467" s="1" t="s">
        <v>44</v>
      </c>
      <c r="E5467" s="1" t="s">
        <v>5322</v>
      </c>
      <c r="F5467">
        <v>3903.7489999999998</v>
      </c>
      <c r="G5467">
        <v>11692.990400000001</v>
      </c>
      <c r="H5467">
        <v>3860.3274000000001</v>
      </c>
      <c r="I5467">
        <v>176.9307</v>
      </c>
      <c r="J5467">
        <v>52.870399999999997</v>
      </c>
      <c r="K5467">
        <v>1991.4908</v>
      </c>
      <c r="L5467">
        <v>46.760199999999998</v>
      </c>
      <c r="M5467">
        <v>23.003399999999999</v>
      </c>
      <c r="N5467">
        <v>691.30899999999997</v>
      </c>
      <c r="O5467">
        <v>26.0471</v>
      </c>
      <c r="P5467">
        <v>8.9482999999999997</v>
      </c>
    </row>
    <row r="5468" spans="1:16">
      <c r="A5468" s="1" t="s">
        <v>5317</v>
      </c>
      <c r="B5468" s="1" t="s">
        <v>5399</v>
      </c>
      <c r="C5468" s="1" t="s">
        <v>1764</v>
      </c>
      <c r="D5468" s="1" t="s">
        <v>44</v>
      </c>
      <c r="E5468" s="1" t="s">
        <v>5322</v>
      </c>
      <c r="F5468">
        <v>6252.4807000000001</v>
      </c>
      <c r="G5468">
        <v>17589.7857</v>
      </c>
      <c r="H5468">
        <v>4308.8008</v>
      </c>
      <c r="I5468">
        <v>130.05510000000001</v>
      </c>
      <c r="J5468">
        <v>0.80220000000000002</v>
      </c>
      <c r="K5468">
        <v>4300.2208000000001</v>
      </c>
      <c r="L5468">
        <v>75.102500000000006</v>
      </c>
      <c r="M5468">
        <v>29.638300000000001</v>
      </c>
      <c r="N5468">
        <v>1806.1437000000001</v>
      </c>
      <c r="O5468">
        <v>26.346599999999999</v>
      </c>
      <c r="P5468">
        <v>8.2319999999999993</v>
      </c>
    </row>
    <row r="5469" spans="1:16">
      <c r="A5469" s="1" t="s">
        <v>5317</v>
      </c>
      <c r="B5469" s="1" t="s">
        <v>5400</v>
      </c>
      <c r="C5469" s="1" t="s">
        <v>1764</v>
      </c>
      <c r="D5469" s="1" t="s">
        <v>44</v>
      </c>
      <c r="E5469" s="1" t="s">
        <v>5322</v>
      </c>
      <c r="F5469">
        <v>1615.5015000000001</v>
      </c>
      <c r="G5469">
        <v>6441.7637999999997</v>
      </c>
      <c r="H5469">
        <v>4806.6210000000001</v>
      </c>
      <c r="I5469">
        <v>189.5146</v>
      </c>
      <c r="J5469">
        <v>44.665900000000001</v>
      </c>
      <c r="K5469">
        <v>2630.7651000000001</v>
      </c>
      <c r="L5469">
        <v>11.225300000000001</v>
      </c>
      <c r="M5469">
        <v>17.208200000000001</v>
      </c>
      <c r="N5469">
        <v>975.47</v>
      </c>
      <c r="O5469">
        <v>12.777100000000001</v>
      </c>
      <c r="P5469">
        <v>5.1014999999999997</v>
      </c>
    </row>
    <row r="5470" spans="1:16">
      <c r="A5470" s="1" t="s">
        <v>5317</v>
      </c>
      <c r="B5470" s="1" t="s">
        <v>5401</v>
      </c>
      <c r="C5470" s="1" t="s">
        <v>1764</v>
      </c>
      <c r="D5470" s="1" t="s">
        <v>44</v>
      </c>
      <c r="E5470" s="1" t="s">
        <v>5322</v>
      </c>
      <c r="F5470">
        <v>3364.4211</v>
      </c>
      <c r="G5470">
        <v>11584.162899999999</v>
      </c>
      <c r="H5470">
        <v>5771.16</v>
      </c>
      <c r="I5470">
        <v>139.4795</v>
      </c>
      <c r="J5470">
        <v>73.539599999999993</v>
      </c>
      <c r="K5470">
        <v>2960.0389</v>
      </c>
      <c r="L5470">
        <v>31.096</v>
      </c>
      <c r="M5470">
        <v>20.759499999999999</v>
      </c>
      <c r="N5470">
        <v>1611.1614</v>
      </c>
      <c r="O5470">
        <v>21.071100000000001</v>
      </c>
      <c r="P5470">
        <v>9.4283999999999999</v>
      </c>
    </row>
    <row r="5471" spans="1:16">
      <c r="A5471" s="1" t="s">
        <v>5317</v>
      </c>
      <c r="B5471" s="1" t="s">
        <v>5402</v>
      </c>
      <c r="C5471" s="1" t="s">
        <v>1764</v>
      </c>
      <c r="D5471" s="1" t="s">
        <v>44</v>
      </c>
      <c r="E5471" s="1" t="s">
        <v>5322</v>
      </c>
      <c r="F5471">
        <v>7626.3507</v>
      </c>
      <c r="G5471">
        <v>12405.1368</v>
      </c>
      <c r="H5471">
        <v>4400.1350000000002</v>
      </c>
      <c r="I5471">
        <v>189.87459999999999</v>
      </c>
      <c r="J5471">
        <v>36.745100000000001</v>
      </c>
      <c r="K5471">
        <v>2602.04</v>
      </c>
      <c r="L5471">
        <v>12.3774</v>
      </c>
      <c r="M5471">
        <v>16.146699999999999</v>
      </c>
      <c r="N5471">
        <v>687.51739999999995</v>
      </c>
      <c r="O5471">
        <v>16.703499999999998</v>
      </c>
      <c r="P5471">
        <v>6.9603999999999999</v>
      </c>
    </row>
    <row r="5472" spans="1:16">
      <c r="A5472" s="1" t="s">
        <v>5317</v>
      </c>
      <c r="B5472" s="1" t="s">
        <v>5403</v>
      </c>
      <c r="C5472" s="1" t="s">
        <v>1764</v>
      </c>
      <c r="D5472" s="1" t="s">
        <v>44</v>
      </c>
      <c r="E5472" s="1" t="s">
        <v>5322</v>
      </c>
      <c r="F5472">
        <v>2444.6264000000001</v>
      </c>
      <c r="G5472">
        <v>10564.042299999999</v>
      </c>
      <c r="H5472">
        <v>6258.268</v>
      </c>
      <c r="I5472">
        <v>239.69669999999999</v>
      </c>
      <c r="J5472">
        <v>62.534399999999998</v>
      </c>
      <c r="K5472">
        <v>2197.8326000000002</v>
      </c>
      <c r="L5472">
        <v>14.8948</v>
      </c>
      <c r="M5472">
        <v>18.748899999999999</v>
      </c>
      <c r="N5472">
        <v>685.66179999999997</v>
      </c>
      <c r="O5472">
        <v>23.58</v>
      </c>
      <c r="P5472">
        <v>11.479699999999999</v>
      </c>
    </row>
    <row r="5473" spans="1:16">
      <c r="A5473" s="1" t="s">
        <v>5317</v>
      </c>
      <c r="B5473" s="1" t="s">
        <v>5404</v>
      </c>
      <c r="C5473" s="1" t="s">
        <v>1764</v>
      </c>
      <c r="D5473" s="1" t="s">
        <v>44</v>
      </c>
      <c r="E5473" s="1" t="s">
        <v>5322</v>
      </c>
      <c r="F5473">
        <v>1668.2338</v>
      </c>
      <c r="G5473">
        <v>7629.4461000000001</v>
      </c>
      <c r="H5473">
        <v>5944.3539000000001</v>
      </c>
      <c r="I5473">
        <v>237.7775</v>
      </c>
      <c r="J5473">
        <v>42.838700000000003</v>
      </c>
      <c r="K5473">
        <v>2036.4494</v>
      </c>
      <c r="L5473">
        <v>11.643800000000001</v>
      </c>
      <c r="M5473">
        <v>15.737</v>
      </c>
      <c r="N5473">
        <v>650.23720000000003</v>
      </c>
      <c r="O5473">
        <v>20.9223</v>
      </c>
      <c r="P5473">
        <v>9.3513000000000002</v>
      </c>
    </row>
    <row r="5474" spans="1:16">
      <c r="A5474" s="1" t="s">
        <v>5317</v>
      </c>
      <c r="B5474" s="1" t="s">
        <v>5405</v>
      </c>
      <c r="C5474" s="1" t="s">
        <v>1764</v>
      </c>
      <c r="D5474" s="1" t="s">
        <v>44</v>
      </c>
      <c r="E5474" s="1" t="s">
        <v>5322</v>
      </c>
      <c r="F5474">
        <v>2379.4087</v>
      </c>
      <c r="G5474">
        <v>6286.7456000000002</v>
      </c>
      <c r="H5474">
        <v>6011.3557000000001</v>
      </c>
      <c r="I5474">
        <v>167.91800000000001</v>
      </c>
      <c r="J5474">
        <v>29.701599999999999</v>
      </c>
      <c r="K5474">
        <v>2214.8652000000002</v>
      </c>
      <c r="L5474">
        <v>30.330200000000001</v>
      </c>
      <c r="M5474">
        <v>17.730399999999999</v>
      </c>
      <c r="N5474">
        <v>704.61689999999999</v>
      </c>
      <c r="O5474">
        <v>24.140999999999998</v>
      </c>
      <c r="P5474">
        <v>10.2349</v>
      </c>
    </row>
    <row r="5475" spans="1:16">
      <c r="A5475" s="1" t="s">
        <v>5317</v>
      </c>
      <c r="B5475" s="1" t="s">
        <v>5406</v>
      </c>
      <c r="C5475" s="1" t="s">
        <v>1764</v>
      </c>
      <c r="D5475" s="1" t="s">
        <v>44</v>
      </c>
      <c r="E5475" s="1" t="s">
        <v>5322</v>
      </c>
      <c r="F5475">
        <v>1800.0364999999999</v>
      </c>
      <c r="G5475">
        <v>7498.5901999999996</v>
      </c>
      <c r="H5475">
        <v>6730.4922999999999</v>
      </c>
      <c r="I5475">
        <v>194.5111</v>
      </c>
      <c r="J5475">
        <v>31.708200000000001</v>
      </c>
      <c r="K5475">
        <v>2339.3440000000001</v>
      </c>
      <c r="L5475">
        <v>48.305</v>
      </c>
      <c r="M5475">
        <v>18.149899999999999</v>
      </c>
      <c r="N5475">
        <v>637.32579999999996</v>
      </c>
      <c r="O5475">
        <v>24.789899999999999</v>
      </c>
      <c r="P5475">
        <v>9.8318999999999992</v>
      </c>
    </row>
    <row r="5476" spans="1:16">
      <c r="A5476" s="1" t="s">
        <v>5317</v>
      </c>
      <c r="B5476" s="1" t="s">
        <v>5407</v>
      </c>
      <c r="C5476" s="1" t="s">
        <v>1764</v>
      </c>
      <c r="D5476" s="1" t="s">
        <v>44</v>
      </c>
      <c r="E5476" s="1" t="s">
        <v>5322</v>
      </c>
      <c r="F5476">
        <v>34096.462800000001</v>
      </c>
      <c r="G5476">
        <v>13840.831399999999</v>
      </c>
      <c r="H5476">
        <v>6190.6174000000001</v>
      </c>
      <c r="I5476">
        <v>154.92840000000001</v>
      </c>
      <c r="J5476">
        <v>40.546999999999997</v>
      </c>
      <c r="K5476">
        <v>4172.7784000000001</v>
      </c>
      <c r="L5476">
        <v>34.316899999999997</v>
      </c>
      <c r="M5476">
        <v>16.793299999999999</v>
      </c>
      <c r="N5476">
        <v>448.5951</v>
      </c>
      <c r="O5476">
        <v>17.479500000000002</v>
      </c>
      <c r="P5476">
        <v>11.4824</v>
      </c>
    </row>
    <row r="5477" spans="1:16">
      <c r="A5477" s="1" t="s">
        <v>5317</v>
      </c>
      <c r="B5477" s="1" t="s">
        <v>5408</v>
      </c>
      <c r="C5477" s="1" t="s">
        <v>1764</v>
      </c>
      <c r="D5477" s="1" t="s">
        <v>44</v>
      </c>
      <c r="E5477" s="1" t="s">
        <v>5322</v>
      </c>
      <c r="F5477">
        <v>1071.7618</v>
      </c>
      <c r="G5477">
        <v>4690.1691000000001</v>
      </c>
      <c r="H5477">
        <v>5754.2406000000001</v>
      </c>
      <c r="I5477">
        <v>235.59209999999999</v>
      </c>
      <c r="J5477">
        <v>11.719799999999999</v>
      </c>
      <c r="K5477">
        <v>2005.5808</v>
      </c>
      <c r="L5477">
        <v>35.860399999999998</v>
      </c>
      <c r="M5477">
        <v>19.883299999999998</v>
      </c>
      <c r="N5477">
        <v>421.42849999999999</v>
      </c>
      <c r="O5477">
        <v>24.5855</v>
      </c>
      <c r="P5477">
        <v>8.4907000000000004</v>
      </c>
    </row>
    <row r="5478" spans="1:16">
      <c r="A5478" s="1" t="s">
        <v>5317</v>
      </c>
      <c r="B5478" s="1" t="s">
        <v>5409</v>
      </c>
      <c r="C5478" s="1" t="s">
        <v>1764</v>
      </c>
      <c r="D5478" s="1" t="s">
        <v>44</v>
      </c>
      <c r="E5478" s="1" t="s">
        <v>5322</v>
      </c>
      <c r="F5478">
        <v>1632.8983000000001</v>
      </c>
      <c r="G5478">
        <v>9901.2738000000008</v>
      </c>
      <c r="H5478">
        <v>6883.2867999999999</v>
      </c>
      <c r="I5478">
        <v>218.05199999999999</v>
      </c>
      <c r="J5478">
        <v>81.204599999999999</v>
      </c>
      <c r="K5478">
        <v>2501.5171999999998</v>
      </c>
      <c r="L5478">
        <v>11.873699999999999</v>
      </c>
      <c r="M5478">
        <v>15.745799999999999</v>
      </c>
      <c r="N5478">
        <v>712.8655</v>
      </c>
      <c r="O5478">
        <v>20.604099999999999</v>
      </c>
      <c r="P5478">
        <v>9.0556999999999999</v>
      </c>
    </row>
    <row r="5479" spans="1:16">
      <c r="A5479" s="1" t="s">
        <v>5317</v>
      </c>
      <c r="B5479" s="1" t="s">
        <v>5410</v>
      </c>
      <c r="C5479" s="1" t="s">
        <v>1764</v>
      </c>
      <c r="D5479" s="1" t="s">
        <v>44</v>
      </c>
      <c r="E5479" s="1" t="s">
        <v>5322</v>
      </c>
      <c r="F5479">
        <v>18756.2444</v>
      </c>
      <c r="G5479">
        <v>24498.3295</v>
      </c>
      <c r="H5479">
        <v>7188.3109000000004</v>
      </c>
      <c r="I5479">
        <v>192.07599999999999</v>
      </c>
      <c r="J5479">
        <v>98.280199999999994</v>
      </c>
      <c r="K5479">
        <v>3766.9947000000002</v>
      </c>
      <c r="L5479">
        <v>13.992699999999999</v>
      </c>
      <c r="M5479">
        <v>15.1592</v>
      </c>
      <c r="N5479">
        <v>1303.1846</v>
      </c>
      <c r="O5479">
        <v>12.1229</v>
      </c>
      <c r="P5479">
        <v>12.288</v>
      </c>
    </row>
    <row r="5480" spans="1:16">
      <c r="A5480" s="1" t="s">
        <v>5317</v>
      </c>
      <c r="B5480" s="1" t="s">
        <v>5411</v>
      </c>
      <c r="C5480" s="1" t="s">
        <v>1764</v>
      </c>
      <c r="D5480" s="1" t="s">
        <v>44</v>
      </c>
      <c r="E5480" s="1" t="s">
        <v>5322</v>
      </c>
      <c r="F5480">
        <v>20851.994900000002</v>
      </c>
      <c r="G5480">
        <v>20224.447199999999</v>
      </c>
      <c r="H5480">
        <v>10061.208500000001</v>
      </c>
      <c r="I5480">
        <v>170.01599999999999</v>
      </c>
      <c r="J5480">
        <v>105.82899999999999</v>
      </c>
      <c r="K5480">
        <v>3385.6514000000002</v>
      </c>
      <c r="L5480">
        <v>11.103899999999999</v>
      </c>
      <c r="M5480">
        <v>12.037599999999999</v>
      </c>
      <c r="N5480">
        <v>1057.7247</v>
      </c>
      <c r="O5480">
        <v>10.1342</v>
      </c>
      <c r="P5480">
        <v>17.266200000000001</v>
      </c>
    </row>
    <row r="5481" spans="1:16">
      <c r="A5481" s="1" t="s">
        <v>5317</v>
      </c>
      <c r="B5481" s="1" t="s">
        <v>5412</v>
      </c>
      <c r="C5481" s="1" t="s">
        <v>1764</v>
      </c>
      <c r="D5481" s="1" t="s">
        <v>44</v>
      </c>
      <c r="E5481" s="1" t="s">
        <v>5322</v>
      </c>
      <c r="F5481">
        <v>2795.7462999999998</v>
      </c>
      <c r="G5481">
        <v>6361.1081999999997</v>
      </c>
      <c r="H5481">
        <v>5019.6884</v>
      </c>
      <c r="I5481">
        <v>175.4444</v>
      </c>
      <c r="J5481">
        <v>34.222200000000001</v>
      </c>
      <c r="K5481">
        <v>2811.9785999999999</v>
      </c>
      <c r="L5481">
        <v>8.2188999999999997</v>
      </c>
      <c r="M5481">
        <v>14.6227</v>
      </c>
      <c r="N5481">
        <v>568.65470000000005</v>
      </c>
      <c r="O5481">
        <v>12.627599999999999</v>
      </c>
      <c r="P5481">
        <v>5.7477</v>
      </c>
    </row>
    <row r="5482" spans="1:16">
      <c r="A5482" s="1" t="s">
        <v>5317</v>
      </c>
      <c r="B5482" s="1" t="s">
        <v>5413</v>
      </c>
      <c r="C5482" s="1" t="s">
        <v>1764</v>
      </c>
      <c r="D5482" s="1" t="s">
        <v>44</v>
      </c>
      <c r="E5482" s="1" t="s">
        <v>5322</v>
      </c>
      <c r="F5482">
        <v>7344.4826999999996</v>
      </c>
      <c r="G5482">
        <v>14113.8979</v>
      </c>
      <c r="H5482">
        <v>8225.1934000000001</v>
      </c>
      <c r="I5482">
        <v>202.20670000000001</v>
      </c>
      <c r="J5482">
        <v>251.18620000000001</v>
      </c>
      <c r="K5482">
        <v>2621.6386000000002</v>
      </c>
      <c r="L5482">
        <v>11.242000000000001</v>
      </c>
      <c r="M5482">
        <v>15.261100000000001</v>
      </c>
      <c r="N5482">
        <v>1115.7427</v>
      </c>
      <c r="O5482">
        <v>13.4922</v>
      </c>
      <c r="P5482">
        <v>14.428000000000001</v>
      </c>
    </row>
    <row r="5483" spans="1:16">
      <c r="A5483" s="1" t="s">
        <v>5317</v>
      </c>
      <c r="B5483" s="1" t="s">
        <v>5414</v>
      </c>
      <c r="C5483" s="1" t="s">
        <v>1764</v>
      </c>
      <c r="D5483" s="1" t="s">
        <v>44</v>
      </c>
      <c r="E5483" s="1" t="s">
        <v>5322</v>
      </c>
      <c r="F5483">
        <v>1838.0637999999999</v>
      </c>
      <c r="G5483">
        <v>5897.4584000000004</v>
      </c>
      <c r="H5483">
        <v>1027.1057000000001</v>
      </c>
      <c r="I5483">
        <v>164.7277</v>
      </c>
      <c r="J5483">
        <v>6.2453000000000003</v>
      </c>
      <c r="K5483">
        <v>1590.9693</v>
      </c>
      <c r="L5483">
        <v>29.0289</v>
      </c>
      <c r="M5483">
        <v>7.4905999999999997</v>
      </c>
      <c r="N5483">
        <v>549.9162</v>
      </c>
      <c r="O5483">
        <v>18.382899999999999</v>
      </c>
      <c r="P5483">
        <v>9.7120999999999995</v>
      </c>
    </row>
    <row r="5484" spans="1:16">
      <c r="A5484" s="1" t="s">
        <v>5317</v>
      </c>
      <c r="B5484" s="1" t="s">
        <v>5415</v>
      </c>
      <c r="C5484" s="1" t="s">
        <v>1764</v>
      </c>
      <c r="D5484" s="1" t="s">
        <v>44</v>
      </c>
      <c r="E5484" s="1" t="s">
        <v>5322</v>
      </c>
      <c r="F5484">
        <v>2602.3508999999999</v>
      </c>
      <c r="G5484">
        <v>6066.0258999999996</v>
      </c>
      <c r="H5484">
        <v>1009.8555</v>
      </c>
      <c r="I5484">
        <v>163.21629999999999</v>
      </c>
      <c r="J5484">
        <v>6.6021999999999998</v>
      </c>
      <c r="K5484">
        <v>1574.2711999999999</v>
      </c>
      <c r="L5484">
        <v>27.3094</v>
      </c>
      <c r="M5484">
        <v>7.3964999999999996</v>
      </c>
      <c r="N5484">
        <v>485.82760000000002</v>
      </c>
      <c r="O5484">
        <v>15.9154</v>
      </c>
      <c r="P5484">
        <v>8.6530000000000005</v>
      </c>
    </row>
    <row r="5485" spans="1:16">
      <c r="A5485" s="1" t="s">
        <v>5317</v>
      </c>
      <c r="B5485" s="1" t="s">
        <v>5416</v>
      </c>
      <c r="C5485" s="1" t="s">
        <v>1764</v>
      </c>
      <c r="D5485" s="1" t="s">
        <v>44</v>
      </c>
      <c r="E5485" s="1" t="s">
        <v>5322</v>
      </c>
      <c r="F5485">
        <v>2176.4128000000001</v>
      </c>
      <c r="G5485">
        <v>6448.7061000000003</v>
      </c>
      <c r="H5485">
        <v>1084.3714</v>
      </c>
      <c r="I5485">
        <v>175.4162</v>
      </c>
      <c r="J5485">
        <v>6.3712999999999997</v>
      </c>
      <c r="K5485">
        <v>1789.2855</v>
      </c>
      <c r="L5485">
        <v>33.974200000000003</v>
      </c>
      <c r="M5485">
        <v>8.0031999999999996</v>
      </c>
      <c r="N5485">
        <v>548.20950000000005</v>
      </c>
      <c r="O5485">
        <v>19.529599999999999</v>
      </c>
      <c r="P5485">
        <v>9.7411999999999992</v>
      </c>
    </row>
    <row r="5486" spans="1:16">
      <c r="A5486" s="1" t="s">
        <v>5317</v>
      </c>
      <c r="B5486" s="1" t="s">
        <v>5417</v>
      </c>
      <c r="C5486" s="1" t="s">
        <v>1764</v>
      </c>
      <c r="D5486" s="1" t="s">
        <v>44</v>
      </c>
      <c r="E5486" s="1" t="s">
        <v>5322</v>
      </c>
      <c r="F5486">
        <v>2810.6916000000001</v>
      </c>
      <c r="G5486">
        <v>6176.2524999999996</v>
      </c>
      <c r="H5486">
        <v>1078.7268999999999</v>
      </c>
      <c r="I5486">
        <v>170.43469999999999</v>
      </c>
      <c r="J5486">
        <v>2.3860000000000001</v>
      </c>
      <c r="K5486">
        <v>1428.2559000000001</v>
      </c>
      <c r="L5486">
        <v>29.1419</v>
      </c>
      <c r="M5486">
        <v>7.4109999999999996</v>
      </c>
      <c r="N5486">
        <v>544.06679999999994</v>
      </c>
      <c r="O5486">
        <v>17.432500000000001</v>
      </c>
      <c r="P5486">
        <v>9.2257999999999996</v>
      </c>
    </row>
    <row r="5487" spans="1:16">
      <c r="A5487" s="1" t="s">
        <v>5317</v>
      </c>
      <c r="B5487" s="1" t="s">
        <v>5418</v>
      </c>
      <c r="C5487" s="1" t="s">
        <v>1764</v>
      </c>
      <c r="D5487" s="1" t="s">
        <v>44</v>
      </c>
      <c r="E5487" s="1" t="s">
        <v>5322</v>
      </c>
      <c r="F5487">
        <v>2864.2957000000001</v>
      </c>
      <c r="G5487">
        <v>6154.2784000000001</v>
      </c>
      <c r="H5487">
        <v>1044.6735000000001</v>
      </c>
      <c r="I5487">
        <v>175.21690000000001</v>
      </c>
      <c r="J5487">
        <v>6.4177</v>
      </c>
      <c r="K5487">
        <v>1376.4025999999999</v>
      </c>
      <c r="L5487">
        <v>27.261399999999998</v>
      </c>
      <c r="M5487">
        <v>6.8414000000000001</v>
      </c>
      <c r="N5487">
        <v>530.59670000000006</v>
      </c>
      <c r="O5487">
        <v>17.089400000000001</v>
      </c>
      <c r="P5487">
        <v>9.0694999999999997</v>
      </c>
    </row>
    <row r="5488" spans="1:16">
      <c r="A5488" s="1" t="s">
        <v>5317</v>
      </c>
      <c r="B5488" s="1" t="s">
        <v>5419</v>
      </c>
      <c r="C5488" s="1" t="s">
        <v>1764</v>
      </c>
      <c r="D5488" s="1" t="s">
        <v>44</v>
      </c>
      <c r="E5488" s="1" t="s">
        <v>5322</v>
      </c>
      <c r="F5488">
        <v>3153.5331000000001</v>
      </c>
      <c r="G5488">
        <v>5735.4004000000004</v>
      </c>
      <c r="H5488">
        <v>1213.6587</v>
      </c>
      <c r="I5488">
        <v>226.483</v>
      </c>
      <c r="J5488">
        <v>2.8635000000000002</v>
      </c>
      <c r="K5488">
        <v>1443.1122</v>
      </c>
      <c r="L5488">
        <v>26.637699999999999</v>
      </c>
      <c r="M5488">
        <v>8.6788000000000007</v>
      </c>
      <c r="N5488">
        <v>497.87009999999998</v>
      </c>
      <c r="O5488">
        <v>19.042300000000001</v>
      </c>
      <c r="P5488">
        <v>8.7901000000000007</v>
      </c>
    </row>
    <row r="5489" spans="1:16">
      <c r="A5489" s="1" t="s">
        <v>5317</v>
      </c>
      <c r="B5489" s="1" t="s">
        <v>5420</v>
      </c>
      <c r="C5489" s="1" t="s">
        <v>1764</v>
      </c>
      <c r="D5489" s="1" t="s">
        <v>44</v>
      </c>
      <c r="E5489" s="1" t="s">
        <v>5322</v>
      </c>
      <c r="F5489">
        <v>2609.1727999999998</v>
      </c>
      <c r="G5489">
        <v>5756.2214000000004</v>
      </c>
      <c r="H5489">
        <v>1251.3017</v>
      </c>
      <c r="I5489">
        <v>244.65469999999999</v>
      </c>
      <c r="J5489">
        <v>5.8628999999999998</v>
      </c>
      <c r="K5489">
        <v>1599.6719000000001</v>
      </c>
      <c r="L5489">
        <v>24.7835</v>
      </c>
      <c r="M5489">
        <v>7.7145999999999999</v>
      </c>
      <c r="N5489">
        <v>538.26409999999998</v>
      </c>
      <c r="O5489">
        <v>19.392700000000001</v>
      </c>
      <c r="P5489">
        <v>8.4278999999999993</v>
      </c>
    </row>
    <row r="5490" spans="1:16">
      <c r="A5490" s="1" t="s">
        <v>5317</v>
      </c>
      <c r="B5490" s="1" t="s">
        <v>5421</v>
      </c>
      <c r="C5490" s="1" t="s">
        <v>1764</v>
      </c>
      <c r="D5490" s="1" t="s">
        <v>44</v>
      </c>
      <c r="E5490" s="1" t="s">
        <v>5322</v>
      </c>
      <c r="F5490">
        <v>1911.6114</v>
      </c>
      <c r="G5490">
        <v>5323.4016000000001</v>
      </c>
      <c r="H5490">
        <v>1208.3534</v>
      </c>
      <c r="I5490">
        <v>225.25909999999999</v>
      </c>
      <c r="J5490">
        <v>7.3673000000000002</v>
      </c>
      <c r="K5490">
        <v>1631.0997</v>
      </c>
      <c r="L5490">
        <v>23.826000000000001</v>
      </c>
      <c r="M5490">
        <v>8.2766999999999999</v>
      </c>
      <c r="N5490">
        <v>498.0043</v>
      </c>
      <c r="O5490">
        <v>18.391300000000001</v>
      </c>
      <c r="P5490">
        <v>8.3142999999999994</v>
      </c>
    </row>
    <row r="5491" spans="1:16">
      <c r="A5491" s="1" t="s">
        <v>5317</v>
      </c>
      <c r="B5491" s="1" t="s">
        <v>5422</v>
      </c>
      <c r="C5491" s="1" t="s">
        <v>1764</v>
      </c>
      <c r="D5491" s="1" t="s">
        <v>44</v>
      </c>
      <c r="E5491" s="1" t="s">
        <v>5322</v>
      </c>
      <c r="F5491">
        <v>3081.4159</v>
      </c>
      <c r="G5491">
        <v>5635.6469999999999</v>
      </c>
      <c r="H5491">
        <v>1157.6956</v>
      </c>
      <c r="I5491">
        <v>220.62389999999999</v>
      </c>
      <c r="J5491">
        <v>10.7052</v>
      </c>
      <c r="K5491">
        <v>1470.3755000000001</v>
      </c>
      <c r="L5491">
        <v>27.613399999999999</v>
      </c>
      <c r="M5491">
        <v>8.0683000000000007</v>
      </c>
      <c r="N5491">
        <v>490.11860000000001</v>
      </c>
      <c r="O5491">
        <v>18.1096</v>
      </c>
      <c r="P5491">
        <v>8.1707000000000001</v>
      </c>
    </row>
    <row r="5492" spans="1:16">
      <c r="A5492" s="1" t="s">
        <v>5317</v>
      </c>
      <c r="B5492" s="1" t="s">
        <v>5423</v>
      </c>
      <c r="C5492" s="1" t="s">
        <v>1764</v>
      </c>
      <c r="D5492" s="1" t="s">
        <v>44</v>
      </c>
      <c r="E5492" s="1" t="s">
        <v>5322</v>
      </c>
      <c r="F5492">
        <v>2623.1460999999999</v>
      </c>
      <c r="G5492">
        <v>6082.0655999999999</v>
      </c>
      <c r="H5492">
        <v>1295.2734</v>
      </c>
      <c r="I5492">
        <v>225.0479</v>
      </c>
      <c r="J5492">
        <v>2.7976999999999999</v>
      </c>
      <c r="K5492">
        <v>1613.2294999999999</v>
      </c>
      <c r="L5492">
        <v>26.866</v>
      </c>
      <c r="M5492">
        <v>9.1111000000000004</v>
      </c>
      <c r="N5492">
        <v>535.85860000000002</v>
      </c>
      <c r="O5492">
        <v>19.013400000000001</v>
      </c>
      <c r="P5492">
        <v>8.7771000000000008</v>
      </c>
    </row>
    <row r="5493" spans="1:16">
      <c r="A5493" s="1" t="s">
        <v>5317</v>
      </c>
      <c r="B5493" s="1" t="s">
        <v>5424</v>
      </c>
      <c r="C5493" s="1" t="s">
        <v>1764</v>
      </c>
      <c r="D5493" s="1" t="s">
        <v>44</v>
      </c>
      <c r="E5493" s="1" t="s">
        <v>5322</v>
      </c>
      <c r="F5493">
        <v>3755.0147999999999</v>
      </c>
      <c r="G5493">
        <v>8157.6664000000001</v>
      </c>
      <c r="H5493">
        <v>1198.7614000000001</v>
      </c>
      <c r="I5493">
        <v>212.07380000000001</v>
      </c>
      <c r="J5493">
        <v>6.4923999999999999</v>
      </c>
      <c r="K5493">
        <v>1604.2229</v>
      </c>
      <c r="L5493">
        <v>33.817799999999998</v>
      </c>
      <c r="M5493">
        <v>8.1643000000000008</v>
      </c>
      <c r="N5493">
        <v>573.7527</v>
      </c>
      <c r="O5493">
        <v>19.350899999999999</v>
      </c>
      <c r="P5493">
        <v>8.6678999999999995</v>
      </c>
    </row>
    <row r="5494" spans="1:16">
      <c r="A5494" s="1" t="s">
        <v>5317</v>
      </c>
      <c r="B5494" s="1" t="s">
        <v>5425</v>
      </c>
      <c r="C5494" s="1" t="s">
        <v>1764</v>
      </c>
      <c r="D5494" s="1" t="s">
        <v>44</v>
      </c>
      <c r="E5494" s="1" t="s">
        <v>5322</v>
      </c>
      <c r="F5494">
        <v>2878.8649</v>
      </c>
      <c r="G5494">
        <v>8070.3940000000002</v>
      </c>
      <c r="H5494">
        <v>1133.1936000000001</v>
      </c>
      <c r="I5494">
        <v>209.6558</v>
      </c>
      <c r="J5494">
        <v>16.0839</v>
      </c>
      <c r="K5494">
        <v>1565.5170000000001</v>
      </c>
      <c r="L5494">
        <v>28.221699999999998</v>
      </c>
      <c r="M5494">
        <v>7.9673999999999996</v>
      </c>
      <c r="N5494">
        <v>561.29849999999999</v>
      </c>
      <c r="O5494">
        <v>18.690000000000001</v>
      </c>
      <c r="P5494">
        <v>8.8495000000000008</v>
      </c>
    </row>
    <row r="5495" spans="1:16">
      <c r="A5495" s="1" t="s">
        <v>5317</v>
      </c>
      <c r="B5495" s="1" t="s">
        <v>5426</v>
      </c>
      <c r="C5495" s="1" t="s">
        <v>1764</v>
      </c>
      <c r="D5495" s="1" t="s">
        <v>44</v>
      </c>
      <c r="E5495" s="1" t="s">
        <v>5322</v>
      </c>
      <c r="F5495">
        <v>2989.2392</v>
      </c>
      <c r="G5495">
        <v>7575.8554999999997</v>
      </c>
      <c r="H5495">
        <v>1138.4137000000001</v>
      </c>
      <c r="I5495">
        <v>213.97839999999999</v>
      </c>
      <c r="J5495">
        <v>2.8504999999999998</v>
      </c>
      <c r="K5495">
        <v>1478.0032000000001</v>
      </c>
      <c r="L5495">
        <v>26.965399999999999</v>
      </c>
      <c r="M5495">
        <v>7.2953999999999999</v>
      </c>
      <c r="N5495">
        <v>561.75519999999995</v>
      </c>
      <c r="O5495">
        <v>20.049299999999999</v>
      </c>
      <c r="P5495">
        <v>8.2993000000000006</v>
      </c>
    </row>
    <row r="5496" spans="1:16">
      <c r="A5496" s="1" t="s">
        <v>5317</v>
      </c>
      <c r="B5496" s="1" t="s">
        <v>5427</v>
      </c>
      <c r="C5496" s="1" t="s">
        <v>1764</v>
      </c>
      <c r="D5496" s="1" t="s">
        <v>44</v>
      </c>
      <c r="E5496" s="1" t="s">
        <v>5322</v>
      </c>
      <c r="F5496">
        <v>2554.3532</v>
      </c>
      <c r="G5496">
        <v>7265.2457999999997</v>
      </c>
      <c r="H5496">
        <v>1073.2168999999999</v>
      </c>
      <c r="I5496">
        <v>225.61429999999999</v>
      </c>
      <c r="J5496">
        <v>6.3253000000000004</v>
      </c>
      <c r="K5496">
        <v>1570.0243</v>
      </c>
      <c r="L5496">
        <v>27.971499999999999</v>
      </c>
      <c r="M5496">
        <v>8.1144999999999996</v>
      </c>
      <c r="N5496">
        <v>568.58709999999996</v>
      </c>
      <c r="O5496">
        <v>19.273</v>
      </c>
      <c r="P5496">
        <v>8.6574000000000009</v>
      </c>
    </row>
    <row r="5497" spans="1:16">
      <c r="A5497" s="1" t="s">
        <v>5317</v>
      </c>
      <c r="B5497" s="1" t="s">
        <v>5428</v>
      </c>
      <c r="C5497" s="1" t="s">
        <v>1764</v>
      </c>
      <c r="D5497" s="1" t="s">
        <v>44</v>
      </c>
      <c r="E5497" s="1" t="s">
        <v>5322</v>
      </c>
      <c r="F5497">
        <v>2581.3094000000001</v>
      </c>
      <c r="G5497">
        <v>7180.8172999999997</v>
      </c>
      <c r="H5497">
        <v>1090.2924</v>
      </c>
      <c r="I5497">
        <v>209.084</v>
      </c>
      <c r="J5497">
        <v>6.4462999999999999</v>
      </c>
      <c r="K5497">
        <v>1477.0346</v>
      </c>
      <c r="L5497">
        <v>26.350200000000001</v>
      </c>
      <c r="M5497">
        <v>7.4607000000000001</v>
      </c>
      <c r="N5497">
        <v>499.17529999999999</v>
      </c>
      <c r="O5497">
        <v>18.4011</v>
      </c>
      <c r="P5497">
        <v>7.6154000000000002</v>
      </c>
    </row>
    <row r="5498" spans="1:16">
      <c r="A5498" s="1" t="s">
        <v>5317</v>
      </c>
      <c r="B5498" s="1" t="s">
        <v>5429</v>
      </c>
      <c r="C5498" s="1" t="s">
        <v>1764</v>
      </c>
      <c r="D5498" s="1" t="s">
        <v>44</v>
      </c>
      <c r="E5498" s="1" t="s">
        <v>5322</v>
      </c>
      <c r="F5498">
        <v>2846.4739</v>
      </c>
      <c r="G5498">
        <v>7380.4139999999998</v>
      </c>
      <c r="H5498">
        <v>916.38379999999995</v>
      </c>
      <c r="I5498">
        <v>186.80709999999999</v>
      </c>
      <c r="J5498">
        <v>2.145</v>
      </c>
      <c r="K5498">
        <v>1472.4684999999999</v>
      </c>
      <c r="L5498">
        <v>29.643999999999998</v>
      </c>
      <c r="M5498">
        <v>8.7126000000000001</v>
      </c>
      <c r="N5498">
        <v>538.30650000000003</v>
      </c>
      <c r="O5498">
        <v>20.079899999999999</v>
      </c>
      <c r="P5498">
        <v>9.0431000000000008</v>
      </c>
    </row>
    <row r="5499" spans="1:16">
      <c r="A5499" s="1" t="s">
        <v>5317</v>
      </c>
      <c r="B5499" s="1" t="s">
        <v>5430</v>
      </c>
      <c r="C5499" s="1" t="s">
        <v>1764</v>
      </c>
      <c r="D5499" s="1" t="s">
        <v>44</v>
      </c>
      <c r="E5499" s="1" t="s">
        <v>5322</v>
      </c>
      <c r="F5499">
        <v>2279.7130999999999</v>
      </c>
      <c r="G5499">
        <v>7385.0439999999999</v>
      </c>
      <c r="H5499">
        <v>912.05889999999999</v>
      </c>
      <c r="I5499">
        <v>181.1482</v>
      </c>
      <c r="J5499">
        <v>35.4253</v>
      </c>
      <c r="K5499">
        <v>1668.2705000000001</v>
      </c>
      <c r="L5499">
        <v>31.3186</v>
      </c>
      <c r="M5499">
        <v>7.3137999999999996</v>
      </c>
      <c r="N5499">
        <v>507.6773</v>
      </c>
      <c r="O5499">
        <v>16.782800000000002</v>
      </c>
      <c r="P5499">
        <v>8.6189999999999998</v>
      </c>
    </row>
    <row r="5500" spans="1:16">
      <c r="A5500" s="1" t="s">
        <v>5317</v>
      </c>
      <c r="B5500" s="1" t="s">
        <v>5431</v>
      </c>
      <c r="C5500" s="1" t="s">
        <v>1764</v>
      </c>
      <c r="D5500" s="1" t="s">
        <v>44</v>
      </c>
      <c r="E5500" s="1" t="s">
        <v>5322</v>
      </c>
      <c r="F5500">
        <v>2638.681</v>
      </c>
      <c r="G5500">
        <v>6823.0944</v>
      </c>
      <c r="H5500">
        <v>941.34199999999998</v>
      </c>
      <c r="I5500">
        <v>192.6515</v>
      </c>
      <c r="J5500">
        <v>8.1532</v>
      </c>
      <c r="K5500">
        <v>1482.5739000000001</v>
      </c>
      <c r="L5500">
        <v>29.018599999999999</v>
      </c>
      <c r="M5500">
        <v>8.4468999999999994</v>
      </c>
      <c r="N5500">
        <v>577.38909999999998</v>
      </c>
      <c r="O5500">
        <v>18.000800000000002</v>
      </c>
      <c r="P5500">
        <v>9.0815000000000001</v>
      </c>
    </row>
    <row r="5501" spans="1:16">
      <c r="A5501" s="1" t="s">
        <v>5317</v>
      </c>
      <c r="B5501" s="1" t="s">
        <v>5432</v>
      </c>
      <c r="C5501" s="1" t="s">
        <v>1764</v>
      </c>
      <c r="D5501" s="1" t="s">
        <v>44</v>
      </c>
      <c r="E5501" s="1" t="s">
        <v>5322</v>
      </c>
      <c r="F5501">
        <v>3016.9009000000001</v>
      </c>
      <c r="G5501">
        <v>7304.8563999999997</v>
      </c>
      <c r="H5501">
        <v>875.8723</v>
      </c>
      <c r="I5501">
        <v>187.04669999999999</v>
      </c>
      <c r="J5501">
        <v>5.1409000000000002</v>
      </c>
      <c r="K5501">
        <v>1443.6567</v>
      </c>
      <c r="L5501">
        <v>29.849299999999999</v>
      </c>
      <c r="M5501">
        <v>8.7116000000000007</v>
      </c>
      <c r="N5501">
        <v>547.03129999999999</v>
      </c>
      <c r="O5501">
        <v>17.896799999999999</v>
      </c>
      <c r="P5501">
        <v>8.4985999999999997</v>
      </c>
    </row>
    <row r="5502" spans="1:16">
      <c r="A5502" s="1" t="s">
        <v>5317</v>
      </c>
      <c r="B5502" s="1" t="s">
        <v>5433</v>
      </c>
      <c r="C5502" s="1" t="s">
        <v>1764</v>
      </c>
      <c r="D5502" s="1" t="s">
        <v>44</v>
      </c>
      <c r="E5502" s="1" t="s">
        <v>5322</v>
      </c>
      <c r="F5502">
        <v>2006.4530999999999</v>
      </c>
      <c r="G5502">
        <v>7151.9513999999999</v>
      </c>
      <c r="H5502">
        <v>906.66330000000005</v>
      </c>
      <c r="I5502">
        <v>192.05340000000001</v>
      </c>
      <c r="J5502">
        <v>13.626099999999999</v>
      </c>
      <c r="K5502">
        <v>1670.3406</v>
      </c>
      <c r="L5502">
        <v>28.111699999999999</v>
      </c>
      <c r="M5502">
        <v>8.1361000000000008</v>
      </c>
      <c r="N5502">
        <v>499.73099999999999</v>
      </c>
      <c r="O5502">
        <v>18.048300000000001</v>
      </c>
      <c r="P5502">
        <v>8.2539999999999996</v>
      </c>
    </row>
    <row r="5503" spans="1:16">
      <c r="A5503" s="1" t="s">
        <v>5317</v>
      </c>
      <c r="B5503" s="1" t="s">
        <v>5434</v>
      </c>
      <c r="C5503" s="1" t="s">
        <v>1764</v>
      </c>
      <c r="D5503" s="1" t="s">
        <v>44</v>
      </c>
      <c r="E5503" s="1" t="s">
        <v>5322</v>
      </c>
      <c r="F5503">
        <v>6866.6590999999999</v>
      </c>
      <c r="G5503">
        <v>4502.9283999999998</v>
      </c>
      <c r="H5503">
        <v>542.76160000000004</v>
      </c>
      <c r="I5503">
        <v>140.01220000000001</v>
      </c>
      <c r="J5503">
        <v>15.575699999999999</v>
      </c>
      <c r="K5503">
        <v>916.21939999999995</v>
      </c>
      <c r="L5503">
        <v>6.4790000000000001</v>
      </c>
      <c r="M5503">
        <v>6.0362</v>
      </c>
      <c r="N5503">
        <v>269.60019999999997</v>
      </c>
      <c r="O5503">
        <v>11.860099999999999</v>
      </c>
      <c r="P5503">
        <v>1.6416999999999999</v>
      </c>
    </row>
    <row r="5504" spans="1:16">
      <c r="A5504" s="1" t="s">
        <v>5317</v>
      </c>
      <c r="B5504" s="1" t="s">
        <v>5435</v>
      </c>
      <c r="C5504" s="1" t="s">
        <v>1764</v>
      </c>
      <c r="D5504" s="1" t="s">
        <v>44</v>
      </c>
      <c r="E5504" s="1" t="s">
        <v>5322</v>
      </c>
      <c r="F5504">
        <v>6231.8640999999998</v>
      </c>
      <c r="G5504">
        <v>3999.752</v>
      </c>
      <c r="H5504">
        <v>548.49249999999995</v>
      </c>
      <c r="I5504">
        <v>134.91149999999999</v>
      </c>
      <c r="J5504">
        <v>15.1447</v>
      </c>
      <c r="K5504">
        <v>768.8931</v>
      </c>
      <c r="L5504">
        <v>5.8353000000000002</v>
      </c>
      <c r="M5504">
        <v>7.2187999999999999</v>
      </c>
      <c r="N5504">
        <v>257.58339999999998</v>
      </c>
      <c r="O5504">
        <v>11.783200000000001</v>
      </c>
      <c r="P5504">
        <v>1.7419</v>
      </c>
    </row>
    <row r="5505" spans="1:16">
      <c r="A5505" s="1" t="s">
        <v>5317</v>
      </c>
      <c r="B5505" s="1" t="s">
        <v>5436</v>
      </c>
      <c r="C5505" s="1" t="s">
        <v>1764</v>
      </c>
      <c r="D5505" s="1" t="s">
        <v>44</v>
      </c>
      <c r="E5505" s="1" t="s">
        <v>5322</v>
      </c>
      <c r="F5505">
        <v>6401.0326999999997</v>
      </c>
      <c r="G5505">
        <v>3943.5412999999999</v>
      </c>
      <c r="H5505">
        <v>508.36309999999997</v>
      </c>
      <c r="I5505">
        <v>123.1837</v>
      </c>
      <c r="J5505">
        <v>18.596800000000002</v>
      </c>
      <c r="K5505">
        <v>826.37040000000002</v>
      </c>
      <c r="L5505">
        <v>5.4505999999999997</v>
      </c>
      <c r="M5505">
        <v>5.3113999999999999</v>
      </c>
      <c r="N5505">
        <v>284.58870000000002</v>
      </c>
      <c r="O5505">
        <v>10.7112</v>
      </c>
      <c r="P5505">
        <v>1.7455000000000001</v>
      </c>
    </row>
    <row r="5506" spans="1:16">
      <c r="A5506" s="1" t="s">
        <v>5317</v>
      </c>
      <c r="B5506" s="1" t="s">
        <v>5437</v>
      </c>
      <c r="C5506" s="1" t="s">
        <v>1764</v>
      </c>
      <c r="D5506" s="1" t="s">
        <v>44</v>
      </c>
      <c r="E5506" s="1" t="s">
        <v>5322</v>
      </c>
      <c r="F5506">
        <v>6340.3392000000003</v>
      </c>
      <c r="G5506">
        <v>3877.6999000000001</v>
      </c>
      <c r="H5506">
        <v>546.57190000000003</v>
      </c>
      <c r="I5506">
        <v>124.5164</v>
      </c>
      <c r="J5506">
        <v>21.102699999999999</v>
      </c>
      <c r="K5506">
        <v>817.45910000000003</v>
      </c>
      <c r="L5506">
        <v>3.8765000000000001</v>
      </c>
      <c r="M5506">
        <v>5.1529999999999996</v>
      </c>
      <c r="N5506">
        <v>253.1962</v>
      </c>
      <c r="O5506">
        <v>11.879799999999999</v>
      </c>
      <c r="P5506">
        <v>1.6946000000000001</v>
      </c>
    </row>
    <row r="5507" spans="1:16">
      <c r="A5507" s="1" t="s">
        <v>5317</v>
      </c>
      <c r="B5507" s="1" t="s">
        <v>5438</v>
      </c>
      <c r="C5507" s="1" t="s">
        <v>1764</v>
      </c>
      <c r="D5507" s="1" t="s">
        <v>44</v>
      </c>
      <c r="E5507" s="1" t="s">
        <v>5322</v>
      </c>
      <c r="F5507">
        <v>6867.5765000000001</v>
      </c>
      <c r="G5507">
        <v>4166.8101999999999</v>
      </c>
      <c r="H5507">
        <v>562.19169999999997</v>
      </c>
      <c r="I5507">
        <v>127.645</v>
      </c>
      <c r="J5507">
        <v>31.750699999999998</v>
      </c>
      <c r="K5507">
        <v>686.27880000000005</v>
      </c>
      <c r="L5507">
        <v>5.6398999999999999</v>
      </c>
      <c r="M5507">
        <v>5.3841000000000001</v>
      </c>
      <c r="N5507">
        <v>259.25819999999999</v>
      </c>
      <c r="O5507">
        <v>11.4841</v>
      </c>
      <c r="P5507">
        <v>1.5530999999999999</v>
      </c>
    </row>
    <row r="5508" spans="1:16">
      <c r="A5508" s="1" t="s">
        <v>5317</v>
      </c>
      <c r="B5508" s="1" t="s">
        <v>5439</v>
      </c>
      <c r="C5508" s="1" t="s">
        <v>1764</v>
      </c>
      <c r="D5508" s="1" t="s">
        <v>44</v>
      </c>
      <c r="E5508" s="1" t="s">
        <v>5322</v>
      </c>
      <c r="F5508">
        <v>8505.8760000000002</v>
      </c>
      <c r="G5508">
        <v>4575.2424000000001</v>
      </c>
      <c r="H5508">
        <v>556.05960000000005</v>
      </c>
      <c r="I5508">
        <v>134.48859999999999</v>
      </c>
      <c r="J5508">
        <v>1.9782</v>
      </c>
      <c r="K5508">
        <v>809.77260000000001</v>
      </c>
      <c r="L5508">
        <v>11.824299999999999</v>
      </c>
      <c r="M5508">
        <v>5.7640000000000002</v>
      </c>
      <c r="N5508">
        <v>284.10390000000001</v>
      </c>
      <c r="O5508">
        <v>12.1151</v>
      </c>
      <c r="P5508">
        <v>1.7238</v>
      </c>
    </row>
    <row r="5509" spans="1:16">
      <c r="A5509" s="1" t="s">
        <v>5317</v>
      </c>
      <c r="B5509" s="1" t="s">
        <v>5440</v>
      </c>
      <c r="C5509" s="1" t="s">
        <v>1764</v>
      </c>
      <c r="D5509" s="1" t="s">
        <v>44</v>
      </c>
      <c r="E5509" s="1" t="s">
        <v>5322</v>
      </c>
      <c r="F5509">
        <v>7851.8352999999997</v>
      </c>
      <c r="G5509">
        <v>4365.3267999999998</v>
      </c>
      <c r="H5509">
        <v>524.09</v>
      </c>
      <c r="I5509">
        <v>126.9834</v>
      </c>
      <c r="J5509">
        <v>1.6594</v>
      </c>
      <c r="K5509">
        <v>833.22910000000002</v>
      </c>
      <c r="L5509">
        <v>7.1845999999999997</v>
      </c>
      <c r="M5509">
        <v>6.0972</v>
      </c>
      <c r="N5509">
        <v>264.0034</v>
      </c>
      <c r="O5509">
        <v>11.303599999999999</v>
      </c>
      <c r="P5509">
        <v>1.573</v>
      </c>
    </row>
    <row r="5510" spans="1:16">
      <c r="A5510" s="1" t="s">
        <v>5317</v>
      </c>
      <c r="B5510" s="1" t="s">
        <v>5441</v>
      </c>
      <c r="C5510" s="1" t="s">
        <v>1764</v>
      </c>
      <c r="D5510" s="1" t="s">
        <v>44</v>
      </c>
      <c r="E5510" s="1" t="s">
        <v>5322</v>
      </c>
      <c r="F5510">
        <v>7025.1144999999997</v>
      </c>
      <c r="G5510">
        <v>4173.3917000000001</v>
      </c>
      <c r="H5510">
        <v>507.83980000000003</v>
      </c>
      <c r="I5510">
        <v>127.43380000000001</v>
      </c>
      <c r="J5510">
        <v>1.2154</v>
      </c>
      <c r="K5510">
        <v>770.57460000000003</v>
      </c>
      <c r="L5510">
        <v>10.3263</v>
      </c>
      <c r="M5510">
        <v>5.7450000000000001</v>
      </c>
      <c r="N5510">
        <v>260.6037</v>
      </c>
      <c r="O5510">
        <v>11.7691</v>
      </c>
      <c r="P5510">
        <v>1.6418999999999999</v>
      </c>
    </row>
    <row r="5511" spans="1:16">
      <c r="A5511" s="1" t="s">
        <v>5317</v>
      </c>
      <c r="B5511" s="1" t="s">
        <v>5442</v>
      </c>
      <c r="C5511" s="1" t="s">
        <v>1764</v>
      </c>
      <c r="D5511" s="1" t="s">
        <v>44</v>
      </c>
      <c r="E5511" s="1" t="s">
        <v>5322</v>
      </c>
      <c r="F5511">
        <v>6603.9485999999997</v>
      </c>
      <c r="G5511">
        <v>4214.8371999999999</v>
      </c>
      <c r="H5511">
        <v>493.77760000000001</v>
      </c>
      <c r="I5511">
        <v>143.6114</v>
      </c>
      <c r="J5511">
        <v>9.4984999999999999</v>
      </c>
      <c r="K5511">
        <v>895.60440000000006</v>
      </c>
      <c r="L5511">
        <v>11.6698</v>
      </c>
      <c r="M5511">
        <v>6.9104999999999999</v>
      </c>
      <c r="N5511">
        <v>276.23880000000003</v>
      </c>
      <c r="O5511">
        <v>12.302199999999999</v>
      </c>
      <c r="P5511">
        <v>1.5248999999999999</v>
      </c>
    </row>
    <row r="5512" spans="1:16">
      <c r="A5512" s="1" t="s">
        <v>5317</v>
      </c>
      <c r="B5512" s="1" t="s">
        <v>5443</v>
      </c>
      <c r="C5512" s="1" t="s">
        <v>1764</v>
      </c>
      <c r="D5512" s="1" t="s">
        <v>44</v>
      </c>
      <c r="E5512" s="1" t="s">
        <v>5322</v>
      </c>
      <c r="F5512">
        <v>7708.2757000000001</v>
      </c>
      <c r="G5512">
        <v>4404.5797000000002</v>
      </c>
      <c r="H5512">
        <v>530.90639999999996</v>
      </c>
      <c r="I5512">
        <v>123.956</v>
      </c>
      <c r="J5512">
        <v>6.6094999999999997</v>
      </c>
      <c r="K5512">
        <v>853.55319999999995</v>
      </c>
      <c r="L5512">
        <v>4.7263999999999999</v>
      </c>
      <c r="M5512">
        <v>4.6490999999999998</v>
      </c>
      <c r="N5512">
        <v>257.97230000000002</v>
      </c>
      <c r="O5512">
        <v>11.6007</v>
      </c>
      <c r="P5512">
        <v>1.7605999999999999</v>
      </c>
    </row>
    <row r="5513" spans="1:16">
      <c r="A5513" s="1" t="s">
        <v>5317</v>
      </c>
      <c r="B5513" s="1" t="s">
        <v>5444</v>
      </c>
      <c r="C5513" s="1" t="s">
        <v>1764</v>
      </c>
      <c r="D5513" s="1" t="s">
        <v>44</v>
      </c>
      <c r="E5513" s="1" t="s">
        <v>5322</v>
      </c>
      <c r="F5513">
        <v>6712.4588000000003</v>
      </c>
      <c r="G5513">
        <v>4431.4058999999997</v>
      </c>
      <c r="H5513">
        <v>531.84960000000001</v>
      </c>
      <c r="I5513">
        <v>128.60300000000001</v>
      </c>
      <c r="J5513">
        <v>6.9870000000000001</v>
      </c>
      <c r="K5513">
        <v>819.53459999999995</v>
      </c>
      <c r="L5513">
        <v>5.5738000000000003</v>
      </c>
      <c r="M5513">
        <v>6.9145000000000003</v>
      </c>
      <c r="N5513">
        <v>278.49169999999998</v>
      </c>
      <c r="O5513">
        <v>12.3644</v>
      </c>
      <c r="P5513">
        <v>1.8113999999999999</v>
      </c>
    </row>
    <row r="5514" spans="1:16">
      <c r="A5514" s="1" t="s">
        <v>5317</v>
      </c>
      <c r="B5514" s="1" t="s">
        <v>5445</v>
      </c>
      <c r="C5514" s="1" t="s">
        <v>1764</v>
      </c>
      <c r="D5514" s="1" t="s">
        <v>44</v>
      </c>
      <c r="E5514" s="1" t="s">
        <v>5322</v>
      </c>
      <c r="F5514">
        <v>6372.3481000000002</v>
      </c>
      <c r="G5514">
        <v>3819.3404</v>
      </c>
      <c r="H5514">
        <v>528.89059999999995</v>
      </c>
      <c r="I5514">
        <v>129.32159999999999</v>
      </c>
      <c r="J5514">
        <v>11.0527</v>
      </c>
      <c r="K5514">
        <v>857.53679999999997</v>
      </c>
      <c r="L5514">
        <v>4.3441000000000001</v>
      </c>
      <c r="M5514">
        <v>4.9714999999999998</v>
      </c>
      <c r="N5514">
        <v>247.8306</v>
      </c>
      <c r="O5514">
        <v>11.196199999999999</v>
      </c>
      <c r="P5514">
        <v>1.8051999999999999</v>
      </c>
    </row>
    <row r="5515" spans="1:16">
      <c r="A5515" s="1" t="s">
        <v>5317</v>
      </c>
      <c r="B5515" s="1" t="s">
        <v>5446</v>
      </c>
      <c r="C5515" s="1" t="s">
        <v>1764</v>
      </c>
      <c r="D5515" s="1" t="s">
        <v>44</v>
      </c>
      <c r="E5515" s="1" t="s">
        <v>5322</v>
      </c>
      <c r="F5515">
        <v>7657.9582</v>
      </c>
      <c r="G5515">
        <v>4197.2170999999998</v>
      </c>
      <c r="H5515">
        <v>514.41520000000003</v>
      </c>
      <c r="I5515">
        <v>125.6981</v>
      </c>
      <c r="J5515">
        <v>6.4382000000000001</v>
      </c>
      <c r="K5515">
        <v>831.97990000000004</v>
      </c>
      <c r="L5515">
        <v>4.1718999999999999</v>
      </c>
      <c r="M5515">
        <v>4.9568000000000003</v>
      </c>
      <c r="N5515">
        <v>253.86439999999999</v>
      </c>
      <c r="O5515">
        <v>10.5383</v>
      </c>
      <c r="P5515">
        <v>1.3980999999999999</v>
      </c>
    </row>
    <row r="5516" spans="1:16">
      <c r="A5516" s="1" t="s">
        <v>5317</v>
      </c>
      <c r="B5516" s="1" t="s">
        <v>5447</v>
      </c>
      <c r="C5516" s="1" t="s">
        <v>1764</v>
      </c>
      <c r="D5516" s="1" t="s">
        <v>44</v>
      </c>
      <c r="E5516" s="1" t="s">
        <v>5322</v>
      </c>
      <c r="F5516">
        <v>6618.9085999999998</v>
      </c>
      <c r="G5516">
        <v>3867.0592000000001</v>
      </c>
      <c r="H5516">
        <v>533.03579999999999</v>
      </c>
      <c r="I5516">
        <v>138.73740000000001</v>
      </c>
      <c r="J5516">
        <v>8.7604000000000006</v>
      </c>
      <c r="K5516">
        <v>849.93700000000001</v>
      </c>
      <c r="L5516">
        <v>4.7877000000000001</v>
      </c>
      <c r="M5516">
        <v>5.7617000000000003</v>
      </c>
      <c r="N5516">
        <v>241.65549999999999</v>
      </c>
      <c r="O5516">
        <v>11.742900000000001</v>
      </c>
      <c r="P5516">
        <v>1.7214</v>
      </c>
    </row>
    <row r="5517" spans="1:16">
      <c r="A5517" s="1" t="s">
        <v>5317</v>
      </c>
      <c r="B5517" s="1" t="s">
        <v>5448</v>
      </c>
      <c r="C5517" s="1" t="s">
        <v>1764</v>
      </c>
      <c r="D5517" s="1" t="s">
        <v>44</v>
      </c>
      <c r="E5517" s="1" t="s">
        <v>5322</v>
      </c>
      <c r="F5517">
        <v>7387.8926000000001</v>
      </c>
      <c r="G5517">
        <v>3748.6759999999999</v>
      </c>
      <c r="H5517">
        <v>464.565</v>
      </c>
      <c r="I5517">
        <v>120.5791</v>
      </c>
      <c r="J5517">
        <v>1.0808</v>
      </c>
      <c r="K5517">
        <v>779.35910000000001</v>
      </c>
      <c r="L5517">
        <v>10.597</v>
      </c>
      <c r="M5517">
        <v>5.7736999999999998</v>
      </c>
      <c r="N5517">
        <v>273.64010000000002</v>
      </c>
      <c r="O5517">
        <v>11.7272</v>
      </c>
      <c r="P5517">
        <v>1.7194</v>
      </c>
    </row>
    <row r="5518" spans="1:16">
      <c r="A5518" s="1" t="s">
        <v>5317</v>
      </c>
      <c r="B5518" s="1" t="s">
        <v>5449</v>
      </c>
      <c r="C5518" s="1" t="s">
        <v>1764</v>
      </c>
      <c r="D5518" s="1" t="s">
        <v>44</v>
      </c>
      <c r="E5518" s="1" t="s">
        <v>5322</v>
      </c>
      <c r="F5518">
        <v>7288.5155999999997</v>
      </c>
      <c r="G5518">
        <v>3816.1923000000002</v>
      </c>
      <c r="H5518">
        <v>482.79899999999998</v>
      </c>
      <c r="I5518">
        <v>128.68109999999999</v>
      </c>
      <c r="J5518">
        <v>2.8275999999999999</v>
      </c>
      <c r="K5518">
        <v>793.97730000000001</v>
      </c>
      <c r="L5518">
        <v>10.7685</v>
      </c>
      <c r="M5518">
        <v>5.7473999999999998</v>
      </c>
      <c r="N5518">
        <v>275.72500000000002</v>
      </c>
      <c r="O5518">
        <v>11.0793</v>
      </c>
      <c r="P5518">
        <v>1.7604</v>
      </c>
    </row>
    <row r="5519" spans="1:16">
      <c r="A5519" s="1" t="s">
        <v>5317</v>
      </c>
      <c r="B5519" s="1" t="s">
        <v>5450</v>
      </c>
      <c r="C5519" s="1" t="s">
        <v>1764</v>
      </c>
      <c r="D5519" s="1" t="s">
        <v>44</v>
      </c>
      <c r="E5519" s="1" t="s">
        <v>5322</v>
      </c>
      <c r="F5519">
        <v>8441.6182000000008</v>
      </c>
      <c r="G5519">
        <v>3424.2447000000002</v>
      </c>
      <c r="H5519">
        <v>474.52629999999999</v>
      </c>
      <c r="I5519">
        <v>134.44390000000001</v>
      </c>
      <c r="J5519">
        <v>2.5148000000000001</v>
      </c>
      <c r="K5519">
        <v>833.98350000000005</v>
      </c>
      <c r="L5519">
        <v>9.9402000000000008</v>
      </c>
      <c r="M5519">
        <v>6.1764000000000001</v>
      </c>
      <c r="N5519">
        <v>263.87099999999998</v>
      </c>
      <c r="O5519">
        <v>10.8714</v>
      </c>
      <c r="P5519">
        <v>1.6004</v>
      </c>
    </row>
    <row r="5520" spans="1:16">
      <c r="A5520" s="1" t="s">
        <v>5317</v>
      </c>
      <c r="B5520" s="1" t="s">
        <v>5451</v>
      </c>
      <c r="C5520" s="1" t="s">
        <v>1764</v>
      </c>
      <c r="D5520" s="1" t="s">
        <v>44</v>
      </c>
      <c r="E5520" s="1" t="s">
        <v>5322</v>
      </c>
      <c r="F5520">
        <v>7622.5048999999999</v>
      </c>
      <c r="G5520">
        <v>3601.7501000000002</v>
      </c>
      <c r="H5520">
        <v>475.27690000000001</v>
      </c>
      <c r="I5520">
        <v>129.04230000000001</v>
      </c>
      <c r="J5520">
        <v>3.4801000000000002</v>
      </c>
      <c r="K5520">
        <v>788.38120000000004</v>
      </c>
      <c r="L5520">
        <v>10.270200000000001</v>
      </c>
      <c r="M5520">
        <v>5.9173999999999998</v>
      </c>
      <c r="N5520">
        <v>260.13679999999999</v>
      </c>
      <c r="O5520">
        <v>11.4391</v>
      </c>
      <c r="P5520">
        <v>1.6613</v>
      </c>
    </row>
    <row r="5521" spans="1:16">
      <c r="A5521" s="1" t="s">
        <v>5317</v>
      </c>
      <c r="B5521" s="1" t="s">
        <v>5452</v>
      </c>
      <c r="C5521" s="1" t="s">
        <v>1764</v>
      </c>
      <c r="D5521" s="1" t="s">
        <v>44</v>
      </c>
      <c r="E5521" s="1" t="s">
        <v>5322</v>
      </c>
      <c r="F5521">
        <v>7900.9344000000001</v>
      </c>
      <c r="G5521">
        <v>3688.3440999999998</v>
      </c>
      <c r="H5521">
        <v>508.596</v>
      </c>
      <c r="I5521">
        <v>140.16589999999999</v>
      </c>
      <c r="J5521">
        <v>56.741999999999997</v>
      </c>
      <c r="K5521">
        <v>841.80830000000003</v>
      </c>
      <c r="L5521">
        <v>12.001899999999999</v>
      </c>
      <c r="M5521">
        <v>6.7409999999999997</v>
      </c>
      <c r="N5521">
        <v>278.13600000000002</v>
      </c>
      <c r="O5521">
        <v>11.783200000000001</v>
      </c>
      <c r="P5521">
        <v>1.6975</v>
      </c>
    </row>
    <row r="5522" spans="1:16">
      <c r="A5522" s="1" t="s">
        <v>5317</v>
      </c>
      <c r="B5522" s="1" t="s">
        <v>5453</v>
      </c>
      <c r="C5522" s="1" t="s">
        <v>1764</v>
      </c>
      <c r="D5522" s="1" t="s">
        <v>44</v>
      </c>
      <c r="E5522" s="1" t="s">
        <v>5322</v>
      </c>
      <c r="F5522">
        <v>2315.0201000000002</v>
      </c>
      <c r="G5522">
        <v>8002.1275999999998</v>
      </c>
      <c r="H5522">
        <v>490.0643</v>
      </c>
      <c r="I5522">
        <v>50.878</v>
      </c>
      <c r="J5522">
        <v>6.3578999999999999</v>
      </c>
      <c r="K5522">
        <v>4627.0240999999996</v>
      </c>
      <c r="L5522">
        <v>16.2957</v>
      </c>
      <c r="M5522">
        <v>3.2982999999999998</v>
      </c>
      <c r="N5522">
        <v>741.03129999999999</v>
      </c>
      <c r="O5522">
        <v>4.5621999999999998</v>
      </c>
      <c r="P5522">
        <v>3.9487000000000001</v>
      </c>
    </row>
    <row r="5523" spans="1:16">
      <c r="A5523" s="1" t="s">
        <v>5317</v>
      </c>
      <c r="B5523" s="1" t="s">
        <v>5454</v>
      </c>
      <c r="C5523" s="1" t="s">
        <v>1764</v>
      </c>
      <c r="D5523" s="1" t="s">
        <v>44</v>
      </c>
      <c r="E5523" s="1" t="s">
        <v>5322</v>
      </c>
      <c r="F5523">
        <v>1361.7055</v>
      </c>
      <c r="G5523">
        <v>3893.7658999999999</v>
      </c>
      <c r="H5523">
        <v>410.2235</v>
      </c>
      <c r="I5523">
        <v>41.6723</v>
      </c>
      <c r="J5523">
        <v>18.0975</v>
      </c>
      <c r="K5523">
        <v>3036.2874000000002</v>
      </c>
      <c r="L5523">
        <v>9.4189000000000007</v>
      </c>
      <c r="M5523">
        <v>3.5028000000000001</v>
      </c>
      <c r="N5523">
        <v>410.6936</v>
      </c>
      <c r="O5523">
        <v>3.7753999999999999</v>
      </c>
      <c r="P5523">
        <v>3.3454999999999999</v>
      </c>
    </row>
    <row r="5524" spans="1:16">
      <c r="A5524" s="1" t="s">
        <v>5317</v>
      </c>
      <c r="B5524" s="1" t="s">
        <v>5455</v>
      </c>
      <c r="C5524" s="1" t="s">
        <v>1764</v>
      </c>
      <c r="D5524" s="1" t="s">
        <v>44</v>
      </c>
      <c r="E5524" s="1" t="s">
        <v>5322</v>
      </c>
      <c r="F5524">
        <v>1344.904</v>
      </c>
      <c r="G5524">
        <v>6685.0730999999996</v>
      </c>
      <c r="H5524">
        <v>852.54169999999999</v>
      </c>
      <c r="I5524">
        <v>56.159500000000001</v>
      </c>
      <c r="J5524">
        <v>92.186499999999995</v>
      </c>
      <c r="K5524">
        <v>2961.7782000000002</v>
      </c>
      <c r="L5524">
        <v>16.3306</v>
      </c>
      <c r="M5524">
        <v>6.3834</v>
      </c>
      <c r="N5524">
        <v>409.4393</v>
      </c>
      <c r="O5524">
        <v>4.1128</v>
      </c>
      <c r="P5524">
        <v>6.4954000000000001</v>
      </c>
    </row>
    <row r="5525" spans="1:16">
      <c r="A5525" s="1" t="s">
        <v>5317</v>
      </c>
      <c r="B5525" s="1" t="s">
        <v>5456</v>
      </c>
      <c r="C5525" s="1" t="s">
        <v>1764</v>
      </c>
      <c r="D5525" s="1" t="s">
        <v>44</v>
      </c>
      <c r="E5525" s="1" t="s">
        <v>5322</v>
      </c>
      <c r="F5525">
        <v>1969.3798999999999</v>
      </c>
      <c r="G5525">
        <v>8450.7803000000004</v>
      </c>
      <c r="H5525">
        <v>351.9477</v>
      </c>
      <c r="I5525">
        <v>34.409599999999998</v>
      </c>
      <c r="J5525">
        <v>14.763</v>
      </c>
      <c r="K5525">
        <v>3917.8193999999999</v>
      </c>
      <c r="L5525">
        <v>21.650400000000001</v>
      </c>
      <c r="M5525">
        <v>2.3923999999999999</v>
      </c>
      <c r="N5525">
        <v>723.42330000000004</v>
      </c>
      <c r="O5525">
        <v>4.9710999999999999</v>
      </c>
      <c r="P5525">
        <v>4.3836000000000004</v>
      </c>
    </row>
    <row r="5526" spans="1:16">
      <c r="A5526" s="1" t="s">
        <v>5317</v>
      </c>
      <c r="B5526" s="1" t="s">
        <v>5457</v>
      </c>
      <c r="C5526" s="1" t="s">
        <v>1764</v>
      </c>
      <c r="D5526" s="1" t="s">
        <v>44</v>
      </c>
      <c r="E5526" s="1" t="s">
        <v>5322</v>
      </c>
      <c r="F5526">
        <v>2415.2979</v>
      </c>
      <c r="G5526">
        <v>6284.0771000000004</v>
      </c>
      <c r="H5526">
        <v>754.84960000000001</v>
      </c>
      <c r="I5526">
        <v>46.598399999999998</v>
      </c>
      <c r="J5526">
        <v>43.480200000000004</v>
      </c>
      <c r="K5526">
        <v>2230.1021000000001</v>
      </c>
      <c r="L5526">
        <v>11.432600000000001</v>
      </c>
      <c r="M5526">
        <v>6.3765999999999998</v>
      </c>
      <c r="N5526">
        <v>463.47390000000001</v>
      </c>
      <c r="O5526">
        <v>3.5973999999999999</v>
      </c>
      <c r="P5526">
        <v>5.1220999999999997</v>
      </c>
    </row>
    <row r="5527" spans="1:16">
      <c r="A5527" s="1" t="s">
        <v>5317</v>
      </c>
      <c r="B5527" s="1" t="s">
        <v>5458</v>
      </c>
      <c r="C5527" s="1" t="s">
        <v>1764</v>
      </c>
      <c r="D5527" s="1" t="s">
        <v>44</v>
      </c>
      <c r="E5527" s="1" t="s">
        <v>5322</v>
      </c>
      <c r="F5527">
        <v>2864.0855000000001</v>
      </c>
      <c r="G5527">
        <v>12334.2989</v>
      </c>
      <c r="H5527">
        <v>770.94709999999998</v>
      </c>
      <c r="I5527">
        <v>27.892800000000001</v>
      </c>
      <c r="J5527">
        <v>25.817299999999999</v>
      </c>
      <c r="K5527">
        <v>2474.0643</v>
      </c>
      <c r="L5527">
        <v>17.398099999999999</v>
      </c>
      <c r="M5527">
        <v>3.3159999999999998</v>
      </c>
      <c r="N5527">
        <v>1394.7112999999999</v>
      </c>
      <c r="O5527">
        <v>4.2042000000000002</v>
      </c>
      <c r="P5527">
        <v>10.554399999999999</v>
      </c>
    </row>
    <row r="5528" spans="1:16">
      <c r="A5528" s="1" t="s">
        <v>5317</v>
      </c>
      <c r="B5528" s="1" t="s">
        <v>5459</v>
      </c>
      <c r="C5528" s="1" t="s">
        <v>1764</v>
      </c>
      <c r="D5528" s="1" t="s">
        <v>44</v>
      </c>
      <c r="E5528" s="1" t="s">
        <v>5322</v>
      </c>
      <c r="F5528">
        <v>1982.3381999999999</v>
      </c>
      <c r="G5528">
        <v>8537.7916000000005</v>
      </c>
      <c r="H5528">
        <v>379.91829999999999</v>
      </c>
      <c r="I5528">
        <v>29.0197</v>
      </c>
      <c r="J5528">
        <v>9.7123000000000008</v>
      </c>
      <c r="K5528">
        <v>3643.4580000000001</v>
      </c>
      <c r="L5528">
        <v>15.7889</v>
      </c>
      <c r="M5528">
        <v>4.8754</v>
      </c>
      <c r="N5528">
        <v>888.44839999999999</v>
      </c>
      <c r="O5528">
        <v>4.2217000000000002</v>
      </c>
      <c r="P5528">
        <v>5.1417000000000002</v>
      </c>
    </row>
    <row r="5529" spans="1:16">
      <c r="A5529" s="1" t="s">
        <v>5317</v>
      </c>
      <c r="B5529" s="1" t="s">
        <v>5460</v>
      </c>
      <c r="C5529" s="1" t="s">
        <v>1764</v>
      </c>
      <c r="D5529" s="1" t="s">
        <v>44</v>
      </c>
      <c r="E5529" s="1" t="s">
        <v>5322</v>
      </c>
      <c r="F5529">
        <v>3099.9144999999999</v>
      </c>
      <c r="G5529">
        <v>6568.5129999999999</v>
      </c>
      <c r="H5529">
        <v>892.80399999999997</v>
      </c>
      <c r="I5529">
        <v>34.740099999999998</v>
      </c>
      <c r="J5529">
        <v>30.258500000000002</v>
      </c>
      <c r="K5529">
        <v>2273.5859</v>
      </c>
      <c r="L5529">
        <v>13.065</v>
      </c>
      <c r="M5529">
        <v>4.4791999999999996</v>
      </c>
      <c r="N5529">
        <v>722.4914</v>
      </c>
      <c r="O5529">
        <v>4.2374000000000001</v>
      </c>
      <c r="P5529">
        <v>6.5887000000000002</v>
      </c>
    </row>
    <row r="5530" spans="1:16">
      <c r="A5530" s="1" t="s">
        <v>5317</v>
      </c>
      <c r="B5530" s="1" t="s">
        <v>5461</v>
      </c>
      <c r="C5530" s="1" t="s">
        <v>1764</v>
      </c>
      <c r="D5530" s="1" t="s">
        <v>44</v>
      </c>
      <c r="E5530" s="1" t="s">
        <v>5322</v>
      </c>
      <c r="F5530">
        <v>2104.6895</v>
      </c>
      <c r="G5530">
        <v>9323.0972000000002</v>
      </c>
      <c r="H5530">
        <v>744.0933</v>
      </c>
      <c r="I5530">
        <v>24.1295</v>
      </c>
      <c r="J5530">
        <v>19.626899999999999</v>
      </c>
      <c r="K5530">
        <v>2236.9686000000002</v>
      </c>
      <c r="L5530">
        <v>14.563499999999999</v>
      </c>
      <c r="M5530">
        <v>5.2409999999999997</v>
      </c>
      <c r="N5530">
        <v>804.20780000000002</v>
      </c>
      <c r="O5530">
        <v>4.0054999999999996</v>
      </c>
      <c r="P5530">
        <v>8.5934000000000008</v>
      </c>
    </row>
    <row r="5531" spans="1:16">
      <c r="A5531" s="1" t="s">
        <v>5317</v>
      </c>
      <c r="B5531" s="1" t="s">
        <v>5462</v>
      </c>
      <c r="C5531" s="1" t="s">
        <v>1764</v>
      </c>
      <c r="D5531" s="1" t="s">
        <v>44</v>
      </c>
      <c r="E5531" s="1" t="s">
        <v>5322</v>
      </c>
      <c r="F5531">
        <v>1871.0241000000001</v>
      </c>
      <c r="G5531">
        <v>9931.7150000000001</v>
      </c>
      <c r="H5531">
        <v>618.14840000000004</v>
      </c>
      <c r="I5531">
        <v>50.94</v>
      </c>
      <c r="J5531">
        <v>4.1970999999999998</v>
      </c>
      <c r="K5531">
        <v>3447.3559</v>
      </c>
      <c r="L5531">
        <v>25.178000000000001</v>
      </c>
      <c r="M5531">
        <v>5.1449999999999996</v>
      </c>
      <c r="N5531">
        <v>641.84040000000005</v>
      </c>
      <c r="O5531">
        <v>5.0301999999999998</v>
      </c>
      <c r="P5531">
        <v>7.8581000000000003</v>
      </c>
    </row>
    <row r="5532" spans="1:16">
      <c r="A5532" s="1" t="s">
        <v>5317</v>
      </c>
      <c r="B5532" s="1" t="s">
        <v>5463</v>
      </c>
      <c r="C5532" s="1" t="s">
        <v>1764</v>
      </c>
      <c r="D5532" s="1" t="s">
        <v>44</v>
      </c>
      <c r="E5532" s="1" t="s">
        <v>5322</v>
      </c>
      <c r="F5532">
        <v>1539.0621000000001</v>
      </c>
      <c r="G5532">
        <v>4812.7907999999998</v>
      </c>
      <c r="H5532">
        <v>646.92139999999995</v>
      </c>
      <c r="I5532">
        <v>12.634600000000001</v>
      </c>
      <c r="J5532">
        <v>18.380500000000001</v>
      </c>
      <c r="K5532">
        <v>2552.6727999999998</v>
      </c>
      <c r="L5532">
        <v>10.3329</v>
      </c>
      <c r="M5532">
        <v>4.8715999999999999</v>
      </c>
      <c r="N5532">
        <v>693.19110000000001</v>
      </c>
      <c r="O5532">
        <v>2.7793999999999999</v>
      </c>
      <c r="P5532">
        <v>7.2942</v>
      </c>
    </row>
    <row r="5533" spans="1:16">
      <c r="A5533" s="1" t="s">
        <v>5317</v>
      </c>
      <c r="B5533" s="1" t="s">
        <v>5464</v>
      </c>
      <c r="C5533" s="1" t="s">
        <v>1764</v>
      </c>
      <c r="D5533" s="1" t="s">
        <v>44</v>
      </c>
      <c r="E5533" s="1" t="s">
        <v>5322</v>
      </c>
      <c r="F5533">
        <v>4319.9071000000004</v>
      </c>
      <c r="G5533">
        <v>7665.4566000000004</v>
      </c>
      <c r="H5533">
        <v>891.26350000000002</v>
      </c>
      <c r="I5533">
        <v>5.4126000000000003</v>
      </c>
      <c r="J5533">
        <v>3.9241000000000001</v>
      </c>
      <c r="K5533">
        <v>5597.2366000000002</v>
      </c>
      <c r="L5533">
        <v>14.4902</v>
      </c>
      <c r="M5533">
        <v>4.6508000000000003</v>
      </c>
      <c r="N5533">
        <v>874.89859999999999</v>
      </c>
      <c r="O5533">
        <v>3.6351</v>
      </c>
      <c r="P5533">
        <v>25.863099999999999</v>
      </c>
    </row>
    <row r="5534" spans="1:16">
      <c r="A5534" s="1" t="s">
        <v>5317</v>
      </c>
      <c r="B5534" s="1" t="s">
        <v>5465</v>
      </c>
      <c r="C5534" s="1" t="s">
        <v>1764</v>
      </c>
      <c r="D5534" s="1" t="s">
        <v>44</v>
      </c>
      <c r="E5534" s="1" t="s">
        <v>5322</v>
      </c>
      <c r="F5534">
        <v>2730.6419000000001</v>
      </c>
      <c r="G5534">
        <v>7660.8716999999997</v>
      </c>
      <c r="H5534">
        <v>1105.3982000000001</v>
      </c>
      <c r="I5534">
        <v>18.232500000000002</v>
      </c>
      <c r="J5534">
        <v>16.0486</v>
      </c>
      <c r="K5534">
        <v>5534.2110000000002</v>
      </c>
      <c r="L5534">
        <v>22.058299999999999</v>
      </c>
      <c r="M5534">
        <v>4.3273000000000001</v>
      </c>
      <c r="N5534">
        <v>611.6318</v>
      </c>
      <c r="O5534">
        <v>3.4765999999999999</v>
      </c>
      <c r="P5534">
        <v>13.8705</v>
      </c>
    </row>
    <row r="5535" spans="1:16">
      <c r="A5535" s="1" t="s">
        <v>5317</v>
      </c>
      <c r="B5535" s="1" t="s">
        <v>5466</v>
      </c>
      <c r="C5535" s="1" t="s">
        <v>1764</v>
      </c>
      <c r="D5535" s="1" t="s">
        <v>44</v>
      </c>
      <c r="E5535" s="1" t="s">
        <v>5322</v>
      </c>
      <c r="F5535">
        <v>2189.9158000000002</v>
      </c>
      <c r="G5535">
        <v>6145.8379999999997</v>
      </c>
      <c r="H5535">
        <v>679.81650000000002</v>
      </c>
      <c r="I5535">
        <v>4.4526000000000003</v>
      </c>
      <c r="J5535">
        <v>6.6695000000000002</v>
      </c>
      <c r="K5535">
        <v>2657.6988999999999</v>
      </c>
      <c r="L5535">
        <v>7.6554000000000002</v>
      </c>
      <c r="M5535">
        <v>3.4415</v>
      </c>
      <c r="N5535">
        <v>777.86590000000001</v>
      </c>
      <c r="O5535">
        <v>2.5886999999999998</v>
      </c>
      <c r="P5535">
        <v>19.586300000000001</v>
      </c>
    </row>
    <row r="5536" spans="1:16">
      <c r="A5536" s="1" t="s">
        <v>5317</v>
      </c>
      <c r="B5536" s="1" t="s">
        <v>5467</v>
      </c>
      <c r="C5536" s="1" t="s">
        <v>1764</v>
      </c>
      <c r="D5536" s="1" t="s">
        <v>44</v>
      </c>
      <c r="E5536" s="1" t="s">
        <v>5322</v>
      </c>
      <c r="F5536">
        <v>2906.9317999999998</v>
      </c>
      <c r="G5536">
        <v>6125.2303000000002</v>
      </c>
      <c r="H5536">
        <v>813.04930000000002</v>
      </c>
      <c r="I5536">
        <v>6.9484000000000004</v>
      </c>
      <c r="J5536">
        <v>15.7127</v>
      </c>
      <c r="K5536">
        <v>3693.0859999999998</v>
      </c>
      <c r="L5536">
        <v>11.9468</v>
      </c>
      <c r="M5536">
        <v>4.9511000000000003</v>
      </c>
      <c r="N5536">
        <v>848.98310000000004</v>
      </c>
      <c r="O5536">
        <v>3.3828999999999998</v>
      </c>
      <c r="P5536">
        <v>18.733000000000001</v>
      </c>
    </row>
    <row r="5537" spans="1:16">
      <c r="A5537" s="1" t="s">
        <v>5317</v>
      </c>
      <c r="B5537" s="1" t="s">
        <v>5468</v>
      </c>
      <c r="C5537" s="1" t="s">
        <v>1764</v>
      </c>
      <c r="D5537" s="1" t="s">
        <v>44</v>
      </c>
      <c r="E5537" s="1" t="s">
        <v>5322</v>
      </c>
      <c r="F5537">
        <v>3269.0888</v>
      </c>
      <c r="G5537">
        <v>10763.9537</v>
      </c>
      <c r="H5537">
        <v>863.99019999999996</v>
      </c>
      <c r="I5537">
        <v>76.172899999999998</v>
      </c>
      <c r="J5537">
        <v>195.5051</v>
      </c>
      <c r="K5537">
        <v>3143.9449</v>
      </c>
      <c r="L5537">
        <v>21.440999999999999</v>
      </c>
      <c r="M5537">
        <v>6.4420000000000002</v>
      </c>
      <c r="N5537">
        <v>1208.3208</v>
      </c>
      <c r="O5537">
        <v>5.6607000000000003</v>
      </c>
      <c r="P5537">
        <v>26.8398</v>
      </c>
    </row>
    <row r="5538" spans="1:16">
      <c r="A5538" s="1" t="s">
        <v>5317</v>
      </c>
      <c r="B5538" s="1" t="s">
        <v>5469</v>
      </c>
      <c r="C5538" s="1" t="s">
        <v>1764</v>
      </c>
      <c r="D5538" s="1" t="s">
        <v>44</v>
      </c>
      <c r="E5538" s="1" t="s">
        <v>5322</v>
      </c>
      <c r="F5538">
        <v>3855.5448999999999</v>
      </c>
      <c r="G5538">
        <v>8811.1954000000005</v>
      </c>
      <c r="H5538">
        <v>684.02670000000001</v>
      </c>
      <c r="I5538">
        <v>7.7342000000000004</v>
      </c>
      <c r="J5538">
        <v>6.2743000000000002</v>
      </c>
      <c r="K5538">
        <v>3576.9151999999999</v>
      </c>
      <c r="L5538">
        <v>21.560400000000001</v>
      </c>
      <c r="M5538">
        <v>4.6894999999999998</v>
      </c>
      <c r="N5538">
        <v>771.24699999999996</v>
      </c>
      <c r="O5538">
        <v>5.5618999999999996</v>
      </c>
      <c r="P5538">
        <v>34.375</v>
      </c>
    </row>
    <row r="5539" spans="1:16">
      <c r="A5539" s="1" t="s">
        <v>5317</v>
      </c>
      <c r="B5539" s="1" t="s">
        <v>5470</v>
      </c>
      <c r="C5539" s="1" t="s">
        <v>1764</v>
      </c>
      <c r="D5539" s="1" t="s">
        <v>44</v>
      </c>
      <c r="E5539" s="1" t="s">
        <v>5322</v>
      </c>
      <c r="F5539">
        <v>3043.4947999999999</v>
      </c>
      <c r="G5539">
        <v>11054.252399999999</v>
      </c>
      <c r="H5539">
        <v>801.59950000000003</v>
      </c>
      <c r="I5539">
        <v>9.1677999999999997</v>
      </c>
      <c r="J5539">
        <v>11.437900000000001</v>
      </c>
      <c r="K5539">
        <v>3892.6374000000001</v>
      </c>
      <c r="L5539">
        <v>23.744299999999999</v>
      </c>
      <c r="M5539">
        <v>6.1607000000000003</v>
      </c>
      <c r="N5539">
        <v>1068.2376999999999</v>
      </c>
      <c r="O5539">
        <v>5.2584999999999997</v>
      </c>
      <c r="P5539">
        <v>17.380199999999999</v>
      </c>
    </row>
    <row r="5540" spans="1:16">
      <c r="A5540" s="1" t="s">
        <v>5317</v>
      </c>
      <c r="B5540" s="1" t="s">
        <v>5471</v>
      </c>
      <c r="C5540" s="1" t="s">
        <v>1764</v>
      </c>
      <c r="D5540" s="1" t="s">
        <v>44</v>
      </c>
      <c r="E5540" s="1" t="s">
        <v>5322</v>
      </c>
      <c r="F5540">
        <v>3339.3638000000001</v>
      </c>
      <c r="G5540">
        <v>11096.373299999999</v>
      </c>
      <c r="H5540">
        <v>1230.6958</v>
      </c>
      <c r="I5540">
        <v>43.880800000000001</v>
      </c>
      <c r="J5540">
        <v>19.653400000000001</v>
      </c>
      <c r="K5540">
        <v>2773.5304000000001</v>
      </c>
      <c r="L5540">
        <v>18.054500000000001</v>
      </c>
      <c r="M5540">
        <v>5.5719000000000003</v>
      </c>
      <c r="N5540">
        <v>1032.6626000000001</v>
      </c>
      <c r="O5540">
        <v>5.0949999999999998</v>
      </c>
      <c r="P5540">
        <v>11.1562</v>
      </c>
    </row>
    <row r="5541" spans="1:16">
      <c r="A5541" s="1" t="s">
        <v>5317</v>
      </c>
      <c r="B5541" s="1" t="s">
        <v>5472</v>
      </c>
      <c r="C5541" s="1" t="s">
        <v>1764</v>
      </c>
      <c r="D5541" s="1" t="s">
        <v>44</v>
      </c>
      <c r="E5541" s="1" t="s">
        <v>5322</v>
      </c>
      <c r="F5541">
        <v>2801.6648</v>
      </c>
      <c r="G5541">
        <v>9505.6368999999995</v>
      </c>
      <c r="H5541">
        <v>516.83309999999994</v>
      </c>
      <c r="I5541">
        <v>27.585999999999999</v>
      </c>
      <c r="J5541">
        <v>3.9386999999999999</v>
      </c>
      <c r="K5541">
        <v>4309.6504999999997</v>
      </c>
      <c r="L5541">
        <v>22.501100000000001</v>
      </c>
      <c r="M5541">
        <v>3.9270999999999998</v>
      </c>
      <c r="N5541">
        <v>766.65549999999996</v>
      </c>
      <c r="O5541">
        <v>5.3875999999999999</v>
      </c>
      <c r="P5541">
        <v>7.1684000000000001</v>
      </c>
    </row>
    <row r="5542" spans="1:16">
      <c r="A5542" s="1" t="s">
        <v>5317</v>
      </c>
      <c r="B5542" s="1" t="s">
        <v>5473</v>
      </c>
      <c r="C5542" s="1" t="s">
        <v>1764</v>
      </c>
      <c r="D5542" s="1" t="s">
        <v>44</v>
      </c>
      <c r="E5542" s="1" t="s">
        <v>5322</v>
      </c>
      <c r="F5542">
        <v>3004.8665000000001</v>
      </c>
      <c r="G5542">
        <v>11406.190399999999</v>
      </c>
      <c r="H5542">
        <v>476.22660000000002</v>
      </c>
      <c r="I5542">
        <v>34.828000000000003</v>
      </c>
      <c r="J5542">
        <v>3.742</v>
      </c>
      <c r="K5542">
        <v>5899.4023999999999</v>
      </c>
      <c r="L5542">
        <v>27.4572</v>
      </c>
      <c r="M5542">
        <v>6.6241000000000003</v>
      </c>
      <c r="N5542">
        <v>965.00250000000005</v>
      </c>
      <c r="O5542">
        <v>4.8327999999999998</v>
      </c>
      <c r="P5542">
        <v>7.0037000000000003</v>
      </c>
    </row>
    <row r="5543" spans="1:16">
      <c r="A5543" s="1" t="s">
        <v>5317</v>
      </c>
      <c r="B5543" s="1" t="s">
        <v>5474</v>
      </c>
      <c r="C5543" s="1" t="s">
        <v>1764</v>
      </c>
      <c r="D5543" s="1" t="s">
        <v>44</v>
      </c>
      <c r="E5543" s="1" t="s">
        <v>5322</v>
      </c>
      <c r="F5543">
        <v>3492.0706</v>
      </c>
      <c r="G5543">
        <v>5420.4445999999998</v>
      </c>
      <c r="H5543">
        <v>288.56049999999999</v>
      </c>
      <c r="I5543">
        <v>2.9916999999999998</v>
      </c>
      <c r="J5543">
        <v>3.0619999999999998</v>
      </c>
      <c r="K5543">
        <v>4480.3924999999999</v>
      </c>
      <c r="L5543">
        <v>10.132099999999999</v>
      </c>
      <c r="M5543">
        <v>3.7709999999999999</v>
      </c>
      <c r="N5543">
        <v>711.49329999999998</v>
      </c>
      <c r="O5543">
        <v>3.0472999999999999</v>
      </c>
      <c r="P5543">
        <v>32.802</v>
      </c>
    </row>
    <row r="5544" spans="1:16">
      <c r="A5544" s="1" t="s">
        <v>5317</v>
      </c>
      <c r="B5544" s="1" t="s">
        <v>5475</v>
      </c>
      <c r="C5544" s="1" t="s">
        <v>1764</v>
      </c>
      <c r="D5544" s="1" t="s">
        <v>44</v>
      </c>
      <c r="E5544" s="1" t="s">
        <v>5322</v>
      </c>
      <c r="F5544">
        <v>2770.2003</v>
      </c>
      <c r="G5544">
        <v>12187.4895</v>
      </c>
      <c r="H5544">
        <v>772.85659999999996</v>
      </c>
      <c r="I5544">
        <v>31.055199999999999</v>
      </c>
      <c r="J5544">
        <v>42.222099999999998</v>
      </c>
      <c r="K5544">
        <v>3855.0109000000002</v>
      </c>
      <c r="L5544">
        <v>22.679099999999998</v>
      </c>
      <c r="M5544">
        <v>5.8013000000000003</v>
      </c>
      <c r="N5544">
        <v>1318.1404</v>
      </c>
      <c r="O5544">
        <v>5.5873999999999997</v>
      </c>
      <c r="P5544">
        <v>10.2607</v>
      </c>
    </row>
    <row r="5545" spans="1:16">
      <c r="A5545" s="1" t="s">
        <v>5317</v>
      </c>
      <c r="B5545" s="1" t="s">
        <v>5476</v>
      </c>
      <c r="C5545" s="1" t="s">
        <v>1764</v>
      </c>
      <c r="D5545" s="1" t="s">
        <v>44</v>
      </c>
      <c r="E5545" s="1" t="s">
        <v>5322</v>
      </c>
      <c r="F5545">
        <v>2434.9362999999998</v>
      </c>
      <c r="G5545">
        <v>9761.2885999999999</v>
      </c>
      <c r="H5545">
        <v>556.79070000000002</v>
      </c>
      <c r="I5545">
        <v>33.433700000000002</v>
      </c>
      <c r="J5545">
        <v>3.3967000000000001</v>
      </c>
      <c r="K5545">
        <v>3706.4684999999999</v>
      </c>
      <c r="L5545">
        <v>22.768799999999999</v>
      </c>
      <c r="M5545">
        <v>6.0331999999999999</v>
      </c>
      <c r="N5545">
        <v>682.86829999999998</v>
      </c>
      <c r="O5545">
        <v>5.0174000000000003</v>
      </c>
      <c r="P5545">
        <v>5.8707000000000003</v>
      </c>
    </row>
    <row r="5546" spans="1:16">
      <c r="A5546" s="1" t="s">
        <v>5317</v>
      </c>
      <c r="B5546" s="1" t="s">
        <v>5477</v>
      </c>
      <c r="C5546" s="1" t="s">
        <v>1764</v>
      </c>
      <c r="D5546" s="1" t="s">
        <v>44</v>
      </c>
      <c r="E5546" s="1" t="s">
        <v>5322</v>
      </c>
      <c r="F5546">
        <v>1343.5885000000001</v>
      </c>
      <c r="G5546">
        <v>4725.9179000000004</v>
      </c>
      <c r="H5546">
        <v>488.66120000000001</v>
      </c>
      <c r="I5546">
        <v>36.726300000000002</v>
      </c>
      <c r="J5546">
        <v>17.383600000000001</v>
      </c>
      <c r="K5546">
        <v>3388.7440999999999</v>
      </c>
      <c r="L5546">
        <v>14.7332</v>
      </c>
      <c r="M5546">
        <v>5.3712999999999997</v>
      </c>
      <c r="N5546">
        <v>385.40519999999998</v>
      </c>
      <c r="O5546">
        <v>3.1143999999999998</v>
      </c>
      <c r="P5546">
        <v>5.1318999999999999</v>
      </c>
    </row>
    <row r="5547" spans="1:16">
      <c r="A5547" s="1" t="s">
        <v>5317</v>
      </c>
      <c r="B5547" s="1" t="s">
        <v>5478</v>
      </c>
      <c r="C5547" s="1" t="s">
        <v>1764</v>
      </c>
      <c r="D5547" s="1" t="s">
        <v>44</v>
      </c>
      <c r="E5547" s="1" t="s">
        <v>5322</v>
      </c>
      <c r="F5547">
        <v>530.94929999999999</v>
      </c>
      <c r="G5547">
        <v>2826.5725000000002</v>
      </c>
      <c r="H5547">
        <v>2051.9794000000002</v>
      </c>
      <c r="I5547">
        <v>82.06</v>
      </c>
      <c r="J5547">
        <v>20.734200000000001</v>
      </c>
      <c r="K5547">
        <v>2052.4373000000001</v>
      </c>
      <c r="L5547">
        <v>30.732099999999999</v>
      </c>
      <c r="M5547">
        <v>4.9970999999999997</v>
      </c>
      <c r="N5547">
        <v>194.63990000000001</v>
      </c>
      <c r="O5547">
        <v>13.4754</v>
      </c>
      <c r="P5547">
        <v>11.9924</v>
      </c>
    </row>
    <row r="5548" spans="1:16">
      <c r="A5548" s="1" t="s">
        <v>5317</v>
      </c>
      <c r="B5548" s="1" t="s">
        <v>5479</v>
      </c>
      <c r="C5548" s="1" t="s">
        <v>1764</v>
      </c>
      <c r="D5548" s="1" t="s">
        <v>44</v>
      </c>
      <c r="E5548" s="1" t="s">
        <v>5322</v>
      </c>
      <c r="F5548">
        <v>471.44200000000001</v>
      </c>
      <c r="G5548">
        <v>1915.5688</v>
      </c>
      <c r="H5548">
        <v>4285.7164000000002</v>
      </c>
      <c r="I5548">
        <v>81.907300000000006</v>
      </c>
      <c r="J5548">
        <v>35.681399999999996</v>
      </c>
      <c r="K5548">
        <v>1998.4354000000001</v>
      </c>
      <c r="L5548">
        <v>27.325299999999999</v>
      </c>
      <c r="M5548">
        <v>18.505099999999999</v>
      </c>
      <c r="N5548">
        <v>154.06039999999999</v>
      </c>
      <c r="O5548">
        <v>9.4029000000000007</v>
      </c>
      <c r="P5548">
        <v>17.770900000000001</v>
      </c>
    </row>
    <row r="5549" spans="1:16">
      <c r="A5549" s="1" t="s">
        <v>5317</v>
      </c>
      <c r="B5549" s="1" t="s">
        <v>5480</v>
      </c>
      <c r="C5549" s="1" t="s">
        <v>1764</v>
      </c>
      <c r="D5549" s="1" t="s">
        <v>44</v>
      </c>
      <c r="E5549" s="1" t="s">
        <v>5322</v>
      </c>
      <c r="F5549">
        <v>1238.9268</v>
      </c>
      <c r="G5549">
        <v>2958.5443</v>
      </c>
      <c r="H5549">
        <v>2005.9555</v>
      </c>
      <c r="I5549">
        <v>85.831199999999995</v>
      </c>
      <c r="J5549">
        <v>31.236000000000001</v>
      </c>
      <c r="K5549">
        <v>2284.1048000000001</v>
      </c>
      <c r="L5549">
        <v>34.826599999999999</v>
      </c>
      <c r="M5549">
        <v>4.5467000000000004</v>
      </c>
      <c r="N5549">
        <v>234.37459999999999</v>
      </c>
      <c r="O5549">
        <v>14.4894</v>
      </c>
      <c r="P5549">
        <v>10.7521</v>
      </c>
    </row>
    <row r="5550" spans="1:16">
      <c r="A5550" s="1" t="s">
        <v>5317</v>
      </c>
      <c r="B5550" s="1" t="s">
        <v>5481</v>
      </c>
      <c r="C5550" s="1" t="s">
        <v>1764</v>
      </c>
      <c r="D5550" s="1" t="s">
        <v>44</v>
      </c>
      <c r="E5550" s="1" t="s">
        <v>5322</v>
      </c>
      <c r="F5550">
        <v>765.71420000000001</v>
      </c>
      <c r="G5550">
        <v>2860.3249999999998</v>
      </c>
      <c r="H5550">
        <v>2009.4657999999999</v>
      </c>
      <c r="I5550">
        <v>85.398799999999994</v>
      </c>
      <c r="J5550">
        <v>38.5167</v>
      </c>
      <c r="K5550">
        <v>2215.4816999999998</v>
      </c>
      <c r="L5550">
        <v>33.515599999999999</v>
      </c>
      <c r="M5550">
        <v>4.4097</v>
      </c>
      <c r="N5550">
        <v>246.96459999999999</v>
      </c>
      <c r="O5550">
        <v>12.116099999999999</v>
      </c>
      <c r="P5550">
        <v>12.844900000000001</v>
      </c>
    </row>
    <row r="5551" spans="1:16">
      <c r="A5551" s="1" t="s">
        <v>5317</v>
      </c>
      <c r="B5551" s="1" t="s">
        <v>5482</v>
      </c>
      <c r="C5551" s="1" t="s">
        <v>1764</v>
      </c>
      <c r="D5551" s="1" t="s">
        <v>44</v>
      </c>
      <c r="E5551" s="1" t="s">
        <v>5322</v>
      </c>
      <c r="F5551">
        <v>533.35450000000003</v>
      </c>
      <c r="G5551">
        <v>2528.3465000000001</v>
      </c>
      <c r="H5551">
        <v>1665.4575</v>
      </c>
      <c r="I5551">
        <v>85.447900000000004</v>
      </c>
      <c r="J5551">
        <v>46.088900000000002</v>
      </c>
      <c r="K5551">
        <v>1860.2447999999999</v>
      </c>
      <c r="L5551">
        <v>30.360499999999998</v>
      </c>
      <c r="M5551">
        <v>5.9382999999999999</v>
      </c>
      <c r="N5551">
        <v>329.93920000000003</v>
      </c>
      <c r="O5551">
        <v>12.184799999999999</v>
      </c>
      <c r="P5551">
        <v>9.7272999999999996</v>
      </c>
    </row>
    <row r="5552" spans="1:16">
      <c r="A5552" s="1" t="s">
        <v>5317</v>
      </c>
      <c r="B5552" s="1" t="s">
        <v>5483</v>
      </c>
      <c r="C5552" s="1" t="s">
        <v>1764</v>
      </c>
      <c r="D5552" s="1" t="s">
        <v>44</v>
      </c>
      <c r="E5552" s="1" t="s">
        <v>5322</v>
      </c>
      <c r="F5552">
        <v>1951.021</v>
      </c>
      <c r="G5552">
        <v>3304.1703000000002</v>
      </c>
      <c r="H5552">
        <v>1445.0581</v>
      </c>
      <c r="I5552">
        <v>84.1447</v>
      </c>
      <c r="J5552">
        <v>14.195399999999999</v>
      </c>
      <c r="K5552">
        <v>1920.0541000000001</v>
      </c>
      <c r="L5552">
        <v>33.707299999999996</v>
      </c>
      <c r="M5552">
        <v>4.2713999999999999</v>
      </c>
      <c r="N5552">
        <v>119.0183</v>
      </c>
      <c r="O5552">
        <v>13.484400000000001</v>
      </c>
      <c r="P5552">
        <v>10.5463</v>
      </c>
    </row>
    <row r="5553" spans="1:16">
      <c r="A5553" s="1" t="s">
        <v>5317</v>
      </c>
      <c r="B5553" s="1" t="s">
        <v>5484</v>
      </c>
      <c r="C5553" s="1" t="s">
        <v>1764</v>
      </c>
      <c r="D5553" s="1" t="s">
        <v>44</v>
      </c>
      <c r="E5553" s="1" t="s">
        <v>5322</v>
      </c>
      <c r="F5553">
        <v>319.42950000000002</v>
      </c>
      <c r="G5553">
        <v>2246.1432</v>
      </c>
      <c r="H5553">
        <v>1293.3684000000001</v>
      </c>
      <c r="I5553">
        <v>79.942099999999996</v>
      </c>
      <c r="J5553">
        <v>17.576699999999999</v>
      </c>
      <c r="K5553">
        <v>1281.8335999999999</v>
      </c>
      <c r="L5553">
        <v>32.558399999999999</v>
      </c>
      <c r="M5553">
        <v>5.4127000000000001</v>
      </c>
      <c r="N5553">
        <v>340.82209999999998</v>
      </c>
      <c r="O5553">
        <v>10.7682</v>
      </c>
      <c r="P5553">
        <v>8.8256999999999994</v>
      </c>
    </row>
    <row r="5554" spans="1:16">
      <c r="A5554" s="1" t="s">
        <v>5317</v>
      </c>
      <c r="B5554" s="1" t="s">
        <v>5485</v>
      </c>
      <c r="C5554" s="1" t="s">
        <v>1764</v>
      </c>
      <c r="D5554" s="1" t="s">
        <v>44</v>
      </c>
      <c r="E5554" s="1" t="s">
        <v>5322</v>
      </c>
      <c r="F5554">
        <v>693.28359999999998</v>
      </c>
      <c r="G5554">
        <v>3283.2678000000001</v>
      </c>
      <c r="H5554">
        <v>1406.9268999999999</v>
      </c>
      <c r="I5554">
        <v>82.856399999999994</v>
      </c>
      <c r="J5554">
        <v>17.002199999999998</v>
      </c>
      <c r="K5554">
        <v>1552.3086000000001</v>
      </c>
      <c r="L5554">
        <v>32.752299999999998</v>
      </c>
      <c r="M5554">
        <v>3.68</v>
      </c>
      <c r="N5554">
        <v>163.9709</v>
      </c>
      <c r="O5554">
        <v>12.955</v>
      </c>
      <c r="P5554">
        <v>10.123200000000001</v>
      </c>
    </row>
    <row r="5555" spans="1:16">
      <c r="A5555" s="1" t="s">
        <v>5317</v>
      </c>
      <c r="B5555" s="1" t="s">
        <v>5486</v>
      </c>
      <c r="C5555" s="1" t="s">
        <v>1764</v>
      </c>
      <c r="D5555" s="1" t="s">
        <v>44</v>
      </c>
      <c r="E5555" s="1" t="s">
        <v>5322</v>
      </c>
      <c r="F5555">
        <v>1578.7914000000001</v>
      </c>
      <c r="G5555">
        <v>3147.2006000000001</v>
      </c>
      <c r="H5555">
        <v>1404.9129</v>
      </c>
      <c r="I5555">
        <v>82.875100000000003</v>
      </c>
      <c r="J5555">
        <v>5.1912000000000003</v>
      </c>
      <c r="K5555">
        <v>1601.8444999999999</v>
      </c>
      <c r="L5555">
        <v>33.836399999999998</v>
      </c>
      <c r="M5555">
        <v>4.8170000000000002</v>
      </c>
      <c r="N5555">
        <v>145.47929999999999</v>
      </c>
      <c r="O5555">
        <v>13.997</v>
      </c>
      <c r="P5555">
        <v>10.4117</v>
      </c>
    </row>
    <row r="5556" spans="1:16">
      <c r="A5556" s="1" t="s">
        <v>5317</v>
      </c>
      <c r="B5556" s="1" t="s">
        <v>5487</v>
      </c>
      <c r="C5556" s="1" t="s">
        <v>1764</v>
      </c>
      <c r="D5556" s="1" t="s">
        <v>44</v>
      </c>
      <c r="E5556" s="1" t="s">
        <v>5322</v>
      </c>
      <c r="F5556">
        <v>1767.0125</v>
      </c>
      <c r="G5556">
        <v>3235.3256000000001</v>
      </c>
      <c r="H5556">
        <v>1433.9331</v>
      </c>
      <c r="I5556">
        <v>81.564899999999994</v>
      </c>
      <c r="J5556">
        <v>5.4801000000000002</v>
      </c>
      <c r="K5556">
        <v>1657.5229999999999</v>
      </c>
      <c r="L5556">
        <v>33.771799999999999</v>
      </c>
      <c r="M5556">
        <v>4.8106</v>
      </c>
      <c r="N5556">
        <v>161.8939</v>
      </c>
      <c r="O5556">
        <v>13.719200000000001</v>
      </c>
      <c r="P5556">
        <v>9.7652999999999999</v>
      </c>
    </row>
    <row r="5557" spans="1:16">
      <c r="A5557" s="1" t="s">
        <v>5317</v>
      </c>
      <c r="B5557" s="1" t="s">
        <v>5488</v>
      </c>
      <c r="C5557" s="1" t="s">
        <v>1764</v>
      </c>
      <c r="D5557" s="1" t="s">
        <v>44</v>
      </c>
      <c r="E5557" s="1" t="s">
        <v>5322</v>
      </c>
      <c r="F5557">
        <v>371.56099999999998</v>
      </c>
      <c r="G5557">
        <v>2037.1489999999999</v>
      </c>
      <c r="H5557">
        <v>901.68690000000004</v>
      </c>
      <c r="I5557">
        <v>75.1524</v>
      </c>
      <c r="J5557">
        <v>13.651400000000001</v>
      </c>
      <c r="K5557">
        <v>1574.1406999999999</v>
      </c>
      <c r="L5557">
        <v>30.904699999999998</v>
      </c>
      <c r="M5557">
        <v>5.0804999999999998</v>
      </c>
      <c r="N5557">
        <v>296.89530000000002</v>
      </c>
      <c r="O5557">
        <v>9.9863</v>
      </c>
      <c r="P5557">
        <v>6.8746999999999998</v>
      </c>
    </row>
    <row r="5558" spans="1:16">
      <c r="A5558" s="1" t="s">
        <v>5317</v>
      </c>
      <c r="B5558" s="1" t="s">
        <v>5489</v>
      </c>
      <c r="C5558" s="1" t="s">
        <v>1764</v>
      </c>
      <c r="D5558" s="1" t="s">
        <v>44</v>
      </c>
      <c r="E5558" s="1" t="s">
        <v>5322</v>
      </c>
      <c r="F5558">
        <v>786.49620000000004</v>
      </c>
      <c r="G5558">
        <v>2889.4447</v>
      </c>
      <c r="H5558">
        <v>1077.5851</v>
      </c>
      <c r="I5558">
        <v>82.230400000000003</v>
      </c>
      <c r="J5558">
        <v>16.721299999999999</v>
      </c>
      <c r="K5558">
        <v>1700.9349</v>
      </c>
      <c r="L5558">
        <v>38.7652</v>
      </c>
      <c r="M5558">
        <v>3.8936000000000002</v>
      </c>
      <c r="N5558">
        <v>220.352</v>
      </c>
      <c r="O5558">
        <v>11.3911</v>
      </c>
      <c r="P5558">
        <v>8.6594999999999995</v>
      </c>
    </row>
    <row r="5559" spans="1:16">
      <c r="A5559" s="1" t="s">
        <v>5317</v>
      </c>
      <c r="B5559" s="1" t="s">
        <v>5490</v>
      </c>
      <c r="C5559" s="1" t="s">
        <v>1764</v>
      </c>
      <c r="D5559" s="1" t="s">
        <v>44</v>
      </c>
      <c r="E5559" s="1" t="s">
        <v>5322</v>
      </c>
      <c r="F5559">
        <v>278.25729999999999</v>
      </c>
      <c r="G5559">
        <v>2639.0452</v>
      </c>
      <c r="H5559">
        <v>1195.4829</v>
      </c>
      <c r="I5559">
        <v>76.619699999999995</v>
      </c>
      <c r="J5559">
        <v>13.0045</v>
      </c>
      <c r="K5559">
        <v>1684.8498</v>
      </c>
      <c r="L5559">
        <v>35.814799999999998</v>
      </c>
      <c r="M5559">
        <v>3.8755000000000002</v>
      </c>
      <c r="N5559">
        <v>243.65950000000001</v>
      </c>
      <c r="O5559">
        <v>11.8139</v>
      </c>
      <c r="P5559">
        <v>8.6347000000000005</v>
      </c>
    </row>
    <row r="5560" spans="1:16">
      <c r="A5560" s="1" t="s">
        <v>5317</v>
      </c>
      <c r="B5560" s="1" t="s">
        <v>5491</v>
      </c>
      <c r="C5560" s="1" t="s">
        <v>1764</v>
      </c>
      <c r="D5560" s="1" t="s">
        <v>44</v>
      </c>
      <c r="E5560" s="1" t="s">
        <v>5322</v>
      </c>
      <c r="F5560">
        <v>400.21</v>
      </c>
      <c r="G5560">
        <v>2421.8321000000001</v>
      </c>
      <c r="H5560">
        <v>1157.2786000000001</v>
      </c>
      <c r="I5560">
        <v>78.846100000000007</v>
      </c>
      <c r="J5560">
        <v>11.0002</v>
      </c>
      <c r="K5560">
        <v>1927.2104999999999</v>
      </c>
      <c r="L5560">
        <v>33.068199999999997</v>
      </c>
      <c r="M5560">
        <v>3.3508</v>
      </c>
      <c r="N5560">
        <v>220.75649999999999</v>
      </c>
      <c r="O5560">
        <v>11.1716</v>
      </c>
      <c r="P5560">
        <v>7.5956000000000001</v>
      </c>
    </row>
    <row r="5561" spans="1:16">
      <c r="A5561" s="1" t="s">
        <v>5317</v>
      </c>
      <c r="B5561" s="1" t="s">
        <v>5492</v>
      </c>
      <c r="C5561" s="1" t="s">
        <v>1764</v>
      </c>
      <c r="D5561" s="1" t="s">
        <v>44</v>
      </c>
      <c r="E5561" s="1" t="s">
        <v>5322</v>
      </c>
      <c r="F5561">
        <v>1072.0567000000001</v>
      </c>
      <c r="G5561">
        <v>2875.3395999999998</v>
      </c>
      <c r="H5561">
        <v>1061.1661999999999</v>
      </c>
      <c r="I5561">
        <v>80.161600000000007</v>
      </c>
      <c r="J5561">
        <v>14.328099999999999</v>
      </c>
      <c r="K5561">
        <v>1556.8367000000001</v>
      </c>
      <c r="L5561">
        <v>35.340400000000002</v>
      </c>
      <c r="M5561">
        <v>3.4058999999999999</v>
      </c>
      <c r="N5561">
        <v>152.0942</v>
      </c>
      <c r="O5561">
        <v>12.646100000000001</v>
      </c>
      <c r="P5561">
        <v>10.1342</v>
      </c>
    </row>
    <row r="5562" spans="1:16">
      <c r="A5562" s="1" t="s">
        <v>5317</v>
      </c>
      <c r="B5562" s="1" t="s">
        <v>5493</v>
      </c>
      <c r="C5562" s="1" t="s">
        <v>1764</v>
      </c>
      <c r="D5562" s="1" t="s">
        <v>44</v>
      </c>
      <c r="E5562" s="1" t="s">
        <v>5322</v>
      </c>
      <c r="F5562">
        <v>364.95069999999998</v>
      </c>
      <c r="G5562">
        <v>2638.3996000000002</v>
      </c>
      <c r="H5562">
        <v>1524.1031</v>
      </c>
      <c r="I5562">
        <v>82.799400000000006</v>
      </c>
      <c r="J5562">
        <v>34.583399999999997</v>
      </c>
      <c r="K5562">
        <v>1730.4145000000001</v>
      </c>
      <c r="L5562">
        <v>33.152700000000003</v>
      </c>
      <c r="M5562">
        <v>4.6771000000000003</v>
      </c>
      <c r="N5562">
        <v>422.4171</v>
      </c>
      <c r="O5562">
        <v>10.7951</v>
      </c>
      <c r="P5562">
        <v>8.9411000000000005</v>
      </c>
    </row>
    <row r="5563" spans="1:16">
      <c r="A5563" s="1" t="s">
        <v>5317</v>
      </c>
      <c r="B5563" s="1" t="s">
        <v>5494</v>
      </c>
      <c r="C5563" s="1" t="s">
        <v>1764</v>
      </c>
      <c r="D5563" s="1" t="s">
        <v>44</v>
      </c>
      <c r="E5563" s="1" t="s">
        <v>5322</v>
      </c>
      <c r="F5563">
        <v>260.13830000000002</v>
      </c>
      <c r="G5563">
        <v>2738.9503</v>
      </c>
      <c r="H5563">
        <v>1440.0889</v>
      </c>
      <c r="I5563">
        <v>82.200500000000005</v>
      </c>
      <c r="J5563">
        <v>26.141999999999999</v>
      </c>
      <c r="K5563">
        <v>1632.4499000000001</v>
      </c>
      <c r="L5563">
        <v>34.001600000000003</v>
      </c>
      <c r="M5563">
        <v>4.3239000000000001</v>
      </c>
      <c r="N5563">
        <v>220.5814</v>
      </c>
      <c r="O5563">
        <v>12.193199999999999</v>
      </c>
      <c r="P5563">
        <v>9.8841000000000001</v>
      </c>
    </row>
    <row r="5564" spans="1:16">
      <c r="A5564" s="1" t="s">
        <v>5317</v>
      </c>
      <c r="B5564" s="1" t="s">
        <v>5495</v>
      </c>
      <c r="C5564" s="1" t="s">
        <v>1764</v>
      </c>
      <c r="D5564" s="1" t="s">
        <v>44</v>
      </c>
      <c r="E5564" s="1" t="s">
        <v>5322</v>
      </c>
      <c r="F5564">
        <v>130.42339999999999</v>
      </c>
      <c r="G5564">
        <v>2565.8780000000002</v>
      </c>
      <c r="H5564">
        <v>1414.0930000000001</v>
      </c>
      <c r="I5564">
        <v>83.056200000000004</v>
      </c>
      <c r="J5564">
        <v>16.339600000000001</v>
      </c>
      <c r="K5564">
        <v>1912.3395</v>
      </c>
      <c r="L5564">
        <v>33.006999999999998</v>
      </c>
      <c r="M5564">
        <v>4.3419999999999996</v>
      </c>
      <c r="N5564">
        <v>193.03800000000001</v>
      </c>
      <c r="O5564">
        <v>11.619400000000001</v>
      </c>
      <c r="P5564">
        <v>8.8183000000000007</v>
      </c>
    </row>
    <row r="5565" spans="1:16">
      <c r="A5565" s="1" t="s">
        <v>5317</v>
      </c>
      <c r="B5565" s="1" t="s">
        <v>5496</v>
      </c>
      <c r="C5565" s="1" t="s">
        <v>1764</v>
      </c>
      <c r="D5565" s="1" t="s">
        <v>44</v>
      </c>
      <c r="E5565" s="1" t="s">
        <v>5322</v>
      </c>
      <c r="F5565">
        <v>1055.8883000000001</v>
      </c>
      <c r="G5565">
        <v>2711.8089</v>
      </c>
      <c r="H5565">
        <v>1497.0636999999999</v>
      </c>
      <c r="I5565">
        <v>77.076300000000003</v>
      </c>
      <c r="J5565">
        <v>25.407800000000002</v>
      </c>
      <c r="K5565">
        <v>1507.5698</v>
      </c>
      <c r="L5565">
        <v>32.271000000000001</v>
      </c>
      <c r="M5565">
        <v>4.2248999999999999</v>
      </c>
      <c r="N5565">
        <v>150.43860000000001</v>
      </c>
      <c r="O5565">
        <v>10.8752</v>
      </c>
      <c r="P5565">
        <v>10.1861</v>
      </c>
    </row>
    <row r="5566" spans="1:16">
      <c r="A5566" s="1" t="s">
        <v>5317</v>
      </c>
      <c r="B5566" s="1" t="s">
        <v>5497</v>
      </c>
      <c r="C5566" s="1" t="s">
        <v>1764</v>
      </c>
      <c r="D5566" s="1" t="s">
        <v>44</v>
      </c>
      <c r="E5566" s="1" t="s">
        <v>5322</v>
      </c>
      <c r="F5566">
        <v>1318.1943000000001</v>
      </c>
      <c r="G5566">
        <v>2349.8573999999999</v>
      </c>
      <c r="H5566">
        <v>1130.2225000000001</v>
      </c>
      <c r="I5566">
        <v>78.7376</v>
      </c>
      <c r="J5566">
        <v>28.286000000000001</v>
      </c>
      <c r="K5566">
        <v>1775.7587000000001</v>
      </c>
      <c r="L5566">
        <v>31.276199999999999</v>
      </c>
      <c r="M5566">
        <v>8.7789999999999999</v>
      </c>
      <c r="N5566">
        <v>322.47370000000001</v>
      </c>
      <c r="O5566">
        <v>10.0221</v>
      </c>
      <c r="P5566">
        <v>8.9354999999999993</v>
      </c>
    </row>
    <row r="5567" spans="1:16">
      <c r="A5567" s="1" t="s">
        <v>5317</v>
      </c>
      <c r="B5567" s="1" t="s">
        <v>5498</v>
      </c>
      <c r="C5567" s="1" t="s">
        <v>1764</v>
      </c>
      <c r="D5567" s="1" t="s">
        <v>44</v>
      </c>
      <c r="E5567" s="1" t="s">
        <v>5322</v>
      </c>
      <c r="F5567">
        <v>1895.1658</v>
      </c>
      <c r="G5567">
        <v>3209.3717000000001</v>
      </c>
      <c r="H5567">
        <v>1536.9344000000001</v>
      </c>
      <c r="I5567">
        <v>83.446600000000004</v>
      </c>
      <c r="J5567">
        <v>19.1326</v>
      </c>
      <c r="K5567">
        <v>1580.1095</v>
      </c>
      <c r="L5567">
        <v>30.075099999999999</v>
      </c>
      <c r="M5567">
        <v>3.3927</v>
      </c>
      <c r="N5567">
        <v>142.4776</v>
      </c>
      <c r="O5567">
        <v>13.4185</v>
      </c>
      <c r="P5567">
        <v>11.0358</v>
      </c>
    </row>
    <row r="5568" spans="1:16">
      <c r="A5568" s="1" t="s">
        <v>5317</v>
      </c>
      <c r="B5568" s="1" t="s">
        <v>5499</v>
      </c>
      <c r="C5568" s="1" t="s">
        <v>1764</v>
      </c>
      <c r="D5568" s="1" t="s">
        <v>44</v>
      </c>
      <c r="E5568" s="1" t="s">
        <v>5322</v>
      </c>
      <c r="F5568">
        <v>797.80449999999996</v>
      </c>
      <c r="G5568">
        <v>2698.6143999999999</v>
      </c>
      <c r="H5568">
        <v>1436.5807</v>
      </c>
      <c r="I5568">
        <v>83.5702</v>
      </c>
      <c r="J5568">
        <v>15.734999999999999</v>
      </c>
      <c r="K5568">
        <v>1438.6411000000001</v>
      </c>
      <c r="L5568">
        <v>30.632300000000001</v>
      </c>
      <c r="M5568">
        <v>3.8679999999999999</v>
      </c>
      <c r="N5568">
        <v>143.852</v>
      </c>
      <c r="O5568">
        <v>12.657299999999999</v>
      </c>
      <c r="P5568">
        <v>10.0443</v>
      </c>
    </row>
    <row r="5569" spans="1:16">
      <c r="A5569" s="1" t="s">
        <v>5317</v>
      </c>
      <c r="B5569" s="1" t="s">
        <v>5500</v>
      </c>
      <c r="C5569" s="1" t="s">
        <v>1764</v>
      </c>
      <c r="D5569" s="1" t="s">
        <v>44</v>
      </c>
      <c r="E5569" s="1" t="s">
        <v>5322</v>
      </c>
      <c r="F5569">
        <v>1117.2215000000001</v>
      </c>
      <c r="G5569">
        <v>2664.6781000000001</v>
      </c>
      <c r="H5569">
        <v>1512.5769</v>
      </c>
      <c r="I5569">
        <v>82.079099999999997</v>
      </c>
      <c r="J5569">
        <v>10.0663</v>
      </c>
      <c r="K5569">
        <v>1764.2579000000001</v>
      </c>
      <c r="L5569">
        <v>32.530900000000003</v>
      </c>
      <c r="M5569">
        <v>5.1162000000000001</v>
      </c>
      <c r="N5569">
        <v>194.8826</v>
      </c>
      <c r="O5569">
        <v>12.445399999999999</v>
      </c>
      <c r="P5569">
        <v>7.9969999999999999</v>
      </c>
    </row>
    <row r="5570" spans="1:16">
      <c r="A5570" s="1" t="s">
        <v>5317</v>
      </c>
      <c r="B5570" s="1" t="s">
        <v>5501</v>
      </c>
      <c r="C5570" s="1" t="s">
        <v>1764</v>
      </c>
      <c r="D5570" s="1" t="s">
        <v>44</v>
      </c>
      <c r="E5570" s="1" t="s">
        <v>5322</v>
      </c>
      <c r="F5570">
        <v>4406.8207000000002</v>
      </c>
      <c r="G5570">
        <v>3982.7988999999998</v>
      </c>
      <c r="H5570">
        <v>1673.1532999999999</v>
      </c>
      <c r="I5570">
        <v>81.459100000000007</v>
      </c>
      <c r="J5570">
        <v>13.245900000000001</v>
      </c>
      <c r="K5570">
        <v>2079.8094000000001</v>
      </c>
      <c r="L5570">
        <v>31.2501</v>
      </c>
      <c r="M5570">
        <v>3.3275999999999999</v>
      </c>
      <c r="N5570">
        <v>102.06619999999999</v>
      </c>
      <c r="O5570">
        <v>13.388999999999999</v>
      </c>
      <c r="P5570">
        <v>12.105700000000001</v>
      </c>
    </row>
    <row r="5571" spans="1:16">
      <c r="A5571" s="1" t="s">
        <v>5317</v>
      </c>
      <c r="B5571" s="1" t="s">
        <v>5502</v>
      </c>
      <c r="C5571" s="1" t="s">
        <v>1764</v>
      </c>
      <c r="D5571" s="1" t="s">
        <v>44</v>
      </c>
      <c r="E5571" s="1" t="s">
        <v>5322</v>
      </c>
      <c r="F5571">
        <v>508.49779999999998</v>
      </c>
      <c r="G5571">
        <v>3273.6071000000002</v>
      </c>
      <c r="H5571">
        <v>1501.8178</v>
      </c>
      <c r="I5571">
        <v>84.264899999999997</v>
      </c>
      <c r="J5571">
        <v>8.9968000000000004</v>
      </c>
      <c r="K5571">
        <v>1964.2713000000001</v>
      </c>
      <c r="L5571">
        <v>34.476599999999998</v>
      </c>
      <c r="M5571">
        <v>3.8302999999999998</v>
      </c>
      <c r="N5571">
        <v>160.77549999999999</v>
      </c>
      <c r="O5571">
        <v>12.7113</v>
      </c>
      <c r="P5571">
        <v>10.2842</v>
      </c>
    </row>
    <row r="5572" spans="1:16">
      <c r="A5572" s="1" t="s">
        <v>5790</v>
      </c>
      <c r="B5572" t="s">
        <v>5791</v>
      </c>
      <c r="C5572" s="1" t="s">
        <v>18</v>
      </c>
      <c r="D5572" s="1" t="s">
        <v>44</v>
      </c>
      <c r="E5572" s="1" t="s">
        <v>5801</v>
      </c>
      <c r="F5572">
        <v>1459</v>
      </c>
      <c r="G5572">
        <v>5048</v>
      </c>
      <c r="H5572">
        <v>8129</v>
      </c>
      <c r="I5572">
        <v>618.49</v>
      </c>
      <c r="J5572">
        <f>7.53/2</f>
        <v>3.7650000000000001</v>
      </c>
      <c r="K5572">
        <v>3305</v>
      </c>
      <c r="L5572">
        <v>28.2</v>
      </c>
      <c r="M5572">
        <v>12.07</v>
      </c>
      <c r="N5572">
        <v>231.59</v>
      </c>
      <c r="O5572">
        <v>41.76</v>
      </c>
      <c r="P5572">
        <v>3.42</v>
      </c>
    </row>
    <row r="5573" spans="1:16">
      <c r="A5573" s="1" t="s">
        <v>5790</v>
      </c>
      <c r="B5573" t="s">
        <v>5792</v>
      </c>
      <c r="C5573" s="1" t="s">
        <v>1764</v>
      </c>
      <c r="D5573" t="s">
        <v>1765</v>
      </c>
      <c r="E5573" t="s">
        <v>5800</v>
      </c>
      <c r="F5573">
        <v>1135</v>
      </c>
      <c r="G5573">
        <v>4342</v>
      </c>
      <c r="H5573">
        <v>6069</v>
      </c>
      <c r="I5573">
        <v>653.4</v>
      </c>
      <c r="J5573">
        <v>13.73</v>
      </c>
      <c r="K5573">
        <v>2860</v>
      </c>
      <c r="L5573">
        <v>26.21</v>
      </c>
      <c r="M5573">
        <v>12</v>
      </c>
      <c r="N5573">
        <v>234.58</v>
      </c>
      <c r="O5573">
        <v>37.39</v>
      </c>
      <c r="P5573">
        <v>2.2200000000000002</v>
      </c>
    </row>
    <row r="5574" spans="1:16">
      <c r="A5574" s="1" t="s">
        <v>5790</v>
      </c>
      <c r="B5574" t="s">
        <v>5793</v>
      </c>
      <c r="C5574" s="1" t="s">
        <v>18</v>
      </c>
      <c r="D5574" s="1" t="s">
        <v>44</v>
      </c>
      <c r="E5574" s="1" t="s">
        <v>5800</v>
      </c>
      <c r="F5574">
        <v>1113</v>
      </c>
      <c r="G5574">
        <v>3926</v>
      </c>
      <c r="H5574">
        <v>4884</v>
      </c>
      <c r="I5574">
        <v>550.45000000000005</v>
      </c>
      <c r="J5574" s="11">
        <f>7.53/2</f>
        <v>3.7650000000000001</v>
      </c>
      <c r="K5574">
        <v>2603</v>
      </c>
      <c r="L5574">
        <v>28.77</v>
      </c>
      <c r="M5574">
        <v>11.84</v>
      </c>
      <c r="N5574">
        <v>213.49</v>
      </c>
      <c r="O5574">
        <v>41.05</v>
      </c>
      <c r="P5574">
        <v>2.41</v>
      </c>
    </row>
    <row r="5575" spans="1:16">
      <c r="A5575" s="1" t="s">
        <v>5790</v>
      </c>
      <c r="B5575" t="s">
        <v>5794</v>
      </c>
      <c r="C5575" s="1" t="s">
        <v>1764</v>
      </c>
      <c r="D5575" s="11" t="s">
        <v>1765</v>
      </c>
      <c r="E5575" s="11" t="s">
        <v>5800</v>
      </c>
      <c r="F5575">
        <v>1383</v>
      </c>
      <c r="G5575">
        <v>5393</v>
      </c>
      <c r="H5575">
        <v>4096</v>
      </c>
      <c r="I5575">
        <v>648.89</v>
      </c>
      <c r="J5575">
        <v>13</v>
      </c>
      <c r="K5575">
        <v>2035</v>
      </c>
      <c r="L5575">
        <v>25.95</v>
      </c>
      <c r="M5575">
        <v>7.63</v>
      </c>
      <c r="N5575">
        <v>123.78</v>
      </c>
      <c r="O5575">
        <v>50.56</v>
      </c>
      <c r="P5575">
        <v>2.14</v>
      </c>
    </row>
    <row r="5576" spans="1:16">
      <c r="A5576" s="1" t="s">
        <v>5790</v>
      </c>
      <c r="B5576" t="s">
        <v>5795</v>
      </c>
      <c r="C5576" s="1" t="s">
        <v>18</v>
      </c>
      <c r="D5576" s="1" t="s">
        <v>44</v>
      </c>
      <c r="E5576" s="1" t="s">
        <v>5800</v>
      </c>
      <c r="F5576">
        <v>896</v>
      </c>
      <c r="G5576">
        <v>3825</v>
      </c>
      <c r="H5576">
        <v>6383</v>
      </c>
      <c r="I5576">
        <v>697.77</v>
      </c>
      <c r="J5576" s="11">
        <f>7.53/2</f>
        <v>3.7650000000000001</v>
      </c>
      <c r="K5576">
        <v>1625</v>
      </c>
      <c r="L5576">
        <v>19.29</v>
      </c>
      <c r="M5576">
        <v>12.08</v>
      </c>
      <c r="N5576">
        <v>61.71</v>
      </c>
      <c r="O5576">
        <v>41.96</v>
      </c>
      <c r="P5576">
        <v>2.88</v>
      </c>
    </row>
    <row r="5577" spans="1:16">
      <c r="A5577" s="1" t="s">
        <v>5790</v>
      </c>
      <c r="B5577" t="s">
        <v>5796</v>
      </c>
      <c r="C5577" s="1" t="s">
        <v>1764</v>
      </c>
      <c r="D5577" s="11" t="s">
        <v>1765</v>
      </c>
      <c r="E5577" s="11" t="s">
        <v>5800</v>
      </c>
      <c r="F5577">
        <v>666</v>
      </c>
      <c r="G5577">
        <v>3105</v>
      </c>
      <c r="H5577">
        <v>3170</v>
      </c>
      <c r="I5577">
        <v>575.20000000000005</v>
      </c>
      <c r="J5577">
        <v>15.7</v>
      </c>
      <c r="K5577">
        <v>1172</v>
      </c>
      <c r="L5577">
        <v>11.42</v>
      </c>
      <c r="M5577">
        <v>10.88</v>
      </c>
      <c r="N5577">
        <v>95.3</v>
      </c>
      <c r="O5577">
        <v>30.15</v>
      </c>
      <c r="P5577">
        <v>1.45</v>
      </c>
    </row>
    <row r="5578" spans="1:16">
      <c r="A5578" s="1" t="s">
        <v>5790</v>
      </c>
      <c r="B5578" t="s">
        <v>5797</v>
      </c>
      <c r="C5578" s="1" t="s">
        <v>18</v>
      </c>
      <c r="D5578" s="1" t="s">
        <v>44</v>
      </c>
      <c r="E5578" s="1" t="s">
        <v>5800</v>
      </c>
      <c r="F5578">
        <v>426</v>
      </c>
      <c r="G5578">
        <v>2989</v>
      </c>
      <c r="H5578">
        <v>3287</v>
      </c>
      <c r="I5578">
        <v>593.83000000000004</v>
      </c>
      <c r="J5578" s="11">
        <f>7.53/2</f>
        <v>3.7650000000000001</v>
      </c>
      <c r="K5578">
        <v>1258</v>
      </c>
      <c r="L5578">
        <v>6.36</v>
      </c>
      <c r="M5578">
        <v>14.07</v>
      </c>
      <c r="N5578">
        <v>171</v>
      </c>
      <c r="O5578">
        <v>31.45</v>
      </c>
      <c r="P5578">
        <v>0.95</v>
      </c>
    </row>
    <row r="5579" spans="1:16">
      <c r="A5579" s="1" t="s">
        <v>5790</v>
      </c>
      <c r="B5579" t="s">
        <v>5798</v>
      </c>
      <c r="C5579" s="1" t="s">
        <v>1764</v>
      </c>
      <c r="D5579" s="11" t="s">
        <v>1765</v>
      </c>
      <c r="E5579" s="11" t="s">
        <v>5800</v>
      </c>
      <c r="F5579">
        <v>981</v>
      </c>
      <c r="G5579">
        <v>3673</v>
      </c>
      <c r="H5579">
        <v>4938</v>
      </c>
      <c r="I5579">
        <v>789.09</v>
      </c>
      <c r="J5579">
        <v>15.02</v>
      </c>
      <c r="K5579">
        <v>972</v>
      </c>
      <c r="L5579">
        <v>10.25</v>
      </c>
      <c r="M5579">
        <v>6.45</v>
      </c>
      <c r="N5579">
        <v>111.9</v>
      </c>
      <c r="O5579">
        <v>32.06</v>
      </c>
      <c r="P5579">
        <v>1.61</v>
      </c>
    </row>
    <row r="5580" spans="1:16">
      <c r="A5580" s="1" t="s">
        <v>5790</v>
      </c>
      <c r="B5580" t="s">
        <v>5799</v>
      </c>
      <c r="C5580" s="1" t="s">
        <v>18</v>
      </c>
      <c r="D5580" s="1" t="s">
        <v>44</v>
      </c>
      <c r="E5580" s="1" t="s">
        <v>5800</v>
      </c>
      <c r="F5580">
        <v>830</v>
      </c>
      <c r="G5580">
        <v>3305</v>
      </c>
      <c r="H5580">
        <v>4320</v>
      </c>
      <c r="I5580">
        <v>798.56</v>
      </c>
      <c r="J5580">
        <v>8.36</v>
      </c>
      <c r="K5580">
        <v>886</v>
      </c>
      <c r="L5580">
        <v>11.21</v>
      </c>
      <c r="M5580">
        <v>8.73</v>
      </c>
      <c r="N5580">
        <v>59.01</v>
      </c>
      <c r="O5580">
        <v>34.82</v>
      </c>
      <c r="P5580">
        <v>0.77</v>
      </c>
    </row>
    <row r="5581" spans="1:16">
      <c r="A5581" s="1" t="s">
        <v>5790</v>
      </c>
      <c r="B5581" t="s">
        <v>5802</v>
      </c>
      <c r="C5581" s="1" t="s">
        <v>1764</v>
      </c>
      <c r="D5581" s="11" t="s">
        <v>1765</v>
      </c>
      <c r="E5581" s="11" t="s">
        <v>5800</v>
      </c>
      <c r="F5581">
        <v>15412</v>
      </c>
      <c r="G5581">
        <v>3115</v>
      </c>
      <c r="H5581">
        <v>291</v>
      </c>
      <c r="I5581">
        <v>188.8</v>
      </c>
      <c r="J5581">
        <v>9.98</v>
      </c>
      <c r="K5581">
        <v>1359</v>
      </c>
      <c r="L5581">
        <v>31.9</v>
      </c>
      <c r="M5581">
        <f>2.14/2</f>
        <v>1.07</v>
      </c>
      <c r="N5581">
        <v>140.4</v>
      </c>
      <c r="O5581">
        <v>5.73</v>
      </c>
      <c r="P5581">
        <v>16.329999999999998</v>
      </c>
    </row>
    <row r="5582" spans="1:16">
      <c r="A5582" s="1" t="s">
        <v>5790</v>
      </c>
      <c r="B5582" t="s">
        <v>5803</v>
      </c>
      <c r="C5582" s="1" t="s">
        <v>18</v>
      </c>
      <c r="D5582" s="1" t="s">
        <v>44</v>
      </c>
      <c r="E5582" s="1" t="s">
        <v>5800</v>
      </c>
      <c r="F5582">
        <v>15646</v>
      </c>
      <c r="G5582">
        <v>3723</v>
      </c>
      <c r="H5582">
        <v>246</v>
      </c>
      <c r="I5582">
        <v>168.9</v>
      </c>
      <c r="J5582" s="11">
        <f>7.53/2</f>
        <v>3.7650000000000001</v>
      </c>
      <c r="K5582">
        <v>1319</v>
      </c>
      <c r="L5582">
        <v>34.590000000000003</v>
      </c>
      <c r="M5582" s="11">
        <f t="shared" ref="M5582:M5586" si="178">2.14/2</f>
        <v>1.07</v>
      </c>
      <c r="N5582">
        <v>179.7</v>
      </c>
      <c r="O5582">
        <v>8.2100000000000009</v>
      </c>
      <c r="P5582">
        <v>19.43</v>
      </c>
    </row>
    <row r="5583" spans="1:16">
      <c r="A5583" s="1" t="s">
        <v>5790</v>
      </c>
      <c r="B5583" t="s">
        <v>5804</v>
      </c>
      <c r="C5583" s="1" t="s">
        <v>1764</v>
      </c>
      <c r="D5583" s="11" t="s">
        <v>1765</v>
      </c>
      <c r="E5583" s="11" t="s">
        <v>5800</v>
      </c>
      <c r="F5583">
        <v>13119</v>
      </c>
      <c r="G5583">
        <v>2389</v>
      </c>
      <c r="H5583">
        <v>251</v>
      </c>
      <c r="I5583">
        <v>200.9</v>
      </c>
      <c r="J5583">
        <v>13.28</v>
      </c>
      <c r="K5583">
        <v>1331</v>
      </c>
      <c r="L5583">
        <v>34.5</v>
      </c>
      <c r="M5583" s="11">
        <f t="shared" si="178"/>
        <v>1.07</v>
      </c>
      <c r="N5583">
        <v>148.80000000000001</v>
      </c>
      <c r="O5583">
        <v>4.82</v>
      </c>
      <c r="P5583">
        <v>16.420000000000002</v>
      </c>
    </row>
    <row r="5584" spans="1:16">
      <c r="A5584" s="1" t="s">
        <v>5790</v>
      </c>
      <c r="B5584" t="s">
        <v>5805</v>
      </c>
      <c r="C5584" s="1" t="s">
        <v>18</v>
      </c>
      <c r="D5584" s="1" t="s">
        <v>44</v>
      </c>
      <c r="E5584" s="1" t="s">
        <v>5800</v>
      </c>
      <c r="F5584">
        <v>14486</v>
      </c>
      <c r="G5584">
        <v>2914</v>
      </c>
      <c r="H5584">
        <v>297</v>
      </c>
      <c r="I5584">
        <v>192</v>
      </c>
      <c r="J5584" s="11">
        <f>7.53/2</f>
        <v>3.7650000000000001</v>
      </c>
      <c r="K5584">
        <v>1361</v>
      </c>
      <c r="L5584">
        <v>31.84</v>
      </c>
      <c r="M5584" s="11">
        <f t="shared" si="178"/>
        <v>1.07</v>
      </c>
      <c r="N5584">
        <v>142.1</v>
      </c>
      <c r="O5584">
        <v>6.72</v>
      </c>
      <c r="P5584">
        <v>14.44</v>
      </c>
    </row>
    <row r="5585" spans="1:16">
      <c r="A5585" s="1" t="s">
        <v>5790</v>
      </c>
      <c r="B5585" t="s">
        <v>5806</v>
      </c>
      <c r="C5585" s="1" t="s">
        <v>1764</v>
      </c>
      <c r="D5585" s="11" t="s">
        <v>1765</v>
      </c>
      <c r="E5585" s="11" t="s">
        <v>5800</v>
      </c>
      <c r="F5585">
        <v>15194</v>
      </c>
      <c r="G5585">
        <v>3232</v>
      </c>
      <c r="H5585">
        <v>326</v>
      </c>
      <c r="I5585">
        <v>192</v>
      </c>
      <c r="J5585">
        <v>19.27</v>
      </c>
      <c r="K5585">
        <v>1360</v>
      </c>
      <c r="L5585">
        <v>30.29</v>
      </c>
      <c r="M5585" s="11">
        <f t="shared" si="178"/>
        <v>1.07</v>
      </c>
      <c r="N5585">
        <v>127.5</v>
      </c>
      <c r="O5585">
        <v>5.66</v>
      </c>
      <c r="P5585">
        <v>16.91</v>
      </c>
    </row>
    <row r="5586" spans="1:16">
      <c r="A5586" s="1" t="s">
        <v>5790</v>
      </c>
      <c r="B5586" t="s">
        <v>5807</v>
      </c>
      <c r="C5586" s="1" t="s">
        <v>18</v>
      </c>
      <c r="D5586" s="1" t="s">
        <v>44</v>
      </c>
      <c r="E5586" s="1" t="s">
        <v>5800</v>
      </c>
      <c r="F5586">
        <v>13698</v>
      </c>
      <c r="G5586">
        <v>2897</v>
      </c>
      <c r="H5586">
        <v>257</v>
      </c>
      <c r="I5586">
        <v>178.4</v>
      </c>
      <c r="J5586" s="11">
        <f>7.53/2</f>
        <v>3.7650000000000001</v>
      </c>
      <c r="K5586">
        <v>1353</v>
      </c>
      <c r="L5586">
        <v>33.340000000000003</v>
      </c>
      <c r="M5586" s="11">
        <f t="shared" si="178"/>
        <v>1.07</v>
      </c>
      <c r="N5586">
        <v>141.80000000000001</v>
      </c>
      <c r="O5586">
        <v>5.94</v>
      </c>
      <c r="P5586">
        <v>12.41</v>
      </c>
    </row>
    <row r="5587" spans="1:16">
      <c r="A5587" s="1" t="s">
        <v>5790</v>
      </c>
      <c r="B5587" t="s">
        <v>5808</v>
      </c>
      <c r="C5587" s="1" t="s">
        <v>1764</v>
      </c>
      <c r="D5587" s="11" t="s">
        <v>1765</v>
      </c>
      <c r="E5587" s="11" t="s">
        <v>5800</v>
      </c>
      <c r="F5587">
        <v>4943</v>
      </c>
      <c r="G5587">
        <v>5964</v>
      </c>
      <c r="H5587">
        <v>2248</v>
      </c>
      <c r="I5587">
        <v>402.5</v>
      </c>
      <c r="J5587">
        <v>11.52</v>
      </c>
      <c r="K5587">
        <v>778</v>
      </c>
      <c r="L5587">
        <v>12.18</v>
      </c>
      <c r="M5587">
        <v>29.3</v>
      </c>
      <c r="N5587">
        <v>66.290000000000006</v>
      </c>
      <c r="O5587">
        <v>26.64</v>
      </c>
      <c r="P5587">
        <v>2.25</v>
      </c>
    </row>
    <row r="5588" spans="1:16">
      <c r="A5588" s="1" t="s">
        <v>5790</v>
      </c>
      <c r="B5588" t="s">
        <v>5809</v>
      </c>
      <c r="C5588" s="1" t="s">
        <v>18</v>
      </c>
      <c r="D5588" s="1" t="s">
        <v>44</v>
      </c>
      <c r="E5588" s="1" t="s">
        <v>5800</v>
      </c>
      <c r="F5588">
        <v>3977</v>
      </c>
      <c r="G5588">
        <v>4613</v>
      </c>
      <c r="H5588">
        <v>1551</v>
      </c>
      <c r="I5588">
        <v>277.8</v>
      </c>
      <c r="J5588">
        <v>18.95</v>
      </c>
      <c r="K5588">
        <v>861</v>
      </c>
      <c r="L5588">
        <v>6.05</v>
      </c>
      <c r="M5588">
        <v>19.329999999999998</v>
      </c>
      <c r="N5588">
        <v>60.61</v>
      </c>
      <c r="O5588">
        <v>27.89</v>
      </c>
      <c r="P5588">
        <f>0.59/2</f>
        <v>0.29499999999999998</v>
      </c>
    </row>
    <row r="5589" spans="1:16">
      <c r="A5589" s="1" t="s">
        <v>5790</v>
      </c>
      <c r="B5589" t="s">
        <v>5810</v>
      </c>
      <c r="C5589" s="1" t="s">
        <v>1764</v>
      </c>
      <c r="D5589" s="11" t="s">
        <v>1765</v>
      </c>
      <c r="E5589" s="11" t="s">
        <v>5800</v>
      </c>
      <c r="F5589">
        <v>7045</v>
      </c>
      <c r="G5589">
        <v>9622</v>
      </c>
      <c r="H5589">
        <v>1415</v>
      </c>
      <c r="I5589">
        <v>236.5</v>
      </c>
      <c r="J5589">
        <v>26.52</v>
      </c>
      <c r="K5589">
        <v>806</v>
      </c>
      <c r="L5589">
        <v>7.73</v>
      </c>
      <c r="M5589">
        <v>39.33</v>
      </c>
      <c r="N5589">
        <v>133.30000000000001</v>
      </c>
      <c r="O5589">
        <v>28.33</v>
      </c>
      <c r="P5589">
        <v>1.88</v>
      </c>
    </row>
    <row r="5590" spans="1:16">
      <c r="A5590" s="1" t="s">
        <v>5790</v>
      </c>
      <c r="B5590" t="s">
        <v>5811</v>
      </c>
      <c r="C5590" s="1" t="s">
        <v>18</v>
      </c>
      <c r="D5590" s="1" t="s">
        <v>44</v>
      </c>
      <c r="E5590" s="1" t="s">
        <v>5800</v>
      </c>
      <c r="F5590">
        <v>4526</v>
      </c>
      <c r="G5590">
        <v>6952</v>
      </c>
      <c r="H5590">
        <v>1767</v>
      </c>
      <c r="I5590">
        <v>324.7</v>
      </c>
      <c r="J5590">
        <v>36.17</v>
      </c>
      <c r="K5590">
        <v>531</v>
      </c>
      <c r="L5590">
        <v>6.36</v>
      </c>
      <c r="M5590">
        <v>38.74</v>
      </c>
      <c r="N5590">
        <v>56.74</v>
      </c>
      <c r="O5590">
        <v>19.87</v>
      </c>
      <c r="P5590">
        <v>2.0499999999999998</v>
      </c>
    </row>
    <row r="5591" spans="1:16">
      <c r="A5591" s="1" t="s">
        <v>5790</v>
      </c>
      <c r="B5591" t="s">
        <v>5812</v>
      </c>
      <c r="C5591" s="1" t="s">
        <v>1764</v>
      </c>
      <c r="D5591" s="11" t="s">
        <v>1765</v>
      </c>
      <c r="E5591" s="11" t="s">
        <v>5800</v>
      </c>
      <c r="F5591">
        <v>6788</v>
      </c>
      <c r="G5591">
        <v>3924</v>
      </c>
      <c r="H5591">
        <v>1653</v>
      </c>
      <c r="I5591">
        <v>382.7</v>
      </c>
      <c r="J5591" s="11">
        <f>7.53/2</f>
        <v>3.7650000000000001</v>
      </c>
      <c r="K5591">
        <v>967</v>
      </c>
      <c r="L5591">
        <v>7.38</v>
      </c>
      <c r="M5591">
        <v>29.71</v>
      </c>
      <c r="N5591">
        <v>65.150000000000006</v>
      </c>
      <c r="O5591">
        <v>25.63</v>
      </c>
      <c r="P5591">
        <v>1.1599999999999999</v>
      </c>
    </row>
    <row r="5592" spans="1:16">
      <c r="A5592" s="1" t="s">
        <v>5790</v>
      </c>
      <c r="B5592" t="s">
        <v>5813</v>
      </c>
      <c r="C5592" s="1" t="s">
        <v>18</v>
      </c>
      <c r="D5592" s="1" t="s">
        <v>44</v>
      </c>
      <c r="E5592" s="1" t="s">
        <v>5800</v>
      </c>
      <c r="F5592">
        <v>5487</v>
      </c>
      <c r="G5592">
        <v>3194</v>
      </c>
      <c r="H5592">
        <v>1382</v>
      </c>
      <c r="I5592">
        <v>304.60000000000002</v>
      </c>
      <c r="J5592">
        <v>14.36</v>
      </c>
      <c r="K5592">
        <v>921</v>
      </c>
      <c r="L5592">
        <v>6.06</v>
      </c>
      <c r="M5592">
        <v>26.06</v>
      </c>
      <c r="N5592">
        <v>68.790000000000006</v>
      </c>
      <c r="O5592">
        <v>25.68</v>
      </c>
      <c r="P5592">
        <v>1.71</v>
      </c>
    </row>
    <row r="5593" spans="1:16">
      <c r="A5593" s="1" t="s">
        <v>5790</v>
      </c>
      <c r="B5593" t="s">
        <v>5814</v>
      </c>
      <c r="C5593" s="1" t="s">
        <v>1764</v>
      </c>
      <c r="D5593" s="11" t="s">
        <v>1765</v>
      </c>
      <c r="E5593" s="11" t="s">
        <v>5800</v>
      </c>
      <c r="F5593">
        <v>3614</v>
      </c>
      <c r="G5593">
        <v>7759</v>
      </c>
      <c r="H5593">
        <v>93</v>
      </c>
      <c r="I5593">
        <v>4.6100000000000003</v>
      </c>
      <c r="J5593" s="11">
        <f>7.53/2</f>
        <v>3.7650000000000001</v>
      </c>
      <c r="K5593">
        <v>947</v>
      </c>
      <c r="L5593">
        <v>2.87</v>
      </c>
      <c r="M5593">
        <v>23.74</v>
      </c>
      <c r="N5593">
        <v>94.55</v>
      </c>
      <c r="O5593">
        <v>6.91</v>
      </c>
      <c r="P5593" s="11">
        <f t="shared" ref="P5593:P5594" si="179">0.59/2</f>
        <v>0.29499999999999998</v>
      </c>
    </row>
    <row r="5594" spans="1:16">
      <c r="A5594" s="1" t="s">
        <v>5790</v>
      </c>
      <c r="B5594" t="s">
        <v>5815</v>
      </c>
      <c r="C5594" s="1" t="s">
        <v>18</v>
      </c>
      <c r="D5594" s="1" t="s">
        <v>44</v>
      </c>
      <c r="E5594" s="1" t="s">
        <v>5800</v>
      </c>
      <c r="F5594">
        <v>5248</v>
      </c>
      <c r="G5594">
        <v>11372</v>
      </c>
      <c r="H5594">
        <v>200</v>
      </c>
      <c r="I5594">
        <v>4.4400000000000004</v>
      </c>
      <c r="J5594">
        <v>19.72</v>
      </c>
      <c r="K5594">
        <v>631</v>
      </c>
      <c r="L5594">
        <v>1.84</v>
      </c>
      <c r="M5594">
        <v>27.69</v>
      </c>
      <c r="N5594">
        <v>77.05</v>
      </c>
      <c r="O5594">
        <v>11.31</v>
      </c>
      <c r="P5594" s="11">
        <f t="shared" si="179"/>
        <v>0.29499999999999998</v>
      </c>
    </row>
    <row r="5595" spans="1:16">
      <c r="A5595" s="1" t="s">
        <v>5790</v>
      </c>
      <c r="B5595" t="s">
        <v>5816</v>
      </c>
      <c r="C5595" s="1" t="s">
        <v>1764</v>
      </c>
      <c r="D5595" s="11" t="s">
        <v>1765</v>
      </c>
      <c r="E5595" s="11" t="s">
        <v>5800</v>
      </c>
      <c r="F5595">
        <v>7036</v>
      </c>
      <c r="G5595">
        <v>12540</v>
      </c>
      <c r="H5595">
        <v>222</v>
      </c>
      <c r="I5595">
        <v>5.97</v>
      </c>
      <c r="J5595" s="11">
        <f>7.53/2</f>
        <v>3.7650000000000001</v>
      </c>
      <c r="K5595">
        <v>771</v>
      </c>
      <c r="L5595">
        <v>6.7</v>
      </c>
      <c r="M5595">
        <v>38.68</v>
      </c>
      <c r="N5595">
        <v>85.23</v>
      </c>
      <c r="O5595">
        <v>13.23</v>
      </c>
      <c r="P5595">
        <v>0.89</v>
      </c>
    </row>
    <row r="5596" spans="1:16">
      <c r="A5596" s="1" t="s">
        <v>5790</v>
      </c>
      <c r="B5596" t="s">
        <v>5817</v>
      </c>
      <c r="C5596" s="1" t="s">
        <v>18</v>
      </c>
      <c r="D5596" s="1" t="s">
        <v>44</v>
      </c>
      <c r="E5596" s="1" t="s">
        <v>5800</v>
      </c>
      <c r="F5596">
        <v>5682</v>
      </c>
      <c r="G5596">
        <v>9016</v>
      </c>
      <c r="H5596">
        <v>44</v>
      </c>
      <c r="I5596">
        <v>5.16</v>
      </c>
      <c r="J5596">
        <v>81.69</v>
      </c>
      <c r="K5596">
        <v>1018</v>
      </c>
      <c r="L5596">
        <v>4.12</v>
      </c>
      <c r="M5596">
        <v>28.78</v>
      </c>
      <c r="N5596">
        <v>104.5</v>
      </c>
      <c r="O5596">
        <v>6.91</v>
      </c>
      <c r="P5596">
        <v>0.91</v>
      </c>
    </row>
    <row r="5597" spans="1:16">
      <c r="A5597" s="1" t="s">
        <v>5790</v>
      </c>
      <c r="B5597" t="s">
        <v>5818</v>
      </c>
      <c r="C5597" s="1" t="s">
        <v>1764</v>
      </c>
      <c r="D5597" s="11" t="s">
        <v>1765</v>
      </c>
      <c r="E5597" s="11" t="s">
        <v>5800</v>
      </c>
      <c r="F5597">
        <v>3577</v>
      </c>
      <c r="G5597">
        <v>8066</v>
      </c>
      <c r="H5597">
        <v>74</v>
      </c>
      <c r="I5597">
        <v>4.29</v>
      </c>
      <c r="J5597">
        <v>12.82</v>
      </c>
      <c r="K5597">
        <v>1123</v>
      </c>
      <c r="L5597">
        <v>7.82</v>
      </c>
      <c r="M5597">
        <v>24.48</v>
      </c>
      <c r="N5597">
        <v>101.5</v>
      </c>
      <c r="O5597">
        <v>6.34</v>
      </c>
      <c r="P5597" s="11">
        <f t="shared" ref="P5597:P5598" si="180">0.59/2</f>
        <v>0.29499999999999998</v>
      </c>
    </row>
    <row r="5598" spans="1:16">
      <c r="A5598" s="1" t="s">
        <v>5790</v>
      </c>
      <c r="B5598" t="s">
        <v>5819</v>
      </c>
      <c r="C5598" s="1" t="s">
        <v>18</v>
      </c>
      <c r="D5598" s="1" t="s">
        <v>44</v>
      </c>
      <c r="E5598" s="1" t="s">
        <v>5800</v>
      </c>
      <c r="F5598">
        <v>3447</v>
      </c>
      <c r="G5598">
        <v>5959</v>
      </c>
      <c r="H5598">
        <v>589</v>
      </c>
      <c r="I5598">
        <v>6.42</v>
      </c>
      <c r="J5598">
        <v>12.32</v>
      </c>
      <c r="K5598">
        <v>1357</v>
      </c>
      <c r="L5598">
        <v>5.95</v>
      </c>
      <c r="M5598">
        <v>18.05</v>
      </c>
      <c r="N5598">
        <v>152.69999999999999</v>
      </c>
      <c r="O5598">
        <v>7.43</v>
      </c>
      <c r="P5598" s="11">
        <f t="shared" si="180"/>
        <v>0.29499999999999998</v>
      </c>
    </row>
    <row r="5599" spans="1:16">
      <c r="A5599" s="1" t="s">
        <v>5790</v>
      </c>
      <c r="B5599" t="s">
        <v>5820</v>
      </c>
      <c r="C5599" s="1" t="s">
        <v>1764</v>
      </c>
      <c r="D5599" s="11" t="s">
        <v>1765</v>
      </c>
      <c r="E5599" s="11" t="s">
        <v>5800</v>
      </c>
      <c r="F5599">
        <v>13152</v>
      </c>
      <c r="G5599">
        <v>5637</v>
      </c>
      <c r="H5599">
        <v>705</v>
      </c>
      <c r="I5599">
        <v>206.23</v>
      </c>
      <c r="J5599">
        <v>16.38</v>
      </c>
      <c r="K5599">
        <v>1252</v>
      </c>
      <c r="L5599">
        <v>10.06</v>
      </c>
      <c r="M5599" s="11">
        <f t="shared" ref="M5599:M5601" si="181">2.14/2</f>
        <v>1.07</v>
      </c>
      <c r="N5599">
        <v>75.86</v>
      </c>
      <c r="O5599">
        <v>8.83</v>
      </c>
      <c r="P5599">
        <v>7.74</v>
      </c>
    </row>
    <row r="5600" spans="1:16">
      <c r="A5600" s="1" t="s">
        <v>5790</v>
      </c>
      <c r="B5600" t="s">
        <v>5821</v>
      </c>
      <c r="C5600" s="1" t="s">
        <v>18</v>
      </c>
      <c r="D5600" s="1" t="s">
        <v>44</v>
      </c>
      <c r="E5600" s="1" t="s">
        <v>5800</v>
      </c>
      <c r="F5600">
        <v>18869</v>
      </c>
      <c r="G5600">
        <v>9978</v>
      </c>
      <c r="H5600">
        <v>317</v>
      </c>
      <c r="I5600">
        <v>193.72</v>
      </c>
      <c r="J5600" s="11">
        <f t="shared" ref="J5600:J5603" si="182">7.53/2</f>
        <v>3.7650000000000001</v>
      </c>
      <c r="K5600">
        <v>1275</v>
      </c>
      <c r="L5600">
        <v>19.34</v>
      </c>
      <c r="M5600" s="11">
        <f t="shared" si="181"/>
        <v>1.07</v>
      </c>
      <c r="N5600">
        <v>173.55</v>
      </c>
      <c r="O5600">
        <v>11.44</v>
      </c>
      <c r="P5600">
        <v>7.27</v>
      </c>
    </row>
    <row r="5601" spans="1:16">
      <c r="A5601" s="1" t="s">
        <v>5790</v>
      </c>
      <c r="B5601" t="s">
        <v>5822</v>
      </c>
      <c r="C5601" s="1" t="s">
        <v>1764</v>
      </c>
      <c r="D5601" s="11" t="s">
        <v>1765</v>
      </c>
      <c r="E5601" s="11" t="s">
        <v>5800</v>
      </c>
      <c r="F5601">
        <v>16452</v>
      </c>
      <c r="G5601">
        <v>3924</v>
      </c>
      <c r="H5601">
        <v>697</v>
      </c>
      <c r="I5601">
        <v>203.2</v>
      </c>
      <c r="J5601" s="11">
        <f t="shared" si="182"/>
        <v>3.7650000000000001</v>
      </c>
      <c r="K5601">
        <v>1560</v>
      </c>
      <c r="L5601">
        <v>5.58</v>
      </c>
      <c r="M5601" s="11">
        <f t="shared" si="181"/>
        <v>1.07</v>
      </c>
      <c r="N5601">
        <v>137.54</v>
      </c>
      <c r="O5601">
        <v>7.25</v>
      </c>
      <c r="P5601">
        <v>6.38</v>
      </c>
    </row>
    <row r="5602" spans="1:16">
      <c r="A5602" s="1" t="s">
        <v>5790</v>
      </c>
      <c r="B5602" t="s">
        <v>5823</v>
      </c>
      <c r="C5602" s="1" t="s">
        <v>18</v>
      </c>
      <c r="D5602" s="1" t="s">
        <v>44</v>
      </c>
      <c r="E5602" s="1" t="s">
        <v>5800</v>
      </c>
      <c r="F5602">
        <v>9681</v>
      </c>
      <c r="G5602">
        <v>2415</v>
      </c>
      <c r="H5602">
        <v>674</v>
      </c>
      <c r="I5602">
        <v>192.43</v>
      </c>
      <c r="J5602" s="11">
        <f t="shared" si="182"/>
        <v>3.7650000000000001</v>
      </c>
      <c r="K5602">
        <v>1160</v>
      </c>
      <c r="L5602">
        <v>11.64</v>
      </c>
      <c r="M5602">
        <v>5.66</v>
      </c>
      <c r="N5602">
        <v>49.15</v>
      </c>
      <c r="O5602">
        <v>5.37</v>
      </c>
      <c r="P5602">
        <v>5.71</v>
      </c>
    </row>
    <row r="5603" spans="1:16">
      <c r="A5603" s="1" t="s">
        <v>5790</v>
      </c>
      <c r="B5603" t="s">
        <v>5824</v>
      </c>
      <c r="C5603" s="1" t="s">
        <v>1764</v>
      </c>
      <c r="D5603" s="11" t="s">
        <v>1765</v>
      </c>
      <c r="E5603" s="11" t="s">
        <v>5800</v>
      </c>
      <c r="F5603">
        <v>13895</v>
      </c>
      <c r="G5603">
        <v>3453</v>
      </c>
      <c r="H5603">
        <v>656</v>
      </c>
      <c r="I5603">
        <v>206.09</v>
      </c>
      <c r="J5603" s="11">
        <f t="shared" si="182"/>
        <v>3.7650000000000001</v>
      </c>
      <c r="K5603">
        <v>1453</v>
      </c>
      <c r="L5603">
        <v>7.92</v>
      </c>
      <c r="M5603" s="11">
        <f>2.14/2</f>
        <v>1.07</v>
      </c>
      <c r="N5603">
        <v>95.1</v>
      </c>
      <c r="O5603">
        <v>7.52</v>
      </c>
      <c r="P5603">
        <v>4.58</v>
      </c>
    </row>
    <row r="5604" spans="1:16">
      <c r="A5604" s="1" t="s">
        <v>5790</v>
      </c>
      <c r="B5604" t="s">
        <v>5825</v>
      </c>
      <c r="C5604" s="1" t="s">
        <v>18</v>
      </c>
      <c r="D5604" s="1" t="s">
        <v>44</v>
      </c>
      <c r="E5604" s="1" t="s">
        <v>5800</v>
      </c>
      <c r="F5604">
        <v>23325</v>
      </c>
      <c r="G5604">
        <v>13136</v>
      </c>
      <c r="H5604">
        <v>765</v>
      </c>
      <c r="I5604">
        <v>173.42</v>
      </c>
      <c r="J5604">
        <v>17.47</v>
      </c>
      <c r="K5604">
        <v>1642</v>
      </c>
      <c r="L5604">
        <v>20.29</v>
      </c>
      <c r="M5604">
        <v>4.28</v>
      </c>
      <c r="N5604">
        <v>495.64</v>
      </c>
      <c r="O5604">
        <v>9.89</v>
      </c>
      <c r="P5604">
        <v>7.78</v>
      </c>
    </row>
    <row r="5605" spans="1:16">
      <c r="A5605" s="1" t="s">
        <v>5790</v>
      </c>
      <c r="B5605" t="s">
        <v>5826</v>
      </c>
      <c r="C5605" s="1" t="s">
        <v>1764</v>
      </c>
      <c r="D5605" s="11" t="s">
        <v>1765</v>
      </c>
      <c r="E5605" s="11" t="s">
        <v>5800</v>
      </c>
      <c r="F5605">
        <v>25065</v>
      </c>
      <c r="G5605">
        <v>12780</v>
      </c>
      <c r="H5605">
        <v>622</v>
      </c>
      <c r="I5605">
        <v>160.72999999999999</v>
      </c>
      <c r="J5605">
        <v>23.52</v>
      </c>
      <c r="K5605">
        <v>1494</v>
      </c>
      <c r="L5605">
        <v>19.22</v>
      </c>
      <c r="M5605">
        <v>3.94</v>
      </c>
      <c r="N5605">
        <v>429.52</v>
      </c>
      <c r="O5605">
        <v>9.93</v>
      </c>
      <c r="P5605">
        <v>8.83</v>
      </c>
    </row>
    <row r="5606" spans="1:16">
      <c r="A5606" s="1" t="s">
        <v>5790</v>
      </c>
      <c r="B5606" t="s">
        <v>5827</v>
      </c>
      <c r="C5606" s="1" t="s">
        <v>18</v>
      </c>
      <c r="D5606" s="1" t="s">
        <v>44</v>
      </c>
      <c r="E5606" s="1" t="s">
        <v>5800</v>
      </c>
      <c r="F5606">
        <v>19650</v>
      </c>
      <c r="G5606">
        <v>7401</v>
      </c>
      <c r="H5606">
        <v>261</v>
      </c>
      <c r="I5606">
        <v>152.46</v>
      </c>
      <c r="J5606" s="11">
        <f t="shared" ref="J5606:J5608" si="183">7.53/2</f>
        <v>3.7650000000000001</v>
      </c>
      <c r="K5606">
        <v>1301</v>
      </c>
      <c r="L5606">
        <v>15.39</v>
      </c>
      <c r="M5606">
        <v>4.42</v>
      </c>
      <c r="N5606">
        <v>104.09</v>
      </c>
      <c r="O5606">
        <v>11.52</v>
      </c>
      <c r="P5606">
        <v>15.63</v>
      </c>
    </row>
    <row r="5607" spans="1:16">
      <c r="A5607" s="1" t="s">
        <v>5790</v>
      </c>
      <c r="B5607" t="s">
        <v>5828</v>
      </c>
      <c r="C5607" s="1" t="s">
        <v>1764</v>
      </c>
      <c r="D5607" s="11" t="s">
        <v>1765</v>
      </c>
      <c r="E5607" s="11" t="s">
        <v>5800</v>
      </c>
      <c r="F5607">
        <v>18073</v>
      </c>
      <c r="G5607">
        <v>3072</v>
      </c>
      <c r="H5607">
        <v>316</v>
      </c>
      <c r="I5607">
        <v>167.97</v>
      </c>
      <c r="J5607" s="11">
        <f t="shared" si="183"/>
        <v>3.7650000000000001</v>
      </c>
      <c r="K5607">
        <v>1740</v>
      </c>
      <c r="L5607">
        <v>22.32</v>
      </c>
      <c r="M5607" s="11">
        <f t="shared" ref="M5607:M5608" si="184">2.14/2</f>
        <v>1.07</v>
      </c>
      <c r="N5607">
        <v>132.87</v>
      </c>
      <c r="O5607">
        <v>7.47</v>
      </c>
      <c r="P5607">
        <v>6.83</v>
      </c>
    </row>
    <row r="5608" spans="1:16">
      <c r="A5608" s="1" t="s">
        <v>5790</v>
      </c>
      <c r="B5608" t="s">
        <v>5829</v>
      </c>
      <c r="C5608" s="1" t="s">
        <v>18</v>
      </c>
      <c r="D5608" s="1" t="s">
        <v>44</v>
      </c>
      <c r="E5608" s="1" t="s">
        <v>5800</v>
      </c>
      <c r="F5608">
        <v>18008</v>
      </c>
      <c r="G5608">
        <v>2614</v>
      </c>
      <c r="H5608">
        <v>272</v>
      </c>
      <c r="I5608">
        <v>160.47999999999999</v>
      </c>
      <c r="J5608" s="11">
        <f t="shared" si="183"/>
        <v>3.7650000000000001</v>
      </c>
      <c r="K5608">
        <v>1919</v>
      </c>
      <c r="L5608">
        <v>23.42</v>
      </c>
      <c r="M5608" s="11">
        <f t="shared" si="184"/>
        <v>1.07</v>
      </c>
      <c r="N5608">
        <v>138.47</v>
      </c>
      <c r="O5608">
        <v>8.5299999999999994</v>
      </c>
      <c r="P5608">
        <v>6.95</v>
      </c>
    </row>
    <row r="5609" spans="1:16">
      <c r="A5609" s="1" t="s">
        <v>5790</v>
      </c>
      <c r="B5609" t="s">
        <v>5830</v>
      </c>
      <c r="C5609" s="1" t="s">
        <v>1764</v>
      </c>
      <c r="D5609" s="11" t="s">
        <v>1765</v>
      </c>
      <c r="E5609" s="11" t="s">
        <v>5800</v>
      </c>
      <c r="F5609">
        <v>18330</v>
      </c>
      <c r="G5609">
        <v>6513</v>
      </c>
      <c r="H5609">
        <v>298</v>
      </c>
      <c r="I5609">
        <v>209.28</v>
      </c>
      <c r="J5609">
        <v>30.59</v>
      </c>
      <c r="K5609">
        <v>1534</v>
      </c>
      <c r="L5609">
        <v>17.27</v>
      </c>
      <c r="M5609">
        <v>3.63</v>
      </c>
      <c r="N5609">
        <v>354.61</v>
      </c>
      <c r="O5609">
        <v>8.35</v>
      </c>
      <c r="P5609">
        <v>6.83</v>
      </c>
    </row>
    <row r="5610" spans="1:16">
      <c r="A5610" s="1" t="s">
        <v>5790</v>
      </c>
      <c r="B5610" t="s">
        <v>5831</v>
      </c>
      <c r="C5610" s="1" t="s">
        <v>18</v>
      </c>
      <c r="D5610" s="1" t="s">
        <v>44</v>
      </c>
      <c r="E5610" s="1" t="s">
        <v>5800</v>
      </c>
      <c r="F5610">
        <v>20881</v>
      </c>
      <c r="G5610">
        <v>9184</v>
      </c>
      <c r="H5610">
        <v>348</v>
      </c>
      <c r="I5610">
        <v>235.46</v>
      </c>
      <c r="J5610" s="11">
        <f t="shared" ref="J5610:J5616" si="185">7.53/2</f>
        <v>3.7650000000000001</v>
      </c>
      <c r="K5610">
        <v>1650</v>
      </c>
      <c r="L5610">
        <v>19.63</v>
      </c>
      <c r="M5610" s="11">
        <f t="shared" ref="M5610:M5612" si="186">2.14/2</f>
        <v>1.07</v>
      </c>
      <c r="N5610">
        <v>311.27999999999997</v>
      </c>
      <c r="O5610">
        <v>7.69</v>
      </c>
      <c r="P5610">
        <v>4.83</v>
      </c>
    </row>
    <row r="5611" spans="1:16">
      <c r="A5611" s="1" t="s">
        <v>5790</v>
      </c>
      <c r="B5611" t="s">
        <v>5832</v>
      </c>
      <c r="C5611" s="1" t="s">
        <v>1764</v>
      </c>
      <c r="D5611" s="11" t="s">
        <v>1765</v>
      </c>
      <c r="E5611" s="11" t="s">
        <v>5800</v>
      </c>
      <c r="F5611">
        <v>19562</v>
      </c>
      <c r="G5611">
        <v>8569</v>
      </c>
      <c r="H5611">
        <v>341</v>
      </c>
      <c r="I5611">
        <v>234.91</v>
      </c>
      <c r="J5611" s="11">
        <f t="shared" si="185"/>
        <v>3.7650000000000001</v>
      </c>
      <c r="K5611">
        <v>1428</v>
      </c>
      <c r="L5611">
        <v>16.600000000000001</v>
      </c>
      <c r="M5611" s="11">
        <f t="shared" si="186"/>
        <v>1.07</v>
      </c>
      <c r="N5611">
        <v>184.72</v>
      </c>
      <c r="O5611">
        <v>6.59</v>
      </c>
      <c r="P5611">
        <v>5</v>
      </c>
    </row>
    <row r="5612" spans="1:16">
      <c r="A5612" s="1" t="s">
        <v>5790</v>
      </c>
      <c r="B5612" t="s">
        <v>5833</v>
      </c>
      <c r="C5612" s="1" t="s">
        <v>18</v>
      </c>
      <c r="D5612" s="1" t="s">
        <v>44</v>
      </c>
      <c r="E5612" s="1" t="s">
        <v>5800</v>
      </c>
      <c r="F5612">
        <v>22366</v>
      </c>
      <c r="G5612">
        <v>10661</v>
      </c>
      <c r="H5612">
        <v>386</v>
      </c>
      <c r="I5612">
        <v>240.3</v>
      </c>
      <c r="J5612" s="11">
        <f t="shared" si="185"/>
        <v>3.7650000000000001</v>
      </c>
      <c r="K5612">
        <v>1604</v>
      </c>
      <c r="L5612">
        <v>16.23</v>
      </c>
      <c r="M5612" s="11">
        <f t="shared" si="186"/>
        <v>1.07</v>
      </c>
      <c r="N5612">
        <v>419.82</v>
      </c>
      <c r="O5612">
        <v>7.04</v>
      </c>
      <c r="P5612">
        <v>6.34</v>
      </c>
    </row>
    <row r="5613" spans="1:16">
      <c r="A5613" s="1" t="s">
        <v>5790</v>
      </c>
      <c r="B5613" t="s">
        <v>5834</v>
      </c>
      <c r="C5613" s="1" t="s">
        <v>1764</v>
      </c>
      <c r="D5613" s="11" t="s">
        <v>1765</v>
      </c>
      <c r="E5613" s="11" t="s">
        <v>5800</v>
      </c>
      <c r="F5613">
        <v>20142</v>
      </c>
      <c r="G5613">
        <v>8311</v>
      </c>
      <c r="H5613">
        <v>430</v>
      </c>
      <c r="I5613">
        <v>244.99</v>
      </c>
      <c r="J5613" s="11">
        <f t="shared" si="185"/>
        <v>3.7650000000000001</v>
      </c>
      <c r="K5613">
        <v>1549</v>
      </c>
      <c r="L5613">
        <v>17.940000000000001</v>
      </c>
      <c r="M5613">
        <v>4.01</v>
      </c>
      <c r="N5613">
        <v>285.08999999999997</v>
      </c>
      <c r="O5613">
        <v>6.95</v>
      </c>
      <c r="P5613">
        <v>4.41</v>
      </c>
    </row>
    <row r="5614" spans="1:16">
      <c r="A5614" s="1" t="s">
        <v>5790</v>
      </c>
      <c r="B5614" t="s">
        <v>5835</v>
      </c>
      <c r="C5614" s="1" t="s">
        <v>18</v>
      </c>
      <c r="D5614" s="1" t="s">
        <v>44</v>
      </c>
      <c r="E5614" s="1" t="s">
        <v>5800</v>
      </c>
      <c r="F5614">
        <v>23788</v>
      </c>
      <c r="G5614">
        <v>6011</v>
      </c>
      <c r="H5614">
        <v>387</v>
      </c>
      <c r="I5614">
        <v>133.52000000000001</v>
      </c>
      <c r="J5614" s="11">
        <f t="shared" si="185"/>
        <v>3.7650000000000001</v>
      </c>
      <c r="K5614">
        <v>2030</v>
      </c>
      <c r="L5614">
        <v>11.74</v>
      </c>
      <c r="M5614">
        <v>2.71</v>
      </c>
      <c r="N5614">
        <v>251.29</v>
      </c>
      <c r="O5614">
        <v>6.1</v>
      </c>
      <c r="P5614">
        <v>8.59</v>
      </c>
    </row>
    <row r="5615" spans="1:16">
      <c r="A5615" s="1" t="s">
        <v>5790</v>
      </c>
      <c r="B5615" t="s">
        <v>5836</v>
      </c>
      <c r="C5615" s="1" t="s">
        <v>1764</v>
      </c>
      <c r="D5615" s="11" t="s">
        <v>1765</v>
      </c>
      <c r="E5615" s="11" t="s">
        <v>5800</v>
      </c>
      <c r="F5615">
        <v>24954</v>
      </c>
      <c r="G5615">
        <v>9532</v>
      </c>
      <c r="H5615">
        <v>460</v>
      </c>
      <c r="I5615">
        <v>118.85</v>
      </c>
      <c r="J5615" s="11">
        <f t="shared" si="185"/>
        <v>3.7650000000000001</v>
      </c>
      <c r="K5615">
        <v>2004</v>
      </c>
      <c r="L5615">
        <v>14.21</v>
      </c>
      <c r="M5615" s="11">
        <f t="shared" ref="M5615:M5618" si="187">2.14/2</f>
        <v>1.07</v>
      </c>
      <c r="N5615">
        <v>370.73</v>
      </c>
      <c r="O5615">
        <v>6.57</v>
      </c>
      <c r="P5615">
        <v>12.88</v>
      </c>
    </row>
    <row r="5616" spans="1:16">
      <c r="A5616" s="1" t="s">
        <v>5790</v>
      </c>
      <c r="B5616" t="s">
        <v>5837</v>
      </c>
      <c r="C5616" s="1" t="s">
        <v>18</v>
      </c>
      <c r="D5616" s="1" t="s">
        <v>44</v>
      </c>
      <c r="E5616" s="1" t="s">
        <v>5800</v>
      </c>
      <c r="F5616">
        <v>24263</v>
      </c>
      <c r="G5616">
        <v>7595</v>
      </c>
      <c r="H5616">
        <v>379</v>
      </c>
      <c r="I5616">
        <v>122.06</v>
      </c>
      <c r="J5616" s="11">
        <f t="shared" si="185"/>
        <v>3.7650000000000001</v>
      </c>
      <c r="K5616">
        <v>1970</v>
      </c>
      <c r="L5616">
        <v>13.45</v>
      </c>
      <c r="M5616" s="11">
        <f t="shared" si="187"/>
        <v>1.07</v>
      </c>
      <c r="N5616">
        <v>279.89</v>
      </c>
      <c r="O5616">
        <v>6.34</v>
      </c>
      <c r="P5616">
        <v>14.95</v>
      </c>
    </row>
    <row r="5617" spans="1:16">
      <c r="A5617" s="1" t="s">
        <v>5790</v>
      </c>
      <c r="B5617" t="s">
        <v>5838</v>
      </c>
      <c r="C5617" s="1" t="s">
        <v>1764</v>
      </c>
      <c r="D5617" s="11" t="s">
        <v>1765</v>
      </c>
      <c r="E5617" s="11" t="s">
        <v>5800</v>
      </c>
      <c r="F5617">
        <v>22490</v>
      </c>
      <c r="G5617">
        <v>4890</v>
      </c>
      <c r="H5617">
        <v>672</v>
      </c>
      <c r="I5617">
        <v>197.62</v>
      </c>
      <c r="J5617">
        <v>12.34</v>
      </c>
      <c r="K5617">
        <v>2010</v>
      </c>
      <c r="L5617">
        <v>20.96</v>
      </c>
      <c r="M5617" s="11">
        <f t="shared" si="187"/>
        <v>1.07</v>
      </c>
      <c r="N5617">
        <v>548.16999999999996</v>
      </c>
      <c r="O5617">
        <v>6.64</v>
      </c>
      <c r="P5617">
        <v>7.24</v>
      </c>
    </row>
    <row r="5618" spans="1:16">
      <c r="A5618" s="1" t="s">
        <v>5790</v>
      </c>
      <c r="B5618" t="s">
        <v>5839</v>
      </c>
      <c r="C5618" s="1" t="s">
        <v>18</v>
      </c>
      <c r="D5618" s="1" t="s">
        <v>44</v>
      </c>
      <c r="E5618" s="1" t="s">
        <v>5800</v>
      </c>
      <c r="F5618">
        <v>21849</v>
      </c>
      <c r="G5618">
        <v>5903</v>
      </c>
      <c r="H5618">
        <v>740</v>
      </c>
      <c r="I5618">
        <v>190.11</v>
      </c>
      <c r="J5618" s="11">
        <f t="shared" ref="J5618:J5620" si="188">7.53/2</f>
        <v>3.7650000000000001</v>
      </c>
      <c r="K5618">
        <v>2042</v>
      </c>
      <c r="L5618">
        <v>22.09</v>
      </c>
      <c r="M5618" s="11">
        <f t="shared" si="187"/>
        <v>1.07</v>
      </c>
      <c r="N5618">
        <v>267.64999999999998</v>
      </c>
      <c r="O5618">
        <v>6.42</v>
      </c>
      <c r="P5618">
        <v>7.37</v>
      </c>
    </row>
    <row r="5619" spans="1:16">
      <c r="A5619" s="1" t="s">
        <v>5790</v>
      </c>
      <c r="B5619" t="s">
        <v>5840</v>
      </c>
      <c r="C5619" s="1" t="s">
        <v>1764</v>
      </c>
      <c r="D5619" s="11" t="s">
        <v>1765</v>
      </c>
      <c r="E5619" s="11" t="s">
        <v>5800</v>
      </c>
      <c r="F5619">
        <v>12351</v>
      </c>
      <c r="G5619">
        <v>3651</v>
      </c>
      <c r="H5619">
        <v>433</v>
      </c>
      <c r="I5619">
        <v>208.16</v>
      </c>
      <c r="J5619" s="11">
        <f t="shared" si="188"/>
        <v>3.7650000000000001</v>
      </c>
      <c r="K5619">
        <v>1538</v>
      </c>
      <c r="L5619">
        <v>14.6</v>
      </c>
      <c r="M5619">
        <v>3.26</v>
      </c>
      <c r="N5619">
        <v>278.60000000000002</v>
      </c>
      <c r="O5619">
        <v>8.1199999999999992</v>
      </c>
      <c r="P5619">
        <v>4.2</v>
      </c>
    </row>
    <row r="5620" spans="1:16">
      <c r="A5620" s="1" t="s">
        <v>5790</v>
      </c>
      <c r="B5620" t="s">
        <v>5841</v>
      </c>
      <c r="C5620" s="1" t="s">
        <v>18</v>
      </c>
      <c r="D5620" s="1" t="s">
        <v>44</v>
      </c>
      <c r="E5620" s="1" t="s">
        <v>5800</v>
      </c>
      <c r="F5620">
        <v>11765</v>
      </c>
      <c r="G5620">
        <v>2343</v>
      </c>
      <c r="H5620">
        <v>431</v>
      </c>
      <c r="I5620">
        <v>202.76</v>
      </c>
      <c r="J5620" s="11">
        <f t="shared" si="188"/>
        <v>3.7650000000000001</v>
      </c>
      <c r="K5620">
        <v>1570</v>
      </c>
      <c r="L5620">
        <v>18.170000000000002</v>
      </c>
      <c r="M5620">
        <v>4.1399999999999997</v>
      </c>
      <c r="N5620">
        <v>96.99</v>
      </c>
      <c r="O5620">
        <v>7.75</v>
      </c>
      <c r="P5620">
        <v>3.86</v>
      </c>
    </row>
    <row r="5621" spans="1:16">
      <c r="A5621" s="1" t="s">
        <v>5790</v>
      </c>
      <c r="B5621" t="s">
        <v>5842</v>
      </c>
      <c r="C5621" s="1" t="s">
        <v>1764</v>
      </c>
      <c r="D5621" s="11" t="s">
        <v>1765</v>
      </c>
      <c r="E5621" s="11" t="s">
        <v>5800</v>
      </c>
      <c r="F5621">
        <v>22273</v>
      </c>
      <c r="G5621">
        <v>4735</v>
      </c>
      <c r="H5621">
        <v>588</v>
      </c>
      <c r="I5621">
        <v>156.18</v>
      </c>
      <c r="J5621">
        <v>7.77</v>
      </c>
      <c r="K5621">
        <v>2039</v>
      </c>
      <c r="L5621">
        <v>19.579999999999998</v>
      </c>
      <c r="M5621" s="11">
        <f t="shared" ref="M5621:M5622" si="189">2.14/2</f>
        <v>1.07</v>
      </c>
      <c r="N5621">
        <v>447.37</v>
      </c>
      <c r="O5621">
        <v>7.03</v>
      </c>
      <c r="P5621">
        <v>7.49</v>
      </c>
    </row>
    <row r="5622" spans="1:16">
      <c r="A5622" s="1" t="s">
        <v>5790</v>
      </c>
      <c r="B5622" t="s">
        <v>5843</v>
      </c>
      <c r="C5622" s="1" t="s">
        <v>18</v>
      </c>
      <c r="D5622" s="1" t="s">
        <v>44</v>
      </c>
      <c r="E5622" s="1" t="s">
        <v>5800</v>
      </c>
      <c r="F5622">
        <v>21962</v>
      </c>
      <c r="G5622">
        <v>3789</v>
      </c>
      <c r="H5622">
        <v>636</v>
      </c>
      <c r="I5622">
        <v>159.79</v>
      </c>
      <c r="J5622">
        <v>8.6999999999999993</v>
      </c>
      <c r="K5622">
        <v>2062</v>
      </c>
      <c r="L5622">
        <v>18.059999999999999</v>
      </c>
      <c r="M5622" s="11">
        <f t="shared" si="189"/>
        <v>1.07</v>
      </c>
      <c r="N5622">
        <v>248.27</v>
      </c>
      <c r="O5622">
        <v>6.11</v>
      </c>
      <c r="P5622">
        <v>8.01</v>
      </c>
    </row>
    <row r="5623" spans="1:16">
      <c r="A5623" s="1" t="s">
        <v>5790</v>
      </c>
      <c r="B5623" t="s">
        <v>5844</v>
      </c>
      <c r="C5623" s="1" t="s">
        <v>1764</v>
      </c>
      <c r="D5623" s="11" t="s">
        <v>1765</v>
      </c>
      <c r="E5623" s="11" t="s">
        <v>5800</v>
      </c>
      <c r="F5623">
        <v>8869</v>
      </c>
      <c r="G5623">
        <v>2587</v>
      </c>
      <c r="H5623">
        <v>109</v>
      </c>
      <c r="I5623">
        <v>229.7</v>
      </c>
      <c r="J5623">
        <v>13.46</v>
      </c>
      <c r="K5623">
        <v>508</v>
      </c>
      <c r="L5623">
        <v>2.4900000000000002</v>
      </c>
      <c r="M5623">
        <v>4.01</v>
      </c>
      <c r="N5623">
        <v>5405</v>
      </c>
      <c r="O5623">
        <v>5.17</v>
      </c>
      <c r="P5623">
        <v>6.72</v>
      </c>
    </row>
    <row r="5624" spans="1:16">
      <c r="A5624" s="1" t="s">
        <v>5790</v>
      </c>
      <c r="B5624" t="s">
        <v>5845</v>
      </c>
      <c r="C5624" s="1" t="s">
        <v>18</v>
      </c>
      <c r="D5624" s="1" t="s">
        <v>44</v>
      </c>
      <c r="E5624" s="1" t="s">
        <v>5800</v>
      </c>
      <c r="F5624">
        <v>14817</v>
      </c>
      <c r="G5624">
        <v>9394</v>
      </c>
      <c r="H5624">
        <v>82</v>
      </c>
      <c r="I5624">
        <v>94.2</v>
      </c>
      <c r="J5624" s="11">
        <f>7.53/2</f>
        <v>3.7650000000000001</v>
      </c>
      <c r="K5624">
        <v>307</v>
      </c>
      <c r="L5624">
        <v>1.44</v>
      </c>
      <c r="M5624">
        <v>5.05</v>
      </c>
      <c r="N5624">
        <v>28.89</v>
      </c>
      <c r="O5624">
        <v>6.29</v>
      </c>
      <c r="P5624">
        <v>17.02</v>
      </c>
    </row>
    <row r="5625" spans="1:16">
      <c r="A5625" s="1" t="s">
        <v>5790</v>
      </c>
      <c r="B5625" t="s">
        <v>5846</v>
      </c>
      <c r="C5625" s="1" t="s">
        <v>1764</v>
      </c>
      <c r="D5625" s="11" t="s">
        <v>1765</v>
      </c>
      <c r="E5625" s="11" t="s">
        <v>5800</v>
      </c>
      <c r="F5625">
        <v>29884</v>
      </c>
      <c r="G5625">
        <v>15501</v>
      </c>
      <c r="H5625">
        <v>132</v>
      </c>
      <c r="I5625">
        <v>90.57</v>
      </c>
      <c r="J5625">
        <v>21.5</v>
      </c>
      <c r="K5625">
        <v>506</v>
      </c>
      <c r="L5625">
        <v>3.67</v>
      </c>
      <c r="M5625">
        <v>7.53</v>
      </c>
      <c r="N5625">
        <v>213.1</v>
      </c>
      <c r="O5625">
        <v>5.67</v>
      </c>
      <c r="P5625">
        <v>14.74</v>
      </c>
    </row>
    <row r="5626" spans="1:16">
      <c r="A5626" s="1" t="s">
        <v>5790</v>
      </c>
      <c r="B5626" t="s">
        <v>5847</v>
      </c>
      <c r="C5626" s="1" t="s">
        <v>18</v>
      </c>
      <c r="D5626" s="1" t="s">
        <v>44</v>
      </c>
      <c r="E5626" s="1" t="s">
        <v>5800</v>
      </c>
      <c r="F5626">
        <v>5574</v>
      </c>
      <c r="G5626">
        <v>1336</v>
      </c>
      <c r="H5626">
        <v>91</v>
      </c>
      <c r="I5626">
        <v>219.4</v>
      </c>
      <c r="J5626">
        <v>16.21</v>
      </c>
      <c r="K5626">
        <v>470</v>
      </c>
      <c r="L5626">
        <v>2.64</v>
      </c>
      <c r="M5626">
        <v>2.8</v>
      </c>
      <c r="N5626">
        <v>72.400000000000006</v>
      </c>
      <c r="O5626">
        <v>4.3600000000000003</v>
      </c>
      <c r="P5626">
        <v>4.8899999999999997</v>
      </c>
    </row>
    <row r="5627" spans="1:16">
      <c r="A5627" s="1" t="s">
        <v>5790</v>
      </c>
      <c r="B5627" t="s">
        <v>5848</v>
      </c>
      <c r="C5627" s="1" t="s">
        <v>1764</v>
      </c>
      <c r="D5627" s="11" t="s">
        <v>1765</v>
      </c>
      <c r="E5627" s="11" t="s">
        <v>5800</v>
      </c>
      <c r="F5627">
        <v>9287</v>
      </c>
      <c r="G5627">
        <v>1875</v>
      </c>
      <c r="H5627">
        <v>54</v>
      </c>
      <c r="I5627">
        <v>202.5</v>
      </c>
      <c r="J5627" s="11">
        <f>7.53/2</f>
        <v>3.7650000000000001</v>
      </c>
      <c r="K5627">
        <v>418</v>
      </c>
      <c r="L5627">
        <v>1.94</v>
      </c>
      <c r="M5627" s="11">
        <f>2.14/2</f>
        <v>1.07</v>
      </c>
      <c r="N5627">
        <v>27.95</v>
      </c>
      <c r="O5627">
        <v>5.22</v>
      </c>
      <c r="P5627">
        <v>7.98</v>
      </c>
    </row>
    <row r="5628" spans="1:16">
      <c r="A5628" s="1" t="s">
        <v>5790</v>
      </c>
      <c r="B5628" t="s">
        <v>5849</v>
      </c>
      <c r="C5628" s="1" t="s">
        <v>18</v>
      </c>
      <c r="D5628" s="1" t="s">
        <v>44</v>
      </c>
      <c r="E5628" s="1" t="s">
        <v>5800</v>
      </c>
      <c r="F5628">
        <v>10358</v>
      </c>
      <c r="G5628">
        <v>7140</v>
      </c>
      <c r="H5628">
        <v>380</v>
      </c>
      <c r="I5628">
        <v>165.5</v>
      </c>
      <c r="J5628">
        <v>8.75</v>
      </c>
      <c r="K5628">
        <v>795</v>
      </c>
      <c r="L5628">
        <v>16.64</v>
      </c>
      <c r="M5628">
        <v>21.6</v>
      </c>
      <c r="N5628">
        <v>101.1</v>
      </c>
      <c r="O5628">
        <v>7.48</v>
      </c>
      <c r="P5628">
        <v>11.88</v>
      </c>
    </row>
    <row r="5629" spans="1:16">
      <c r="A5629" s="1" t="s">
        <v>5790</v>
      </c>
      <c r="B5629" t="s">
        <v>5850</v>
      </c>
      <c r="C5629" s="1" t="s">
        <v>1764</v>
      </c>
      <c r="D5629" s="11" t="s">
        <v>1765</v>
      </c>
      <c r="E5629" s="11" t="s">
        <v>5800</v>
      </c>
      <c r="F5629">
        <v>11411</v>
      </c>
      <c r="G5629">
        <v>7144</v>
      </c>
      <c r="H5629">
        <v>280</v>
      </c>
      <c r="I5629">
        <v>160.80000000000001</v>
      </c>
      <c r="J5629" s="11">
        <f t="shared" ref="J5629:J5630" si="190">7.53/2</f>
        <v>3.7650000000000001</v>
      </c>
      <c r="K5629">
        <v>851</v>
      </c>
      <c r="L5629">
        <v>16.61</v>
      </c>
      <c r="M5629">
        <v>13.64</v>
      </c>
      <c r="N5629">
        <v>113.2</v>
      </c>
      <c r="O5629">
        <v>6.8</v>
      </c>
      <c r="P5629">
        <v>14.36</v>
      </c>
    </row>
    <row r="5630" spans="1:16">
      <c r="A5630" s="1" t="s">
        <v>5790</v>
      </c>
      <c r="B5630" t="s">
        <v>5851</v>
      </c>
      <c r="C5630" s="1" t="s">
        <v>18</v>
      </c>
      <c r="D5630" s="1" t="s">
        <v>44</v>
      </c>
      <c r="E5630" s="1" t="s">
        <v>5800</v>
      </c>
      <c r="F5630">
        <v>7417</v>
      </c>
      <c r="G5630">
        <v>3470</v>
      </c>
      <c r="H5630">
        <v>950</v>
      </c>
      <c r="I5630">
        <v>730.3</v>
      </c>
      <c r="J5630" s="11">
        <f t="shared" si="190"/>
        <v>3.7650000000000001</v>
      </c>
      <c r="K5630">
        <v>952</v>
      </c>
      <c r="L5630">
        <v>17.059999999999999</v>
      </c>
      <c r="M5630">
        <v>12.01</v>
      </c>
      <c r="N5630">
        <v>77.88</v>
      </c>
      <c r="O5630">
        <v>10.3</v>
      </c>
      <c r="P5630">
        <v>4.6500000000000004</v>
      </c>
    </row>
    <row r="5631" spans="1:16">
      <c r="A5631" s="1" t="s">
        <v>5790</v>
      </c>
      <c r="B5631" t="s">
        <v>5852</v>
      </c>
      <c r="C5631" s="1" t="s">
        <v>1764</v>
      </c>
      <c r="D5631" s="11" t="s">
        <v>1765</v>
      </c>
      <c r="E5631" s="11" t="s">
        <v>5800</v>
      </c>
      <c r="F5631">
        <v>5577</v>
      </c>
      <c r="G5631">
        <v>4230</v>
      </c>
      <c r="H5631">
        <v>529</v>
      </c>
      <c r="I5631">
        <v>527.79999999999995</v>
      </c>
      <c r="J5631">
        <v>29.6</v>
      </c>
      <c r="K5631">
        <v>416</v>
      </c>
      <c r="L5631">
        <v>5.03</v>
      </c>
      <c r="M5631">
        <v>8.0500000000000007</v>
      </c>
      <c r="N5631">
        <v>54.26</v>
      </c>
      <c r="O5631">
        <v>6.67</v>
      </c>
      <c r="P5631">
        <v>4.8</v>
      </c>
    </row>
    <row r="5632" spans="1:16">
      <c r="A5632" s="1" t="s">
        <v>5790</v>
      </c>
      <c r="B5632" t="s">
        <v>5853</v>
      </c>
      <c r="C5632" s="1" t="s">
        <v>18</v>
      </c>
      <c r="D5632" s="1" t="s">
        <v>44</v>
      </c>
      <c r="E5632" s="1" t="s">
        <v>5800</v>
      </c>
      <c r="F5632">
        <v>6736</v>
      </c>
      <c r="G5632">
        <v>4778</v>
      </c>
      <c r="H5632">
        <v>580</v>
      </c>
      <c r="I5632">
        <v>492.2</v>
      </c>
      <c r="J5632">
        <v>78.73</v>
      </c>
      <c r="K5632">
        <v>336</v>
      </c>
      <c r="L5632">
        <v>57.13</v>
      </c>
      <c r="M5632">
        <v>7.44</v>
      </c>
      <c r="N5632">
        <v>144.1</v>
      </c>
      <c r="O5632">
        <v>7.49</v>
      </c>
      <c r="P5632">
        <v>6.06</v>
      </c>
    </row>
    <row r="5633" spans="1:16">
      <c r="A5633" s="1" t="s">
        <v>5790</v>
      </c>
      <c r="B5633" t="s">
        <v>5854</v>
      </c>
      <c r="C5633" s="1" t="s">
        <v>1764</v>
      </c>
      <c r="D5633" s="11" t="s">
        <v>1765</v>
      </c>
      <c r="E5633" s="11" t="s">
        <v>5800</v>
      </c>
      <c r="F5633">
        <v>3831</v>
      </c>
      <c r="G5633">
        <v>3155</v>
      </c>
      <c r="H5633">
        <v>580</v>
      </c>
      <c r="I5633">
        <v>282.7</v>
      </c>
      <c r="J5633">
        <v>11.93</v>
      </c>
      <c r="K5633">
        <v>455</v>
      </c>
      <c r="L5633">
        <v>5.1100000000000003</v>
      </c>
      <c r="M5633">
        <v>6.32</v>
      </c>
      <c r="N5633">
        <v>82.17</v>
      </c>
      <c r="O5633">
        <v>6.58</v>
      </c>
      <c r="P5633">
        <v>4.71</v>
      </c>
    </row>
    <row r="5634" spans="1:16">
      <c r="A5634" s="1" t="s">
        <v>5790</v>
      </c>
      <c r="B5634" t="s">
        <v>5855</v>
      </c>
      <c r="C5634" s="1" t="s">
        <v>18</v>
      </c>
      <c r="D5634" s="1" t="s">
        <v>44</v>
      </c>
      <c r="E5634" s="1" t="s">
        <v>5800</v>
      </c>
      <c r="F5634">
        <v>4363</v>
      </c>
      <c r="G5634">
        <v>2746</v>
      </c>
      <c r="H5634">
        <v>445</v>
      </c>
      <c r="I5634">
        <v>311.8</v>
      </c>
      <c r="J5634" s="11">
        <f>7.53/2</f>
        <v>3.7650000000000001</v>
      </c>
      <c r="K5634">
        <v>358</v>
      </c>
      <c r="L5634">
        <v>4.6100000000000003</v>
      </c>
      <c r="M5634">
        <v>4.67</v>
      </c>
      <c r="N5634">
        <v>69.42</v>
      </c>
      <c r="O5634">
        <v>6.12</v>
      </c>
      <c r="P5634">
        <v>3.41</v>
      </c>
    </row>
    <row r="5635" spans="1:16">
      <c r="A5635" s="1" t="s">
        <v>5790</v>
      </c>
      <c r="B5635" t="s">
        <v>5856</v>
      </c>
      <c r="C5635" s="1" t="s">
        <v>1764</v>
      </c>
      <c r="D5635" s="11" t="s">
        <v>1765</v>
      </c>
      <c r="E5635" s="11" t="s">
        <v>5800</v>
      </c>
      <c r="F5635">
        <v>11154</v>
      </c>
      <c r="G5635">
        <v>5649</v>
      </c>
      <c r="H5635">
        <v>654</v>
      </c>
      <c r="I5635">
        <v>345.4</v>
      </c>
      <c r="J5635">
        <v>13.86</v>
      </c>
      <c r="K5635">
        <v>686</v>
      </c>
      <c r="L5635">
        <v>3.73</v>
      </c>
      <c r="M5635">
        <v>5.64</v>
      </c>
      <c r="N5635">
        <v>128.4</v>
      </c>
      <c r="O5635">
        <v>7.8</v>
      </c>
      <c r="P5635">
        <v>5.09</v>
      </c>
    </row>
    <row r="5636" spans="1:16">
      <c r="A5636" s="1" t="s">
        <v>5790</v>
      </c>
      <c r="B5636" t="s">
        <v>5857</v>
      </c>
      <c r="C5636" s="1" t="s">
        <v>18</v>
      </c>
      <c r="D5636" s="1" t="s">
        <v>44</v>
      </c>
      <c r="E5636" s="1" t="s">
        <v>5800</v>
      </c>
      <c r="F5636">
        <v>5267</v>
      </c>
      <c r="G5636">
        <v>4393</v>
      </c>
      <c r="H5636">
        <v>668</v>
      </c>
      <c r="I5636">
        <v>240.4</v>
      </c>
      <c r="J5636" s="11">
        <f t="shared" ref="J5636:J5638" si="191">7.53/2</f>
        <v>3.7650000000000001</v>
      </c>
      <c r="K5636">
        <v>418</v>
      </c>
      <c r="L5636">
        <v>5.98</v>
      </c>
      <c r="M5636">
        <v>8.5299999999999994</v>
      </c>
      <c r="N5636">
        <v>145.1</v>
      </c>
      <c r="O5636">
        <v>6.82</v>
      </c>
      <c r="P5636">
        <v>5.03</v>
      </c>
    </row>
    <row r="5637" spans="1:16">
      <c r="A5637" s="1" t="s">
        <v>5790</v>
      </c>
      <c r="B5637" t="s">
        <v>5858</v>
      </c>
      <c r="C5637" s="1" t="s">
        <v>1764</v>
      </c>
      <c r="D5637" s="11" t="s">
        <v>1765</v>
      </c>
      <c r="E5637" s="11" t="s">
        <v>5800</v>
      </c>
      <c r="F5637">
        <v>9149</v>
      </c>
      <c r="G5637">
        <v>7486</v>
      </c>
      <c r="H5637">
        <v>662</v>
      </c>
      <c r="I5637">
        <v>366.8</v>
      </c>
      <c r="J5637" s="11">
        <f t="shared" si="191"/>
        <v>3.7650000000000001</v>
      </c>
      <c r="K5637">
        <v>798</v>
      </c>
      <c r="L5637">
        <v>30.74</v>
      </c>
      <c r="M5637">
        <v>8.1999999999999993</v>
      </c>
      <c r="N5637">
        <v>121.5</v>
      </c>
      <c r="O5637">
        <v>10.18</v>
      </c>
      <c r="P5637">
        <v>7.94</v>
      </c>
    </row>
    <row r="5638" spans="1:16">
      <c r="A5638" s="1" t="s">
        <v>5790</v>
      </c>
      <c r="B5638" t="s">
        <v>5859</v>
      </c>
      <c r="C5638" s="1" t="s">
        <v>18</v>
      </c>
      <c r="D5638" s="1" t="s">
        <v>44</v>
      </c>
      <c r="E5638" s="1" t="s">
        <v>5800</v>
      </c>
      <c r="F5638">
        <v>6211</v>
      </c>
      <c r="G5638">
        <v>1809</v>
      </c>
      <c r="H5638">
        <v>315</v>
      </c>
      <c r="I5638">
        <v>153.69999999999999</v>
      </c>
      <c r="J5638" s="11">
        <f t="shared" si="191"/>
        <v>3.7650000000000001</v>
      </c>
      <c r="K5638">
        <v>850</v>
      </c>
      <c r="L5638">
        <v>4.8899999999999997</v>
      </c>
      <c r="M5638">
        <v>9.59</v>
      </c>
      <c r="N5638">
        <v>44.69</v>
      </c>
      <c r="O5638">
        <v>6.49</v>
      </c>
      <c r="P5638">
        <v>1.4</v>
      </c>
    </row>
    <row r="5639" spans="1:16">
      <c r="A5639" s="1" t="s">
        <v>5790</v>
      </c>
      <c r="B5639" t="s">
        <v>5860</v>
      </c>
      <c r="C5639" s="1" t="s">
        <v>1764</v>
      </c>
      <c r="D5639" s="11" t="s">
        <v>1765</v>
      </c>
      <c r="E5639" s="11" t="s">
        <v>5800</v>
      </c>
      <c r="F5639">
        <v>8761</v>
      </c>
      <c r="G5639">
        <v>6730</v>
      </c>
      <c r="H5639">
        <v>676</v>
      </c>
      <c r="I5639">
        <v>417.8</v>
      </c>
      <c r="J5639">
        <v>9.73</v>
      </c>
      <c r="K5639">
        <v>722</v>
      </c>
      <c r="L5639">
        <v>2.75</v>
      </c>
      <c r="M5639">
        <v>7.33</v>
      </c>
      <c r="N5639">
        <v>162.1</v>
      </c>
      <c r="O5639">
        <v>7.75</v>
      </c>
      <c r="P5639">
        <v>5.03</v>
      </c>
    </row>
    <row r="5640" spans="1:16">
      <c r="A5640" s="1" t="s">
        <v>5790</v>
      </c>
      <c r="B5640" t="s">
        <v>5861</v>
      </c>
      <c r="C5640" s="1" t="s">
        <v>18</v>
      </c>
      <c r="D5640" s="1" t="s">
        <v>44</v>
      </c>
      <c r="E5640" s="1" t="s">
        <v>5800</v>
      </c>
      <c r="F5640">
        <v>4734</v>
      </c>
      <c r="G5640">
        <v>3413</v>
      </c>
      <c r="H5640">
        <v>479</v>
      </c>
      <c r="I5640">
        <v>341.7</v>
      </c>
      <c r="J5640" s="11">
        <f t="shared" ref="J5640:J5644" si="192">7.53/2</f>
        <v>3.7650000000000001</v>
      </c>
      <c r="K5640">
        <v>401</v>
      </c>
      <c r="L5640">
        <v>4.47</v>
      </c>
      <c r="M5640">
        <v>6.73</v>
      </c>
      <c r="N5640">
        <v>69.010000000000005</v>
      </c>
      <c r="O5640">
        <v>6.04</v>
      </c>
      <c r="P5640">
        <v>3.66</v>
      </c>
    </row>
    <row r="5641" spans="1:16">
      <c r="A5641" s="1" t="s">
        <v>5790</v>
      </c>
      <c r="B5641" t="s">
        <v>5862</v>
      </c>
      <c r="C5641" s="1" t="s">
        <v>1764</v>
      </c>
      <c r="D5641" s="11" t="s">
        <v>1765</v>
      </c>
      <c r="E5641" s="11" t="s">
        <v>5800</v>
      </c>
      <c r="F5641">
        <v>15232</v>
      </c>
      <c r="G5641">
        <v>8349</v>
      </c>
      <c r="H5641">
        <v>516</v>
      </c>
      <c r="I5641">
        <v>283.39999999999998</v>
      </c>
      <c r="J5641" s="11">
        <f t="shared" si="192"/>
        <v>3.7650000000000001</v>
      </c>
      <c r="K5641">
        <v>589</v>
      </c>
      <c r="L5641">
        <v>5.57</v>
      </c>
      <c r="M5641">
        <v>5.19</v>
      </c>
      <c r="N5641">
        <v>140.6</v>
      </c>
      <c r="O5641">
        <v>14.06</v>
      </c>
      <c r="P5641">
        <v>4.6100000000000003</v>
      </c>
    </row>
    <row r="5642" spans="1:16">
      <c r="A5642" s="1" t="s">
        <v>5790</v>
      </c>
      <c r="B5642" t="s">
        <v>5863</v>
      </c>
      <c r="C5642" s="1" t="s">
        <v>18</v>
      </c>
      <c r="D5642" s="1" t="s">
        <v>44</v>
      </c>
      <c r="E5642" s="1" t="s">
        <v>5800</v>
      </c>
      <c r="F5642">
        <v>6998</v>
      </c>
      <c r="G5642">
        <v>3267</v>
      </c>
      <c r="H5642">
        <v>1116</v>
      </c>
      <c r="I5642">
        <v>575.20000000000005</v>
      </c>
      <c r="J5642" s="11">
        <f t="shared" si="192"/>
        <v>3.7650000000000001</v>
      </c>
      <c r="K5642">
        <v>761</v>
      </c>
      <c r="L5642">
        <v>17.37</v>
      </c>
      <c r="M5642">
        <v>9.4</v>
      </c>
      <c r="N5642">
        <v>66.09</v>
      </c>
      <c r="O5642">
        <v>17.04</v>
      </c>
      <c r="P5642">
        <v>5.0599999999999996</v>
      </c>
    </row>
    <row r="5643" spans="1:16">
      <c r="A5643" s="1" t="s">
        <v>5790</v>
      </c>
      <c r="B5643" t="s">
        <v>5864</v>
      </c>
      <c r="C5643" s="1" t="s">
        <v>1764</v>
      </c>
      <c r="D5643" s="11" t="s">
        <v>1765</v>
      </c>
      <c r="E5643" s="11" t="s">
        <v>5800</v>
      </c>
      <c r="F5643">
        <v>11060</v>
      </c>
      <c r="G5643">
        <v>1951</v>
      </c>
      <c r="H5643">
        <v>1383</v>
      </c>
      <c r="I5643">
        <v>650.70000000000005</v>
      </c>
      <c r="J5643" s="11">
        <f t="shared" si="192"/>
        <v>3.7650000000000001</v>
      </c>
      <c r="K5643">
        <v>773</v>
      </c>
      <c r="L5643">
        <v>35.86</v>
      </c>
      <c r="M5643">
        <v>14.41</v>
      </c>
      <c r="N5643">
        <v>68.8</v>
      </c>
      <c r="O5643">
        <v>15.51</v>
      </c>
      <c r="P5643">
        <v>6.61</v>
      </c>
    </row>
    <row r="5644" spans="1:16">
      <c r="A5644" s="1" t="s">
        <v>5790</v>
      </c>
      <c r="B5644" t="s">
        <v>5865</v>
      </c>
      <c r="C5644" s="1" t="s">
        <v>18</v>
      </c>
      <c r="D5644" s="1" t="s">
        <v>44</v>
      </c>
      <c r="E5644" s="1" t="s">
        <v>5800</v>
      </c>
      <c r="F5644">
        <v>11653</v>
      </c>
      <c r="G5644">
        <v>4442</v>
      </c>
      <c r="H5644">
        <v>1230</v>
      </c>
      <c r="I5644">
        <v>469.2</v>
      </c>
      <c r="J5644" s="11">
        <f t="shared" si="192"/>
        <v>3.7650000000000001</v>
      </c>
      <c r="K5644">
        <v>778</v>
      </c>
      <c r="L5644">
        <v>31.9</v>
      </c>
      <c r="M5644">
        <v>19.850000000000001</v>
      </c>
      <c r="N5644">
        <v>61.17</v>
      </c>
      <c r="O5644">
        <v>17.62</v>
      </c>
      <c r="P5644">
        <v>6.79</v>
      </c>
    </row>
    <row r="5645" spans="1:16">
      <c r="A5645" s="1" t="s">
        <v>5790</v>
      </c>
      <c r="B5645" t="s">
        <v>5866</v>
      </c>
      <c r="C5645" s="1" t="s">
        <v>1764</v>
      </c>
      <c r="D5645" s="11" t="s">
        <v>1765</v>
      </c>
      <c r="E5645" s="11" t="s">
        <v>5800</v>
      </c>
      <c r="F5645">
        <v>11715</v>
      </c>
      <c r="G5645">
        <v>10443</v>
      </c>
      <c r="H5645">
        <v>1159</v>
      </c>
      <c r="I5645">
        <v>333.3</v>
      </c>
      <c r="J5645">
        <v>113.6</v>
      </c>
      <c r="K5645">
        <v>958</v>
      </c>
      <c r="L5645">
        <v>74.78</v>
      </c>
      <c r="M5645">
        <v>40.380000000000003</v>
      </c>
      <c r="N5645">
        <v>120.9</v>
      </c>
      <c r="O5645">
        <v>18.82</v>
      </c>
      <c r="P5645">
        <v>9.33</v>
      </c>
    </row>
    <row r="5646" spans="1:16">
      <c r="A5646" s="1" t="s">
        <v>5790</v>
      </c>
      <c r="B5646" t="s">
        <v>5867</v>
      </c>
      <c r="C5646" s="1" t="s">
        <v>18</v>
      </c>
      <c r="D5646" s="1" t="s">
        <v>44</v>
      </c>
      <c r="E5646" s="1" t="s">
        <v>5800</v>
      </c>
      <c r="F5646">
        <v>11031</v>
      </c>
      <c r="G5646">
        <v>1781</v>
      </c>
      <c r="H5646">
        <v>1314</v>
      </c>
      <c r="I5646">
        <v>637.5</v>
      </c>
      <c r="J5646">
        <v>16.579999999999998</v>
      </c>
      <c r="K5646">
        <v>716</v>
      </c>
      <c r="L5646">
        <v>27.8</v>
      </c>
      <c r="M5646">
        <v>12.52</v>
      </c>
      <c r="N5646">
        <v>63.45</v>
      </c>
      <c r="O5646">
        <v>15.53</v>
      </c>
      <c r="P5646">
        <v>5.83</v>
      </c>
    </row>
    <row r="5647" spans="1:16">
      <c r="A5647" s="1" t="s">
        <v>5790</v>
      </c>
      <c r="B5647" t="s">
        <v>5868</v>
      </c>
      <c r="C5647" s="1" t="s">
        <v>1764</v>
      </c>
      <c r="D5647" s="11" t="s">
        <v>1765</v>
      </c>
      <c r="E5647" s="11" t="s">
        <v>5800</v>
      </c>
      <c r="F5647">
        <v>8313</v>
      </c>
      <c r="G5647">
        <v>3968</v>
      </c>
      <c r="H5647">
        <v>1080</v>
      </c>
      <c r="I5647">
        <v>396.7</v>
      </c>
      <c r="J5647" s="11">
        <f>7.53/2</f>
        <v>3.7650000000000001</v>
      </c>
      <c r="K5647">
        <v>791</v>
      </c>
      <c r="L5647">
        <v>21.87</v>
      </c>
      <c r="M5647">
        <v>19.39</v>
      </c>
      <c r="N5647">
        <v>67.34</v>
      </c>
      <c r="O5647">
        <v>17.190000000000001</v>
      </c>
      <c r="P5647">
        <v>6.75</v>
      </c>
    </row>
    <row r="5648" spans="1:16">
      <c r="A5648" s="1" t="s">
        <v>5790</v>
      </c>
      <c r="B5648" t="s">
        <v>5869</v>
      </c>
      <c r="C5648" s="1" t="s">
        <v>18</v>
      </c>
      <c r="D5648" s="1" t="s">
        <v>44</v>
      </c>
      <c r="E5648" s="1" t="s">
        <v>5800</v>
      </c>
      <c r="F5648">
        <v>8594</v>
      </c>
      <c r="G5648">
        <v>4867</v>
      </c>
      <c r="H5648">
        <v>898</v>
      </c>
      <c r="I5648">
        <v>341.4</v>
      </c>
      <c r="J5648">
        <v>23.35</v>
      </c>
      <c r="K5648">
        <v>785</v>
      </c>
      <c r="L5648">
        <v>14.3</v>
      </c>
      <c r="M5648">
        <v>49.08</v>
      </c>
      <c r="N5648">
        <v>73.72</v>
      </c>
      <c r="O5648">
        <v>17.489999999999998</v>
      </c>
      <c r="P5648">
        <v>4.79</v>
      </c>
    </row>
    <row r="5649" spans="1:16">
      <c r="A5649" s="1" t="s">
        <v>5872</v>
      </c>
      <c r="B5649" t="s">
        <v>5873</v>
      </c>
      <c r="C5649" s="1" t="s">
        <v>18</v>
      </c>
      <c r="D5649" s="1" t="s">
        <v>44</v>
      </c>
      <c r="E5649" s="1" t="s">
        <v>5871</v>
      </c>
      <c r="F5649">
        <v>52.382989999999999</v>
      </c>
      <c r="G5649">
        <v>813.72481000000005</v>
      </c>
      <c r="H5649">
        <v>15.889619545332099</v>
      </c>
      <c r="I5649">
        <v>11.0998085429085</v>
      </c>
      <c r="J5649">
        <v>2.4109386036171401</v>
      </c>
      <c r="K5649">
        <v>5066.445598796</v>
      </c>
      <c r="L5649">
        <v>31.409903279982199</v>
      </c>
      <c r="M5649">
        <v>12.413306864451499</v>
      </c>
      <c r="N5649">
        <v>155.02430291684601</v>
      </c>
      <c r="O5649">
        <v>13.6505979304664</v>
      </c>
      <c r="P5649">
        <v>145.882994223776</v>
      </c>
    </row>
    <row r="5650" spans="1:16">
      <c r="A5650" s="1" t="s">
        <v>5872</v>
      </c>
      <c r="B5650" t="s">
        <v>5874</v>
      </c>
      <c r="C5650" s="1" t="s">
        <v>18</v>
      </c>
      <c r="D5650" s="1" t="s">
        <v>44</v>
      </c>
      <c r="E5650" s="1" t="s">
        <v>5870</v>
      </c>
      <c r="F5650">
        <v>64.069820000000007</v>
      </c>
      <c r="G5650">
        <v>1084.0324800000001</v>
      </c>
      <c r="H5650">
        <v>362.80708571519199</v>
      </c>
      <c r="I5650">
        <v>73.606781816861798</v>
      </c>
      <c r="J5650">
        <v>200.81422484838399</v>
      </c>
      <c r="K5650">
        <v>3774.5381138600801</v>
      </c>
      <c r="L5650">
        <v>19.9591645066455</v>
      </c>
      <c r="M5650">
        <v>40.247698264583498</v>
      </c>
      <c r="N5650">
        <v>81.448721197714903</v>
      </c>
      <c r="O5650">
        <v>22.0582089948382</v>
      </c>
      <c r="P5650">
        <v>99.702209685795097</v>
      </c>
    </row>
    <row r="5651" spans="1:16">
      <c r="A5651" s="1" t="s">
        <v>5872</v>
      </c>
      <c r="B5651" t="s">
        <v>5875</v>
      </c>
      <c r="C5651" s="1" t="s">
        <v>18</v>
      </c>
      <c r="D5651" s="1" t="s">
        <v>44</v>
      </c>
      <c r="E5651" s="1" t="s">
        <v>5870</v>
      </c>
      <c r="F5651">
        <v>269.60109</v>
      </c>
      <c r="G5651">
        <v>1473.8867</v>
      </c>
      <c r="H5651">
        <v>601.40876775002801</v>
      </c>
      <c r="I5651">
        <v>40.827143924574898</v>
      </c>
      <c r="J5651">
        <v>61.005631644674999</v>
      </c>
      <c r="K5651">
        <v>3578.8880378398999</v>
      </c>
      <c r="L5651">
        <v>22.449934851760201</v>
      </c>
      <c r="M5651">
        <v>26.272787074309399</v>
      </c>
      <c r="N5651">
        <v>116.384149046144</v>
      </c>
      <c r="O5651">
        <v>20.091783086314098</v>
      </c>
      <c r="P5651">
        <v>101.250884639822</v>
      </c>
    </row>
    <row r="5652" spans="1:16">
      <c r="A5652" s="1" t="s">
        <v>5872</v>
      </c>
      <c r="B5652" t="s">
        <v>5876</v>
      </c>
      <c r="C5652" s="1" t="s">
        <v>18</v>
      </c>
      <c r="D5652" s="1" t="s">
        <v>44</v>
      </c>
      <c r="E5652" s="1" t="s">
        <v>5870</v>
      </c>
      <c r="F5652">
        <v>464.70949999999999</v>
      </c>
      <c r="G5652">
        <v>2442.3400799999999</v>
      </c>
      <c r="H5652">
        <v>60.583954026881401</v>
      </c>
      <c r="I5652">
        <v>26.383192108927599</v>
      </c>
      <c r="J5652">
        <v>19.781900587068002</v>
      </c>
      <c r="K5652">
        <v>4840.8344784948204</v>
      </c>
      <c r="L5652">
        <v>54.687158998185602</v>
      </c>
      <c r="M5652">
        <v>14.9790971413456</v>
      </c>
      <c r="N5652">
        <v>391.270724157492</v>
      </c>
      <c r="O5652">
        <v>20.508831764060101</v>
      </c>
      <c r="P5652">
        <v>88.919960076778395</v>
      </c>
    </row>
    <row r="5653" spans="1:16">
      <c r="A5653" s="1" t="s">
        <v>5872</v>
      </c>
      <c r="B5653" t="s">
        <v>5877</v>
      </c>
      <c r="C5653" s="1" t="s">
        <v>18</v>
      </c>
      <c r="D5653" s="1" t="s">
        <v>44</v>
      </c>
      <c r="E5653" s="1" t="s">
        <v>5870</v>
      </c>
      <c r="F5653">
        <v>154.92193</v>
      </c>
      <c r="G5653">
        <v>1833.16893</v>
      </c>
      <c r="H5653">
        <v>35.318812860903499</v>
      </c>
      <c r="I5653">
        <v>23.810305327268299</v>
      </c>
      <c r="J5653">
        <v>0.38149744007241398</v>
      </c>
      <c r="K5653">
        <v>4939.2374953161598</v>
      </c>
      <c r="L5653">
        <v>53.381502127862902</v>
      </c>
      <c r="M5653">
        <v>11.178572181239799</v>
      </c>
      <c r="N5653">
        <v>289.63067974806398</v>
      </c>
      <c r="O5653">
        <v>19.031062284325301</v>
      </c>
      <c r="P5653">
        <v>70.509154256613499</v>
      </c>
    </row>
    <row r="5654" spans="1:16">
      <c r="A5654" s="1" t="s">
        <v>5872</v>
      </c>
      <c r="B5654" t="s">
        <v>5878</v>
      </c>
      <c r="C5654" s="1" t="s">
        <v>18</v>
      </c>
      <c r="D5654" s="1" t="s">
        <v>44</v>
      </c>
      <c r="E5654" s="1" t="s">
        <v>5870</v>
      </c>
      <c r="F5654">
        <v>315.28795000000002</v>
      </c>
      <c r="G5654">
        <v>2579.49179</v>
      </c>
      <c r="H5654">
        <v>19.306452882401899</v>
      </c>
      <c r="I5654">
        <v>15.6015163689032</v>
      </c>
      <c r="J5654">
        <v>3.2821126494226598</v>
      </c>
      <c r="K5654">
        <v>5073.3324378247398</v>
      </c>
      <c r="L5654">
        <v>47.476038964401504</v>
      </c>
      <c r="M5654">
        <v>12.4318960365413</v>
      </c>
      <c r="N5654">
        <v>438.47703008133601</v>
      </c>
      <c r="O5654">
        <v>22.6610886813279</v>
      </c>
      <c r="P5654">
        <v>164.08876770871899</v>
      </c>
    </row>
    <row r="5655" spans="1:16">
      <c r="A5655" s="1" t="s">
        <v>5872</v>
      </c>
      <c r="B5655" t="s">
        <v>5879</v>
      </c>
      <c r="C5655" s="1" t="s">
        <v>18</v>
      </c>
      <c r="D5655" s="1" t="s">
        <v>44</v>
      </c>
      <c r="E5655" s="1" t="s">
        <v>5870</v>
      </c>
      <c r="F5655">
        <v>496.67266584005802</v>
      </c>
      <c r="G5655">
        <v>924.35274652471105</v>
      </c>
      <c r="H5655">
        <v>17.688028877398601</v>
      </c>
      <c r="I5655">
        <v>13.276430017270901</v>
      </c>
      <c r="J5655">
        <v>0.657394896243509</v>
      </c>
      <c r="K5655">
        <v>4383.1660442821703</v>
      </c>
      <c r="L5655">
        <v>30.027065648968801</v>
      </c>
      <c r="M5655">
        <v>25.644353884819498</v>
      </c>
      <c r="N5655">
        <v>528.54998395059499</v>
      </c>
      <c r="O5655">
        <v>23.4765574720209</v>
      </c>
      <c r="P5655">
        <v>37.106925357855701</v>
      </c>
    </row>
    <row r="5656" spans="1:16">
      <c r="A5656" s="1" t="s">
        <v>5872</v>
      </c>
      <c r="B5656" t="s">
        <v>5880</v>
      </c>
      <c r="C5656" s="1" t="s">
        <v>18</v>
      </c>
      <c r="D5656" s="1" t="s">
        <v>44</v>
      </c>
      <c r="E5656" s="1" t="s">
        <v>5870</v>
      </c>
      <c r="F5656">
        <v>314.931592170621</v>
      </c>
      <c r="G5656">
        <v>1341.26681571269</v>
      </c>
      <c r="H5656">
        <v>15.1086772848445</v>
      </c>
      <c r="I5656">
        <v>11.067648015438699</v>
      </c>
      <c r="J5656">
        <v>2.0169941491891401</v>
      </c>
      <c r="K5656">
        <v>4540.8708526804703</v>
      </c>
      <c r="L5656">
        <v>29.061128014493601</v>
      </c>
      <c r="M5656">
        <v>24.564920125390199</v>
      </c>
      <c r="N5656">
        <v>276.22874638206798</v>
      </c>
      <c r="O5656">
        <v>38.192629383137302</v>
      </c>
      <c r="P5656">
        <v>51.2551071342887</v>
      </c>
    </row>
    <row r="5657" spans="1:16">
      <c r="A5657" s="1" t="s">
        <v>5872</v>
      </c>
      <c r="B5657" t="s">
        <v>5881</v>
      </c>
      <c r="C5657" s="1" t="s">
        <v>18</v>
      </c>
      <c r="D5657" s="1" t="s">
        <v>44</v>
      </c>
      <c r="E5657" s="1" t="s">
        <v>5870</v>
      </c>
      <c r="F5657">
        <v>612.97750934965597</v>
      </c>
      <c r="G5657">
        <v>1700.97563396946</v>
      </c>
      <c r="H5657">
        <v>3.8955234516969499</v>
      </c>
      <c r="I5657">
        <v>9.4924428008829498</v>
      </c>
      <c r="J5657">
        <v>0.109518897053517</v>
      </c>
      <c r="K5657">
        <v>3730.3624066078</v>
      </c>
      <c r="L5657">
        <v>23.295452385432601</v>
      </c>
      <c r="M5657">
        <v>11.9454150656439</v>
      </c>
      <c r="N5657">
        <v>263.79713996125997</v>
      </c>
      <c r="O5657">
        <v>21.874241606306001</v>
      </c>
      <c r="P5657">
        <v>51.593186704706802</v>
      </c>
    </row>
    <row r="5658" spans="1:16">
      <c r="A5658" s="1" t="s">
        <v>5872</v>
      </c>
      <c r="B5658" t="s">
        <v>5882</v>
      </c>
      <c r="C5658" s="1" t="s">
        <v>18</v>
      </c>
      <c r="D5658" s="1" t="s">
        <v>44</v>
      </c>
      <c r="E5658" s="1" t="s">
        <v>5870</v>
      </c>
      <c r="F5658">
        <v>714.44078455189901</v>
      </c>
      <c r="G5658">
        <v>1814.71686539855</v>
      </c>
      <c r="H5658">
        <v>6.9930094297574401</v>
      </c>
      <c r="I5658">
        <v>9.3010765487843194</v>
      </c>
      <c r="J5658">
        <v>0.92913414453030896</v>
      </c>
      <c r="K5658">
        <v>3614.3002907447599</v>
      </c>
      <c r="L5658">
        <v>22.9992917405764</v>
      </c>
      <c r="M5658">
        <v>12.247971612563299</v>
      </c>
      <c r="N5658">
        <v>290.555248937366</v>
      </c>
      <c r="O5658">
        <v>20.779820936868301</v>
      </c>
      <c r="P5658">
        <v>55.510757677114697</v>
      </c>
    </row>
    <row r="5659" spans="1:16">
      <c r="A5659" s="1" t="s">
        <v>5872</v>
      </c>
      <c r="B5659" t="s">
        <v>5883</v>
      </c>
      <c r="C5659" s="1" t="s">
        <v>18</v>
      </c>
      <c r="D5659" s="1" t="s">
        <v>44</v>
      </c>
      <c r="E5659" s="1" t="s">
        <v>5870</v>
      </c>
      <c r="F5659">
        <v>641.682500504568</v>
      </c>
      <c r="G5659">
        <v>1283.17700312376</v>
      </c>
      <c r="H5659">
        <v>4.0253631985798597</v>
      </c>
      <c r="I5659">
        <v>8.2543640991646701</v>
      </c>
      <c r="J5659">
        <v>0.26187976425675402</v>
      </c>
      <c r="K5659">
        <v>3148.7638891157799</v>
      </c>
      <c r="L5659">
        <v>23.199587869709301</v>
      </c>
      <c r="M5659">
        <v>11.5386335242298</v>
      </c>
      <c r="N5659">
        <v>435.47404944971498</v>
      </c>
      <c r="O5659">
        <v>20.511376785863501</v>
      </c>
      <c r="P5659">
        <v>43.166634332752103</v>
      </c>
    </row>
    <row r="5660" spans="1:16">
      <c r="A5660" s="1" t="s">
        <v>5872</v>
      </c>
      <c r="B5660" t="s">
        <v>5884</v>
      </c>
      <c r="C5660" s="1" t="s">
        <v>18</v>
      </c>
      <c r="D5660" s="1" t="s">
        <v>44</v>
      </c>
      <c r="E5660" s="1" t="s">
        <v>5870</v>
      </c>
      <c r="F5660">
        <v>68.631655226355306</v>
      </c>
      <c r="G5660">
        <v>1059.8039499291201</v>
      </c>
      <c r="H5660">
        <v>25.398698792202101</v>
      </c>
      <c r="I5660">
        <v>21.031404563975101</v>
      </c>
      <c r="J5660">
        <v>1.1644119332709</v>
      </c>
      <c r="K5660">
        <v>3320.4435752510599</v>
      </c>
      <c r="L5660">
        <v>17.5461092353057</v>
      </c>
      <c r="M5660">
        <v>17.897176429466501</v>
      </c>
      <c r="N5660">
        <v>135.622604864599</v>
      </c>
      <c r="O5660">
        <v>23.506795084891401</v>
      </c>
      <c r="P5660">
        <v>27.495277465618901</v>
      </c>
    </row>
    <row r="5661" spans="1:16">
      <c r="A5661" s="1" t="s">
        <v>5872</v>
      </c>
      <c r="B5661" t="s">
        <v>5885</v>
      </c>
      <c r="C5661" s="1" t="s">
        <v>18</v>
      </c>
      <c r="D5661" s="1" t="s">
        <v>44</v>
      </c>
      <c r="E5661" s="1" t="s">
        <v>5870</v>
      </c>
      <c r="F5661">
        <v>279.41087352693398</v>
      </c>
      <c r="G5661">
        <v>1616.21252402291</v>
      </c>
      <c r="H5661">
        <v>6.14858146645531</v>
      </c>
      <c r="I5661">
        <v>4.81490533741382</v>
      </c>
      <c r="J5661">
        <v>2.3920975193307301</v>
      </c>
      <c r="K5661">
        <v>3707.5163850303502</v>
      </c>
      <c r="L5661">
        <v>14.7486120836433</v>
      </c>
      <c r="M5661">
        <v>13.204012075151899</v>
      </c>
      <c r="N5661">
        <v>178.73670970481501</v>
      </c>
      <c r="O5661">
        <v>26.0556143497137</v>
      </c>
      <c r="P5661">
        <v>28.2211437520427</v>
      </c>
    </row>
    <row r="5662" spans="1:16">
      <c r="A5662" s="1" t="s">
        <v>5872</v>
      </c>
      <c r="B5662" t="s">
        <v>5886</v>
      </c>
      <c r="C5662" s="1" t="s">
        <v>18</v>
      </c>
      <c r="D5662" s="1" t="s">
        <v>44</v>
      </c>
      <c r="E5662" s="1" t="s">
        <v>5870</v>
      </c>
      <c r="F5662">
        <v>271.69123999999999</v>
      </c>
      <c r="G5662">
        <v>1387.8975800000001</v>
      </c>
      <c r="H5662">
        <v>82.957499999999996</v>
      </c>
      <c r="I5662">
        <v>27.886089999999999</v>
      </c>
      <c r="J5662">
        <v>11.55362</v>
      </c>
      <c r="K5662">
        <v>4504.5701399999998</v>
      </c>
      <c r="L5662">
        <v>45.140219999999999</v>
      </c>
      <c r="M5662">
        <v>24.387550000000001</v>
      </c>
      <c r="N5662">
        <v>228.32774000000001</v>
      </c>
      <c r="O5662">
        <v>14.403879999999999</v>
      </c>
      <c r="P5662">
        <v>287.49104999999997</v>
      </c>
    </row>
    <row r="5663" spans="1:16">
      <c r="A5663" s="1" t="s">
        <v>5872</v>
      </c>
      <c r="B5663" t="s">
        <v>5887</v>
      </c>
      <c r="C5663" s="1" t="s">
        <v>18</v>
      </c>
      <c r="D5663" s="1" t="s">
        <v>44</v>
      </c>
      <c r="E5663" s="1" t="s">
        <v>5870</v>
      </c>
      <c r="F5663">
        <v>56.876350000000002</v>
      </c>
      <c r="G5663">
        <v>2345.6061800000002</v>
      </c>
      <c r="H5663">
        <v>86.183080000000004</v>
      </c>
      <c r="I5663">
        <v>24.308540000000001</v>
      </c>
      <c r="J5663">
        <v>3.0583900000000002</v>
      </c>
      <c r="K5663">
        <v>5111.78586</v>
      </c>
      <c r="L5663">
        <v>47.822220000000002</v>
      </c>
      <c r="M5663">
        <v>22.746780000000001</v>
      </c>
      <c r="N5663">
        <v>610.61720000000003</v>
      </c>
      <c r="O5663">
        <v>19.991119999999999</v>
      </c>
      <c r="P5663">
        <v>392.58132999999998</v>
      </c>
    </row>
    <row r="5664" spans="1:16">
      <c r="A5664" s="1" t="s">
        <v>5872</v>
      </c>
      <c r="B5664" t="s">
        <v>5888</v>
      </c>
      <c r="C5664" s="1" t="s">
        <v>18</v>
      </c>
      <c r="D5664" s="1" t="s">
        <v>44</v>
      </c>
      <c r="E5664" s="1" t="s">
        <v>5870</v>
      </c>
      <c r="F5664">
        <v>85.694901455949307</v>
      </c>
      <c r="G5664">
        <v>1505.47948426381</v>
      </c>
      <c r="H5664">
        <v>47.523028119948897</v>
      </c>
      <c r="I5664">
        <v>13.235939467918501</v>
      </c>
      <c r="J5664">
        <v>0.42252526159224102</v>
      </c>
      <c r="K5664">
        <v>5124.85816292449</v>
      </c>
      <c r="L5664">
        <v>66.494362934010596</v>
      </c>
      <c r="M5664">
        <v>18.153368516926701</v>
      </c>
      <c r="N5664">
        <v>101.30163440711399</v>
      </c>
      <c r="O5664">
        <v>31.346852335661598</v>
      </c>
      <c r="P5664">
        <v>66.869270562372506</v>
      </c>
    </row>
    <row r="5665" spans="1:16">
      <c r="A5665" s="1" t="s">
        <v>5872</v>
      </c>
      <c r="B5665" t="s">
        <v>5889</v>
      </c>
      <c r="C5665" s="1" t="s">
        <v>18</v>
      </c>
      <c r="D5665" s="1" t="s">
        <v>44</v>
      </c>
      <c r="E5665" s="1" t="s">
        <v>5870</v>
      </c>
      <c r="F5665">
        <v>356.31709302327698</v>
      </c>
      <c r="G5665">
        <v>2588.40644963881</v>
      </c>
      <c r="H5665">
        <v>61.298077776037303</v>
      </c>
      <c r="I5665">
        <v>12.925984557475999</v>
      </c>
      <c r="J5665">
        <v>0.57124786805426797</v>
      </c>
      <c r="K5665">
        <v>5269.50994053458</v>
      </c>
      <c r="L5665">
        <v>69.684313475999701</v>
      </c>
      <c r="M5665">
        <v>18.852413006480599</v>
      </c>
      <c r="N5665">
        <v>283.61295877952898</v>
      </c>
      <c r="O5665">
        <v>25.4439682007995</v>
      </c>
      <c r="P5665">
        <v>209.42037559754101</v>
      </c>
    </row>
    <row r="5666" spans="1:16">
      <c r="A5666" s="1" t="s">
        <v>5872</v>
      </c>
      <c r="B5666" t="s">
        <v>5890</v>
      </c>
      <c r="C5666" s="1" t="s">
        <v>18</v>
      </c>
      <c r="D5666" s="1" t="s">
        <v>44</v>
      </c>
      <c r="E5666" s="1" t="s">
        <v>5870</v>
      </c>
      <c r="F5666">
        <v>71.160650461303604</v>
      </c>
      <c r="G5666">
        <v>1904.4429241683899</v>
      </c>
      <c r="H5666">
        <v>60.059351106841603</v>
      </c>
      <c r="I5666">
        <v>17.224095925493099</v>
      </c>
      <c r="J5666">
        <v>2.0292502994917001</v>
      </c>
      <c r="K5666">
        <v>5005.6498284405898</v>
      </c>
      <c r="L5666">
        <v>75.974411830776205</v>
      </c>
      <c r="M5666">
        <v>19.7204054516273</v>
      </c>
      <c r="N5666">
        <v>297.43980080656098</v>
      </c>
      <c r="O5666">
        <v>27.195622020643601</v>
      </c>
      <c r="P5666">
        <v>150.83380788329799</v>
      </c>
    </row>
    <row r="5667" spans="1:16">
      <c r="A5667" s="1" t="s">
        <v>5872</v>
      </c>
      <c r="B5667" t="s">
        <v>5891</v>
      </c>
      <c r="C5667" s="1" t="s">
        <v>18</v>
      </c>
      <c r="D5667" s="1" t="s">
        <v>44</v>
      </c>
      <c r="E5667" s="1" t="s">
        <v>5870</v>
      </c>
      <c r="F5667">
        <v>295.526000627587</v>
      </c>
      <c r="G5667">
        <v>693.65877625866301</v>
      </c>
      <c r="H5667">
        <v>11.195061242931001</v>
      </c>
      <c r="I5667">
        <v>8.4989246200560302</v>
      </c>
      <c r="J5667">
        <v>9.1600100497879708</v>
      </c>
      <c r="K5667">
        <v>2761.5061052968799</v>
      </c>
      <c r="L5667">
        <v>10.7171988583658</v>
      </c>
      <c r="M5667">
        <v>9.0347896422560794</v>
      </c>
      <c r="N5667">
        <v>145.65758008076</v>
      </c>
      <c r="O5667">
        <v>10.6754954927498</v>
      </c>
      <c r="P5667">
        <v>194.09917775712199</v>
      </c>
    </row>
    <row r="5668" spans="1:16">
      <c r="A5668" s="1" t="s">
        <v>5872</v>
      </c>
      <c r="B5668" t="s">
        <v>5892</v>
      </c>
      <c r="C5668" s="1" t="s">
        <v>18</v>
      </c>
      <c r="D5668" s="1" t="s">
        <v>44</v>
      </c>
      <c r="E5668" s="1" t="s">
        <v>5870</v>
      </c>
      <c r="F5668">
        <v>30.913906752621099</v>
      </c>
      <c r="G5668">
        <v>594.62166256954094</v>
      </c>
      <c r="H5668">
        <v>17.870064323488702</v>
      </c>
      <c r="I5668">
        <v>11.5642082957163</v>
      </c>
      <c r="J5668">
        <v>3.6262365828658001</v>
      </c>
      <c r="K5668">
        <v>3585.7509629961301</v>
      </c>
      <c r="L5668">
        <v>13.4384088643023</v>
      </c>
      <c r="M5668">
        <v>9.8653391309918792</v>
      </c>
      <c r="N5668">
        <v>67.567917219438399</v>
      </c>
      <c r="O5668">
        <v>10.398560452106601</v>
      </c>
      <c r="P5668">
        <v>207.469556518068</v>
      </c>
    </row>
    <row r="5669" spans="1:16">
      <c r="A5669" s="1" t="s">
        <v>5872</v>
      </c>
      <c r="B5669" t="s">
        <v>5893</v>
      </c>
      <c r="C5669" s="1" t="s">
        <v>18</v>
      </c>
      <c r="D5669" s="1" t="s">
        <v>44</v>
      </c>
      <c r="E5669" s="1" t="s">
        <v>5870</v>
      </c>
      <c r="F5669">
        <v>435.82502631490098</v>
      </c>
      <c r="G5669">
        <v>1225.4477041985101</v>
      </c>
      <c r="H5669">
        <v>27.980535677029</v>
      </c>
      <c r="I5669">
        <v>10.2717867696411</v>
      </c>
      <c r="J5669">
        <v>2.4313860442590598</v>
      </c>
      <c r="K5669">
        <v>3679.3561946866298</v>
      </c>
      <c r="L5669">
        <v>14.388682140167599</v>
      </c>
      <c r="M5669">
        <v>13.055246976454599</v>
      </c>
      <c r="N5669">
        <v>174.23052632695601</v>
      </c>
      <c r="O5669">
        <v>11.203899891917199</v>
      </c>
      <c r="P5669">
        <v>223.37064969366901</v>
      </c>
    </row>
    <row r="5670" spans="1:16">
      <c r="A5670" s="1" t="s">
        <v>5872</v>
      </c>
      <c r="B5670" t="s">
        <v>5894</v>
      </c>
      <c r="C5670" s="1" t="s">
        <v>18</v>
      </c>
      <c r="D5670" s="1" t="s">
        <v>44</v>
      </c>
      <c r="E5670" s="1" t="s">
        <v>5870</v>
      </c>
      <c r="F5670">
        <v>322.17998</v>
      </c>
      <c r="G5670">
        <v>412.00125000000003</v>
      </c>
      <c r="H5670">
        <v>26.8779</v>
      </c>
      <c r="I5670">
        <v>16.633890000000001</v>
      </c>
      <c r="J5670">
        <v>278.80524000000003</v>
      </c>
      <c r="K5670">
        <v>4631.8470799999996</v>
      </c>
      <c r="L5670">
        <v>13.00142</v>
      </c>
      <c r="M5670">
        <v>12.15188</v>
      </c>
      <c r="N5670">
        <v>61.044559999999997</v>
      </c>
      <c r="O5670">
        <v>11.752599999999999</v>
      </c>
      <c r="P5670">
        <v>84.875169999999997</v>
      </c>
    </row>
    <row r="5671" spans="1:16">
      <c r="A5671" s="1" t="s">
        <v>5872</v>
      </c>
      <c r="B5671" t="s">
        <v>5895</v>
      </c>
      <c r="C5671" s="1" t="s">
        <v>18</v>
      </c>
      <c r="D5671" s="1" t="s">
        <v>44</v>
      </c>
      <c r="E5671" s="1" t="s">
        <v>5870</v>
      </c>
      <c r="F5671">
        <v>133.104217339255</v>
      </c>
      <c r="G5671">
        <v>774.73886211435797</v>
      </c>
      <c r="H5671">
        <v>23.197492811794699</v>
      </c>
      <c r="I5671">
        <v>9.3473456231436902</v>
      </c>
      <c r="J5671">
        <v>1.53380931187693</v>
      </c>
      <c r="K5671">
        <v>3275.9066898276701</v>
      </c>
      <c r="L5671">
        <v>16.288461976646399</v>
      </c>
      <c r="M5671">
        <v>10.628487928065001</v>
      </c>
      <c r="N5671">
        <v>166.97752145240401</v>
      </c>
      <c r="O5671">
        <v>13.4892646572705</v>
      </c>
      <c r="P5671">
        <v>210.267044570233</v>
      </c>
    </row>
    <row r="5672" spans="1:16">
      <c r="A5672" s="1" t="s">
        <v>5872</v>
      </c>
      <c r="B5672" t="s">
        <v>5896</v>
      </c>
      <c r="C5672" s="1" t="s">
        <v>18</v>
      </c>
      <c r="D5672" s="1" t="s">
        <v>44</v>
      </c>
      <c r="E5672" s="1" t="s">
        <v>5870</v>
      </c>
      <c r="F5672">
        <v>32.132950352085203</v>
      </c>
      <c r="G5672">
        <v>749.93594655072502</v>
      </c>
      <c r="H5672">
        <v>26.0721283072752</v>
      </c>
      <c r="I5672">
        <v>12.9379111935037</v>
      </c>
      <c r="J5672">
        <v>7.3280942737329804</v>
      </c>
      <c r="K5672">
        <v>3572.14704268675</v>
      </c>
      <c r="L5672">
        <v>14.2158241400374</v>
      </c>
      <c r="M5672">
        <v>11.3832568320574</v>
      </c>
      <c r="N5672">
        <v>213.23039737576201</v>
      </c>
      <c r="O5672">
        <v>12.901032716143201</v>
      </c>
      <c r="P5672">
        <v>196.838362325405</v>
      </c>
    </row>
    <row r="5673" spans="1:16">
      <c r="A5673" s="1" t="s">
        <v>5872</v>
      </c>
      <c r="B5673" t="s">
        <v>5897</v>
      </c>
      <c r="C5673" s="1" t="s">
        <v>18</v>
      </c>
      <c r="D5673" s="1" t="s">
        <v>44</v>
      </c>
      <c r="E5673" s="1" t="s">
        <v>5870</v>
      </c>
      <c r="F5673">
        <v>105.654656761632</v>
      </c>
      <c r="G5673">
        <v>564.975790734116</v>
      </c>
      <c r="H5673">
        <v>3.8038098537237799</v>
      </c>
      <c r="I5673">
        <v>3.7292048958927402</v>
      </c>
      <c r="J5673">
        <v>11.210161576009501</v>
      </c>
      <c r="K5673">
        <v>2855.8394313352701</v>
      </c>
      <c r="L5673">
        <v>1.7503920836903399</v>
      </c>
      <c r="M5673">
        <v>0.38981986651342099</v>
      </c>
      <c r="N5673">
        <v>41.086392632968099</v>
      </c>
      <c r="O5673">
        <v>103.39063061428099</v>
      </c>
      <c r="P5673">
        <v>302.65633672950702</v>
      </c>
    </row>
    <row r="5674" spans="1:16">
      <c r="A5674" s="1" t="s">
        <v>5872</v>
      </c>
      <c r="B5674" t="s">
        <v>5898</v>
      </c>
      <c r="C5674" s="1" t="s">
        <v>18</v>
      </c>
      <c r="D5674" s="1" t="s">
        <v>44</v>
      </c>
      <c r="E5674" s="1" t="s">
        <v>5870</v>
      </c>
      <c r="F5674">
        <v>147.79354499726799</v>
      </c>
      <c r="G5674">
        <v>1108.6708693577</v>
      </c>
      <c r="H5674">
        <v>3.5026185788212798</v>
      </c>
      <c r="I5674">
        <v>6.1105557666896404</v>
      </c>
      <c r="J5674">
        <v>1.5638977735998201</v>
      </c>
      <c r="K5674">
        <v>2893.7331927383002</v>
      </c>
      <c r="L5674">
        <v>0.90793335808800602</v>
      </c>
      <c r="M5674">
        <v>0.93941988951044797</v>
      </c>
      <c r="N5674">
        <v>46.702046447418802</v>
      </c>
      <c r="O5674">
        <v>112.444676135108</v>
      </c>
      <c r="P5674">
        <v>232.12284805303901</v>
      </c>
    </row>
    <row r="5675" spans="1:16">
      <c r="A5675" s="1" t="s">
        <v>5872</v>
      </c>
      <c r="B5675" t="s">
        <v>5899</v>
      </c>
      <c r="C5675" s="1" t="s">
        <v>18</v>
      </c>
      <c r="D5675" s="1" t="s">
        <v>44</v>
      </c>
      <c r="E5675" s="1" t="s">
        <v>5870</v>
      </c>
      <c r="F5675">
        <v>54.957984889612199</v>
      </c>
      <c r="G5675">
        <v>811.99827198219305</v>
      </c>
      <c r="H5675">
        <v>5.86041515453564</v>
      </c>
      <c r="I5675">
        <v>3.4582746738746799</v>
      </c>
      <c r="J5675">
        <v>2.6013609893455101</v>
      </c>
      <c r="K5675">
        <v>3240.7718079659098</v>
      </c>
      <c r="L5675">
        <v>1.4776621489917801</v>
      </c>
      <c r="M5675">
        <v>0.46654587456326302</v>
      </c>
      <c r="N5675">
        <v>56.536073773496099</v>
      </c>
      <c r="O5675">
        <v>109.81474564973399</v>
      </c>
      <c r="P5675">
        <v>368.52730563455998</v>
      </c>
    </row>
    <row r="5676" spans="1:16">
      <c r="A5676" s="1" t="s">
        <v>5872</v>
      </c>
      <c r="B5676" t="s">
        <v>5900</v>
      </c>
      <c r="C5676" s="1" t="s">
        <v>18</v>
      </c>
      <c r="D5676" s="1" t="s">
        <v>44</v>
      </c>
      <c r="E5676" s="1" t="s">
        <v>5870</v>
      </c>
      <c r="F5676">
        <v>137.12016658658399</v>
      </c>
      <c r="G5676">
        <v>897.82755258221198</v>
      </c>
      <c r="H5676">
        <v>6.7511618537852396</v>
      </c>
      <c r="I5676">
        <v>6.0705218615058802</v>
      </c>
      <c r="J5676">
        <v>2.9450564538753401</v>
      </c>
      <c r="K5676">
        <v>2876.3537830002201</v>
      </c>
      <c r="L5676">
        <v>1.8004962146818999</v>
      </c>
      <c r="M5676">
        <v>0.29530875269832502</v>
      </c>
      <c r="N5676">
        <v>60.371551513427697</v>
      </c>
      <c r="O5676">
        <v>130.74688035970399</v>
      </c>
      <c r="P5676">
        <v>346.37799656023299</v>
      </c>
    </row>
    <row r="5677" spans="1:16">
      <c r="A5677" s="1" t="s">
        <v>5872</v>
      </c>
      <c r="B5677" t="s">
        <v>5898</v>
      </c>
      <c r="C5677" s="1" t="s">
        <v>18</v>
      </c>
      <c r="D5677" s="1" t="s">
        <v>44</v>
      </c>
      <c r="E5677" s="1" t="s">
        <v>5870</v>
      </c>
      <c r="F5677">
        <v>47.5412908962548</v>
      </c>
      <c r="G5677">
        <v>829.12558313592604</v>
      </c>
      <c r="H5677">
        <v>6.1954414753306297</v>
      </c>
      <c r="I5677">
        <v>3.2841588878581001</v>
      </c>
      <c r="J5677">
        <v>3.0190415363537499</v>
      </c>
      <c r="K5677">
        <v>3428.2722167143602</v>
      </c>
      <c r="L5677">
        <v>1.6141774291228901</v>
      </c>
      <c r="M5677">
        <v>0.45239691104215402</v>
      </c>
      <c r="N5677">
        <v>58.5453953556408</v>
      </c>
      <c r="O5677">
        <v>113.571286875648</v>
      </c>
      <c r="P5677">
        <v>375.77547972546199</v>
      </c>
    </row>
    <row r="5678" spans="1:16">
      <c r="A5678" s="1" t="s">
        <v>5872</v>
      </c>
      <c r="B5678" t="s">
        <v>5901</v>
      </c>
      <c r="C5678" s="1" t="s">
        <v>18</v>
      </c>
      <c r="D5678" s="1" t="s">
        <v>44</v>
      </c>
      <c r="E5678" s="1" t="s">
        <v>5870</v>
      </c>
      <c r="F5678">
        <v>139.082552220949</v>
      </c>
      <c r="G5678">
        <v>792.09122665174596</v>
      </c>
      <c r="H5678">
        <v>3.9725637618425398</v>
      </c>
      <c r="I5678">
        <v>6.6915825715446102</v>
      </c>
      <c r="J5678">
        <v>7.6426425529679101</v>
      </c>
      <c r="K5678">
        <v>2937.91938722855</v>
      </c>
      <c r="L5678">
        <v>1.2081013613204199</v>
      </c>
      <c r="M5678">
        <v>5.3447170905577899</v>
      </c>
      <c r="N5678">
        <v>34.524852523734602</v>
      </c>
      <c r="O5678">
        <v>99.073338578988995</v>
      </c>
      <c r="P5678">
        <v>142.64234052743501</v>
      </c>
    </row>
    <row r="5679" spans="1:16">
      <c r="A5679" s="1" t="s">
        <v>5872</v>
      </c>
      <c r="B5679" t="s">
        <v>5899</v>
      </c>
      <c r="C5679" s="1" t="s">
        <v>18</v>
      </c>
      <c r="D5679" s="1" t="s">
        <v>44</v>
      </c>
      <c r="E5679" s="1" t="s">
        <v>5870</v>
      </c>
      <c r="F5679">
        <v>136.87911033888801</v>
      </c>
      <c r="G5679">
        <v>912.62214908544797</v>
      </c>
      <c r="H5679">
        <v>6.6122486553171802</v>
      </c>
      <c r="I5679">
        <v>6.09961623382305</v>
      </c>
      <c r="J5679">
        <v>2.8681625250314098</v>
      </c>
      <c r="K5679">
        <v>2892.0847386693999</v>
      </c>
      <c r="L5679">
        <v>1.7557358362595601</v>
      </c>
      <c r="M5679">
        <v>0.31115254543389897</v>
      </c>
      <c r="N5679">
        <v>60.227842088785998</v>
      </c>
      <c r="O5679">
        <v>131.07119430139699</v>
      </c>
      <c r="P5679">
        <v>346.43416877577101</v>
      </c>
    </row>
  </sheetData>
  <phoneticPr fontId="2" type="noConversion"/>
  <conditionalFormatting sqref="B3765:B3834">
    <cfRule type="cellIs" dxfId="0" priority="7" stopIfTrue="1" operator="equal">
      <formula>0</formula>
    </cfRule>
  </conditionalFormatting>
  <pageMargins left="0.7" right="0.7" top="0.75" bottom="0.75" header="0.3" footer="0.3"/>
  <pageSetup orientation="portrait" r:id="rId1"/>
  <ignoredErrors>
    <ignoredError sqref="P105 J177 J207 J885 P1091 J2705 P415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Qitao</dc:creator>
  <cp:lastModifiedBy>Hu Qitao</cp:lastModifiedBy>
  <dcterms:created xsi:type="dcterms:W3CDTF">2025-06-08T07:07:08Z</dcterms:created>
  <dcterms:modified xsi:type="dcterms:W3CDTF">2025-11-15T12:54:22Z</dcterms:modified>
</cp:coreProperties>
</file>